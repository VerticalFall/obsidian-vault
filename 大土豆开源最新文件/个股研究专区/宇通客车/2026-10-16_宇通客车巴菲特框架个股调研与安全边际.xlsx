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一图流" sheetId="1" state="visible" r:id="rId3"/>
    <sheet name="投资结论" sheetId="2" state="visible" r:id="rId4"/>
    <sheet name="估值模型" sheetId="3" state="visible" r:id="rId5"/>
    <sheet name="财务十年" sheetId="4" state="visible" r:id="rId6"/>
    <sheet name="巴菲特框架" sheetId="5" state="visible" r:id="rId7"/>
    <sheet name="数据与来源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<sst xmlns="http://schemas.openxmlformats.org/spreadsheetml/2006/main" count="1101" uniqueCount="478">
  <si>
    <t xml:space="preserve">宇通客车：巴菲特框架个股调研与安全边际</t>
  </si>
  <si>
    <t xml:space="preserve">以最新披露的2026年三季报和9月产销快报为核心；行情抓取于 2026/10/16 16:11:44。情景：</t>
  </si>
  <si>
    <t xml:space="preserve">当前价（元）</t>
  </si>
  <si>
    <t xml:space="preserve">基准内在价值（元）</t>
  </si>
  <si>
    <t xml:space="preserve">基准安全边际</t>
  </si>
  <si>
    <t xml:space="preserve">35%安全边际买入价（元）</t>
  </si>
  <si>
    <t xml:space="preserve">当前动作</t>
  </si>
  <si>
    <t xml:space="preserve">结论：继续观察，不追高。宇通是客车龙头，海外、产品结构与成本能力让其扣非利润在销量下滑时仍能增长；但当前折价不足以覆盖海外周期、汇率、质保和客户融资担保风险。</t>
  </si>
  <si>
    <t xml:space="preserve">巴菲特8项快速筛选</t>
  </si>
  <si>
    <t xml:space="preserve">价格与三情景内在价值</t>
  </si>
  <si>
    <t xml:space="preserve">#</t>
  </si>
  <si>
    <t xml:space="preserve">维度</t>
  </si>
  <si>
    <t xml:space="preserve">结果</t>
  </si>
  <si>
    <t xml:space="preserve">核心依据</t>
  </si>
  <si>
    <t xml:space="preserve">指标</t>
  </si>
  <si>
    <t xml:space="preserve">元/股</t>
  </si>
  <si>
    <t xml:space="preserve">能力圈</t>
  </si>
  <si>
    <t xml:space="preserve">通过</t>
  </si>
  <si>
    <t xml:space="preserve">收入来自客车销售，可追踪销量、单车价值和结构</t>
  </si>
  <si>
    <t xml:space="preserve">当前价</t>
  </si>
  <si>
    <t xml:space="preserve">10年存续性</t>
  </si>
  <si>
    <t xml:space="preserve">客运需求长期存在，动力技术改变不消灭需求</t>
  </si>
  <si>
    <t xml:space="preserve">保守价值</t>
  </si>
  <si>
    <t xml:space="preserve">护城河</t>
  </si>
  <si>
    <t xml:space="preserve">部分</t>
  </si>
  <si>
    <t xml:space="preserve">规模、品牌、研发、海外服务网络，但非不可复制</t>
  </si>
  <si>
    <t xml:space="preserve">基准价值</t>
  </si>
  <si>
    <t xml:space="preserve">定价权</t>
  </si>
  <si>
    <t xml:space="preserve">招投标限制提价，高端与海外结构提供溢价</t>
  </si>
  <si>
    <t xml:space="preserve">积极价值</t>
  </si>
  <si>
    <t xml:space="preserve">盈利质量</t>
  </si>
  <si>
    <t xml:space="preserve">十年累计现金转化高，单年波动需正常化</t>
  </si>
  <si>
    <t xml:space="preserve">债务安全</t>
  </si>
  <si>
    <t xml:space="preserve">净金融资产充足，营收降30%仍有缓冲</t>
  </si>
  <si>
    <t xml:space="preserve">管理诚信</t>
  </si>
  <si>
    <t xml:space="preserve">通过但监控</t>
  </si>
  <si>
    <t xml:space="preserve">无保留审计；关联交易、财务公司和担保需跟踪</t>
  </si>
  <si>
    <t xml:space="preserve">价格合理</t>
  </si>
  <si>
    <t xml:space="preserve">观察</t>
  </si>
  <si>
    <t xml:space="preserve">只有小幅折价，未达到要求安全边际</t>
  </si>
  <si>
    <t xml:space="preserve">买价阶梯：基准情景</t>
  </si>
  <si>
    <t xml:space="preserve">档位</t>
  </si>
  <si>
    <t xml:space="preserve">价格</t>
  </si>
  <si>
    <t xml:space="preserve">较内在价值折价</t>
  </si>
  <si>
    <t xml:space="preserve">动作</t>
  </si>
  <si>
    <t xml:space="preserve">使用条件</t>
  </si>
  <si>
    <t xml:space="preserve">当前</t>
  </si>
  <si>
    <t xml:space="preserve">相对估值不贵，但安全边际不足</t>
  </si>
  <si>
    <t xml:space="preserve">首档</t>
  </si>
  <si>
    <t xml:space="preserve">极小仓</t>
  </si>
  <si>
    <t xml:space="preserve">基本面未恶化，且愿意承受周期波动</t>
  </si>
  <si>
    <t xml:space="preserve">加仓档</t>
  </si>
  <si>
    <t xml:space="preserve">分批建仓</t>
  </si>
  <si>
    <t xml:space="preserve">销量、海外毛利率与现金回款仍成立</t>
  </si>
  <si>
    <t xml:space="preserve">巴菲特档</t>
  </si>
  <si>
    <t xml:space="preserve">主要建仓</t>
  </si>
  <si>
    <t xml:space="preserve">先排除护城河破坏和治理问题</t>
  </si>
  <si>
    <t xml:space="preserve">保守极限</t>
  </si>
  <si>
    <t xml:space="preserve">深度价值</t>
  </si>
  <si>
    <t xml:space="preserve">仅在悲观定价过度、公司仍健康时使用</t>
  </si>
  <si>
    <t xml:space="preserve">核心数据</t>
  </si>
  <si>
    <t xml:space="preserve">数值</t>
  </si>
  <si>
    <t xml:space="preserve">解读</t>
  </si>
  <si>
    <t xml:space="preserve">2026Q1-3营收同比</t>
  </si>
  <si>
    <t xml:space="preserve">销量下滑拖累收入</t>
  </si>
  <si>
    <t xml:space="preserve">2026Q1-3扣非净利同比</t>
  </si>
  <si>
    <t xml:space="preserve">产品/地区结构和成本改善</t>
  </si>
  <si>
    <t xml:space="preserve">2026年1—9月销量同比</t>
  </si>
  <si>
    <t xml:space="preserve">大中客承压，轻客增长</t>
  </si>
  <si>
    <t xml:space="preserve">2025年海外收入占主营比</t>
  </si>
  <si>
    <t xml:space="preserve">海外已是第一增长引擎</t>
  </si>
  <si>
    <t xml:space="preserve">最后一句</t>
  </si>
  <si>
    <t xml:space="preserve">2025年大中客市占率</t>
  </si>
  <si>
    <t xml:space="preserve">龙头地位稳固</t>
  </si>
  <si>
    <t xml:space="preserve">好公司并不等于任何价格都是好投资。宇通当前更像“合理价格附近的好公司”，而不是“具有明显安全边际的机会”。</t>
  </si>
  <si>
    <t xml:space="preserve">宇通客车：投资结论</t>
  </si>
  <si>
    <t xml:space="preserve">截至行情抓取时点的个股调研结论。情景：</t>
  </si>
  <si>
    <t xml:space="preserve">结论</t>
  </si>
  <si>
    <t xml:space="preserve">内在价值</t>
  </si>
  <si>
    <t xml:space="preserve">继续观察。宇通是优质的客车龙头，但当前价与基准内在价值的差距不足以覆盖周期、汇率、质保和担保风险。</t>
  </si>
  <si>
    <t xml:space="preserve">安全边际</t>
  </si>
  <si>
    <t xml:space="preserve">能力圈评估</t>
  </si>
  <si>
    <t xml:space="preserve">能力圈内。公司通过销售大中轻型客车获取收入，利润受销量、单车价值、国内/海外结构、新能源渗透与成本控制影响。业务可解释，但订单和运营资本使单季度数据易波动。</t>
  </si>
  <si>
    <t xml:space="preserve">关键假设</t>
  </si>
  <si>
    <t xml:space="preserve">1</t>
  </si>
  <si>
    <t xml:space="preserve">海外客车需求在周期波动中仍能维持中低个位数增长，新能源与高价值产品占比不快速回落。</t>
  </si>
  <si>
    <t xml:space="preserve">2</t>
  </si>
  <si>
    <t xml:space="preserve">公司能将销售毛利率维持在23%—25%附近，研发投入不被高分红挤压。</t>
  </si>
  <si>
    <t xml:space="preserve">3</t>
  </si>
  <si>
    <t xml:space="preserve">正常化所有者收益约47亿元，而非直接使用2026Q1-3异常高的经营现金流。</t>
  </si>
  <si>
    <t xml:space="preserve">4</t>
  </si>
  <si>
    <t xml:space="preserve">可持续每股现金分红约1.90元，低于2025财年的2.50元高点。</t>
  </si>
  <si>
    <t xml:space="preserve">5</t>
  </si>
  <si>
    <t xml:space="preserve">净金融资产中只有80亿元可在基准情景计入估值，剩余部分作为运营和风险缓冲。</t>
  </si>
  <si>
    <t xml:space="preserve">业务质量</t>
  </si>
  <si>
    <t xml:space="preserve">财务快照</t>
  </si>
  <si>
    <t xml:space="preserve">评价</t>
  </si>
  <si>
    <t xml:space="preserve">值</t>
  </si>
  <si>
    <t xml:space="preserve">中等偏强</t>
  </si>
  <si>
    <t xml:space="preserve">规模、品牌、研发、海外服务网络；稳定偏扩宽</t>
  </si>
  <si>
    <t xml:space="preserve">10年平均ROE</t>
  </si>
  <si>
    <t xml:space="preserve">优</t>
  </si>
  <si>
    <t xml:space="preserve">管理层</t>
  </si>
  <si>
    <t xml:space="preserve">中上</t>
  </si>
  <si>
    <t xml:space="preserve">未见诚信否决项，资本配置偏股东回报</t>
  </si>
  <si>
    <t xml:space="preserve">10年平均近似ROIC</t>
  </si>
  <si>
    <t xml:space="preserve">优，但受净现金调整影响</t>
  </si>
  <si>
    <t xml:space="preserve">业务模式</t>
  </si>
  <si>
    <t xml:space="preserve">混合型</t>
  </si>
  <si>
    <t xml:space="preserve">优质制造业龙头，不是有无条件定价权的特许经营权</t>
  </si>
  <si>
    <t xml:space="preserve">累计现金转化率</t>
  </si>
  <si>
    <t xml:space="preserve">高，单年波动大</t>
  </si>
  <si>
    <t xml:space="preserve">有限</t>
  </si>
  <si>
    <t xml:space="preserve">招投标限制定价，海外与高端产品结构带来溢价</t>
  </si>
  <si>
    <t xml:space="preserve">正常化所有者收益</t>
  </si>
  <si>
    <t xml:space="preserve">亿元，基准假设</t>
  </si>
  <si>
    <t xml:space="preserve">制度性惯性</t>
  </si>
  <si>
    <t xml:space="preserve">轻度监控</t>
  </si>
  <si>
    <t xml:space="preserve">关联交易、财务公司、担保和非主业投资需跟踪</t>
  </si>
  <si>
    <t xml:space="preserve">净金融资产充足</t>
  </si>
  <si>
    <t xml:space="preserve">估值与安全边际</t>
  </si>
  <si>
    <t xml:space="preserve">情景</t>
  </si>
  <si>
    <t xml:space="preserve">当前安全边际</t>
  </si>
  <si>
    <t xml:space="preserve">要求安全边际</t>
  </si>
  <si>
    <t xml:space="preserve">对应买入价</t>
  </si>
  <si>
    <t xml:space="preserve">使用建议</t>
  </si>
  <si>
    <t xml:space="preserve">保守</t>
  </si>
  <si>
    <t xml:space="preserve">只用于验证最坏情形，不以低估值自我安慰</t>
  </si>
  <si>
    <t xml:space="preserve">基准</t>
  </si>
  <si>
    <t xml:space="preserve">当前结论依据；只有接近要求买入价才有充分安全边际</t>
  </si>
  <si>
    <t xml:space="preserve">积极</t>
  </si>
  <si>
    <t xml:space="preserve">必须由海外高增长和保持高毛利率的事实验证</t>
  </si>
  <si>
    <t xml:space="preserve">当前价格判断</t>
  </si>
  <si>
    <t xml:space="preserve">基准情景仅有小幅折价，不符合巴菲特式30%—40%安全边际要求</t>
  </si>
  <si>
    <t xml:space="preserve">关键风险</t>
  </si>
  <si>
    <t xml:space="preserve">监控指标</t>
  </si>
  <si>
    <t xml:space="preserve">排名</t>
  </si>
  <si>
    <t xml:space="preserve">风险</t>
  </si>
  <si>
    <t xml:space="preserve">为什么重要</t>
  </si>
  <si>
    <t xml:space="preserve">频率</t>
  </si>
  <si>
    <t xml:space="preserve">触发信号</t>
  </si>
  <si>
    <t xml:space="preserve">海外需求/汇率</t>
  </si>
  <si>
    <t xml:space="preserve">海外收入已超过国内，毛利率更高，反转会同时影响增长和利润率</t>
  </si>
  <si>
    <t xml:space="preserve">每月</t>
  </si>
  <si>
    <t xml:space="preserve">大中轻客销量</t>
  </si>
  <si>
    <t xml:space="preserve">大中客连续6个月同比双位数下降</t>
  </si>
  <si>
    <t xml:space="preserve">质保和客户融资担保</t>
  </si>
  <si>
    <t xml:space="preserve">2026Q3产品质量保证预计负债55.43亿元，担保业务存在代偿可能</t>
  </si>
  <si>
    <t xml:space="preserve">每季</t>
  </si>
  <si>
    <t xml:space="preserve">扣非净利润与毛利率</t>
  </si>
  <si>
    <t xml:space="preserve">扣非转负或毛利率低于22%</t>
  </si>
  <si>
    <t xml:space="preserve">现金流假繁荣</t>
  </si>
  <si>
    <t xml:space="preserve">2026Q1-3经营现金流80.04亿元主要来自收款和采购支付节奏，不能当作永久盈利</t>
  </si>
  <si>
    <t xml:space="preserve">应收、存货、合同负债</t>
  </si>
  <si>
    <t xml:space="preserve">应收/存货增速持续高于收入</t>
  </si>
  <si>
    <t xml:space="preserve">质保预计负债与担保代偿</t>
  </si>
  <si>
    <t xml:space="preserve">预计负债远快于收入或出现重大代偿</t>
  </si>
  <si>
    <t xml:space="preserve">每年</t>
  </si>
  <si>
    <t xml:space="preserve">分红与研发资本支出</t>
  </si>
  <si>
    <t xml:space="preserve">高分红挤压研发/必要投资，或分红靠借债支撑</t>
  </si>
  <si>
    <t xml:space="preserve">总体评估</t>
  </si>
  <si>
    <t xml:space="preserve">宇通客车是值得长期跟踪的优质制造业龙头：护城河比普通整车厂更强，财务负债低，分红意愿强。但它仍受订单、政策、海外需求和汇率影响，不应以消费品特许经营权的倍数定价。当前价格只有小幅估值优势，还没有达到足以让人“睡得着”的安全边际；把更好的买点留给市场。</t>
  </si>
  <si>
    <t xml:space="preserve">宇通客车：估值模型与买价阶梯</t>
  </si>
  <si>
    <t xml:space="preserve">情景选择器驱动模型；核心加权估值叠加DCF、DDM、合理PB和资产底线交叉验证。蓝字可修改。</t>
  </si>
  <si>
    <t xml:space="preserve">情景选择</t>
  </si>
  <si>
    <t xml:space="preserve">核心假设</t>
  </si>
  <si>
    <t xml:space="preserve">近12月股息</t>
  </si>
  <si>
    <t xml:space="preserve">财年2025股息</t>
  </si>
  <si>
    <t xml:space="preserve">假设</t>
  </si>
  <si>
    <t xml:space="preserve">活跃值</t>
  </si>
  <si>
    <t xml:space="preserve">单位</t>
  </si>
  <si>
    <t xml:space="preserve">判断依据</t>
  </si>
  <si>
    <t xml:space="preserve">亿元</t>
  </si>
  <si>
    <t xml:space="preserve">2023—2025年所有者收益均值约43.8亿元；TTM现金流异常高</t>
  </si>
  <si>
    <t xml:space="preserve">行情可在数据表中手工更新</t>
  </si>
  <si>
    <t xml:space="preserve">1—5年增长率</t>
  </si>
  <si>
    <t xml:space="preserve">%</t>
  </si>
  <si>
    <t xml:space="preserve">海外与结构升级对冲国内销量波动</t>
  </si>
  <si>
    <t xml:space="preserve">6—10年增长率</t>
  </si>
  <si>
    <t xml:space="preserve">成熟制造业增长向名义GDP收敛</t>
  </si>
  <si>
    <t xml:space="preserve">折现率</t>
  </si>
  <si>
    <t xml:space="preserve">无风险收益率+公司/行业不确定性溢价</t>
  </si>
  <si>
    <t xml:space="preserve">永续增长率</t>
  </si>
  <si>
    <t xml:space="preserve">低于长期名义增长，避免高估终值</t>
  </si>
  <si>
    <t xml:space="preserve">可计入估值的净现金</t>
  </si>
  <si>
    <t xml:space="preserve">保留运营现金，不将全部金融资产计入价值</t>
  </si>
  <si>
    <t xml:space="preserve">总股本</t>
  </si>
  <si>
    <t xml:space="preserve">亿股</t>
  </si>
  <si>
    <t xml:space="preserve">2026Q3</t>
  </si>
  <si>
    <t xml:space="preserve">所有者收益倍数</t>
  </si>
  <si>
    <t xml:space="preserve">倍</t>
  </si>
  <si>
    <t xml:space="preserve">制造业周期、中等偏强护城河</t>
  </si>
  <si>
    <t xml:space="preserve">正常化EPS</t>
  </si>
  <si>
    <t xml:space="preserve">2025 EPS 2.51元；2026TTM约2.46元</t>
  </si>
  <si>
    <t xml:space="preserve">合理市盈率</t>
  </si>
  <si>
    <t xml:space="preserve">参照成熟制造业与公司质量溢价</t>
  </si>
  <si>
    <t xml:space="preserve">可持续每股股息</t>
  </si>
  <si>
    <t xml:space="preserve">近12月已实施2.00元；2025财年合计2.50元</t>
  </si>
  <si>
    <t xml:space="preserve">要求股息率</t>
  </si>
  <si>
    <t xml:space="preserve">对分红波动和周期的补偿</t>
  </si>
  <si>
    <t xml:space="preserve">巴菲特框架：不确定因素越多，折价要求越高</t>
  </si>
  <si>
    <t xml:space="preserve">三方法估值与三情景比较</t>
  </si>
  <si>
    <t xml:space="preserve">方法</t>
  </si>
  <si>
    <t xml:space="preserve">权重</t>
  </si>
  <si>
    <t xml:space="preserve">活跃情景</t>
  </si>
  <si>
    <t xml:space="preserve">所有者收益倍数法</t>
  </si>
  <si>
    <t xml:space="preserve">正常化盈利倍数法</t>
  </si>
  <si>
    <t xml:space="preserve">可持续股息率法</t>
  </si>
  <si>
    <t xml:space="preserve">加权内在价值（元/股）</t>
  </si>
  <si>
    <t xml:space="preserve">巴菲特式买入价（元）</t>
  </si>
  <si>
    <t xml:space="preserve">活跃情景DCF校验：10年所有者收益</t>
  </si>
  <si>
    <t xml:space="preserve">年份</t>
  </si>
  <si>
    <t xml:space="preserve">所有者收益（亿元）</t>
  </si>
  <si>
    <t xml:space="preserve">折现因子</t>
  </si>
  <si>
    <t xml:space="preserve">现值（亿元）</t>
  </si>
  <si>
    <t xml:space="preserve">终值（亿元）</t>
  </si>
  <si>
    <t xml:space="preserve">终值现值（亿元）</t>
  </si>
  <si>
    <t xml:space="preserve">股权价值（亿元）</t>
  </si>
  <si>
    <t xml:space="preserve">DCF每股价值（元）</t>
  </si>
  <si>
    <t xml:space="preserve">与加权估值差异</t>
  </si>
  <si>
    <t xml:space="preserve">买价解读</t>
  </si>
  <si>
    <t xml:space="preserve">当前价低于基准内在价值并不自动等于有足够安全边际。对这类受需求、政策、汇率和出口结构影响的制造业，基准情景要求35%折价，对应的买入价才是真正的巴菲特式安全边际。</t>
  </si>
  <si>
    <t xml:space="preserve">模型局限</t>
  </si>
  <si>
    <t xml:space="preserve">DCF对折现率与永续增长率高度敏感，因此主结论采用所有者收益倍数、正常化盈利和可持续股息率的加权值，DCF仅用作校验。</t>
  </si>
  <si>
    <t xml:space="preserve">使用方法</t>
  </si>
  <si>
    <t xml:space="preserve">修改D5的情景编号，或者修改E:G列假设，一图流和投资结论会同步更新。</t>
  </si>
  <si>
    <t xml:space="preserve">补充估值交叉校验</t>
  </si>
  <si>
    <t xml:space="preserve">DCF敏感性：永续增长 × 折现率</t>
  </si>
  <si>
    <t xml:space="preserve">活跃结果</t>
  </si>
  <si>
    <t xml:space="preserve">相对当前价</t>
  </si>
  <si>
    <t xml:space="preserve">优势</t>
  </si>
  <si>
    <t xml:space="preserve">局限</t>
  </si>
  <si>
    <t xml:space="preserve">模型角色</t>
  </si>
  <si>
    <t xml:space="preserve">永续增长\折现率</t>
  </si>
  <si>
    <t xml:space="preserve">三方法加权</t>
  </si>
  <si>
    <t xml:space="preserve">兼顾现金创造、盈利与分红</t>
  </si>
  <si>
    <t xml:space="preserve">权重带有主观性</t>
  </si>
  <si>
    <t xml:space="preserve">主锚</t>
  </si>
  <si>
    <t xml:space="preserve">所有者收益DCF</t>
  </si>
  <si>
    <t xml:space="preserve">显式刻画十年现金创造</t>
  </si>
  <si>
    <t xml:space="preserve">折现率和终值高度敏感</t>
  </si>
  <si>
    <t xml:space="preserve">交叉验证</t>
  </si>
  <si>
    <t xml:space="preserve">股息折现DDM</t>
  </si>
  <si>
    <t xml:space="preserve">贴合高分红特征</t>
  </si>
  <si>
    <t xml:space="preserve">分红不等于永久承诺</t>
  </si>
  <si>
    <t xml:space="preserve">收益型校验</t>
  </si>
  <si>
    <t xml:space="preserve">合理PB-ROE</t>
  </si>
  <si>
    <t xml:space="preserve">连接资本效率与账面价值</t>
  </si>
  <si>
    <t xml:space="preserve">高分红会压低净资产基数</t>
  </si>
  <si>
    <t xml:space="preserve">资本回报校验</t>
  </si>
  <si>
    <t xml:space="preserve">净金融资产底线</t>
  </si>
  <si>
    <t xml:space="preserve">观察财务安全垫</t>
  </si>
  <si>
    <t xml:space="preserve">不能代表持续经营价值</t>
  </si>
  <si>
    <t xml:space="preserve">防守底线</t>
  </si>
  <si>
    <t xml:space="preserve">敏感性表只改变折现率与永续增长率，其余沿用当前情景；用于识别估值区间，不替代安全边际。</t>
  </si>
  <si>
    <t xml:space="preserve">当前TTM PE</t>
  </si>
  <si>
    <t xml:space="preserve">直观看市场定价</t>
  </si>
  <si>
    <t xml:space="preserve">不直接给出内在价值</t>
  </si>
  <si>
    <t xml:space="preserve">市场温度</t>
  </si>
  <si>
    <t xml:space="preserve">宇通客车：财务十年与所有者收益</t>
  </si>
  <si>
    <t xml:space="preserve">历史数据用于观察周期、现金转化和资本效率；ROIC为现金调整后近似值。情景选择：</t>
  </si>
  <si>
    <t xml:space="preserve">营收CAGR</t>
  </si>
  <si>
    <t xml:space="preserve">近3年平均所有者收益</t>
  </si>
  <si>
    <t xml:space="preserve">2026TTM所有者收益</t>
  </si>
  <si>
    <t xml:space="preserve">期间</t>
  </si>
  <si>
    <t xml:space="preserve">营业收入</t>
  </si>
  <si>
    <t xml:space="preserve">毛利率</t>
  </si>
  <si>
    <t xml:space="preserve">归母净利润</t>
  </si>
  <si>
    <t xml:space="preserve">经营现金流</t>
  </si>
  <si>
    <t xml:space="preserve">资本开支</t>
  </si>
  <si>
    <t xml:space="preserve">所有者收益</t>
  </si>
  <si>
    <t xml:space="preserve">现金转化率</t>
  </si>
  <si>
    <t xml:space="preserve">ROE</t>
  </si>
  <si>
    <t xml:space="preserve">近似ROIC</t>
  </si>
  <si>
    <t xml:space="preserve">DPS</t>
  </si>
  <si>
    <t xml:space="preserve">分红率</t>
  </si>
  <si>
    <t xml:space="preserve">财务含义</t>
  </si>
  <si>
    <t xml:space="preserve">盈利</t>
  </si>
  <si>
    <t xml:space="preserve">2023年起海外与产品结构改善，利润恢复快于营收；2026前三季度扣非利润仍增长18.45%</t>
  </si>
  <si>
    <t xml:space="preserve">现金流</t>
  </si>
  <si>
    <t xml:space="preserve">2017年与2021年显示运营资本能让现金流剧烈波动；2026Q1-3的80.04亿元不宜直接年化</t>
  </si>
  <si>
    <t xml:space="preserve">资本效率</t>
  </si>
  <si>
    <t xml:space="preserve">10年平均ROE与近似ROIC较高，但高分红使净资产基数偏低，应结合净现金和现金转化观察</t>
  </si>
  <si>
    <t xml:space="preserve">分红</t>
  </si>
  <si>
    <t xml:space="preserve">2025财年每股合计派现2.50元，分红率约99.7%；2026年中期未分红，不应将上年高派息机械外推</t>
  </si>
  <si>
    <t xml:space="preserve">财务质量优于普通周期制造业，但所有者收益必须正常化，不能以某个现金流高点估值</t>
  </si>
  <si>
    <t xml:space="preserve">宇通客车：巴菲特投资框架</t>
  </si>
  <si>
    <t xml:space="preserve">先过8项快速筛选，再看护城河、管理层、所有者收益、估值与风险。情景：</t>
  </si>
  <si>
    <t xml:space="preserve">8项快速筛选</t>
  </si>
  <si>
    <t xml:space="preserve">事实与判断</t>
  </si>
  <si>
    <t xml:space="preserve">业务是客车研发、制造和销售，利润来自销量、单车价格、产品/地区结构与成本控制。</t>
  </si>
  <si>
    <t xml:space="preserve">公交、公路、旅游、团体通勤需求长期存在；能源形式改变不会消灭车辆需求。</t>
  </si>
  <si>
    <t xml:space="preserve">规模、品牌、研发、海外服务网络和32.47%的2025年大中客市占率构成中等护城河，但同行可以追赶。</t>
  </si>
  <si>
    <t xml:space="preserve">B2B招投标与大客户采购限制提价；海外、新能源和高端车型结构改善提供一定溢价。</t>
  </si>
  <si>
    <t xml:space="preserve">10年累计经营现金流/净利润高于100%，但单年受应收和采购节奏影响很大。</t>
  </si>
  <si>
    <t xml:space="preserve">2026Q3货币资金+交易性金融资产显著高于有息负债，收入下降30%仍有生存缓冲。</t>
  </si>
  <si>
    <t xml:space="preserve">管理层诚信</t>
  </si>
  <si>
    <t xml:space="preserve">2025年审计意见为标准无保留，未发现否决性信号；关联采购、集团财务公司和客户融资担保需持续核查。</t>
  </si>
  <si>
    <t xml:space="preserve">价格合理性</t>
  </si>
  <si>
    <t xml:space="preserve">当前价低于基准价值不多，未达到35%的基准安全边际要求。</t>
  </si>
  <si>
    <t xml:space="preserve">护城河与业务质量</t>
  </si>
  <si>
    <t xml:space="preserve">管理层与资本配置</t>
  </si>
  <si>
    <t xml:space="preserve">类型</t>
  </si>
  <si>
    <t xml:space="preserve">强度</t>
  </si>
  <si>
    <t xml:space="preserve">趋势</t>
  </si>
  <si>
    <t xml:space="preserve">主要证据</t>
  </si>
  <si>
    <t xml:space="preserve">规模/成本</t>
  </si>
  <si>
    <t xml:space="preserve">中强</t>
  </si>
  <si>
    <t xml:space="preserve">稳定</t>
  </si>
  <si>
    <t xml:space="preserve">大中客龙头、产品链完整、平台化研发和采购规模</t>
  </si>
  <si>
    <t xml:space="preserve">诚信</t>
  </si>
  <si>
    <t xml:space="preserve">标准无保留审计；未见明确财务造假或自利交易证据</t>
  </si>
  <si>
    <t xml:space="preserve">品牌/服务</t>
  </si>
  <si>
    <t xml:space="preserve">扩宽</t>
  </si>
  <si>
    <t xml:space="preserve">海外配件库、经销与直销网络，累计出口各类客车超13.8万辆</t>
  </si>
  <si>
    <t xml:space="preserve">资本配置</t>
  </si>
  <si>
    <t xml:space="preserve">高分红尊重股东，2025财年派息约占净利润99.7%；但需避免过度分红影响竞争力</t>
  </si>
  <si>
    <t xml:space="preserve">切换成本</t>
  </si>
  <si>
    <t xml:space="preserve">中等</t>
  </si>
  <si>
    <t xml:space="preserve">车队运营、配件、售后和司机/维修体系有粘性，但客户仍可转向同行</t>
  </si>
  <si>
    <t xml:space="preserve">股东视角</t>
  </si>
  <si>
    <t xml:space="preserve">控股股东与其子公司合计持股约41.65%，长期利益一致；关联交易需保持透明</t>
  </si>
  <si>
    <t xml:space="preserve">网络效应</t>
  </si>
  <si>
    <t xml:space="preserve">弱</t>
  </si>
  <si>
    <t xml:space="preserve">不适用</t>
  </si>
  <si>
    <t xml:space="preserve">销量增加不会直接让单个客户的车辆价值上升</t>
  </si>
  <si>
    <t xml:space="preserve">未见大规模溢价并购；私募基金投资、集团财务公司与对外担保应持续跟踪</t>
  </si>
  <si>
    <t xml:space="preserve">有效规模</t>
  </si>
  <si>
    <t xml:space="preserve">客车市场容量有限，全球售后网络的固定投入限制新进者</t>
  </si>
  <si>
    <t xml:space="preserve">一美元测试</t>
  </si>
  <si>
    <t xml:space="preserve">部分通过</t>
  </si>
  <si>
    <t xml:space="preserve">2023年以来利润、海外收入和市值上升，但仍需观察高分红后再投资回报</t>
  </si>
  <si>
    <t xml:space="preserve">综合</t>
  </si>
  <si>
    <t xml:space="preserve">稳定偏扩宽</t>
  </si>
  <si>
    <t xml:space="preserve">更接近“高质量制造业龙头”，不是拥有无条件提价权的消费品特许经营权</t>
  </si>
  <si>
    <t xml:space="preserve">未见否决项</t>
  </si>
  <si>
    <t xml:space="preserve">诚信暂无一票否决信号，但治理结构比纯公众公司更复杂</t>
  </si>
  <si>
    <t xml:space="preserve">反向思考：如何亏钱</t>
  </si>
  <si>
    <t xml:space="preserve">卖出条件逐项检查</t>
  </si>
  <si>
    <t xml:space="preserve">路径</t>
  </si>
  <si>
    <t xml:space="preserve">可能性</t>
  </si>
  <si>
    <t xml:space="preserve">影响</t>
  </si>
  <si>
    <t xml:space="preserve">验证指标</t>
  </si>
  <si>
    <t xml:space="preserve">条件</t>
  </si>
  <si>
    <t xml:space="preserve">当前判断</t>
  </si>
  <si>
    <t xml:space="preserve">依据</t>
  </si>
  <si>
    <t xml:space="preserve">海外高毛利增长反转</t>
  </si>
  <si>
    <t xml:space="preserve">中</t>
  </si>
  <si>
    <t xml:space="preserve">利润与估值双杀</t>
  </si>
  <si>
    <t xml:space="preserve">出口销量、海外收入增速、海外毛利率、汇率</t>
  </si>
  <si>
    <t xml:space="preserve">价格严重高估？</t>
  </si>
  <si>
    <t xml:space="preserve">否</t>
  </si>
  <si>
    <t xml:space="preserve">当前价与基准内在价值接近，谈不上严重高估</t>
  </si>
  <si>
    <t xml:space="preserve">国内更新需求弱于预期</t>
  </si>
  <si>
    <t xml:space="preserve">产能利用与现金回款承压</t>
  </si>
  <si>
    <t xml:space="preserve">大中客月销、合同负债、应收和库存</t>
  </si>
  <si>
    <t xml:space="preserve">护城河破坏？</t>
  </si>
  <si>
    <t xml:space="preserve">市占率、出口网络和盈利结构暂未出现结构性破坏</t>
  </si>
  <si>
    <t xml:space="preserve">产品质保/担保风险超预期</t>
  </si>
  <si>
    <t xml:space="preserve">中低但影响大</t>
  </si>
  <si>
    <t xml:space="preserve">现金支出与信用减值</t>
  </si>
  <si>
    <t xml:space="preserve">产品质量保证预计负债、对外担保实际余额与代偿</t>
  </si>
  <si>
    <t xml:space="preserve">管理层诚信问题？</t>
  </si>
  <si>
    <t xml:space="preserve">未发现一票否决证据，但关联交易与担保仍需核查</t>
  </si>
  <si>
    <t xml:space="preserve">显著更好机会？</t>
  </si>
  <si>
    <t xml:space="preserve">未比较</t>
  </si>
  <si>
    <t xml:space="preserve">需与个人组合中的现金、红利和其他候选股比较</t>
  </si>
  <si>
    <t xml:space="preserve">宇通客车：数据与来源</t>
  </si>
  <si>
    <t xml:space="preserve">金额默认为元；模型展示时换算为亿元。蓝字为可更新输入，黑字为公式。</t>
  </si>
  <si>
    <t xml:space="preserve">市场与资产负债快照</t>
  </si>
  <si>
    <t xml:space="preserve">口径</t>
  </si>
  <si>
    <t xml:space="preserve">东方财富延时行情，2026/10/16 16:11:44</t>
  </si>
  <si>
    <t xml:space="preserve">昨收（元）</t>
  </si>
  <si>
    <t xml:space="preserve">已完成交易日收盘</t>
  </si>
  <si>
    <t xml:space="preserve">总股本（亿股）</t>
  </si>
  <si>
    <t xml:space="preserve">市值（亿元）</t>
  </si>
  <si>
    <t xml:space="preserve">当前价×总股本</t>
  </si>
  <si>
    <t xml:space="preserve">货币资金（亿元）</t>
  </si>
  <si>
    <t xml:space="preserve">2026-09-30</t>
  </si>
  <si>
    <t xml:space="preserve">交易性金融资产（亿元）</t>
  </si>
  <si>
    <t xml:space="preserve">债权投资（亿元）</t>
  </si>
  <si>
    <t xml:space="preserve">有息负债估算（亿元）</t>
  </si>
  <si>
    <t xml:space="preserve">短借+一年内到期+租赁负债</t>
  </si>
  <si>
    <t xml:space="preserve">净金融资产（亿元）</t>
  </si>
  <si>
    <t xml:space="preserve">货币+交易金融资产+债权投资-有息负债</t>
  </si>
  <si>
    <t xml:space="preserve">净金融资产/股（元）</t>
  </si>
  <si>
    <t xml:space="preserve">仅作财务安全垫参考</t>
  </si>
  <si>
    <t xml:space="preserve">应收账款（亿元）</t>
  </si>
  <si>
    <t xml:space="preserve">存货（亿元）</t>
  </si>
  <si>
    <t xml:space="preserve">产品质量保证预计负债（亿元）</t>
  </si>
  <si>
    <t xml:space="preserve">2015—2025年度原始数据与TTM计算</t>
  </si>
  <si>
    <t xml:space="preserve">营业成本</t>
  </si>
  <si>
    <t xml:space="preserve">营业利润</t>
  </si>
  <si>
    <t xml:space="preserve">利润总额</t>
  </si>
  <si>
    <t xml:space="preserve">所得税</t>
  </si>
  <si>
    <t xml:space="preserve">经营现金流净额</t>
  </si>
  <si>
    <t xml:space="preserve">总资产</t>
  </si>
  <si>
    <t xml:space="preserve">净资产</t>
  </si>
  <si>
    <t xml:space="preserve">货币资金</t>
  </si>
  <si>
    <t xml:space="preserve">每股现金分红</t>
  </si>
  <si>
    <t xml:space="preserve">数据来源</t>
  </si>
  <si>
    <t xml:space="preserve">2015</t>
  </si>
  <si>
    <t xml:space="preserve">东方财富财务数据API，并以宇通客车定期报告复核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</si>
  <si>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</si>
  <si>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</si>
  <si>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</si>
  <si>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</si>
  <si>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</si>
  <si>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</si>
  <si>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</si>
  <si>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</si>
  <si>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</si>
  <si>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</si>
  <si>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2026TTM</t>
  </si>
  <si>
    <t xml:space="preserve">TTM=公司2025年+公司2026Q1-3-公司2025Q1-3；现金股息为近12个月已实施</t>
  </si>
  <si>
    <t xml:space="preserve">Q3累计数据：TTM计算桥</t>
  </si>
  <si>
    <t xml:space="preserve">来源</t>
  </si>
  <si>
    <t xml:space="preserve">2025Q1-3</t>
  </si>
  <si>
    <t xml:space="preserve">2025年第三季度报告</t>
  </si>
  <si>
    <t xml:space="preserve">2026Q1-3</t>
  </si>
  <si>
    <t xml:space="preserve">2026年第三季度报告</t>
  </si>
  <si>
    <t xml:space="preserve">来源台账</t>
  </si>
  <si>
    <t xml:space="preserve">日期</t>
  </si>
  <si>
    <t xml:space="preserve">文档/数据</t>
  </si>
  <si>
    <t xml:space="preserve">主要用途</t>
  </si>
  <si>
    <t xml:space="preserve">URL</t>
  </si>
  <si>
    <t xml:space="preserve">本地备份</t>
  </si>
  <si>
    <t xml:space="preserve">2026-10-15</t>
  </si>
  <si>
    <t xml:space="preserve">公司公告</t>
  </si>
  <si>
    <t xml:space="preserve">最新业绩、资产负债、现金流</t>
  </si>
  <si>
    <t xml:space="preserve">https://file.finance.sina.com.cn/211.154.219.97:9494/MRGG/CNSESH_STOCK/2026/2026-10/2026-10-15/12641310.PDF</t>
  </si>
  <si>
    <t xml:space="preserve">资料/宇通客车_2026年第三季度报告.pdf</t>
  </si>
  <si>
    <t xml:space="preserve">2026-10-09</t>
  </si>
  <si>
    <t xml:space="preserve">2026年9月份产销数据快报</t>
  </si>
  <si>
    <t xml:space="preserve">1—9月销量与车型结构</t>
  </si>
  <si>
    <t xml:space="preserve">https://pdf.dfcfw.com/pdf/H2_AN202610081830207843_1.pdf</t>
  </si>
  <si>
    <t xml:space="preserve">资料/宇通客车_2026年9月份产销数据快报.pdf</t>
  </si>
  <si>
    <t xml:space="preserve">2026-08-11</t>
  </si>
  <si>
    <t xml:space="preserve">2026年半年度报告</t>
  </si>
  <si>
    <t xml:space="preserve">海外市场、研发、风险披露</t>
  </si>
  <si>
    <t xml:space="preserve">https://static.cninfo.com.cn/finalpage/2026-08-11/1225466147.PDF</t>
  </si>
  <si>
    <t xml:space="preserve">资料/宇通客车_2026年半年度报告.pdf</t>
  </si>
  <si>
    <t xml:space="preserve">2026-03-31</t>
  </si>
  <si>
    <t xml:space="preserve">2025年年度报告</t>
  </si>
  <si>
    <t xml:space="preserve">地区收入、市占率、分红、治理</t>
  </si>
  <si>
    <t xml:space="preserve">https://static.cninfo.com.cn/finalpage/2026-03-31/1225050742.PDF</t>
  </si>
  <si>
    <t xml:space="preserve">资料/宇通客车_2025年年度报告.pdf</t>
  </si>
  <si>
    <t xml:space="preserve">2026-10-16</t>
  </si>
  <si>
    <t xml:space="preserve">行情</t>
  </si>
  <si>
    <t xml:space="preserve">东方财富延时行情</t>
  </si>
  <si>
    <t xml:space="preserve">当前价、昨收、市值</t>
  </si>
  <si>
    <t xml:space="preserve">https://push2.eastmoney.com/api/qt/stock/get?secid=1.600066</t>
  </si>
  <si>
    <t xml:space="preserve">数据提取</t>
  </si>
  <si>
    <t xml:space="preserve">东方财富历年财务数据API</t>
  </si>
  <si>
    <t xml:space="preserve">2015—2025历年报表数据</t>
  </si>
  <si>
    <t xml:space="preserve">https://datacenter-web.eastmoney.com/</t>
  </si>
  <si>
    <t xml:space="preserve">2026-10-08</t>
  </si>
  <si>
    <t xml:space="preserve">投资者关系</t>
  </si>
  <si>
    <t xml:space="preserve">2026年9月投资者关系活动记录</t>
  </si>
  <si>
    <t xml:space="preserve">海外需求与智能化进展</t>
  </si>
  <si>
    <t xml:space="preserve">https://money.finance.sina.com.cn/corp/view/vCB_AllBulletinDetail.php?id=12632297&amp;stockid=600066</t>
  </si>
  <si>
    <t xml:space="preserve">2026年对外担保预计</t>
  </si>
  <si>
    <t xml:space="preserve">客户融资与子公司担保风险</t>
  </si>
  <si>
    <t xml:space="preserve">https://money.finance.sina.com.cn/corp/view/vCB_AllBulletinDetail.php?id=12036097&amp;stockid=600066</t>
  </si>
  <si>
    <t xml:space="preserve">审计说明</t>
  </si>
  <si>
    <t xml:space="preserve">2025年涉及财务公司关联交易专项说明</t>
  </si>
  <si>
    <t xml:space="preserve">集团财务公司关联风险</t>
  </si>
  <si>
    <t xml:space="preserve">https://money.finance.sina.com.cn/corp/view/vCB_AllBulletinDetail.php?id=12036099&amp;stockid=600066</t>
  </si>
  <si>
    <t xml:space="preserve">2025-08-26</t>
  </si>
  <si>
    <t xml:space="preserve">分红数据</t>
  </si>
  <si>
    <t xml:space="preserve">历年现金分红汇总</t>
  </si>
  <si>
    <t xml:space="preserve">每股股息与派息历史</t>
  </si>
  <si>
    <t xml:space="preserve">https://www.stcn.com/article/detail/3258772.html</t>
  </si>
  <si>
    <t xml:space="preserve">口径说明</t>
  </si>
  <si>
    <t xml:space="preserve">所有者收益以经营现金流净额-资本开支作为保守近似；短期现金流受应收、应付和合同负债节奏影响，估值采用正常化所有者收益而非直接年化2026Q1-3现金流。</t>
  </si>
  <si>
    <t xml:space="preserve">估值限制</t>
  </si>
  <si>
    <t xml:space="preserve">客车属于资本密集、订单驱动、需求受政策与海外周期影响的制造业，单一市盈率或单一股息率不足以独立得出安全边际。</t>
  </si>
  <si>
    <t xml:space="preserve">修改本表B7的当前价，或修改「估值模型」中的情景选择与蓝字假设，主页、买价阶梯和安全边际会自动更新。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</si>
</sst>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%"/>
    <numFmt numFmtId="167" formatCode="@"/>
    <numFmt numFmtId="168" formatCode="0.0"/>
    <numFmt numFmtId="169" formatCode="0%"/>
    <numFmt numFmtId="170" formatCode="#,##0.0"/>
    <numFmt numFmtId="171" formatCode="#,##0.0;[RED]\(#,##0.0\);\-"/>
    <numFmt numFmtId="172" formatCode="0"/>
    <numFmt numFmtId="173" formatCode="0.000"/>
    <numFmt numFmtId="174" formatCode="#,##0;[RED]\(#,##0\);\-"/>
  </numFmts>
  <fonts count="34">
    <font>
      <sz val="10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sz val="10"/>
      <color rgb="FF203040"/>
      <name val="Microsoft YaHei"/>
      <family val="0"/>
      <charset val="1"/>
    </font>
    <font>
      <b val="true"/>
      <sz val="16"/>
      <color rgb="FFFFFFFF"/>
      <name val="Microsoft YaHei"/>
      <family val="0"/>
      <charset val="1"/>
    </font>
    <font>
      <i val="true"/>
      <sz val="9"/>
      <color rgb="FF6B7280"/>
      <name val="Microsoft YaHei"/>
      <family val="0"/>
      <charset val="1"/>
    </font>
    <font>
      <b val="true"/>
      <sz val="9"/>
      <color rgb="FF548235"/>
      <name val="Microsoft YaHei"/>
      <family val="0"/>
      <charset val="1"/>
    </font>
    <font>
      <b val="true"/>
      <sz val="9"/>
      <color rgb="FFFFFFFF"/>
      <name val="Microsoft YaHei"/>
      <family val="0"/>
      <charset val="1"/>
    </font>
    <font>
      <b val="true"/>
      <sz val="16"/>
      <color rgb="FF17365D"/>
      <name val="Microsoft YaHei"/>
      <family val="0"/>
      <charset val="1"/>
    </font>
    <font>
      <b val="true"/>
      <sz val="16"/>
      <color rgb="FF2E6B3A"/>
      <name val="Microsoft YaHei"/>
      <family val="0"/>
      <charset val="1"/>
    </font>
    <font>
      <b val="true"/>
      <sz val="16"/>
      <color rgb="FFBF9000"/>
      <name val="Microsoft YaHei"/>
      <family val="0"/>
      <charset val="1"/>
    </font>
    <font>
      <b val="true"/>
      <sz val="16"/>
      <color rgb="FFC00000"/>
      <name val="Microsoft YaHei"/>
      <family val="0"/>
      <charset val="1"/>
    </font>
    <font>
      <b val="true"/>
      <sz val="11"/>
      <color rgb="FF203040"/>
      <name val="Microsoft YaHei"/>
      <family val="0"/>
      <charset val="1"/>
    </font>
    <font>
      <b val="true"/>
      <sz val="10"/>
      <color rgb="FFFFFFFF"/>
      <name val="Microsoft YaHei"/>
      <family val="0"/>
      <charset val="1"/>
    </font>
    <font>
      <sz val="9"/>
      <color rgb="FF203040"/>
      <name val="Microsoft YaHei"/>
      <family val="0"/>
      <charset val="1"/>
    </font>
    <font>
      <b val="true"/>
      <sz val="9"/>
      <color rgb="FF000000"/>
      <name val="Microsoft YaHei"/>
      <family val="2"/>
    </font>
    <font>
      <sz val="6.75"/>
      <color rgb="FF000000"/>
      <name val="Microsoft YaHei"/>
      <family val="2"/>
    </font>
    <font>
      <b val="true"/>
      <sz val="10"/>
      <color rgb="FF203040"/>
      <name val="Microsoft YaHei"/>
      <family val="0"/>
      <charset val="1"/>
    </font>
    <font>
      <b val="true"/>
      <sz val="12"/>
      <color rgb="FFBF9000"/>
      <name val="Microsoft YaHei"/>
      <family val="0"/>
      <charset val="1"/>
    </font>
    <font>
      <b val="true"/>
      <sz val="10"/>
      <color rgb="FF17365D"/>
      <name val="Microsoft YaHei"/>
      <family val="0"/>
      <charset val="1"/>
    </font>
    <font>
      <b val="true"/>
      <sz val="11"/>
      <color rgb="FF2E75B6"/>
      <name val="Microsoft YaHei"/>
      <family val="0"/>
      <charset val="1"/>
    </font>
    <font>
      <b val="true"/>
      <sz val="11"/>
      <color rgb="FF548235"/>
      <name val="Microsoft YaHei"/>
      <family val="0"/>
      <charset val="1"/>
    </font>
    <font>
      <b val="true"/>
      <sz val="9"/>
      <color rgb="FF17365D"/>
      <name val="Microsoft YaHei"/>
      <family val="0"/>
      <charset val="1"/>
    </font>
    <font>
      <b val="true"/>
      <sz val="12"/>
      <color rgb="FF17365D"/>
      <name val="Microsoft YaHei"/>
      <family val="0"/>
      <charset val="1"/>
    </font>
    <font>
      <sz val="9"/>
      <color rgb="FF2E75B6"/>
      <name val="Microsoft YaHei"/>
      <family val="0"/>
      <charset val="1"/>
    </font>
    <font>
      <i val="true"/>
      <sz val="8"/>
      <color rgb="FF6B7280"/>
      <name val="Microsoft YaHei"/>
      <family val="0"/>
      <charset val="1"/>
    </font>
    <font>
      <b val="true"/>
      <sz val="10"/>
      <color rgb="FF2E6B3A"/>
      <name val="Microsoft YaHei"/>
      <family val="0"/>
      <charset val="1"/>
    </font>
    <font>
      <b val="true"/>
      <sz val="9"/>
      <color rgb="FF2E6B3A"/>
      <name val="Microsoft YaHei"/>
      <family val="0"/>
      <charset val="1"/>
    </font>
    <font>
      <sz val="8"/>
      <color rgb="FF203040"/>
      <name val="Microsoft YaHei"/>
      <family val="0"/>
      <charset val="1"/>
    </font>
    <font>
      <b val="true"/>
      <sz val="13"/>
      <color rgb="FF17365D"/>
      <name val="Microsoft YaHei"/>
      <family val="0"/>
      <charset val="1"/>
    </font>
    <font>
      <b val="true"/>
      <sz val="9"/>
      <color rgb="FF203040"/>
      <name val="Microsoft YaHei"/>
      <family val="0"/>
      <charset val="1"/>
    </font>
    <font>
      <b val="true"/>
      <sz val="9"/>
      <color rgb="FF2E75B6"/>
      <name val="Microsoft YaHe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203040"/>
      </patternFill>
    </fill>
    <fill>
      <patternFill patternType="solid">
        <fgColor rgb="FFEAF2F8"/>
        <bgColor rgb="FFF3F6F8"/>
      </patternFill>
    </fill>
    <fill>
      <patternFill patternType="solid">
        <fgColor rgb="FFE2F0D9"/>
        <bgColor rgb="FFEAF2F8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3F6F8"/>
        <bgColor rgb="FFEAF2F8"/>
      </patternFill>
    </fill>
    <fill>
      <patternFill patternType="solid">
        <fgColor rgb="FFFFFDF4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7E1EA"/>
      </left>
      <right style="thin">
        <color rgb="FFD7E1EA"/>
      </right>
      <top style="thin">
        <color rgb="FFD7E1EA"/>
      </top>
      <bottom style="thin">
        <color rgb="FFD7E1EA"/>
      </bottom>
      <diagonal/>
    </border>
    <border diagonalUp="false" diagonalDown="false"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7E1EA"/>
      </left>
      <right/>
      <top style="thin">
        <color rgb="FFD7E1EA"/>
      </top>
      <bottom style="thin">
        <color rgb="FFD7E1EA"/>
      </bottom>
      <diagonal/>
    </border>
    <border diagonalUp="false" diagonalDown="false">
      <left/>
      <right/>
      <top style="thin">
        <color rgb="FFD7E1EA"/>
      </top>
      <bottom style="thin">
        <color rgb="FFD7E1EA"/>
      </bottom>
      <diagonal/>
    </border>
    <border diagonalUp="false" diagonalDown="false">
      <left/>
      <right style="thin">
        <color rgb="FFD7E1EA"/>
      </right>
      <top style="thin">
        <color rgb="FFD7E1EA"/>
      </top>
      <bottom style="thin">
        <color rgb="FFD7E1EA"/>
      </bottom>
      <diagonal/>
    </border>
    <border diagonalUp="false" diagonalDown="false">
      <left style="dashed">
        <color rgb="FF2E75B6"/>
      </left>
      <right/>
      <top style="dashed">
        <color rgb="FF2E75B6"/>
      </top>
      <bottom style="dashed">
        <color rgb="FF2E75B6"/>
      </bottom>
      <diagonal/>
    </border>
    <border diagonalUp="false" diagonalDown="false">
      <left/>
      <right/>
      <top style="dashed">
        <color rgb="FF2E75B6"/>
      </top>
      <bottom style="dashed">
        <color rgb="FF2E75B6"/>
      </bottom>
      <diagonal/>
    </border>
    <border diagonalUp="false" diagonalDown="false">
      <left/>
      <right style="dashed">
        <color rgb="FF2E75B6"/>
      </right>
      <top style="dashed">
        <color rgb="FF2E75B6"/>
      </top>
      <bottom style="dashed">
        <color rgb="FF2E75B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9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4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4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5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2" fillId="5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C00000"/>
      </font>
      <fill>
        <patternFill>
          <bgColor rgb="FFFCE4D6"/>
        </patternFill>
      </fill>
    </dxf>
    <dxf>
      <font>
        <b val="1"/>
        <color rgb="FF2E6B3A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E6B3A"/>
      <rgbColor rgb="FF000080"/>
      <rgbColor rgb="FF548235"/>
      <rgbColor rgb="FF800080"/>
      <rgbColor rgb="FF008080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8"/>
      <rgbColor rgb="FFE2F0D9"/>
      <rgbColor rgb="FFFFFDF4"/>
      <rgbColor rgb="FFC6E0B4"/>
      <rgbColor rgb="FFFF99CC"/>
      <rgbColor rgb="FFD7E1EA"/>
      <rgbColor rgb="FFFCE4D6"/>
      <rgbColor rgb="FF2E75B6"/>
      <rgbColor rgb="FF33CCCC"/>
      <rgbColor rgb="FF99CC00"/>
      <rgbColor rgb="FFFFCC00"/>
      <rgbColor rgb="FFBF9000"/>
      <rgbColor rgb="FFED7D31"/>
      <rgbColor rgb="FF6B7280"/>
      <rgbColor rgb="FFA5A5A5"/>
      <rgbColor rgb="FF17365D"/>
      <rgbColor rgb="FF339966"/>
      <rgbColor rgb="FF003300"/>
      <rgbColor rgb="FF333300"/>
      <rgbColor rgb="FF993300"/>
      <rgbColor rgb="FF993366"/>
      <rgbColor rgb="FF333399"/>
      <rgbColor rgb="FF20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rPr>
              <a:t>价格与内在价值（元/股）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"元/股"</c:f>
              <c:strCache>
                <c:ptCount val="1"/>
                <c:pt idx="0">
                  <c:v>元/股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一图流!$H$15:$H$18</c:f>
              <c:strCache>
                <c:ptCount val="4"/>
                <c:pt idx="0">
                  <c:v>当前价</c:v>
                </c:pt>
                <c:pt idx="1">
                  <c:v>保守价值</c:v>
                </c:pt>
                <c:pt idx="2">
                  <c:v>基准价值</c:v>
                </c:pt>
                <c:pt idx="3">
                  <c:v>积极价值</c:v>
                </c:pt>
              </c:strCache>
            </c:strRef>
          </c:cat>
          <c:val>
            <c:numRef>
              <c:f>一图流!$I$15:$I$18</c:f>
              <c:numCache>
                <c:formatCode>0.00</c:formatCode>
                <c:ptCount val="4"/>
                <c:pt idx="0">
                  <c:v>28.71</c:v>
                </c:pt>
                <c:pt idx="1">
                  <c:v>18.2053044875862</c:v>
                </c:pt>
                <c:pt idx="2">
                  <c:v>31.0663913248858</c:v>
                </c:pt>
                <c:pt idx="3">
                  <c:v>42.2406474186575</c:v>
                </c:pt>
              </c:numCache>
            </c:numRef>
          </c:val>
        </c:ser>
        <c:gapWidth val="150"/>
        <c:overlap val="0"/>
        <c:axId val="68954758"/>
        <c:axId val="59306520"/>
      </c:barChart>
      <c:catAx>
        <c:axId val="6895475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defRPr>
            </a:pPr>
          </a:p>
        </c:txPr>
        <c:crossAx val="59306520"/>
        <c:crosses val="autoZero"/>
        <c:auto val="1"/>
        <c:lblAlgn val="ctr"/>
        <c:lblOffset val="100"/>
        <c:noMultiLvlLbl val="0"/>
      </c:catAx>
      <c:valAx>
        <c:axId val="5930652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defRPr>
            </a:pPr>
          </a:p>
        </c:txPr>
        <c:crossAx val="689547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rPr>
              <a:t>营业收入（亿元）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2E75B6"/>
            </a:solidFill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财务十年!$A$9:$A$19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2026TTM</c:v>
                </c:pt>
              </c:strCache>
            </c:strRef>
          </c:cat>
          <c:val>
            <c:numRef>
              <c:f>财务十年!$B$9:$B$19</c:f>
              <c:numCache>
                <c:formatCode>#,##0.0</c:formatCode>
                <c:ptCount val="11"/>
                <c:pt idx="0">
                  <c:v>358.5044204272</c:v>
                </c:pt>
                <c:pt idx="1">
                  <c:v>332.2194876665</c:v>
                </c:pt>
                <c:pt idx="2">
                  <c:v>317.458445733</c:v>
                </c:pt>
                <c:pt idx="3">
                  <c:v>304.9174354085</c:v>
                </c:pt>
                <c:pt idx="4">
                  <c:v>217.0504835992</c:v>
                </c:pt>
                <c:pt idx="5">
                  <c:v>232.3346318186</c:v>
                </c:pt>
                <c:pt idx="6">
                  <c:v>217.9896060467</c:v>
                </c:pt>
                <c:pt idx="7">
                  <c:v>270.4198949457</c:v>
                </c:pt>
                <c:pt idx="8">
                  <c:v>372.1758660407</c:v>
                </c:pt>
                <c:pt idx="9">
                  <c:v>414.2617398234</c:v>
                </c:pt>
                <c:pt idx="10">
                  <c:v>408.7612777371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638882"/>
        <c:axId val="80778333"/>
      </c:lineChart>
      <c:catAx>
        <c:axId val="3963888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defRPr>
            </a:pPr>
          </a:p>
        </c:txPr>
        <c:crossAx val="80778333"/>
        <c:crosses val="autoZero"/>
        <c:auto val="1"/>
        <c:lblAlgn val="ctr"/>
        <c:lblOffset val="100"/>
        <c:noMultiLvlLbl val="0"/>
      </c:catAx>
      <c:valAx>
        <c:axId val="8077833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defRPr>
            </a:pPr>
          </a:p>
        </c:txPr>
        <c:crossAx val="396388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rPr>
              <a:t>归母净利润与所有者收益（亿元）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548235"/>
            </a:solidFill>
            <a:ln w="19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财务十年!$A$9:$A$19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2026TTM</c:v>
                </c:pt>
              </c:strCache>
            </c:strRef>
          </c:cat>
          <c:val>
            <c:numRef>
              <c:f>财务十年!$D$9:$D$19</c:f>
              <c:numCache>
                <c:formatCode>#,##0.0;[RED]\(#,##0.0\);\-</c:formatCode>
                <c:ptCount val="11"/>
                <c:pt idx="0">
                  <c:v>40.437455657</c:v>
                </c:pt>
                <c:pt idx="1">
                  <c:v>31.2919390659</c:v>
                </c:pt>
                <c:pt idx="2">
                  <c:v>23.014943537</c:v>
                </c:pt>
                <c:pt idx="3">
                  <c:v>19.4225584321</c:v>
                </c:pt>
                <c:pt idx="4">
                  <c:v>5.159902576</c:v>
                </c:pt>
                <c:pt idx="5">
                  <c:v>6.1378528574</c:v>
                </c:pt>
                <c:pt idx="6">
                  <c:v>7.5914076022</c:v>
                </c:pt>
                <c:pt idx="7">
                  <c:v>18.1708415222</c:v>
                </c:pt>
                <c:pt idx="8">
                  <c:v>41.161944225</c:v>
                </c:pt>
                <c:pt idx="9">
                  <c:v>55.544819709</c:v>
                </c:pt>
                <c:pt idx="10">
                  <c:v>54.4566751388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财务十年!$A$9:$A$19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2026TTM</c:v>
                </c:pt>
              </c:strCache>
            </c:strRef>
          </c:cat>
          <c:val>
            <c:numRef>
              <c:f>财务十年!$G$9:$G$19</c:f>
              <c:numCache>
                <c:formatCode>#,##0.0;[RED]\(#,##0.0\);\-</c:formatCode>
                <c:ptCount val="11"/>
                <c:pt idx="0">
                  <c:v>30.8754961849</c:v>
                </c:pt>
                <c:pt idx="1">
                  <c:v>-24.7903010146</c:v>
                </c:pt>
                <c:pt idx="2">
                  <c:v>15.1979104176</c:v>
                </c:pt>
                <c:pt idx="3">
                  <c:v>44.2411341294</c:v>
                </c:pt>
                <c:pt idx="4">
                  <c:v>26.1146898804</c:v>
                </c:pt>
                <c:pt idx="5">
                  <c:v>0.2441052563</c:v>
                </c:pt>
                <c:pt idx="6">
                  <c:v>22.7794687561</c:v>
                </c:pt>
                <c:pt idx="7">
                  <c:v>41.4965864693</c:v>
                </c:pt>
                <c:pt idx="8">
                  <c:v>65.1483103899</c:v>
                </c:pt>
                <c:pt idx="9">
                  <c:v>24.6719166119</c:v>
                </c:pt>
                <c:pt idx="10">
                  <c:v>87.4697177393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593581"/>
        <c:axId val="78330560"/>
      </c:lineChart>
      <c:catAx>
        <c:axId val="2659358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defRPr>
            </a:pPr>
          </a:p>
        </c:txPr>
        <c:crossAx val="78330560"/>
        <c:crosses val="autoZero"/>
        <c:auto val="1"/>
        <c:lblAlgn val="ctr"/>
        <c:lblOffset val="100"/>
        <c:noMultiLvlLbl val="0"/>
      </c:catAx>
      <c:valAx>
        <c:axId val="7833056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Microsoft YaHei"/>
                <a:ea typeface="Microsoft YaHei"/>
              </a:defRPr>
            </a:pPr>
          </a:p>
        </c:txPr>
        <c:crossAx val="265935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675" b="0" u="none" strike="noStrike">
              <a:solidFill>
                <a:srgbClr val="000000"/>
              </a:solidFill>
              <a:uFillTx/>
              <a:latin typeface="Microsoft YaHei"/>
              <a:ea typeface="Microsoft YaHe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18</xdr:row>
      <xdr:rowOff>0</xdr:rowOff>
    </xdr:from>
    <xdr:to>
      <xdr:col>13</xdr:col>
      <xdr:colOff>986400</xdr:colOff>
      <xdr:row>34</xdr:row>
      <xdr:rowOff>190080</xdr:rowOff>
    </xdr:to>
    <xdr:graphicFrame>
      <xdr:nvGraphicFramePr>
        <xdr:cNvPr id="1" name="Chart"/>
        <xdr:cNvGraphicFramePr/>
      </xdr:nvGraphicFramePr>
      <xdr:xfrm>
        <a:off x="7876440" y="4686480"/>
        <a:ext cx="7189200" cy="443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4</xdr:row>
      <xdr:rowOff>0</xdr:rowOff>
    </xdr:from>
    <xdr:to>
      <xdr:col>22</xdr:col>
      <xdr:colOff>845640</xdr:colOff>
      <xdr:row>11</xdr:row>
      <xdr:rowOff>190080</xdr:rowOff>
    </xdr:to>
    <xdr:graphicFrame>
      <xdr:nvGraphicFramePr>
        <xdr:cNvPr id="2" name="Chart"/>
        <xdr:cNvGraphicFramePr/>
      </xdr:nvGraphicFramePr>
      <xdr:xfrm>
        <a:off x="10572840" y="1092240"/>
        <a:ext cx="8457840" cy="170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22</xdr:col>
      <xdr:colOff>845640</xdr:colOff>
      <xdr:row>20</xdr:row>
      <xdr:rowOff>190080</xdr:rowOff>
    </xdr:to>
    <xdr:graphicFrame>
      <xdr:nvGraphicFramePr>
        <xdr:cNvPr id="3" name="Chart"/>
        <xdr:cNvGraphicFramePr/>
      </xdr:nvGraphicFramePr>
      <xdr:xfrm>
        <a:off x="10572840" y="2795760"/>
        <a:ext cx="8457840" cy="171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Z200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C36" activeCellId="0" sqref="C3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19.92"/>
    <col collapsed="false" customWidth="true" hidden="false" outlineLevel="0" max="3" min="2" style="1" width="18.16"/>
    <col collapsed="false" customWidth="true" hidden="false" outlineLevel="0" max="4" min="4" style="1" width="17.15"/>
    <col collapsed="false" customWidth="true" hidden="false" outlineLevel="0" max="5" min="5" style="1" width="16.15"/>
    <col collapsed="false" customWidth="true" hidden="false" outlineLevel="0" max="6" min="6" style="1" width="20.18"/>
    <col collapsed="false" customWidth="true" hidden="false" outlineLevel="0" max="7" min="7" style="1" width="3.03"/>
    <col collapsed="false" customWidth="true" hidden="false" outlineLevel="0" max="9" min="8" style="1" width="16.15"/>
    <col collapsed="false" customWidth="true" hidden="false" outlineLevel="0" max="14" min="10" style="1" width="14.13"/>
    <col collapsed="false" customWidth="false" hidden="false" outlineLevel="0" max="16384" min="15" style="1" width="8.76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2" hidden="false" customHeight="true" outlineLevel="0" collapsed="false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4" hidden="false" customHeight="true" outlineLevel="0" collapsed="false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5" t="str">
        <f aca="false">估值模型!F5</f>
        <v>基准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6" t="s">
        <v>2</v>
      </c>
      <c r="B5" s="6" t="s">
        <v>2</v>
      </c>
      <c r="C5" s="6" t="s">
        <v>2</v>
      </c>
      <c r="D5" s="6" t="s">
        <v>3</v>
      </c>
      <c r="E5" s="6" t="s">
        <v>3</v>
      </c>
      <c r="F5" s="6" t="s">
        <v>3</v>
      </c>
      <c r="G5" s="6" t="s">
        <v>4</v>
      </c>
      <c r="H5" s="6" t="s">
        <v>4</v>
      </c>
      <c r="I5" s="6" t="s">
        <v>4</v>
      </c>
      <c r="J5" s="6" t="s">
        <v>5</v>
      </c>
      <c r="K5" s="6" t="s">
        <v>5</v>
      </c>
      <c r="L5" s="6" t="s">
        <v>5</v>
      </c>
      <c r="M5" s="6" t="s">
        <v>6</v>
      </c>
      <c r="N5" s="6" t="s">
        <v>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7" t="n">
        <f aca="false">数据与来源!B7</f>
        <v>28.71</v>
      </c>
      <c r="B6" s="7"/>
      <c r="C6" s="7"/>
      <c r="D6" s="8" t="n">
        <f aca="false">估值模型!F27</f>
        <v>31.0663913248858</v>
      </c>
      <c r="E6" s="8"/>
      <c r="F6" s="8"/>
      <c r="G6" s="9" t="n">
        <f aca="false">估值模型!F28</f>
        <v>0.0758501784208908</v>
      </c>
      <c r="H6" s="9"/>
      <c r="I6" s="9"/>
      <c r="J6" s="10" t="n">
        <f aca="false">估值模型!F29</f>
        <v>20.1931543611758</v>
      </c>
      <c r="K6" s="10"/>
      <c r="L6" s="10"/>
      <c r="M6" s="11" t="str">
        <f aca="false">IF(G6&gt;=30%,"可分批",IF(G6&gt;=20%,"小仓",IF(G6&gt;=10%,"观察","等待")))</f>
        <v>等待</v>
      </c>
      <c r="N6" s="1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7"/>
      <c r="B7" s="7"/>
      <c r="C7" s="7"/>
      <c r="D7" s="8"/>
      <c r="E7" s="8"/>
      <c r="F7" s="8"/>
      <c r="G7" s="9"/>
      <c r="H7" s="9"/>
      <c r="I7" s="9"/>
      <c r="J7" s="10"/>
      <c r="K7" s="10"/>
      <c r="L7" s="10"/>
      <c r="M7" s="11"/>
      <c r="N7" s="1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7"/>
      <c r="B8" s="7"/>
      <c r="C8" s="7"/>
      <c r="D8" s="8"/>
      <c r="E8" s="8"/>
      <c r="F8" s="8"/>
      <c r="G8" s="9"/>
      <c r="H8" s="9"/>
      <c r="I8" s="9"/>
      <c r="J8" s="10"/>
      <c r="K8" s="10"/>
      <c r="L8" s="10"/>
      <c r="M8" s="11"/>
      <c r="N8" s="1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12" t="s">
        <v>7</v>
      </c>
      <c r="B10" s="12" t="s">
        <v>7</v>
      </c>
      <c r="C10" s="12" t="s">
        <v>7</v>
      </c>
      <c r="D10" s="12" t="s">
        <v>7</v>
      </c>
      <c r="E10" s="12" t="s">
        <v>7</v>
      </c>
      <c r="F10" s="12" t="s">
        <v>7</v>
      </c>
      <c r="G10" s="12" t="s">
        <v>7</v>
      </c>
      <c r="H10" s="12" t="s">
        <v>7</v>
      </c>
      <c r="I10" s="12" t="s">
        <v>7</v>
      </c>
      <c r="J10" s="12" t="s">
        <v>7</v>
      </c>
      <c r="K10" s="12" t="s">
        <v>7</v>
      </c>
      <c r="L10" s="12" t="s">
        <v>7</v>
      </c>
      <c r="M10" s="12" t="s">
        <v>7</v>
      </c>
      <c r="N10" s="12" t="s">
        <v>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12" t="s">
        <v>7</v>
      </c>
      <c r="B11" s="12" t="s">
        <v>7</v>
      </c>
      <c r="C11" s="12" t="s">
        <v>7</v>
      </c>
      <c r="D11" s="12" t="s">
        <v>7</v>
      </c>
      <c r="E11" s="12" t="s">
        <v>7</v>
      </c>
      <c r="F11" s="12" t="s">
        <v>7</v>
      </c>
      <c r="G11" s="12" t="s">
        <v>7</v>
      </c>
      <c r="H11" s="12" t="s">
        <v>7</v>
      </c>
      <c r="I11" s="12" t="s">
        <v>7</v>
      </c>
      <c r="J11" s="12" t="s">
        <v>7</v>
      </c>
      <c r="K11" s="12" t="s">
        <v>7</v>
      </c>
      <c r="L11" s="12" t="s">
        <v>7</v>
      </c>
      <c r="M11" s="12" t="s">
        <v>7</v>
      </c>
      <c r="N11" s="12" t="s"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3" hidden="false" customHeight="true" outlineLevel="0" collapsed="false">
      <c r="A13" s="13" t="s">
        <v>8</v>
      </c>
      <c r="B13" s="13" t="s">
        <v>8</v>
      </c>
      <c r="C13" s="13" t="s">
        <v>8</v>
      </c>
      <c r="D13" s="13" t="s">
        <v>8</v>
      </c>
      <c r="E13" s="13" t="s">
        <v>8</v>
      </c>
      <c r="F13" s="13" t="s">
        <v>8</v>
      </c>
      <c r="G13" s="2"/>
      <c r="H13" s="13" t="s">
        <v>9</v>
      </c>
      <c r="I13" s="13" t="s">
        <v>9</v>
      </c>
      <c r="J13" s="13" t="s">
        <v>9</v>
      </c>
      <c r="K13" s="13" t="s">
        <v>9</v>
      </c>
      <c r="L13" s="13" t="s">
        <v>9</v>
      </c>
      <c r="M13" s="13" t="s">
        <v>9</v>
      </c>
      <c r="N13" s="13" t="s"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8" hidden="false" customHeight="true" outlineLevel="0" collapsed="false">
      <c r="A14" s="14" t="s">
        <v>10</v>
      </c>
      <c r="B14" s="14" t="s">
        <v>11</v>
      </c>
      <c r="C14" s="14" t="s">
        <v>12</v>
      </c>
      <c r="D14" s="14" t="s">
        <v>13</v>
      </c>
      <c r="E14" s="14"/>
      <c r="F14" s="14"/>
      <c r="G14" s="2"/>
      <c r="H14" s="14" t="s">
        <v>14</v>
      </c>
      <c r="I14" s="14" t="s">
        <v>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8" hidden="false" customHeight="true" outlineLevel="0" collapsed="false">
      <c r="A15" s="15" t="n">
        <v>1</v>
      </c>
      <c r="B15" s="16" t="s">
        <v>16</v>
      </c>
      <c r="C15" s="17" t="s">
        <v>17</v>
      </c>
      <c r="D15" s="18" t="s">
        <v>18</v>
      </c>
      <c r="E15" s="18"/>
      <c r="F15" s="18"/>
      <c r="G15" s="2"/>
      <c r="H15" s="15" t="s">
        <v>19</v>
      </c>
      <c r="I15" s="19" t="n">
        <f aca="false">数据与来源!B7</f>
        <v>28.71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8" hidden="false" customHeight="true" outlineLevel="0" collapsed="false">
      <c r="A16" s="15" t="n">
        <v>2</v>
      </c>
      <c r="B16" s="16" t="s">
        <v>20</v>
      </c>
      <c r="C16" s="17" t="s">
        <v>17</v>
      </c>
      <c r="D16" s="18" t="s">
        <v>21</v>
      </c>
      <c r="E16" s="18"/>
      <c r="F16" s="18"/>
      <c r="G16" s="2"/>
      <c r="H16" s="15" t="s">
        <v>22</v>
      </c>
      <c r="I16" s="19" t="n">
        <f aca="false">估值模型!E27</f>
        <v>18.2053044875862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8" hidden="false" customHeight="true" outlineLevel="0" collapsed="false">
      <c r="A17" s="15" t="n">
        <v>3</v>
      </c>
      <c r="B17" s="16" t="s">
        <v>23</v>
      </c>
      <c r="C17" s="20" t="s">
        <v>24</v>
      </c>
      <c r="D17" s="18" t="s">
        <v>25</v>
      </c>
      <c r="E17" s="18"/>
      <c r="F17" s="18"/>
      <c r="G17" s="2"/>
      <c r="H17" s="15" t="s">
        <v>26</v>
      </c>
      <c r="I17" s="19" t="n">
        <f aca="false">估值模型!F27</f>
        <v>31.0663913248858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8" hidden="false" customHeight="true" outlineLevel="0" collapsed="false">
      <c r="A18" s="15" t="n">
        <v>4</v>
      </c>
      <c r="B18" s="16" t="s">
        <v>27</v>
      </c>
      <c r="C18" s="20" t="s">
        <v>24</v>
      </c>
      <c r="D18" s="18" t="s">
        <v>28</v>
      </c>
      <c r="E18" s="18"/>
      <c r="F18" s="18"/>
      <c r="G18" s="2"/>
      <c r="H18" s="15" t="s">
        <v>29</v>
      </c>
      <c r="I18" s="19" t="n">
        <f aca="false">估值模型!G27</f>
        <v>42.2406474186575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8" hidden="false" customHeight="true" outlineLevel="0" collapsed="false">
      <c r="A19" s="15" t="n">
        <v>5</v>
      </c>
      <c r="B19" s="16" t="s">
        <v>30</v>
      </c>
      <c r="C19" s="17" t="s">
        <v>17</v>
      </c>
      <c r="D19" s="18" t="s">
        <v>31</v>
      </c>
      <c r="E19" s="18"/>
      <c r="F19" s="1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8" hidden="false" customHeight="true" outlineLevel="0" collapsed="false">
      <c r="A20" s="15" t="n">
        <v>6</v>
      </c>
      <c r="B20" s="16" t="s">
        <v>32</v>
      </c>
      <c r="C20" s="17" t="s">
        <v>17</v>
      </c>
      <c r="D20" s="18" t="s">
        <v>33</v>
      </c>
      <c r="E20" s="18"/>
      <c r="F20" s="1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8" hidden="false" customHeight="true" outlineLevel="0" collapsed="false">
      <c r="A21" s="15" t="n">
        <v>7</v>
      </c>
      <c r="B21" s="16" t="s">
        <v>34</v>
      </c>
      <c r="C21" s="17" t="s">
        <v>35</v>
      </c>
      <c r="D21" s="18" t="s">
        <v>36</v>
      </c>
      <c r="E21" s="18"/>
      <c r="F21" s="1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8" hidden="false" customHeight="true" outlineLevel="0" collapsed="false">
      <c r="A22" s="15" t="n">
        <v>8</v>
      </c>
      <c r="B22" s="16" t="s">
        <v>37</v>
      </c>
      <c r="C22" s="21" t="s">
        <v>38</v>
      </c>
      <c r="D22" s="18" t="s">
        <v>39</v>
      </c>
      <c r="E22" s="18"/>
      <c r="F22" s="1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3" hidden="false" customHeight="true" outlineLevel="0" collapsed="false">
      <c r="A24" s="13" t="s">
        <v>40</v>
      </c>
      <c r="B24" s="13" t="s">
        <v>40</v>
      </c>
      <c r="C24" s="13" t="s">
        <v>40</v>
      </c>
      <c r="D24" s="13" t="s">
        <v>40</v>
      </c>
      <c r="E24" s="13" t="s">
        <v>40</v>
      </c>
      <c r="F24" s="13" t="s">
        <v>40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8" hidden="false" customHeight="true" outlineLevel="0" collapsed="false">
      <c r="A25" s="14" t="s">
        <v>41</v>
      </c>
      <c r="B25" s="14" t="s">
        <v>42</v>
      </c>
      <c r="C25" s="14" t="s">
        <v>43</v>
      </c>
      <c r="D25" s="14" t="s">
        <v>44</v>
      </c>
      <c r="E25" s="14" t="s">
        <v>45</v>
      </c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15" t="s">
        <v>46</v>
      </c>
      <c r="B26" s="22" t="n">
        <f aca="false">数据与来源!B7</f>
        <v>28.71</v>
      </c>
      <c r="C26" s="23" t="n">
        <f aca="false">1-B26/估值模型!F27</f>
        <v>0.0758501784208908</v>
      </c>
      <c r="D26" s="16" t="s">
        <v>38</v>
      </c>
      <c r="E26" s="18" t="s">
        <v>47</v>
      </c>
      <c r="F26" s="1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15" t="s">
        <v>48</v>
      </c>
      <c r="B27" s="22" t="n">
        <f aca="false">估值模型!F27*(1-C27)</f>
        <v>24.8531130599086</v>
      </c>
      <c r="C27" s="23" t="n">
        <v>0.2</v>
      </c>
      <c r="D27" s="16" t="s">
        <v>49</v>
      </c>
      <c r="E27" s="18" t="s">
        <v>50</v>
      </c>
      <c r="F27" s="1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15" t="s">
        <v>51</v>
      </c>
      <c r="B28" s="22" t="n">
        <f aca="false">估值模型!F27*(1-C28)</f>
        <v>23.2997934936644</v>
      </c>
      <c r="C28" s="23" t="n">
        <v>0.25</v>
      </c>
      <c r="D28" s="16" t="s">
        <v>52</v>
      </c>
      <c r="E28" s="18" t="s">
        <v>53</v>
      </c>
      <c r="F28" s="1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4" t="s">
        <v>54</v>
      </c>
      <c r="B29" s="25" t="n">
        <f aca="false">估值模型!F27*(1-C29)</f>
        <v>20.1931543611758</v>
      </c>
      <c r="C29" s="26" t="n">
        <v>0.35</v>
      </c>
      <c r="D29" s="17" t="s">
        <v>55</v>
      </c>
      <c r="E29" s="27" t="s">
        <v>56</v>
      </c>
      <c r="F29" s="2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15" t="s">
        <v>57</v>
      </c>
      <c r="B30" s="22" t="n">
        <f aca="false">估值模型!F27*(1-C30)</f>
        <v>17.0865152286872</v>
      </c>
      <c r="C30" s="23" t="n">
        <v>0.45</v>
      </c>
      <c r="D30" s="16" t="s">
        <v>58</v>
      </c>
      <c r="E30" s="18" t="s">
        <v>59</v>
      </c>
      <c r="F30" s="1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3" hidden="false" customHeight="true" outlineLevel="0" collapsed="false">
      <c r="A32" s="13" t="s">
        <v>60</v>
      </c>
      <c r="B32" s="13" t="s">
        <v>60</v>
      </c>
      <c r="C32" s="13" t="s">
        <v>60</v>
      </c>
      <c r="D32" s="13" t="s">
        <v>60</v>
      </c>
      <c r="E32" s="13" t="s">
        <v>60</v>
      </c>
      <c r="F32" s="13" t="s">
        <v>60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8" hidden="false" customHeight="true" outlineLevel="0" collapsed="false">
      <c r="A33" s="14" t="s">
        <v>14</v>
      </c>
      <c r="B33" s="14" t="s">
        <v>61</v>
      </c>
      <c r="C33" s="14" t="s">
        <v>62</v>
      </c>
      <c r="D33" s="14"/>
      <c r="E33" s="14"/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15" t="s">
        <v>63</v>
      </c>
      <c r="B34" s="23" t="n">
        <v>-0.0209</v>
      </c>
      <c r="C34" s="18" t="s">
        <v>64</v>
      </c>
      <c r="D34" s="18"/>
      <c r="E34" s="18"/>
      <c r="F34" s="1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15" t="s">
        <v>65</v>
      </c>
      <c r="B35" s="23" t="n">
        <v>0.1845</v>
      </c>
      <c r="C35" s="18" t="s">
        <v>66</v>
      </c>
      <c r="D35" s="18"/>
      <c r="E35" s="18"/>
      <c r="F35" s="1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15" t="s">
        <v>67</v>
      </c>
      <c r="B36" s="23" t="n">
        <v>-0.0783</v>
      </c>
      <c r="C36" s="18" t="s">
        <v>68</v>
      </c>
      <c r="D36" s="18"/>
      <c r="E36" s="18"/>
      <c r="F36" s="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3" hidden="false" customHeight="true" outlineLevel="0" collapsed="false">
      <c r="A37" s="15" t="s">
        <v>69</v>
      </c>
      <c r="B37" s="23" t="n">
        <v>0.5781</v>
      </c>
      <c r="C37" s="18" t="s">
        <v>70</v>
      </c>
      <c r="D37" s="18"/>
      <c r="E37" s="18"/>
      <c r="F37" s="18"/>
      <c r="G37" s="2"/>
      <c r="H37" s="13" t="s">
        <v>71</v>
      </c>
      <c r="I37" s="13" t="s">
        <v>71</v>
      </c>
      <c r="J37" s="13" t="s">
        <v>71</v>
      </c>
      <c r="K37" s="13" t="s">
        <v>71</v>
      </c>
      <c r="L37" s="13" t="s">
        <v>71</v>
      </c>
      <c r="M37" s="13" t="s">
        <v>71</v>
      </c>
      <c r="N37" s="13" t="s">
        <v>71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15" t="s">
        <v>72</v>
      </c>
      <c r="B38" s="23" t="n">
        <v>0.3247</v>
      </c>
      <c r="C38" s="18" t="s">
        <v>73</v>
      </c>
      <c r="D38" s="18"/>
      <c r="E38" s="18"/>
      <c r="F38" s="18"/>
      <c r="G38" s="2"/>
      <c r="H38" s="12" t="s">
        <v>74</v>
      </c>
      <c r="I38" s="12" t="s">
        <v>74</v>
      </c>
      <c r="J38" s="12" t="s">
        <v>74</v>
      </c>
      <c r="K38" s="12" t="s">
        <v>74</v>
      </c>
      <c r="L38" s="12" t="s">
        <v>74</v>
      </c>
      <c r="M38" s="12" t="s">
        <v>74</v>
      </c>
      <c r="N38" s="12" t="s">
        <v>74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12" t="s">
        <v>74</v>
      </c>
      <c r="I39" s="12" t="s">
        <v>74</v>
      </c>
      <c r="J39" s="12" t="s">
        <v>74</v>
      </c>
      <c r="K39" s="12" t="s">
        <v>74</v>
      </c>
      <c r="L39" s="12" t="s">
        <v>74</v>
      </c>
      <c r="M39" s="12" t="s">
        <v>74</v>
      </c>
      <c r="N39" s="12" t="s">
        <v>74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12" t="s">
        <v>74</v>
      </c>
      <c r="I40" s="12" t="s">
        <v>74</v>
      </c>
      <c r="J40" s="12" t="s">
        <v>74</v>
      </c>
      <c r="K40" s="12" t="s">
        <v>74</v>
      </c>
      <c r="L40" s="12" t="s">
        <v>74</v>
      </c>
      <c r="M40" s="12" t="s">
        <v>74</v>
      </c>
      <c r="N40" s="12" t="s">
        <v>74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12" t="s">
        <v>74</v>
      </c>
      <c r="I41" s="12" t="s">
        <v>74</v>
      </c>
      <c r="J41" s="12" t="s">
        <v>74</v>
      </c>
      <c r="K41" s="12" t="s">
        <v>74</v>
      </c>
      <c r="L41" s="12" t="s">
        <v>74</v>
      </c>
      <c r="M41" s="12" t="s">
        <v>74</v>
      </c>
      <c r="N41" s="12" t="s">
        <v>74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40">
    <mergeCell ref="A2:N2"/>
    <mergeCell ref="A3:M3"/>
    <mergeCell ref="A5:C5"/>
    <mergeCell ref="D5:F5"/>
    <mergeCell ref="G5:I5"/>
    <mergeCell ref="J5:L5"/>
    <mergeCell ref="M5:N5"/>
    <mergeCell ref="A6:C8"/>
    <mergeCell ref="D6:F8"/>
    <mergeCell ref="G6:I8"/>
    <mergeCell ref="J6:L8"/>
    <mergeCell ref="M6:N8"/>
    <mergeCell ref="A10:N11"/>
    <mergeCell ref="A13:F13"/>
    <mergeCell ref="H13:N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A24:F24"/>
    <mergeCell ref="E25:F25"/>
    <mergeCell ref="E26:F26"/>
    <mergeCell ref="E27:F27"/>
    <mergeCell ref="E28:F28"/>
    <mergeCell ref="E29:F29"/>
    <mergeCell ref="E30:F30"/>
    <mergeCell ref="A32:F32"/>
    <mergeCell ref="C33:F33"/>
    <mergeCell ref="C34:F34"/>
    <mergeCell ref="C35:F35"/>
    <mergeCell ref="C36:F36"/>
    <mergeCell ref="C37:F37"/>
    <mergeCell ref="H37:N37"/>
    <mergeCell ref="C38:F38"/>
    <mergeCell ref="H38:N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Z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1" activePane="bottomLeft" state="frozen"/>
      <selection pane="topLeft" activeCell="A1" activeCellId="0" sqref="A1"/>
      <selection pane="bottomLeft" activeCell="A14" activeCellId="0" sqref="A14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11.1"/>
    <col collapsed="false" customWidth="true" hidden="false" outlineLevel="0" max="2" min="2" style="1" width="16.15"/>
    <col collapsed="false" customWidth="true" hidden="false" outlineLevel="0" max="3" min="3" style="1" width="17.15"/>
    <col collapsed="false" customWidth="true" hidden="false" outlineLevel="0" max="4" min="4" style="1" width="3.03"/>
    <col collapsed="false" customWidth="true" hidden="false" outlineLevel="0" max="7" min="5" style="1" width="13.12"/>
    <col collapsed="false" customWidth="true" hidden="false" outlineLevel="0" max="8" min="8" style="1" width="12.11"/>
    <col collapsed="false" customWidth="true" hidden="false" outlineLevel="0" max="9" min="9" style="1" width="13.12"/>
    <col collapsed="false" customWidth="true" hidden="false" outlineLevel="0" max="12" min="10" style="1" width="18.16"/>
    <col collapsed="false" customWidth="false" hidden="false" outlineLevel="0" max="16384" min="13" style="1" width="8.76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2" hidden="false" customHeight="true" outlineLevel="0" collapsed="false">
      <c r="A2" s="3" t="s">
        <v>75</v>
      </c>
      <c r="B2" s="3" t="s">
        <v>75</v>
      </c>
      <c r="C2" s="3" t="s">
        <v>75</v>
      </c>
      <c r="D2" s="3" t="s">
        <v>75</v>
      </c>
      <c r="E2" s="3" t="s">
        <v>75</v>
      </c>
      <c r="F2" s="3" t="s">
        <v>75</v>
      </c>
      <c r="G2" s="3" t="s">
        <v>75</v>
      </c>
      <c r="H2" s="3" t="s">
        <v>75</v>
      </c>
      <c r="I2" s="3" t="s">
        <v>75</v>
      </c>
      <c r="J2" s="3" t="s">
        <v>75</v>
      </c>
      <c r="K2" s="3" t="s">
        <v>75</v>
      </c>
      <c r="L2" s="3" t="s">
        <v>75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4" hidden="false" customHeight="true" outlineLevel="0" collapsed="false">
      <c r="A3" s="4" t="s">
        <v>76</v>
      </c>
      <c r="B3" s="4" t="s">
        <v>76</v>
      </c>
      <c r="C3" s="4" t="s">
        <v>76</v>
      </c>
      <c r="D3" s="4" t="s">
        <v>76</v>
      </c>
      <c r="E3" s="4" t="s">
        <v>76</v>
      </c>
      <c r="F3" s="4" t="s">
        <v>76</v>
      </c>
      <c r="G3" s="4" t="s">
        <v>76</v>
      </c>
      <c r="H3" s="4" t="s">
        <v>76</v>
      </c>
      <c r="I3" s="4" t="s">
        <v>76</v>
      </c>
      <c r="J3" s="4" t="s">
        <v>76</v>
      </c>
      <c r="K3" s="4" t="s">
        <v>76</v>
      </c>
      <c r="L3" s="5" t="str">
        <f aca="false">估值模型!F5</f>
        <v>基准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3" hidden="false" customHeight="true" outlineLevel="0" collapsed="false">
      <c r="A5" s="13" t="s">
        <v>77</v>
      </c>
      <c r="B5" s="13" t="s">
        <v>77</v>
      </c>
      <c r="C5" s="13" t="s">
        <v>77</v>
      </c>
      <c r="D5" s="13" t="s">
        <v>77</v>
      </c>
      <c r="E5" s="13" t="s">
        <v>77</v>
      </c>
      <c r="F5" s="13" t="s">
        <v>77</v>
      </c>
      <c r="G5" s="13" t="s">
        <v>77</v>
      </c>
      <c r="H5" s="13" t="s">
        <v>77</v>
      </c>
      <c r="I5" s="13" t="s">
        <v>77</v>
      </c>
      <c r="J5" s="13" t="s">
        <v>77</v>
      </c>
      <c r="K5" s="13" t="s">
        <v>77</v>
      </c>
      <c r="L5" s="13" t="s">
        <v>77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6" t="s">
        <v>19</v>
      </c>
      <c r="B6" s="6"/>
      <c r="C6" s="6"/>
      <c r="D6" s="2"/>
      <c r="E6" s="6" t="s">
        <v>78</v>
      </c>
      <c r="F6" s="6"/>
      <c r="G6" s="6"/>
      <c r="H6" s="2"/>
      <c r="I6" s="28" t="s">
        <v>79</v>
      </c>
      <c r="J6" s="28" t="s">
        <v>79</v>
      </c>
      <c r="K6" s="28" t="s">
        <v>79</v>
      </c>
      <c r="L6" s="28" t="s">
        <v>79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9.7" hidden="false" customHeight="false" outlineLevel="0" collapsed="false">
      <c r="A7" s="29" t="n">
        <f aca="false">数据与来源!B7</f>
        <v>28.71</v>
      </c>
      <c r="B7" s="29"/>
      <c r="C7" s="29"/>
      <c r="D7" s="2"/>
      <c r="E7" s="30" t="n">
        <f aca="false">估值模型!D27</f>
        <v>31.0663913248858</v>
      </c>
      <c r="F7" s="30"/>
      <c r="G7" s="30"/>
      <c r="H7" s="2"/>
      <c r="I7" s="28" t="s">
        <v>79</v>
      </c>
      <c r="J7" s="28" t="s">
        <v>79</v>
      </c>
      <c r="K7" s="28" t="s">
        <v>79</v>
      </c>
      <c r="L7" s="28" t="s">
        <v>79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1" t="str">
        <f aca="false">IF(G8&gt;=30%,"可分批买入",IF(G8&gt;=20%,"小仓分批",IF(G8&gt;=10%,"继续观察","等待更好买点")))</f>
        <v>等待更好买点</v>
      </c>
      <c r="B8" s="31"/>
      <c r="C8" s="31"/>
      <c r="D8" s="2"/>
      <c r="E8" s="6" t="s">
        <v>80</v>
      </c>
      <c r="F8" s="6"/>
      <c r="G8" s="32" t="n">
        <f aca="false">估值模型!D28</f>
        <v>0.0758501784208908</v>
      </c>
      <c r="H8" s="2"/>
      <c r="I8" s="28" t="s">
        <v>79</v>
      </c>
      <c r="J8" s="28" t="s">
        <v>79</v>
      </c>
      <c r="K8" s="28" t="s">
        <v>79</v>
      </c>
      <c r="L8" s="28" t="s">
        <v>79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3" hidden="false" customHeight="true" outlineLevel="0" collapsed="false">
      <c r="A10" s="13" t="s">
        <v>81</v>
      </c>
      <c r="B10" s="13" t="s">
        <v>81</v>
      </c>
      <c r="C10" s="13" t="s">
        <v>81</v>
      </c>
      <c r="D10" s="13" t="s">
        <v>81</v>
      </c>
      <c r="E10" s="13" t="s">
        <v>81</v>
      </c>
      <c r="F10" s="13" t="s">
        <v>81</v>
      </c>
      <c r="G10" s="13" t="s">
        <v>81</v>
      </c>
      <c r="H10" s="13" t="s">
        <v>81</v>
      </c>
      <c r="I10" s="13" t="s">
        <v>81</v>
      </c>
      <c r="J10" s="13" t="s">
        <v>81</v>
      </c>
      <c r="K10" s="13" t="s">
        <v>81</v>
      </c>
      <c r="L10" s="13" t="s">
        <v>81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33" t="s">
        <v>82</v>
      </c>
      <c r="B11" s="33" t="s">
        <v>82</v>
      </c>
      <c r="C11" s="33" t="s">
        <v>82</v>
      </c>
      <c r="D11" s="33" t="s">
        <v>82</v>
      </c>
      <c r="E11" s="33" t="s">
        <v>82</v>
      </c>
      <c r="F11" s="33" t="s">
        <v>82</v>
      </c>
      <c r="G11" s="33" t="s">
        <v>82</v>
      </c>
      <c r="H11" s="33" t="s">
        <v>82</v>
      </c>
      <c r="I11" s="33" t="s">
        <v>82</v>
      </c>
      <c r="J11" s="33" t="s">
        <v>82</v>
      </c>
      <c r="K11" s="33" t="s">
        <v>82</v>
      </c>
      <c r="L11" s="33" t="s">
        <v>82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3" t="s">
        <v>82</v>
      </c>
      <c r="B12" s="33" t="s">
        <v>82</v>
      </c>
      <c r="C12" s="33" t="s">
        <v>82</v>
      </c>
      <c r="D12" s="33" t="s">
        <v>82</v>
      </c>
      <c r="E12" s="33" t="s">
        <v>82</v>
      </c>
      <c r="F12" s="33" t="s">
        <v>82</v>
      </c>
      <c r="G12" s="33" t="s">
        <v>82</v>
      </c>
      <c r="H12" s="33" t="s">
        <v>82</v>
      </c>
      <c r="I12" s="33" t="s">
        <v>82</v>
      </c>
      <c r="J12" s="33" t="s">
        <v>82</v>
      </c>
      <c r="K12" s="33" t="s">
        <v>82</v>
      </c>
      <c r="L12" s="33" t="s">
        <v>82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3" hidden="false" customHeight="true" outlineLevel="0" collapsed="false">
      <c r="A14" s="13" t="s">
        <v>83</v>
      </c>
      <c r="B14" s="13" t="s">
        <v>83</v>
      </c>
      <c r="C14" s="13" t="s">
        <v>83</v>
      </c>
      <c r="D14" s="13" t="s">
        <v>83</v>
      </c>
      <c r="E14" s="13" t="s">
        <v>83</v>
      </c>
      <c r="F14" s="13" t="s">
        <v>83</v>
      </c>
      <c r="G14" s="13" t="s">
        <v>83</v>
      </c>
      <c r="H14" s="13" t="s">
        <v>83</v>
      </c>
      <c r="I14" s="13" t="s">
        <v>83</v>
      </c>
      <c r="J14" s="13" t="s">
        <v>83</v>
      </c>
      <c r="K14" s="13" t="s">
        <v>83</v>
      </c>
      <c r="L14" s="13" t="s">
        <v>83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8" hidden="false" customHeight="true" outlineLevel="0" collapsed="false">
      <c r="A15" s="34" t="s">
        <v>84</v>
      </c>
      <c r="B15" s="33" t="s">
        <v>85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8" hidden="false" customHeight="true" outlineLevel="0" collapsed="false">
      <c r="A16" s="34" t="s">
        <v>86</v>
      </c>
      <c r="B16" s="33" t="s">
        <v>87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8" hidden="false" customHeight="true" outlineLevel="0" collapsed="false">
      <c r="A17" s="34" t="s">
        <v>88</v>
      </c>
      <c r="B17" s="33" t="s">
        <v>89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8" hidden="false" customHeight="true" outlineLevel="0" collapsed="false">
      <c r="A18" s="34" t="s">
        <v>90</v>
      </c>
      <c r="B18" s="33" t="s">
        <v>91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8" hidden="false" customHeight="true" outlineLevel="0" collapsed="false">
      <c r="A19" s="34" t="s">
        <v>92</v>
      </c>
      <c r="B19" s="33" t="s">
        <v>93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3" hidden="false" customHeight="true" outlineLevel="0" collapsed="false">
      <c r="A21" s="13" t="s">
        <v>94</v>
      </c>
      <c r="B21" s="13" t="s">
        <v>94</v>
      </c>
      <c r="C21" s="13" t="s">
        <v>94</v>
      </c>
      <c r="D21" s="13" t="s">
        <v>94</v>
      </c>
      <c r="E21" s="13" t="s">
        <v>94</v>
      </c>
      <c r="F21" s="13" t="s">
        <v>94</v>
      </c>
      <c r="G21" s="2"/>
      <c r="H21" s="13" t="s">
        <v>95</v>
      </c>
      <c r="I21" s="13" t="s">
        <v>95</v>
      </c>
      <c r="J21" s="13" t="s">
        <v>95</v>
      </c>
      <c r="K21" s="13" t="s">
        <v>95</v>
      </c>
      <c r="L21" s="13" t="s">
        <v>95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8" hidden="false" customHeight="true" outlineLevel="0" collapsed="false">
      <c r="A22" s="14" t="s">
        <v>11</v>
      </c>
      <c r="B22" s="14" t="s">
        <v>96</v>
      </c>
      <c r="C22" s="14" t="s">
        <v>77</v>
      </c>
      <c r="D22" s="14"/>
      <c r="E22" s="14"/>
      <c r="F22" s="14"/>
      <c r="G22" s="2"/>
      <c r="H22" s="14" t="s">
        <v>14</v>
      </c>
      <c r="I22" s="14" t="s">
        <v>97</v>
      </c>
      <c r="J22" s="14" t="s">
        <v>96</v>
      </c>
      <c r="K22" s="14"/>
      <c r="L22" s="1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15" t="s">
        <v>23</v>
      </c>
      <c r="B23" s="16" t="s">
        <v>98</v>
      </c>
      <c r="C23" s="18" t="s">
        <v>99</v>
      </c>
      <c r="D23" s="18"/>
      <c r="E23" s="18"/>
      <c r="F23" s="18"/>
      <c r="G23" s="2"/>
      <c r="H23" s="15" t="s">
        <v>100</v>
      </c>
      <c r="I23" s="23" t="n">
        <f aca="false">财务十年!C6</f>
        <v>0.169468571898138</v>
      </c>
      <c r="J23" s="18" t="s">
        <v>101</v>
      </c>
      <c r="K23" s="18"/>
      <c r="L23" s="1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15" t="s">
        <v>102</v>
      </c>
      <c r="B24" s="16" t="s">
        <v>103</v>
      </c>
      <c r="C24" s="18" t="s">
        <v>104</v>
      </c>
      <c r="D24" s="18"/>
      <c r="E24" s="18"/>
      <c r="F24" s="18"/>
      <c r="G24" s="2"/>
      <c r="H24" s="15" t="s">
        <v>105</v>
      </c>
      <c r="I24" s="23" t="n">
        <f aca="false">财务十年!E6</f>
        <v>0.296180745383969</v>
      </c>
      <c r="J24" s="18" t="s">
        <v>106</v>
      </c>
      <c r="K24" s="18"/>
      <c r="L24" s="1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15" t="s">
        <v>107</v>
      </c>
      <c r="B25" s="16" t="s">
        <v>108</v>
      </c>
      <c r="C25" s="18" t="s">
        <v>109</v>
      </c>
      <c r="D25" s="18"/>
      <c r="E25" s="18"/>
      <c r="F25" s="18"/>
      <c r="G25" s="2"/>
      <c r="H25" s="15" t="s">
        <v>110</v>
      </c>
      <c r="I25" s="23" t="n">
        <f aca="false">财务十年!G6</f>
        <v>1.30579130056903</v>
      </c>
      <c r="J25" s="18" t="s">
        <v>111</v>
      </c>
      <c r="K25" s="18"/>
      <c r="L25" s="1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15" t="s">
        <v>27</v>
      </c>
      <c r="B26" s="16" t="s">
        <v>112</v>
      </c>
      <c r="C26" s="18" t="s">
        <v>113</v>
      </c>
      <c r="D26" s="18"/>
      <c r="E26" s="18"/>
      <c r="F26" s="18"/>
      <c r="G26" s="2"/>
      <c r="H26" s="15" t="s">
        <v>114</v>
      </c>
      <c r="I26" s="22" t="n">
        <v>47</v>
      </c>
      <c r="J26" s="18" t="s">
        <v>115</v>
      </c>
      <c r="K26" s="18"/>
      <c r="L26" s="1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15" t="s">
        <v>116</v>
      </c>
      <c r="B27" s="16" t="s">
        <v>117</v>
      </c>
      <c r="C27" s="18" t="s">
        <v>118</v>
      </c>
      <c r="D27" s="18"/>
      <c r="E27" s="18"/>
      <c r="F27" s="18"/>
      <c r="G27" s="2"/>
      <c r="H27" s="15" t="s">
        <v>32</v>
      </c>
      <c r="I27" s="22" t="n">
        <f aca="false">数据与来源!B15</f>
        <v>126.0553013939</v>
      </c>
      <c r="J27" s="18" t="s">
        <v>119</v>
      </c>
      <c r="K27" s="18"/>
      <c r="L27" s="1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3" hidden="false" customHeight="true" outlineLevel="0" collapsed="false">
      <c r="A29" s="13" t="s">
        <v>120</v>
      </c>
      <c r="B29" s="13" t="s">
        <v>120</v>
      </c>
      <c r="C29" s="13" t="s">
        <v>120</v>
      </c>
      <c r="D29" s="13" t="s">
        <v>120</v>
      </c>
      <c r="E29" s="13" t="s">
        <v>120</v>
      </c>
      <c r="F29" s="13" t="s">
        <v>120</v>
      </c>
      <c r="G29" s="13" t="s">
        <v>120</v>
      </c>
      <c r="H29" s="13" t="s">
        <v>120</v>
      </c>
      <c r="I29" s="13" t="s">
        <v>120</v>
      </c>
      <c r="J29" s="13" t="s">
        <v>120</v>
      </c>
      <c r="K29" s="13" t="s">
        <v>120</v>
      </c>
      <c r="L29" s="13" t="s">
        <v>120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8" hidden="false" customHeight="true" outlineLevel="0" collapsed="false">
      <c r="A30" s="14" t="s">
        <v>121</v>
      </c>
      <c r="B30" s="14" t="s">
        <v>78</v>
      </c>
      <c r="C30" s="14" t="s">
        <v>122</v>
      </c>
      <c r="D30" s="14" t="s">
        <v>123</v>
      </c>
      <c r="E30" s="14" t="s">
        <v>124</v>
      </c>
      <c r="F30" s="14" t="s">
        <v>125</v>
      </c>
      <c r="G30" s="14"/>
      <c r="H30" s="14"/>
      <c r="I30" s="14"/>
      <c r="J30" s="14"/>
      <c r="K30" s="14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15" t="s">
        <v>126</v>
      </c>
      <c r="B31" s="22" t="n">
        <f aca="false">估值模型!E27</f>
        <v>18.2053044875862</v>
      </c>
      <c r="C31" s="23" t="n">
        <f aca="false">估值模型!E28</f>
        <v>-0.577012898607476</v>
      </c>
      <c r="D31" s="23" t="n">
        <v>0.45</v>
      </c>
      <c r="E31" s="22" t="n">
        <f aca="false">估值模型!E29</f>
        <v>10.0129174681724</v>
      </c>
      <c r="F31" s="18" t="s">
        <v>127</v>
      </c>
      <c r="G31" s="18"/>
      <c r="H31" s="18"/>
      <c r="I31" s="18"/>
      <c r="J31" s="18"/>
      <c r="K31" s="18"/>
      <c r="L31" s="18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35" t="s">
        <v>128</v>
      </c>
      <c r="B32" s="36" t="n">
        <f aca="false">估值模型!F27</f>
        <v>31.0663913248858</v>
      </c>
      <c r="C32" s="37" t="n">
        <f aca="false">估值模型!F28</f>
        <v>0.0758501784208908</v>
      </c>
      <c r="D32" s="37" t="n">
        <v>0.35</v>
      </c>
      <c r="E32" s="36" t="n">
        <f aca="false">估值模型!F29</f>
        <v>20.1931543611758</v>
      </c>
      <c r="F32" s="38" t="s">
        <v>129</v>
      </c>
      <c r="G32" s="38"/>
      <c r="H32" s="38"/>
      <c r="I32" s="38"/>
      <c r="J32" s="38"/>
      <c r="K32" s="38"/>
      <c r="L32" s="38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15" t="s">
        <v>130</v>
      </c>
      <c r="B33" s="22" t="n">
        <f aca="false">估值模型!G27</f>
        <v>42.2406474186575</v>
      </c>
      <c r="C33" s="23" t="n">
        <f aca="false">估值模型!G28</f>
        <v>0.320322917510045</v>
      </c>
      <c r="D33" s="23" t="n">
        <v>0.3</v>
      </c>
      <c r="E33" s="22" t="n">
        <f aca="false">估值模型!G29</f>
        <v>29.5684531930603</v>
      </c>
      <c r="F33" s="18" t="s">
        <v>131</v>
      </c>
      <c r="G33" s="18"/>
      <c r="H33" s="18"/>
      <c r="I33" s="18"/>
      <c r="J33" s="18"/>
      <c r="K33" s="18"/>
      <c r="L33" s="18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15" t="s">
        <v>132</v>
      </c>
      <c r="B34" s="22" t="n">
        <f aca="false">数据与来源!B7</f>
        <v>28.71</v>
      </c>
      <c r="C34" s="16"/>
      <c r="D34" s="16"/>
      <c r="E34" s="16"/>
      <c r="F34" s="18" t="s">
        <v>133</v>
      </c>
      <c r="G34" s="18"/>
      <c r="H34" s="18"/>
      <c r="I34" s="18"/>
      <c r="J34" s="18"/>
      <c r="K34" s="18"/>
      <c r="L34" s="18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3" hidden="false" customHeight="true" outlineLevel="0" collapsed="false">
      <c r="A36" s="13" t="s">
        <v>134</v>
      </c>
      <c r="B36" s="13" t="s">
        <v>134</v>
      </c>
      <c r="C36" s="13" t="s">
        <v>134</v>
      </c>
      <c r="D36" s="13" t="s">
        <v>134</v>
      </c>
      <c r="E36" s="13" t="s">
        <v>134</v>
      </c>
      <c r="F36" s="13" t="s">
        <v>134</v>
      </c>
      <c r="G36" s="2"/>
      <c r="H36" s="13" t="s">
        <v>135</v>
      </c>
      <c r="I36" s="13" t="s">
        <v>135</v>
      </c>
      <c r="J36" s="13" t="s">
        <v>135</v>
      </c>
      <c r="K36" s="13" t="s">
        <v>135</v>
      </c>
      <c r="L36" s="13" t="s">
        <v>135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8" hidden="false" customHeight="true" outlineLevel="0" collapsed="false">
      <c r="A37" s="14" t="s">
        <v>136</v>
      </c>
      <c r="B37" s="14" t="s">
        <v>137</v>
      </c>
      <c r="C37" s="14" t="s">
        <v>138</v>
      </c>
      <c r="D37" s="14"/>
      <c r="E37" s="14"/>
      <c r="F37" s="14"/>
      <c r="G37" s="2"/>
      <c r="H37" s="14" t="s">
        <v>139</v>
      </c>
      <c r="I37" s="14" t="s">
        <v>14</v>
      </c>
      <c r="J37" s="14" t="s">
        <v>140</v>
      </c>
      <c r="K37" s="14"/>
      <c r="L37" s="1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30" hidden="false" customHeight="true" outlineLevel="0" collapsed="false">
      <c r="A38" s="15" t="n">
        <v>1</v>
      </c>
      <c r="B38" s="16" t="s">
        <v>141</v>
      </c>
      <c r="C38" s="18" t="s">
        <v>142</v>
      </c>
      <c r="D38" s="18"/>
      <c r="E38" s="18"/>
      <c r="F38" s="18"/>
      <c r="G38" s="2"/>
      <c r="H38" s="15" t="s">
        <v>143</v>
      </c>
      <c r="I38" s="16" t="s">
        <v>144</v>
      </c>
      <c r="J38" s="18" t="s">
        <v>145</v>
      </c>
      <c r="K38" s="18"/>
      <c r="L38" s="18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30" hidden="false" customHeight="true" outlineLevel="0" collapsed="false">
      <c r="A39" s="15" t="n">
        <v>2</v>
      </c>
      <c r="B39" s="16" t="s">
        <v>146</v>
      </c>
      <c r="C39" s="18" t="s">
        <v>147</v>
      </c>
      <c r="D39" s="18"/>
      <c r="E39" s="18"/>
      <c r="F39" s="18"/>
      <c r="G39" s="2"/>
      <c r="H39" s="15" t="s">
        <v>148</v>
      </c>
      <c r="I39" s="16" t="s">
        <v>149</v>
      </c>
      <c r="J39" s="18" t="s">
        <v>150</v>
      </c>
      <c r="K39" s="18"/>
      <c r="L39" s="18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30" hidden="false" customHeight="true" outlineLevel="0" collapsed="false">
      <c r="A40" s="15" t="n">
        <v>3</v>
      </c>
      <c r="B40" s="16" t="s">
        <v>151</v>
      </c>
      <c r="C40" s="18" t="s">
        <v>152</v>
      </c>
      <c r="D40" s="18"/>
      <c r="E40" s="18"/>
      <c r="F40" s="18"/>
      <c r="G40" s="2"/>
      <c r="H40" s="15" t="s">
        <v>148</v>
      </c>
      <c r="I40" s="16" t="s">
        <v>153</v>
      </c>
      <c r="J40" s="18" t="s">
        <v>154</v>
      </c>
      <c r="K40" s="18"/>
      <c r="L40" s="1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30" hidden="false" customHeight="true" outlineLevel="0" collapsed="false">
      <c r="A41" s="2"/>
      <c r="B41" s="2"/>
      <c r="C41" s="2"/>
      <c r="D41" s="2"/>
      <c r="E41" s="2"/>
      <c r="F41" s="2"/>
      <c r="G41" s="2"/>
      <c r="H41" s="15" t="s">
        <v>148</v>
      </c>
      <c r="I41" s="16" t="s">
        <v>155</v>
      </c>
      <c r="J41" s="18" t="s">
        <v>156</v>
      </c>
      <c r="K41" s="18"/>
      <c r="L41" s="1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30" hidden="false" customHeight="true" outlineLevel="0" collapsed="false">
      <c r="A42" s="2"/>
      <c r="B42" s="2"/>
      <c r="C42" s="2"/>
      <c r="D42" s="2"/>
      <c r="E42" s="2"/>
      <c r="F42" s="2"/>
      <c r="G42" s="2"/>
      <c r="H42" s="15" t="s">
        <v>157</v>
      </c>
      <c r="I42" s="16" t="s">
        <v>158</v>
      </c>
      <c r="J42" s="18" t="s">
        <v>159</v>
      </c>
      <c r="K42" s="18"/>
      <c r="L42" s="18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3" hidden="false" customHeight="true" outlineLevel="0" collapsed="false">
      <c r="A44" s="13" t="s">
        <v>160</v>
      </c>
      <c r="B44" s="13" t="s">
        <v>160</v>
      </c>
      <c r="C44" s="13" t="s">
        <v>160</v>
      </c>
      <c r="D44" s="13" t="s">
        <v>160</v>
      </c>
      <c r="E44" s="13" t="s">
        <v>160</v>
      </c>
      <c r="F44" s="13" t="s">
        <v>160</v>
      </c>
      <c r="G44" s="13" t="s">
        <v>160</v>
      </c>
      <c r="H44" s="13" t="s">
        <v>160</v>
      </c>
      <c r="I44" s="13" t="s">
        <v>160</v>
      </c>
      <c r="J44" s="13" t="s">
        <v>160</v>
      </c>
      <c r="K44" s="13" t="s">
        <v>160</v>
      </c>
      <c r="L44" s="13" t="s">
        <v>160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12" t="s">
        <v>161</v>
      </c>
      <c r="B45" s="12" t="s">
        <v>161</v>
      </c>
      <c r="C45" s="12" t="s">
        <v>161</v>
      </c>
      <c r="D45" s="12" t="s">
        <v>161</v>
      </c>
      <c r="E45" s="12" t="s">
        <v>161</v>
      </c>
      <c r="F45" s="12" t="s">
        <v>161</v>
      </c>
      <c r="G45" s="12" t="s">
        <v>161</v>
      </c>
      <c r="H45" s="12" t="s">
        <v>161</v>
      </c>
      <c r="I45" s="12" t="s">
        <v>161</v>
      </c>
      <c r="J45" s="12" t="s">
        <v>161</v>
      </c>
      <c r="K45" s="12" t="s">
        <v>161</v>
      </c>
      <c r="L45" s="12" t="s">
        <v>161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12" t="s">
        <v>161</v>
      </c>
      <c r="B46" s="12" t="s">
        <v>161</v>
      </c>
      <c r="C46" s="12" t="s">
        <v>161</v>
      </c>
      <c r="D46" s="12" t="s">
        <v>161</v>
      </c>
      <c r="E46" s="12" t="s">
        <v>161</v>
      </c>
      <c r="F46" s="12" t="s">
        <v>161</v>
      </c>
      <c r="G46" s="12" t="s">
        <v>161</v>
      </c>
      <c r="H46" s="12" t="s">
        <v>161</v>
      </c>
      <c r="I46" s="12" t="s">
        <v>161</v>
      </c>
      <c r="J46" s="12" t="s">
        <v>161</v>
      </c>
      <c r="K46" s="12" t="s">
        <v>161</v>
      </c>
      <c r="L46" s="12" t="s">
        <v>161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12" t="s">
        <v>161</v>
      </c>
      <c r="B47" s="12" t="s">
        <v>161</v>
      </c>
      <c r="C47" s="12" t="s">
        <v>161</v>
      </c>
      <c r="D47" s="12" t="s">
        <v>161</v>
      </c>
      <c r="E47" s="12" t="s">
        <v>161</v>
      </c>
      <c r="F47" s="12" t="s">
        <v>161</v>
      </c>
      <c r="G47" s="12" t="s">
        <v>161</v>
      </c>
      <c r="H47" s="12" t="s">
        <v>161</v>
      </c>
      <c r="I47" s="12" t="s">
        <v>161</v>
      </c>
      <c r="J47" s="12" t="s">
        <v>161</v>
      </c>
      <c r="K47" s="12" t="s">
        <v>161</v>
      </c>
      <c r="L47" s="12" t="s">
        <v>161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52">
    <mergeCell ref="A2:L2"/>
    <mergeCell ref="A3:K3"/>
    <mergeCell ref="A5:L5"/>
    <mergeCell ref="A6:C6"/>
    <mergeCell ref="E6:G6"/>
    <mergeCell ref="I6:L8"/>
    <mergeCell ref="A7:C7"/>
    <mergeCell ref="E7:G7"/>
    <mergeCell ref="A8:C8"/>
    <mergeCell ref="E8:F8"/>
    <mergeCell ref="A10:L10"/>
    <mergeCell ref="A11:L12"/>
    <mergeCell ref="A14:L14"/>
    <mergeCell ref="B15:L15"/>
    <mergeCell ref="B16:L16"/>
    <mergeCell ref="B17:L17"/>
    <mergeCell ref="B18:L18"/>
    <mergeCell ref="B19:L19"/>
    <mergeCell ref="A21:F21"/>
    <mergeCell ref="H21:L21"/>
    <mergeCell ref="C22:F22"/>
    <mergeCell ref="J22:L22"/>
    <mergeCell ref="C23:F23"/>
    <mergeCell ref="J23:L23"/>
    <mergeCell ref="C24:F24"/>
    <mergeCell ref="J24:L24"/>
    <mergeCell ref="C25:F25"/>
    <mergeCell ref="J25:L25"/>
    <mergeCell ref="C26:F26"/>
    <mergeCell ref="J26:L26"/>
    <mergeCell ref="C27:F27"/>
    <mergeCell ref="J27:L27"/>
    <mergeCell ref="A29:L29"/>
    <mergeCell ref="F30:L30"/>
    <mergeCell ref="F31:L31"/>
    <mergeCell ref="F32:L32"/>
    <mergeCell ref="F33:L33"/>
    <mergeCell ref="F34:L34"/>
    <mergeCell ref="A36:F36"/>
    <mergeCell ref="H36:L36"/>
    <mergeCell ref="C37:F37"/>
    <mergeCell ref="J37:L37"/>
    <mergeCell ref="C38:F38"/>
    <mergeCell ref="J38:L38"/>
    <mergeCell ref="C39:F39"/>
    <mergeCell ref="J39:L39"/>
    <mergeCell ref="C40:F40"/>
    <mergeCell ref="J40:L40"/>
    <mergeCell ref="J41:L41"/>
    <mergeCell ref="J42:L42"/>
    <mergeCell ref="A44:L44"/>
    <mergeCell ref="A45:L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Z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42" activePane="bottomLeft" state="frozen"/>
      <selection pane="topLeft" activeCell="A1" activeCellId="0" sqref="A1"/>
      <selection pane="bottomLeft" activeCell="B48" activeCellId="0" sqref="B48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3.03"/>
    <col collapsed="false" customWidth="true" hidden="false" outlineLevel="0" max="2" min="2" style="1" width="28.25"/>
    <col collapsed="false" customWidth="true" hidden="false" outlineLevel="0" max="3" min="3" style="1" width="14.13"/>
    <col collapsed="false" customWidth="true" hidden="false" outlineLevel="0" max="5" min="4" style="1" width="12.11"/>
    <col collapsed="false" customWidth="true" hidden="false" outlineLevel="0" max="6" min="6" style="1" width="16.15"/>
    <col collapsed="false" customWidth="true" hidden="false" outlineLevel="0" max="7" min="7" style="1" width="18.16"/>
    <col collapsed="false" customWidth="true" hidden="false" outlineLevel="0" max="8" min="8" style="1" width="42.38"/>
    <col collapsed="false" customWidth="true" hidden="false" outlineLevel="0" max="9" min="9" style="1" width="3.03"/>
    <col collapsed="false" customWidth="true" hidden="false" outlineLevel="0" max="10" min="10" style="1" width="15.14"/>
    <col collapsed="false" customWidth="true" hidden="false" outlineLevel="0" max="14" min="11" style="1" width="12.11"/>
    <col collapsed="false" customWidth="false" hidden="false" outlineLevel="0" max="16384" min="15" style="1" width="8.76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2" hidden="false" customHeight="true" outlineLevel="0" collapsed="false">
      <c r="A2" s="2"/>
      <c r="B2" s="3" t="s">
        <v>162</v>
      </c>
      <c r="C2" s="3" t="s">
        <v>162</v>
      </c>
      <c r="D2" s="3" t="s">
        <v>162</v>
      </c>
      <c r="E2" s="3" t="s">
        <v>162</v>
      </c>
      <c r="F2" s="3" t="s">
        <v>162</v>
      </c>
      <c r="G2" s="3" t="s">
        <v>162</v>
      </c>
      <c r="H2" s="3" t="s">
        <v>162</v>
      </c>
      <c r="I2" s="3" t="s">
        <v>162</v>
      </c>
      <c r="J2" s="3" t="s">
        <v>162</v>
      </c>
      <c r="K2" s="3" t="s">
        <v>162</v>
      </c>
      <c r="L2" s="3" t="s">
        <v>162</v>
      </c>
      <c r="M2" s="3" t="s">
        <v>162</v>
      </c>
      <c r="N2" s="3" t="s">
        <v>162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4" hidden="false" customHeight="true" outlineLevel="0" collapsed="false">
      <c r="A3" s="2"/>
      <c r="B3" s="4" t="s">
        <v>163</v>
      </c>
      <c r="C3" s="4" t="s">
        <v>163</v>
      </c>
      <c r="D3" s="4" t="s">
        <v>163</v>
      </c>
      <c r="E3" s="4" t="s">
        <v>163</v>
      </c>
      <c r="F3" s="4" t="s">
        <v>163</v>
      </c>
      <c r="G3" s="4" t="s">
        <v>163</v>
      </c>
      <c r="H3" s="4" t="s">
        <v>163</v>
      </c>
      <c r="I3" s="4" t="s">
        <v>163</v>
      </c>
      <c r="J3" s="4" t="s">
        <v>163</v>
      </c>
      <c r="K3" s="4" t="s">
        <v>163</v>
      </c>
      <c r="L3" s="4" t="s">
        <v>163</v>
      </c>
      <c r="M3" s="4" t="s">
        <v>163</v>
      </c>
      <c r="N3" s="4" t="s">
        <v>163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39" t="s">
        <v>164</v>
      </c>
      <c r="C5" s="39"/>
      <c r="D5" s="40" t="n">
        <v>2</v>
      </c>
      <c r="E5" s="41"/>
      <c r="F5" s="42" t="str">
        <f aca="false">CHOOSE(D5,"保守","基准","积极")</f>
        <v>基准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3" hidden="false" customHeight="true" outlineLevel="0" collapsed="false">
      <c r="A7" s="2"/>
      <c r="B7" s="13" t="s">
        <v>165</v>
      </c>
      <c r="C7" s="13" t="s">
        <v>165</v>
      </c>
      <c r="D7" s="13" t="s">
        <v>165</v>
      </c>
      <c r="E7" s="13" t="s">
        <v>165</v>
      </c>
      <c r="F7" s="13" t="s">
        <v>165</v>
      </c>
      <c r="G7" s="13" t="s">
        <v>165</v>
      </c>
      <c r="H7" s="13" t="s">
        <v>165</v>
      </c>
      <c r="I7" s="2"/>
      <c r="J7" s="43" t="s">
        <v>19</v>
      </c>
      <c r="K7" s="43"/>
      <c r="L7" s="43" t="s">
        <v>166</v>
      </c>
      <c r="M7" s="43"/>
      <c r="N7" s="43" t="s">
        <v>167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8" hidden="false" customHeight="true" outlineLevel="0" collapsed="false">
      <c r="A8" s="2"/>
      <c r="B8" s="14" t="s">
        <v>168</v>
      </c>
      <c r="C8" s="14" t="s">
        <v>169</v>
      </c>
      <c r="D8" s="14" t="s">
        <v>170</v>
      </c>
      <c r="E8" s="14" t="s">
        <v>126</v>
      </c>
      <c r="F8" s="14" t="s">
        <v>128</v>
      </c>
      <c r="G8" s="14" t="s">
        <v>130</v>
      </c>
      <c r="H8" s="14" t="s">
        <v>171</v>
      </c>
      <c r="I8" s="2"/>
      <c r="J8" s="44" t="n">
        <f aca="false">数据与来源!B7</f>
        <v>28.71</v>
      </c>
      <c r="K8" s="44"/>
      <c r="L8" s="44" t="n">
        <v>2</v>
      </c>
      <c r="M8" s="44"/>
      <c r="N8" s="44" t="n">
        <v>2.5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15" t="s">
        <v>114</v>
      </c>
      <c r="C9" s="45" t="n">
        <f aca="false">CHOOSE($D$5,E9,F9,G9)</f>
        <v>47</v>
      </c>
      <c r="D9" s="16" t="s">
        <v>172</v>
      </c>
      <c r="E9" s="46" t="n">
        <v>35</v>
      </c>
      <c r="F9" s="46" t="n">
        <v>47</v>
      </c>
      <c r="G9" s="46" t="n">
        <v>57</v>
      </c>
      <c r="H9" s="47" t="s">
        <v>173</v>
      </c>
      <c r="I9" s="2"/>
      <c r="J9" s="48" t="s">
        <v>174</v>
      </c>
      <c r="K9" s="48"/>
      <c r="L9" s="48"/>
      <c r="M9" s="48"/>
      <c r="N9" s="4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/>
      <c r="B10" s="15" t="s">
        <v>175</v>
      </c>
      <c r="C10" s="49" t="n">
        <f aca="false">CHOOSE($D$5,E10,F10,G10)</f>
        <v>0.04</v>
      </c>
      <c r="D10" s="16" t="s">
        <v>176</v>
      </c>
      <c r="E10" s="50" t="n">
        <v>0</v>
      </c>
      <c r="F10" s="50" t="n">
        <v>0.04</v>
      </c>
      <c r="G10" s="50" t="n">
        <v>0.07</v>
      </c>
      <c r="H10" s="47" t="s">
        <v>177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15" t="s">
        <v>178</v>
      </c>
      <c r="C11" s="49" t="n">
        <f aca="false">CHOOSE($D$5,E11,F11,G11)</f>
        <v>0.03</v>
      </c>
      <c r="D11" s="16" t="s">
        <v>176</v>
      </c>
      <c r="E11" s="50" t="n">
        <v>0.01</v>
      </c>
      <c r="F11" s="50" t="n">
        <v>0.03</v>
      </c>
      <c r="G11" s="50" t="n">
        <v>0.04</v>
      </c>
      <c r="H11" s="47" t="s">
        <v>179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15" t="s">
        <v>180</v>
      </c>
      <c r="C12" s="49" t="n">
        <f aca="false">CHOOSE($D$5,E12,F12,G12)</f>
        <v>0.1</v>
      </c>
      <c r="D12" s="16" t="s">
        <v>176</v>
      </c>
      <c r="E12" s="50" t="n">
        <v>0.11</v>
      </c>
      <c r="F12" s="50" t="n">
        <v>0.1</v>
      </c>
      <c r="G12" s="50" t="n">
        <v>0.09</v>
      </c>
      <c r="H12" s="47" t="s">
        <v>181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15" t="s">
        <v>182</v>
      </c>
      <c r="C13" s="49" t="n">
        <f aca="false">CHOOSE($D$5,E13,F13,G13)</f>
        <v>0.02</v>
      </c>
      <c r="D13" s="16" t="s">
        <v>176</v>
      </c>
      <c r="E13" s="50" t="n">
        <v>0.01</v>
      </c>
      <c r="F13" s="50" t="n">
        <v>0.02</v>
      </c>
      <c r="G13" s="50" t="n">
        <v>0.03</v>
      </c>
      <c r="H13" s="47" t="s">
        <v>183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15" t="s">
        <v>184</v>
      </c>
      <c r="C14" s="45" t="n">
        <f aca="false">CHOOSE($D$5,E14,F14,G14)</f>
        <v>80</v>
      </c>
      <c r="D14" s="16" t="s">
        <v>172</v>
      </c>
      <c r="E14" s="46" t="n">
        <v>50</v>
      </c>
      <c r="F14" s="46" t="n">
        <v>80</v>
      </c>
      <c r="G14" s="46" t="n">
        <v>100</v>
      </c>
      <c r="H14" s="47" t="s">
        <v>185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15" t="s">
        <v>186</v>
      </c>
      <c r="C15" s="45" t="n">
        <f aca="false">CHOOSE($D$5,E15,F15,G15)</f>
        <v>22.13939223</v>
      </c>
      <c r="D15" s="16" t="s">
        <v>187</v>
      </c>
      <c r="E15" s="46" t="n">
        <v>22.13939223</v>
      </c>
      <c r="F15" s="46" t="n">
        <v>22.13939223</v>
      </c>
      <c r="G15" s="46" t="n">
        <v>22.13939223</v>
      </c>
      <c r="H15" s="47" t="s">
        <v>188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15" t="s">
        <v>189</v>
      </c>
      <c r="C16" s="45" t="n">
        <f aca="false">CHOOSE($D$5,E16,F16,G16)</f>
        <v>13</v>
      </c>
      <c r="D16" s="16" t="s">
        <v>190</v>
      </c>
      <c r="E16" s="46" t="n">
        <v>10</v>
      </c>
      <c r="F16" s="46" t="n">
        <v>13</v>
      </c>
      <c r="G16" s="46" t="n">
        <v>15</v>
      </c>
      <c r="H16" s="47" t="s">
        <v>191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15" t="s">
        <v>192</v>
      </c>
      <c r="C17" s="45" t="n">
        <f aca="false">CHOOSE($D$5,E17,F17,G17)</f>
        <v>2.4</v>
      </c>
      <c r="D17" s="16" t="s">
        <v>15</v>
      </c>
      <c r="E17" s="46" t="n">
        <v>1.9</v>
      </c>
      <c r="F17" s="46" t="n">
        <v>2.4</v>
      </c>
      <c r="G17" s="46" t="n">
        <v>2.75</v>
      </c>
      <c r="H17" s="47" t="s">
        <v>193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15" t="s">
        <v>194</v>
      </c>
      <c r="C18" s="45" t="n">
        <f aca="false">CHOOSE($D$5,E18,F18,G18)</f>
        <v>13</v>
      </c>
      <c r="D18" s="16" t="s">
        <v>190</v>
      </c>
      <c r="E18" s="46" t="n">
        <v>10</v>
      </c>
      <c r="F18" s="46" t="n">
        <v>13</v>
      </c>
      <c r="G18" s="46" t="n">
        <v>15</v>
      </c>
      <c r="H18" s="47" t="s">
        <v>195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15" t="s">
        <v>196</v>
      </c>
      <c r="C19" s="45" t="n">
        <f aca="false">CHOOSE($D$5,E19,F19,G19)</f>
        <v>1.9</v>
      </c>
      <c r="D19" s="16" t="s">
        <v>15</v>
      </c>
      <c r="E19" s="46" t="n">
        <v>1.4</v>
      </c>
      <c r="F19" s="46" t="n">
        <v>1.9</v>
      </c>
      <c r="G19" s="46" t="n">
        <v>2.3</v>
      </c>
      <c r="H19" s="47" t="s">
        <v>197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15" t="s">
        <v>198</v>
      </c>
      <c r="C20" s="49" t="n">
        <f aca="false">CHOOSE($D$5,E20,F20,G20)</f>
        <v>0.062</v>
      </c>
      <c r="D20" s="16" t="s">
        <v>176</v>
      </c>
      <c r="E20" s="50" t="n">
        <v>0.08</v>
      </c>
      <c r="F20" s="50" t="n">
        <v>0.062</v>
      </c>
      <c r="G20" s="50" t="n">
        <v>0.055</v>
      </c>
      <c r="H20" s="47" t="s">
        <v>199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15" t="s">
        <v>123</v>
      </c>
      <c r="C21" s="49" t="n">
        <f aca="false">CHOOSE($D$5,E21,F21,G21)</f>
        <v>0.35</v>
      </c>
      <c r="D21" s="16" t="s">
        <v>176</v>
      </c>
      <c r="E21" s="50" t="n">
        <v>0.45</v>
      </c>
      <c r="F21" s="50" t="n">
        <v>0.35</v>
      </c>
      <c r="G21" s="50" t="n">
        <v>0.3</v>
      </c>
      <c r="H21" s="47" t="s">
        <v>200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3" hidden="false" customHeight="true" outlineLevel="0" collapsed="false">
      <c r="A22" s="2"/>
      <c r="B22" s="13" t="s">
        <v>201</v>
      </c>
      <c r="C22" s="13" t="s">
        <v>201</v>
      </c>
      <c r="D22" s="13" t="s">
        <v>201</v>
      </c>
      <c r="E22" s="13" t="s">
        <v>201</v>
      </c>
      <c r="F22" s="13" t="s">
        <v>201</v>
      </c>
      <c r="G22" s="13" t="s">
        <v>201</v>
      </c>
      <c r="H22" s="13" t="s">
        <v>201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8" hidden="false" customHeight="true" outlineLevel="0" collapsed="false">
      <c r="A23" s="2"/>
      <c r="B23" s="14" t="s">
        <v>202</v>
      </c>
      <c r="C23" s="14" t="s">
        <v>203</v>
      </c>
      <c r="D23" s="14" t="s">
        <v>204</v>
      </c>
      <c r="E23" s="14" t="s">
        <v>126</v>
      </c>
      <c r="F23" s="14" t="s">
        <v>128</v>
      </c>
      <c r="G23" s="14" t="s">
        <v>130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15" t="s">
        <v>205</v>
      </c>
      <c r="C24" s="51" t="n">
        <v>0.45</v>
      </c>
      <c r="D24" s="22" t="n">
        <f aca="false">($C$9*$C$16+$C$14)/$C$15</f>
        <v>31.2113355606781</v>
      </c>
      <c r="E24" s="22" t="n">
        <f aca="false">(E$9*E$16+E$14)/E$15</f>
        <v>18.0673433057471</v>
      </c>
      <c r="F24" s="22" t="n">
        <f aca="false">(F$9*F$16+F$14)/F$15</f>
        <v>31.2113355606781</v>
      </c>
      <c r="G24" s="19" t="n">
        <f aca="false">(G$9*G$16+G$14)/G$15</f>
        <v>43.1357821424712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15" t="s">
        <v>206</v>
      </c>
      <c r="C25" s="51" t="n">
        <v>0.3</v>
      </c>
      <c r="D25" s="22" t="n">
        <f aca="false">$C$17*$C$18</f>
        <v>31.2</v>
      </c>
      <c r="E25" s="22" t="n">
        <f aca="false">E$17*E$18</f>
        <v>19</v>
      </c>
      <c r="F25" s="22" t="n">
        <f aca="false">F$17*F$18</f>
        <v>31.2</v>
      </c>
      <c r="G25" s="19" t="n">
        <f aca="false">G$17*G$18</f>
        <v>41.25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15" t="s">
        <v>207</v>
      </c>
      <c r="C26" s="51" t="n">
        <v>0.25</v>
      </c>
      <c r="D26" s="22" t="n">
        <f aca="false">$C$19/$C$20</f>
        <v>30.6451612903226</v>
      </c>
      <c r="E26" s="22" t="n">
        <f aca="false">E$19/E$20</f>
        <v>17.5</v>
      </c>
      <c r="F26" s="22" t="n">
        <f aca="false">F$19/F$20</f>
        <v>30.6451612903226</v>
      </c>
      <c r="G26" s="19" t="n">
        <f aca="false">G$19/G$20</f>
        <v>41.8181818181818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52" t="s">
        <v>208</v>
      </c>
      <c r="C27" s="53" t="n">
        <v>1</v>
      </c>
      <c r="D27" s="54" t="n">
        <f aca="false">SUMPRODUCT($C$24:$C$26,D24:D26)</f>
        <v>31.0663913248858</v>
      </c>
      <c r="E27" s="54" t="n">
        <f aca="false">SUMPRODUCT($C$24:$C$26,E24:E26)</f>
        <v>18.2053044875862</v>
      </c>
      <c r="F27" s="54" t="n">
        <f aca="false">SUMPRODUCT($C$24:$C$26,F24:F26)</f>
        <v>31.0663913248858</v>
      </c>
      <c r="G27" s="55" t="n">
        <f aca="false">SUMPRODUCT($C$24:$C$26,G24:G26)</f>
        <v>42.2406474186575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35" t="s">
        <v>122</v>
      </c>
      <c r="C28" s="20"/>
      <c r="D28" s="37" t="n">
        <f aca="false">1-$J$8/D27</f>
        <v>0.0758501784208908</v>
      </c>
      <c r="E28" s="37" t="n">
        <f aca="false">1-$J$8/E27</f>
        <v>-0.577012898607476</v>
      </c>
      <c r="F28" s="37" t="n">
        <f aca="false">1-$J$8/F27</f>
        <v>0.0758501784208908</v>
      </c>
      <c r="G28" s="56" t="n">
        <f aca="false">1-$J$8/G27</f>
        <v>0.320322917510045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35" t="s">
        <v>209</v>
      </c>
      <c r="C29" s="20"/>
      <c r="D29" s="36" t="n">
        <f aca="false">D27*(1-$C$21)</f>
        <v>20.1931543611758</v>
      </c>
      <c r="E29" s="36" t="n">
        <f aca="false">E27*(1-E$21)</f>
        <v>10.0129174681724</v>
      </c>
      <c r="F29" s="36" t="n">
        <f aca="false">F27*(1-F$21)</f>
        <v>20.1931543611758</v>
      </c>
      <c r="G29" s="57" t="n">
        <f aca="false">G27*(1-G$21)</f>
        <v>29.5684531930603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3" hidden="false" customHeight="true" outlineLevel="0" collapsed="false">
      <c r="A32" s="2"/>
      <c r="B32" s="13" t="s">
        <v>210</v>
      </c>
      <c r="C32" s="13" t="s">
        <v>210</v>
      </c>
      <c r="D32" s="13" t="s">
        <v>210</v>
      </c>
      <c r="E32" s="13" t="s">
        <v>210</v>
      </c>
      <c r="F32" s="13" t="s">
        <v>210</v>
      </c>
      <c r="G32" s="13" t="s">
        <v>210</v>
      </c>
      <c r="H32" s="13" t="s">
        <v>210</v>
      </c>
      <c r="I32" s="13" t="s">
        <v>210</v>
      </c>
      <c r="J32" s="13" t="s">
        <v>210</v>
      </c>
      <c r="K32" s="13" t="s">
        <v>210</v>
      </c>
      <c r="L32" s="13" t="s">
        <v>210</v>
      </c>
      <c r="M32" s="13" t="s">
        <v>210</v>
      </c>
      <c r="N32" s="13" t="s">
        <v>210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8" hidden="false" customHeight="true" outlineLevel="0" collapsed="false">
      <c r="A33" s="2"/>
      <c r="B33" s="14" t="s">
        <v>211</v>
      </c>
      <c r="C33" s="14" t="n">
        <v>0</v>
      </c>
      <c r="D33" s="14" t="n">
        <v>1</v>
      </c>
      <c r="E33" s="14" t="n">
        <v>2</v>
      </c>
      <c r="F33" s="14" t="n">
        <v>3</v>
      </c>
      <c r="G33" s="14" t="n">
        <v>4</v>
      </c>
      <c r="H33" s="14" t="n">
        <v>5</v>
      </c>
      <c r="I33" s="14" t="n">
        <v>6</v>
      </c>
      <c r="J33" s="14" t="n">
        <v>7</v>
      </c>
      <c r="K33" s="14" t="n">
        <v>8</v>
      </c>
      <c r="L33" s="14" t="n">
        <v>9</v>
      </c>
      <c r="M33" s="14" t="n">
        <v>10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15" t="s">
        <v>212</v>
      </c>
      <c r="C34" s="22" t="n">
        <f aca="false">$C$9</f>
        <v>47</v>
      </c>
      <c r="D34" s="22" t="n">
        <f aca="false">C34*(1+IF(D$33&lt;=5,$C$10,$C$11))</f>
        <v>48.88</v>
      </c>
      <c r="E34" s="22" t="n">
        <f aca="false">D34*(1+IF(E$33&lt;=5,$C$10,$C$11))</f>
        <v>50.8352</v>
      </c>
      <c r="F34" s="22" t="n">
        <f aca="false">E34*(1+IF(F$33&lt;=5,$C$10,$C$11))</f>
        <v>52.868608</v>
      </c>
      <c r="G34" s="22" t="n">
        <f aca="false">F34*(1+IF(G$33&lt;=5,$C$10,$C$11))</f>
        <v>54.98335232</v>
      </c>
      <c r="H34" s="22" t="n">
        <f aca="false">G34*(1+IF(H$33&lt;=5,$C$10,$C$11))</f>
        <v>57.1826864128</v>
      </c>
      <c r="I34" s="22" t="n">
        <f aca="false">H34*(1+IF(I$33&lt;=5,$C$10,$C$11))</f>
        <v>58.898167005184</v>
      </c>
      <c r="J34" s="22" t="n">
        <f aca="false">I34*(1+IF(J$33&lt;=5,$C$10,$C$11))</f>
        <v>60.6651120153395</v>
      </c>
      <c r="K34" s="22" t="n">
        <f aca="false">J34*(1+IF(K$33&lt;=5,$C$10,$C$11))</f>
        <v>62.4850653757997</v>
      </c>
      <c r="L34" s="22" t="n">
        <f aca="false">K34*(1+IF(L$33&lt;=5,$C$10,$C$11))</f>
        <v>64.3596173370737</v>
      </c>
      <c r="M34" s="19" t="n">
        <f aca="false">L34*(1+IF(M$33&lt;=5,$C$10,$C$11))</f>
        <v>66.2904058571859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15" t="s">
        <v>213</v>
      </c>
      <c r="C35" s="22" t="n">
        <v>1</v>
      </c>
      <c r="D35" s="22" t="n">
        <f aca="false">1/(1+$C$12)^D$33</f>
        <v>0.909090909090909</v>
      </c>
      <c r="E35" s="22" t="n">
        <f aca="false">1/(1+$C$12)^E$33</f>
        <v>0.826446280991735</v>
      </c>
      <c r="F35" s="22" t="n">
        <f aca="false">1/(1+$C$12)^F$33</f>
        <v>0.751314800901578</v>
      </c>
      <c r="G35" s="22" t="n">
        <f aca="false">1/(1+$C$12)^G$33</f>
        <v>0.683013455365071</v>
      </c>
      <c r="H35" s="22" t="n">
        <f aca="false">1/(1+$C$12)^H$33</f>
        <v>0.620921323059155</v>
      </c>
      <c r="I35" s="22" t="n">
        <f aca="false">1/(1+$C$12)^I$33</f>
        <v>0.564473930053777</v>
      </c>
      <c r="J35" s="22" t="n">
        <f aca="false">1/(1+$C$12)^J$33</f>
        <v>0.513158118230707</v>
      </c>
      <c r="K35" s="22" t="n">
        <f aca="false">1/(1+$C$12)^K$33</f>
        <v>0.466507380209733</v>
      </c>
      <c r="L35" s="22" t="n">
        <f aca="false">1/(1+$C$12)^L$33</f>
        <v>0.424097618372485</v>
      </c>
      <c r="M35" s="19" t="n">
        <f aca="false">1/(1+$C$12)^M$33</f>
        <v>0.385543289429531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15" t="s">
        <v>214</v>
      </c>
      <c r="C36" s="22" t="n">
        <v>0</v>
      </c>
      <c r="D36" s="22" t="n">
        <f aca="false">D34*D35</f>
        <v>44.4363636363636</v>
      </c>
      <c r="E36" s="22" t="n">
        <f aca="false">E34*E35</f>
        <v>42.0125619834711</v>
      </c>
      <c r="F36" s="22" t="n">
        <f aca="false">F34*F35</f>
        <v>39.7209676934636</v>
      </c>
      <c r="G36" s="22" t="n">
        <f aca="false">G34*G35</f>
        <v>37.5543694556383</v>
      </c>
      <c r="H36" s="22" t="n">
        <f aca="false">H34*H35</f>
        <v>35.5059493035125</v>
      </c>
      <c r="I36" s="22" t="n">
        <f aca="false">I34*I35</f>
        <v>33.2464798023799</v>
      </c>
      <c r="J36" s="22" t="n">
        <f aca="false">J34*J35</f>
        <v>31.1307947240467</v>
      </c>
      <c r="K36" s="22" t="n">
        <f aca="false">K34*K35</f>
        <v>29.1497441506982</v>
      </c>
      <c r="L36" s="22" t="n">
        <f aca="false">L34*L35</f>
        <v>27.2947604320174</v>
      </c>
      <c r="M36" s="19" t="n">
        <f aca="false">M34*M35</f>
        <v>25.5578211317981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15" t="s">
        <v>215</v>
      </c>
      <c r="C38" s="16"/>
      <c r="D38" s="19" t="n">
        <f aca="false">M34*(1+$C$13)/($C$12-$C$13)</f>
        <v>845.202674679121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15" t="s">
        <v>216</v>
      </c>
      <c r="C39" s="16"/>
      <c r="D39" s="19" t="n">
        <f aca="false">D38*M35</f>
        <v>325.862219430426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15" t="s">
        <v>217</v>
      </c>
      <c r="C40" s="16"/>
      <c r="D40" s="19" t="n">
        <f aca="false">SUM(D36:M36)+D39+$C$14</f>
        <v>751.472031743816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52" t="s">
        <v>218</v>
      </c>
      <c r="C41" s="58"/>
      <c r="D41" s="55" t="n">
        <f aca="false">D40/$C$15</f>
        <v>33.942757955457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15" t="s">
        <v>219</v>
      </c>
      <c r="C42" s="16"/>
      <c r="D42" s="19" t="n">
        <f aca="false">D41-D27</f>
        <v>2.87636663057122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34" hidden="false" customHeight="true" outlineLevel="0" collapsed="false">
      <c r="A44" s="2"/>
      <c r="B44" s="59" t="s">
        <v>220</v>
      </c>
      <c r="C44" s="33" t="s">
        <v>221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34" hidden="false" customHeight="true" outlineLevel="0" collapsed="false">
      <c r="A45" s="2"/>
      <c r="B45" s="59" t="s">
        <v>222</v>
      </c>
      <c r="C45" s="33" t="s">
        <v>223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34" hidden="false" customHeight="true" outlineLevel="0" collapsed="false">
      <c r="A46" s="2"/>
      <c r="B46" s="59" t="s">
        <v>224</v>
      </c>
      <c r="C46" s="33" t="s">
        <v>225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3" hidden="false" customHeight="true" outlineLevel="0" collapsed="false">
      <c r="A48" s="2"/>
      <c r="B48" s="13" t="s">
        <v>226</v>
      </c>
      <c r="C48" s="13" t="s">
        <v>226</v>
      </c>
      <c r="D48" s="13" t="s">
        <v>226</v>
      </c>
      <c r="E48" s="13" t="s">
        <v>226</v>
      </c>
      <c r="F48" s="13" t="s">
        <v>226</v>
      </c>
      <c r="G48" s="13" t="s">
        <v>226</v>
      </c>
      <c r="H48" s="13" t="s">
        <v>226</v>
      </c>
      <c r="I48" s="2"/>
      <c r="J48" s="13" t="s">
        <v>227</v>
      </c>
      <c r="K48" s="13" t="s">
        <v>227</v>
      </c>
      <c r="L48" s="13" t="s">
        <v>227</v>
      </c>
      <c r="M48" s="13" t="s">
        <v>227</v>
      </c>
      <c r="N48" s="13" t="s">
        <v>227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8" hidden="false" customHeight="true" outlineLevel="0" collapsed="false">
      <c r="A49" s="2"/>
      <c r="B49" s="14" t="s">
        <v>202</v>
      </c>
      <c r="C49" s="14" t="s">
        <v>228</v>
      </c>
      <c r="D49" s="14" t="s">
        <v>170</v>
      </c>
      <c r="E49" s="14" t="s">
        <v>229</v>
      </c>
      <c r="F49" s="14" t="s">
        <v>230</v>
      </c>
      <c r="G49" s="14" t="s">
        <v>231</v>
      </c>
      <c r="H49" s="14" t="s">
        <v>232</v>
      </c>
      <c r="I49" s="2"/>
      <c r="J49" s="14" t="s">
        <v>233</v>
      </c>
      <c r="K49" s="60" t="n">
        <v>0.09</v>
      </c>
      <c r="L49" s="60" t="n">
        <v>0.1</v>
      </c>
      <c r="M49" s="60" t="n">
        <v>0.11</v>
      </c>
      <c r="N49" s="60" t="n">
        <v>0.12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30" hidden="false" customHeight="true" outlineLevel="0" collapsed="false">
      <c r="A50" s="2"/>
      <c r="B50" s="61" t="s">
        <v>234</v>
      </c>
      <c r="C50" s="62" t="n">
        <f aca="false">D27</f>
        <v>31.0663913248858</v>
      </c>
      <c r="D50" s="63" t="s">
        <v>15</v>
      </c>
      <c r="E50" s="64" t="n">
        <f aca="false">1-$J$8/C50</f>
        <v>0.0758501784208908</v>
      </c>
      <c r="F50" s="65" t="s">
        <v>235</v>
      </c>
      <c r="G50" s="65" t="s">
        <v>236</v>
      </c>
      <c r="H50" s="66" t="s">
        <v>237</v>
      </c>
      <c r="I50" s="2"/>
      <c r="J50" s="67" t="n">
        <v>0.01</v>
      </c>
      <c r="K50" s="22" t="n">
        <f aca="false">($D$34/(1+K$49)^1+$E$34/(1+K$49)^2+$F$34/(1+K$49)^3+$G$34/(1+K$49)^4+$H$34/(1+K$49)^5+$I$34/(1+K$49)^6+$J$34/(1+K$49)^7+$K$34/(1+K$49)^8+$L$34/(1+K$49)^9+$M$34/(1+K$49)^10+($M$34*(1+$J50)/(K$49-$J50))/(1+K$49)^10+$C$14)/$C$15</f>
        <v>35.9265979187277</v>
      </c>
      <c r="L50" s="22" t="n">
        <f aca="false">($D$34/(1+L$49)^1+$E$34/(1+L$49)^2+$F$34/(1+L$49)^3+$G$34/(1+L$49)^4+$H$34/(1+L$49)^5+$I$34/(1+L$49)^6+$J$34/(1+L$49)^7+$K$34/(1+L$49)^8+$L$34/(1+L$49)^9+$M$34/(1+L$49)^10+($M$34*(1+$J50)/(L$49-$J50))/(1+L$49)^10+$C$14)/$C$15</f>
        <v>32.1790839228578</v>
      </c>
      <c r="M50" s="22" t="n">
        <f aca="false">($D$34/(1+M$49)^1+$E$34/(1+M$49)^2+$F$34/(1+M$49)^3+$G$34/(1+M$49)^4+$H$34/(1+M$49)^5+$I$34/(1+M$49)^6+$J$34/(1+M$49)^7+$K$34/(1+M$49)^8+$L$34/(1+M$49)^9+$M$34/(1+M$49)^10+($M$34*(1+$J50)/(M$49-$J50))/(1+M$49)^10+$C$14)/$C$15</f>
        <v>29.1893745525243</v>
      </c>
      <c r="N50" s="19" t="n">
        <f aca="false">($D$34/(1+N$49)^1+$E$34/(1+N$49)^2+$F$34/(1+N$49)^3+$G$34/(1+N$49)^4+$H$34/(1+N$49)^5+$I$34/(1+N$49)^6+$J$34/(1+N$49)^7+$K$34/(1+N$49)^8+$L$34/(1+N$49)^9+$M$34/(1+N$49)^10+($M$34*(1+$J50)/(N$49-$J50))/(1+N$49)^10+$C$14)/$C$15</f>
        <v>26.7502376055198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30" hidden="false" customHeight="true" outlineLevel="0" collapsed="false">
      <c r="A51" s="2"/>
      <c r="B51" s="15" t="s">
        <v>238</v>
      </c>
      <c r="C51" s="22" t="n">
        <f aca="false">D41</f>
        <v>33.942757955457</v>
      </c>
      <c r="D51" s="16" t="s">
        <v>15</v>
      </c>
      <c r="E51" s="23" t="n">
        <f aca="false">1-$J$8/C51</f>
        <v>0.154164194975669</v>
      </c>
      <c r="F51" s="68" t="s">
        <v>239</v>
      </c>
      <c r="G51" s="68" t="s">
        <v>240</v>
      </c>
      <c r="H51" s="47" t="s">
        <v>241</v>
      </c>
      <c r="I51" s="2"/>
      <c r="J51" s="67" t="n">
        <v>0.02</v>
      </c>
      <c r="K51" s="22" t="n">
        <f aca="false">($D$34/(1+K$49)^1+$E$34/(1+K$49)^2+$F$34/(1+K$49)^3+$G$34/(1+K$49)^4+$H$34/(1+K$49)^5+$I$34/(1+K$49)^6+$J$34/(1+K$49)^7+$K$34/(1+K$49)^8+$L$34/(1+K$49)^9+$M$34/(1+K$49)^10+($M$34*(1+$J51)/(K$49-$J51))/(1+K$49)^10+$C$14)/$C$15</f>
        <v>38.3884302728745</v>
      </c>
      <c r="L51" s="22" t="n">
        <f aca="false">($D$34/(1+L$49)^1+$E$34/(1+L$49)^2+$F$34/(1+L$49)^3+$G$34/(1+L$49)^4+$H$34/(1+L$49)^5+$I$34/(1+L$49)^6+$J$34/(1+L$49)^7+$K$34/(1+L$49)^8+$L$34/(1+L$49)^9+$M$34/(1+L$49)^10+($M$34*(1+$J51)/(L$49-$J51))/(1+L$49)^10+$C$14)/$C$15</f>
        <v>33.942757955457</v>
      </c>
      <c r="M51" s="22" t="n">
        <f aca="false">($D$34/(1+M$49)^1+$E$34/(1+M$49)^2+$F$34/(1+M$49)^3+$G$34/(1+M$49)^4+$H$34/(1+M$49)^5+$I$34/(1+M$49)^6+$J$34/(1+M$49)^7+$K$34/(1+M$49)^8+$L$34/(1+M$49)^9+$M$34/(1+M$49)^10+($M$34*(1+$J51)/(M$49-$J51))/(1+M$49)^10+$C$14)/$C$15</f>
        <v>30.4899503411529</v>
      </c>
      <c r="N51" s="19" t="n">
        <f aca="false">($D$34/(1+N$49)^1+$E$34/(1+N$49)^2+$F$34/(1+N$49)^3+$G$34/(1+N$49)^4+$H$34/(1+N$49)^5+$I$34/(1+N$49)^6+$J$34/(1+N$49)^7+$K$34/(1+N$49)^8+$L$34/(1+N$49)^9+$M$34/(1+N$49)^10+($M$34*(1+$J51)/(N$49-$J51))/(1+N$49)^10+$C$14)/$C$15</f>
        <v>27.7318275353548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30" hidden="false" customHeight="true" outlineLevel="0" collapsed="false">
      <c r="A52" s="2"/>
      <c r="B52" s="15" t="s">
        <v>242</v>
      </c>
      <c r="C52" s="22" t="n">
        <f aca="false">$C$19*(1+$C$11)/($C$12-$C$11)</f>
        <v>27.9571428571429</v>
      </c>
      <c r="D52" s="16" t="s">
        <v>15</v>
      </c>
      <c r="E52" s="23" t="n">
        <f aca="false">1-$J$8/C52</f>
        <v>-0.0269289729177316</v>
      </c>
      <c r="F52" s="68" t="s">
        <v>243</v>
      </c>
      <c r="G52" s="68" t="s">
        <v>244</v>
      </c>
      <c r="H52" s="47" t="s">
        <v>245</v>
      </c>
      <c r="I52" s="2"/>
      <c r="J52" s="67" t="n">
        <v>0.03</v>
      </c>
      <c r="K52" s="22" t="n">
        <f aca="false">($D$34/(1+K$49)^1+$E$34/(1+K$49)^2+$F$34/(1+K$49)^3+$G$34/(1+K$49)^4+$H$34/(1+K$49)^5+$I$34/(1+K$49)^6+$J$34/(1+K$49)^7+$K$34/(1+K$49)^8+$L$34/(1+K$49)^9+$M$34/(1+K$49)^10+($M$34*(1+$J52)/(K$49-$J52))/(1+K$49)^10+$C$14)/$C$15</f>
        <v>41.670873411737</v>
      </c>
      <c r="L52" s="22" t="n">
        <f aca="false">($D$34/(1+L$49)^1+$E$34/(1+L$49)^2+$F$34/(1+L$49)^3+$G$34/(1+L$49)^4+$H$34/(1+L$49)^5+$I$34/(1+L$49)^6+$J$34/(1+L$49)^7+$K$34/(1+L$49)^8+$L$34/(1+L$49)^9+$M$34/(1+L$49)^10+($M$34*(1+$J52)/(L$49-$J52))/(1+L$49)^10+$C$14)/$C$15</f>
        <v>36.2103388545132</v>
      </c>
      <c r="M52" s="22" t="n">
        <f aca="false">($D$34/(1+M$49)^1+$E$34/(1+M$49)^2+$F$34/(1+M$49)^3+$G$34/(1+M$49)^4+$H$34/(1+M$49)^5+$I$34/(1+M$49)^6+$J$34/(1+M$49)^7+$K$34/(1+M$49)^8+$L$34/(1+M$49)^9+$M$34/(1+M$49)^10+($M$34*(1+$J52)/(M$49-$J52))/(1+M$49)^10+$C$14)/$C$15</f>
        <v>32.1156700769388</v>
      </c>
      <c r="N52" s="19" t="n">
        <f aca="false">($D$34/(1+N$49)^1+$E$34/(1+N$49)^2+$F$34/(1+N$49)^3+$G$34/(1+N$49)^4+$H$34/(1+N$49)^5+$I$34/(1+N$49)^6+$J$34/(1+N$49)^7+$K$34/(1+N$49)^8+$L$34/(1+N$49)^9+$M$34/(1+N$49)^10+($M$34*(1+$J52)/(N$49-$J52))/(1+N$49)^10+$C$14)/$C$15</f>
        <v>28.9315485607087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30" hidden="false" customHeight="true" outlineLevel="0" collapsed="false">
      <c r="A53" s="2"/>
      <c r="B53" s="15" t="s">
        <v>246</v>
      </c>
      <c r="C53" s="22" t="n">
        <f aca="false">(数据与来源!K34/100000000/数据与来源!B9)*(25%-$C$11)/($C$12-$C$11)</f>
        <v>20.2773693922685</v>
      </c>
      <c r="D53" s="16" t="s">
        <v>15</v>
      </c>
      <c r="E53" s="23" t="n">
        <f aca="false">1-$J$8/C53</f>
        <v>-0.415864131318079</v>
      </c>
      <c r="F53" s="68" t="s">
        <v>247</v>
      </c>
      <c r="G53" s="68" t="s">
        <v>248</v>
      </c>
      <c r="H53" s="47" t="s">
        <v>249</v>
      </c>
      <c r="I53" s="2"/>
      <c r="J53" s="67" t="n">
        <v>0.04</v>
      </c>
      <c r="K53" s="22" t="n">
        <f aca="false">($D$34/(1+K$49)^1+$E$34/(1+K$49)^2+$F$34/(1+K$49)^3+$G$34/(1+K$49)^4+$H$34/(1+K$49)^5+$I$34/(1+K$49)^6+$J$34/(1+K$49)^7+$K$34/(1+K$49)^8+$L$34/(1+K$49)^9+$M$34/(1+K$49)^10+($M$34*(1+$J53)/(K$49-$J53))/(1+K$49)^10+$C$14)/$C$15</f>
        <v>46.2662938061445</v>
      </c>
      <c r="L53" s="22" t="n">
        <f aca="false">($D$34/(1+L$49)^1+$E$34/(1+L$49)^2+$F$34/(1+L$49)^3+$G$34/(1+L$49)^4+$H$34/(1+L$49)^5+$I$34/(1+L$49)^6+$J$34/(1+L$49)^7+$K$34/(1+L$49)^8+$L$34/(1+L$49)^9+$M$34/(1+L$49)^10+($M$34*(1+$J53)/(L$49-$J53))/(1+L$49)^10+$C$14)/$C$15</f>
        <v>39.2337800532548</v>
      </c>
      <c r="M53" s="22" t="n">
        <f aca="false">($D$34/(1+M$49)^1+$E$34/(1+M$49)^2+$F$34/(1+M$49)^3+$G$34/(1+M$49)^4+$H$34/(1+M$49)^5+$I$34/(1+M$49)^6+$J$34/(1+M$49)^7+$K$34/(1+M$49)^8+$L$34/(1+M$49)^9+$M$34/(1+M$49)^10+($M$34*(1+$J53)/(M$49-$J53))/(1+M$49)^10+$C$14)/$C$15</f>
        <v>34.2058811658063</v>
      </c>
      <c r="N53" s="19" t="n">
        <f aca="false">($D$34/(1+N$49)^1+$E$34/(1+N$49)^2+$F$34/(1+N$49)^3+$G$34/(1+N$49)^4+$H$34/(1+N$49)^5+$I$34/(1+N$49)^6+$J$34/(1+N$49)^7+$K$34/(1+N$49)^8+$L$34/(1+N$49)^9+$M$34/(1+N$49)^10+($M$34*(1+$J53)/(N$49-$J53))/(1+N$49)^10+$C$14)/$C$15</f>
        <v>30.431199842401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32" hidden="false" customHeight="true" outlineLevel="0" collapsed="false">
      <c r="A54" s="2"/>
      <c r="B54" s="15" t="s">
        <v>250</v>
      </c>
      <c r="C54" s="22" t="n">
        <f aca="false">数据与来源!B16</f>
        <v>5.69371101448253</v>
      </c>
      <c r="D54" s="16" t="s">
        <v>15</v>
      </c>
      <c r="E54" s="23" t="n">
        <f aca="false">1-$J$8/C54</f>
        <v>-4.04240554657115</v>
      </c>
      <c r="F54" s="68" t="s">
        <v>251</v>
      </c>
      <c r="G54" s="68" t="s">
        <v>252</v>
      </c>
      <c r="H54" s="47" t="s">
        <v>253</v>
      </c>
      <c r="I54" s="2"/>
      <c r="J54" s="69" t="s">
        <v>254</v>
      </c>
      <c r="K54" s="69"/>
      <c r="L54" s="69"/>
      <c r="M54" s="69"/>
      <c r="N54" s="6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30" hidden="false" customHeight="true" outlineLevel="0" collapsed="false">
      <c r="A55" s="2"/>
      <c r="B55" s="15" t="s">
        <v>255</v>
      </c>
      <c r="C55" s="22" t="n">
        <f aca="false">$J$8/(数据与来源!G34/100000000/数据与来源!B9)</f>
        <v>11.6720668183141</v>
      </c>
      <c r="D55" s="16" t="s">
        <v>190</v>
      </c>
      <c r="E55" s="16"/>
      <c r="F55" s="68" t="s">
        <v>256</v>
      </c>
      <c r="G55" s="68" t="s">
        <v>257</v>
      </c>
      <c r="H55" s="47" t="s">
        <v>258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7">
    <mergeCell ref="B2:N2"/>
    <mergeCell ref="B3:N3"/>
    <mergeCell ref="B5:C5"/>
    <mergeCell ref="B7:H7"/>
    <mergeCell ref="J7:K7"/>
    <mergeCell ref="L7:M7"/>
    <mergeCell ref="J8:K8"/>
    <mergeCell ref="L8:M8"/>
    <mergeCell ref="J9:N9"/>
    <mergeCell ref="B22:H22"/>
    <mergeCell ref="B32:N32"/>
    <mergeCell ref="C44:N44"/>
    <mergeCell ref="C45:N45"/>
    <mergeCell ref="C46:N46"/>
    <mergeCell ref="B48:H48"/>
    <mergeCell ref="J48:N48"/>
    <mergeCell ref="J54:N54"/>
  </mergeCells>
  <conditionalFormatting sqref="D28:G28">
    <cfRule type="cellIs" priority="2" operator="lessThan" aboveAverage="0" equalAverage="0" bottom="0" percent="0" rank="0" text="" dxfId="0">
      <formula>0.1</formula>
    </cfRule>
    <cfRule type="cellIs" priority="3" operator="greaterThanOrEqual" aboveAverage="0" equalAverage="0" bottom="0" percent="0" rank="0" text="" dxfId="1">
      <formula>0.2</formula>
    </cfRule>
  </conditionalFormatting>
  <dataValidations count="1">
    <dataValidation allowBlank="false" errorStyle="stop" operator="between" showDropDown="false" showErrorMessage="false" showInputMessage="false" sqref="D5" type="whole">
      <formula1>1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E0B4"/>
    <pageSetUpPr fitToPage="false"/>
  </sheetPr>
  <dimension ref="A1:Z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H21" activeCellId="0" sqref="H2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11.1"/>
    <col collapsed="false" customWidth="true" hidden="false" outlineLevel="0" max="2" min="2" style="1" width="14.13"/>
    <col collapsed="false" customWidth="true" hidden="false" outlineLevel="0" max="3" min="3" style="1" width="11.1"/>
    <col collapsed="false" customWidth="true" hidden="false" outlineLevel="0" max="5" min="4" style="1" width="14.13"/>
    <col collapsed="false" customWidth="true" hidden="false" outlineLevel="0" max="6" min="6" style="1" width="12.11"/>
    <col collapsed="false" customWidth="true" hidden="false" outlineLevel="0" max="7" min="7" style="1" width="15.14"/>
    <col collapsed="false" customWidth="true" hidden="false" outlineLevel="0" max="8" min="8" style="1" width="13.12"/>
    <col collapsed="false" customWidth="true" hidden="false" outlineLevel="0" max="9" min="9" style="1" width="11.1"/>
    <col collapsed="false" customWidth="true" hidden="false" outlineLevel="0" max="10" min="10" style="1" width="12.11"/>
    <col collapsed="false" customWidth="true" hidden="false" outlineLevel="0" max="11" min="11" style="1" width="9.08"/>
    <col collapsed="false" customWidth="true" hidden="false" outlineLevel="0" max="12" min="12" style="1" width="11.1"/>
    <col collapsed="false" customWidth="true" hidden="false" outlineLevel="0" max="13" min="13" style="1" width="3.03"/>
    <col collapsed="false" customWidth="true" hidden="false" outlineLevel="0" max="23" min="14" style="1" width="12.11"/>
    <col collapsed="false" customWidth="false" hidden="false" outlineLevel="0" max="16384" min="24" style="1" width="8.76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2" hidden="false" customHeight="true" outlineLevel="0" collapsed="false">
      <c r="A2" s="3" t="s">
        <v>259</v>
      </c>
      <c r="B2" s="3" t="s">
        <v>259</v>
      </c>
      <c r="C2" s="3" t="s">
        <v>259</v>
      </c>
      <c r="D2" s="3" t="s">
        <v>259</v>
      </c>
      <c r="E2" s="3" t="s">
        <v>259</v>
      </c>
      <c r="F2" s="3" t="s">
        <v>259</v>
      </c>
      <c r="G2" s="3" t="s">
        <v>259</v>
      </c>
      <c r="H2" s="3" t="s">
        <v>259</v>
      </c>
      <c r="I2" s="3" t="s">
        <v>259</v>
      </c>
      <c r="J2" s="3" t="s">
        <v>259</v>
      </c>
      <c r="K2" s="3" t="s">
        <v>259</v>
      </c>
      <c r="L2" s="3" t="s">
        <v>259</v>
      </c>
      <c r="M2" s="3" t="s">
        <v>259</v>
      </c>
      <c r="N2" s="3" t="s">
        <v>259</v>
      </c>
      <c r="O2" s="3" t="s">
        <v>259</v>
      </c>
      <c r="P2" s="3" t="s">
        <v>259</v>
      </c>
      <c r="Q2" s="3" t="s">
        <v>259</v>
      </c>
      <c r="R2" s="3" t="s">
        <v>259</v>
      </c>
      <c r="S2" s="3" t="s">
        <v>259</v>
      </c>
      <c r="T2" s="3" t="s">
        <v>259</v>
      </c>
      <c r="U2" s="3" t="s">
        <v>259</v>
      </c>
      <c r="V2" s="3" t="s">
        <v>259</v>
      </c>
      <c r="W2" s="3" t="s">
        <v>259</v>
      </c>
      <c r="X2" s="2"/>
      <c r="Y2" s="2"/>
      <c r="Z2" s="2"/>
    </row>
    <row r="3" customFormat="false" ht="24" hidden="false" customHeight="true" outlineLevel="0" collapsed="false">
      <c r="A3" s="4" t="s">
        <v>260</v>
      </c>
      <c r="B3" s="4" t="s">
        <v>260</v>
      </c>
      <c r="C3" s="4" t="s">
        <v>260</v>
      </c>
      <c r="D3" s="4" t="s">
        <v>260</v>
      </c>
      <c r="E3" s="4" t="s">
        <v>260</v>
      </c>
      <c r="F3" s="4" t="s">
        <v>260</v>
      </c>
      <c r="G3" s="4" t="s">
        <v>260</v>
      </c>
      <c r="H3" s="4" t="s">
        <v>260</v>
      </c>
      <c r="I3" s="4" t="s">
        <v>260</v>
      </c>
      <c r="J3" s="4" t="s">
        <v>260</v>
      </c>
      <c r="K3" s="4" t="s">
        <v>260</v>
      </c>
      <c r="L3" s="4" t="s">
        <v>260</v>
      </c>
      <c r="M3" s="4" t="s">
        <v>260</v>
      </c>
      <c r="N3" s="4" t="s">
        <v>260</v>
      </c>
      <c r="O3" s="4" t="s">
        <v>260</v>
      </c>
      <c r="P3" s="4" t="s">
        <v>260</v>
      </c>
      <c r="Q3" s="4" t="s">
        <v>260</v>
      </c>
      <c r="R3" s="4" t="s">
        <v>260</v>
      </c>
      <c r="S3" s="4" t="s">
        <v>260</v>
      </c>
      <c r="T3" s="4" t="s">
        <v>260</v>
      </c>
      <c r="U3" s="4" t="s">
        <v>260</v>
      </c>
      <c r="V3" s="4" t="s">
        <v>260</v>
      </c>
      <c r="W3" s="5" t="str">
        <f aca="false">估值模型!F5</f>
        <v>基准</v>
      </c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6" t="s">
        <v>261</v>
      </c>
      <c r="B5" s="6"/>
      <c r="C5" s="6" t="s">
        <v>100</v>
      </c>
      <c r="D5" s="6"/>
      <c r="E5" s="6" t="s">
        <v>105</v>
      </c>
      <c r="F5" s="6"/>
      <c r="G5" s="6" t="s">
        <v>110</v>
      </c>
      <c r="H5" s="6"/>
      <c r="I5" s="6" t="s">
        <v>262</v>
      </c>
      <c r="J5" s="6"/>
      <c r="K5" s="6" t="s">
        <v>263</v>
      </c>
      <c r="L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6.15" hidden="false" customHeight="false" outlineLevel="0" collapsed="false">
      <c r="A6" s="70" t="n">
        <f aca="false">(B18/B9)^(1/9)-1</f>
        <v>0.0161915750539237</v>
      </c>
      <c r="B6" s="70"/>
      <c r="C6" s="70" t="n">
        <f aca="false">AVERAGE(I9:I18)</f>
        <v>0.169468571898138</v>
      </c>
      <c r="D6" s="70"/>
      <c r="E6" s="70" t="n">
        <f aca="false">AVERAGE(J9:J18)</f>
        <v>0.296180745383969</v>
      </c>
      <c r="F6" s="70"/>
      <c r="G6" s="70" t="n">
        <f aca="false">SUM(E9:E18)/SUM(D9:D18)</f>
        <v>1.30579130056903</v>
      </c>
      <c r="H6" s="70"/>
      <c r="I6" s="71" t="n">
        <f aca="false">AVERAGE(G16:G18)</f>
        <v>43.7722711570333</v>
      </c>
      <c r="J6" s="71"/>
      <c r="K6" s="71" t="n">
        <f aca="false">G19</f>
        <v>87.4697177393</v>
      </c>
      <c r="L6" s="7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8" hidden="false" customHeight="true" outlineLevel="0" collapsed="false">
      <c r="A8" s="14" t="s">
        <v>264</v>
      </c>
      <c r="B8" s="14" t="s">
        <v>265</v>
      </c>
      <c r="C8" s="14" t="s">
        <v>266</v>
      </c>
      <c r="D8" s="14" t="s">
        <v>267</v>
      </c>
      <c r="E8" s="14" t="s">
        <v>268</v>
      </c>
      <c r="F8" s="14" t="s">
        <v>269</v>
      </c>
      <c r="G8" s="14" t="s">
        <v>270</v>
      </c>
      <c r="H8" s="14" t="s">
        <v>271</v>
      </c>
      <c r="I8" s="14" t="s">
        <v>272</v>
      </c>
      <c r="J8" s="14" t="s">
        <v>273</v>
      </c>
      <c r="K8" s="14" t="s">
        <v>274</v>
      </c>
      <c r="L8" s="14" t="s">
        <v>275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15" t="str">
        <f aca="false">数据与来源!A24</f>
        <v>2016</v>
      </c>
      <c r="B9" s="72" t="n">
        <f aca="false">数据与来源!B24/100000000</f>
        <v>358.5044204272</v>
      </c>
      <c r="C9" s="23" t="n">
        <f aca="false">(数据与来源!B24-数据与来源!C24)/数据与来源!B24</f>
        <v>0.278214785509888</v>
      </c>
      <c r="D9" s="73" t="n">
        <f aca="false">数据与来源!G24/100000000</f>
        <v>40.437455657</v>
      </c>
      <c r="E9" s="73" t="n">
        <f aca="false">数据与来源!H24/100000000</f>
        <v>35.323316898</v>
      </c>
      <c r="F9" s="73" t="n">
        <f aca="false">数据与来源!I24/100000000</f>
        <v>4.4478207131</v>
      </c>
      <c r="G9" s="73" t="n">
        <f aca="false">E9-F9</f>
        <v>30.8754961849</v>
      </c>
      <c r="H9" s="23" t="n">
        <f aca="false">E9/D9</f>
        <v>0.873529660165087</v>
      </c>
      <c r="I9" s="23" t="n">
        <f aca="false">(数据与来源!G24)/AVERAGE(数据与来源!K23,数据与来源!K24)</f>
        <v>0.303829752965013</v>
      </c>
      <c r="J9" s="23" t="n">
        <f aca="false">(数据与来源!D24*(1-MIN(30%,MAX(0,数据与来源!F24/数据与来源!E24)))/AVERAGE(数据与来源!K23-数据与来源!L23,数据与来源!K24-数据与来源!L24))</f>
        <v>0.528822456692076</v>
      </c>
      <c r="K9" s="22" t="n">
        <f aca="false">数据与来源!M24</f>
        <v>1</v>
      </c>
      <c r="L9" s="74" t="n">
        <f aca="false">K9*数据与来源!B9*100000000/D9/100000000</f>
        <v>0.547497162477074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15" t="str">
        <f aca="false">数据与来源!A25</f>
        <v>2017</v>
      </c>
      <c r="B10" s="72" t="n">
        <f aca="false">数据与来源!B25/100000000</f>
        <v>332.2194876665</v>
      </c>
      <c r="C10" s="23" t="n">
        <f aca="false">(数据与来源!B25-数据与来源!C25)/数据与来源!B25</f>
        <v>0.263178734113786</v>
      </c>
      <c r="D10" s="73" t="n">
        <f aca="false">数据与来源!G25/100000000</f>
        <v>31.2919390659</v>
      </c>
      <c r="E10" s="73" t="n">
        <f aca="false">数据与来源!H25/100000000</f>
        <v>-17.4896214049</v>
      </c>
      <c r="F10" s="73" t="n">
        <f aca="false">数据与来源!I25/100000000</f>
        <v>7.3006796097</v>
      </c>
      <c r="G10" s="73" t="n">
        <f aca="false">E10-F10</f>
        <v>-24.7903010146</v>
      </c>
      <c r="H10" s="23" t="n">
        <f aca="false">E10/D10</f>
        <v>-0.558917789276891</v>
      </c>
      <c r="I10" s="23" t="n">
        <f aca="false">(数据与来源!G25)/AVERAGE(数据与来源!K24,数据与来源!K25)</f>
        <v>0.213706487360583</v>
      </c>
      <c r="J10" s="23" t="n">
        <f aca="false">(数据与来源!D25*(1-MIN(30%,MAX(0,数据与来源!F25/数据与来源!E25)))/AVERAGE(数据与来源!K24-数据与来源!L24,数据与来源!K25-数据与来源!L25))</f>
        <v>0.296293322800946</v>
      </c>
      <c r="K10" s="22" t="n">
        <f aca="false">数据与来源!M25</f>
        <v>0.5</v>
      </c>
      <c r="L10" s="74" t="n">
        <f aca="false">K10*数据与来源!B9*100000000/D10/100000000</f>
        <v>0.353755518048514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15" t="str">
        <f aca="false">数据与来源!A26</f>
        <v>2018</v>
      </c>
      <c r="B11" s="72" t="n">
        <f aca="false">数据与来源!B26/100000000</f>
        <v>317.458445733</v>
      </c>
      <c r="C11" s="23" t="n">
        <f aca="false">(数据与来源!B26-数据与来源!C26)/数据与来源!B26</f>
        <v>0.253253740647111</v>
      </c>
      <c r="D11" s="73" t="n">
        <f aca="false">数据与来源!G26/100000000</f>
        <v>23.014943537</v>
      </c>
      <c r="E11" s="73" t="n">
        <f aca="false">数据与来源!H26/100000000</f>
        <v>25.7782603355</v>
      </c>
      <c r="F11" s="73" t="n">
        <f aca="false">数据与来源!I26/100000000</f>
        <v>10.5803499179</v>
      </c>
      <c r="G11" s="73" t="n">
        <f aca="false">E11-F11</f>
        <v>15.1979104176</v>
      </c>
      <c r="H11" s="23" t="n">
        <f aca="false">E11/D11</f>
        <v>1.12006619933947</v>
      </c>
      <c r="I11" s="23" t="n">
        <f aca="false">(数据与来源!G26)/AVERAGE(数据与来源!K25,数据与来源!K26)</f>
        <v>0.142234262703893</v>
      </c>
      <c r="J11" s="23" t="n">
        <f aca="false">(数据与来源!D26*(1-MIN(30%,MAX(0,数据与来源!F26/数据与来源!E26)))/AVERAGE(数据与来源!K25-数据与来源!L25,数据与来源!K26-数据与来源!L26))</f>
        <v>0.167386990853654</v>
      </c>
      <c r="K11" s="22" t="n">
        <f aca="false">数据与来源!M26</f>
        <v>0.5</v>
      </c>
      <c r="L11" s="74" t="n">
        <f aca="false">K11*数据与来源!B9*100000000/D11/100000000</f>
        <v>0.480978634477369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15" t="str">
        <f aca="false">数据与来源!A27</f>
        <v>2019</v>
      </c>
      <c r="B12" s="72" t="n">
        <f aca="false">数据与来源!B27/100000000</f>
        <v>304.9174354085</v>
      </c>
      <c r="C12" s="23" t="n">
        <f aca="false">(数据与来源!B27-数据与来源!C27)/数据与来源!B27</f>
        <v>0.244328535168846</v>
      </c>
      <c r="D12" s="73" t="n">
        <f aca="false">数据与来源!G27/100000000</f>
        <v>19.4225584321</v>
      </c>
      <c r="E12" s="73" t="n">
        <f aca="false">数据与来源!H27/100000000</f>
        <v>53.5150602395</v>
      </c>
      <c r="F12" s="73" t="n">
        <f aca="false">数据与来源!I27/100000000</f>
        <v>9.2739261101</v>
      </c>
      <c r="G12" s="73" t="n">
        <f aca="false">E12-F12</f>
        <v>44.2411341294</v>
      </c>
      <c r="H12" s="23" t="n">
        <f aca="false">E12/D12</f>
        <v>2.75530437591861</v>
      </c>
      <c r="I12" s="23" t="n">
        <f aca="false">(数据与来源!G27)/AVERAGE(数据与来源!K26,数据与来源!K27)</f>
        <v>0.112752757725099</v>
      </c>
      <c r="J12" s="23" t="n">
        <f aca="false">(数据与来源!D27*(1-MIN(30%,MAX(0,数据与来源!F27/数据与来源!E27)))/AVERAGE(数据与来源!K26-数据与来源!L26,数据与来源!K27-数据与来源!L27))</f>
        <v>0.142101219353122</v>
      </c>
      <c r="K12" s="22" t="n">
        <f aca="false">数据与来源!M27</f>
        <v>1</v>
      </c>
      <c r="L12" s="74" t="n">
        <f aca="false">K12*数据与来源!B9*100000000/D12/100000000</f>
        <v>1.13988032562228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15" t="str">
        <f aca="false">数据与来源!A28</f>
        <v>2020</v>
      </c>
      <c r="B13" s="72" t="n">
        <f aca="false">数据与来源!B28/100000000</f>
        <v>217.0504835992</v>
      </c>
      <c r="C13" s="23" t="n">
        <f aca="false">(数据与来源!B28-数据与来源!C28)/数据与来源!B28</f>
        <v>0.174755003408063</v>
      </c>
      <c r="D13" s="73" t="n">
        <f aca="false">数据与来源!G28/100000000</f>
        <v>5.159902576</v>
      </c>
      <c r="E13" s="73" t="n">
        <f aca="false">数据与来源!H28/100000000</f>
        <v>35.6847333785</v>
      </c>
      <c r="F13" s="73" t="n">
        <f aca="false">数据与来源!I28/100000000</f>
        <v>9.5700434981</v>
      </c>
      <c r="G13" s="73" t="n">
        <f aca="false">E13-F13</f>
        <v>26.1146898804</v>
      </c>
      <c r="H13" s="23" t="n">
        <f aca="false">E13/D13</f>
        <v>6.91577657773591</v>
      </c>
      <c r="I13" s="23" t="n">
        <f aca="false">(数据与来源!G28)/AVERAGE(数据与来源!K27,数据与来源!K28)</f>
        <v>0.031141869430633</v>
      </c>
      <c r="J13" s="23" t="n">
        <f aca="false">(数据与来源!D28*(1-MIN(30%,MAX(0,数据与来源!F28/数据与来源!E28)))/AVERAGE(数据与来源!K27-数据与来源!L27,数据与来源!K28-数据与来源!L28))</f>
        <v>0.0273508922540212</v>
      </c>
      <c r="K13" s="22" t="n">
        <f aca="false">数据与来源!M28</f>
        <v>0.5</v>
      </c>
      <c r="L13" s="74" t="n">
        <f aca="false">K13*数据与来源!B9*100000000/D13/100000000</f>
        <v>2.14533044993677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15" t="str">
        <f aca="false">数据与来源!A29</f>
        <v>2021</v>
      </c>
      <c r="B14" s="72" t="n">
        <f aca="false">数据与来源!B29/100000000</f>
        <v>232.3346318186</v>
      </c>
      <c r="C14" s="23" t="n">
        <f aca="false">(数据与来源!B29-数据与来源!C29)/数据与来源!B29</f>
        <v>0.186474516850017</v>
      </c>
      <c r="D14" s="73" t="n">
        <f aca="false">数据与来源!G29/100000000</f>
        <v>6.1378528574</v>
      </c>
      <c r="E14" s="73" t="n">
        <f aca="false">数据与来源!H29/100000000</f>
        <v>7.1621471308</v>
      </c>
      <c r="F14" s="73" t="n">
        <f aca="false">数据与来源!I29/100000000</f>
        <v>6.9180418745</v>
      </c>
      <c r="G14" s="73" t="n">
        <f aca="false">E14-F14</f>
        <v>0.2441052563</v>
      </c>
      <c r="H14" s="23" t="n">
        <f aca="false">E14/D14</f>
        <v>1.16688152961586</v>
      </c>
      <c r="I14" s="23" t="n">
        <f aca="false">(数据与来源!G29)/AVERAGE(数据与来源!K28,数据与来源!K29)</f>
        <v>0.0398746502680544</v>
      </c>
      <c r="J14" s="23" t="n">
        <f aca="false">(数据与来源!D29*(1-MIN(30%,MAX(0,数据与来源!F29/数据与来源!E29)))/AVERAGE(数据与来源!K28-数据与来源!L28,数据与来源!K29-数据与来源!L29))</f>
        <v>0.0563036992529419</v>
      </c>
      <c r="K14" s="22" t="n">
        <f aca="false">数据与来源!M29</f>
        <v>0.5</v>
      </c>
      <c r="L14" s="74" t="n">
        <f aca="false">K14*数据与来源!B9*100000000/D14/100000000</f>
        <v>1.80351278731845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15" t="str">
        <f aca="false">数据与来源!A30</f>
        <v>2022</v>
      </c>
      <c r="B15" s="72" t="n">
        <f aca="false">数据与来源!B30/100000000</f>
        <v>217.9896060467</v>
      </c>
      <c r="C15" s="23" t="n">
        <f aca="false">(数据与来源!B30-数据与来源!C30)/数据与来源!B30</f>
        <v>0.228260333565813</v>
      </c>
      <c r="D15" s="73" t="n">
        <f aca="false">数据与来源!G30/100000000</f>
        <v>7.5914076022</v>
      </c>
      <c r="E15" s="73" t="n">
        <f aca="false">数据与来源!H30/100000000</f>
        <v>32.5360480354</v>
      </c>
      <c r="F15" s="73" t="n">
        <f aca="false">数据与来源!I30/100000000</f>
        <v>9.7565792793</v>
      </c>
      <c r="G15" s="73" t="n">
        <f aca="false">E15-F15</f>
        <v>22.7794687561</v>
      </c>
      <c r="H15" s="23" t="n">
        <f aca="false">E15/D15</f>
        <v>4.28590450418853</v>
      </c>
      <c r="I15" s="23" t="n">
        <f aca="false">(数据与来源!G30)/AVERAGE(数据与来源!K29,数据与来源!K30)</f>
        <v>0.0507122117132669</v>
      </c>
      <c r="J15" s="23" t="n">
        <f aca="false">(数据与来源!D30*(1-MIN(30%,MAX(0,数据与来源!F30/数据与来源!E30)))/AVERAGE(数据与来源!K29-数据与来源!L29,数据与来源!K30-数据与来源!L30))</f>
        <v>0.0817224808461847</v>
      </c>
      <c r="K15" s="22" t="n">
        <f aca="false">数据与来源!M30</f>
        <v>1</v>
      </c>
      <c r="L15" s="74" t="n">
        <f aca="false">K15*数据与来源!B9*100000000/D15/100000000</f>
        <v>2.91637511646509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15" t="str">
        <f aca="false">数据与来源!A31</f>
        <v>2023</v>
      </c>
      <c r="B16" s="72" t="n">
        <f aca="false">数据与来源!B31/100000000</f>
        <v>270.4198949457</v>
      </c>
      <c r="C16" s="23" t="n">
        <f aca="false">(数据与来源!B31-数据与来源!C31)/数据与来源!B31</f>
        <v>0.229594110157342</v>
      </c>
      <c r="D16" s="73" t="n">
        <f aca="false">数据与来源!G31/100000000</f>
        <v>18.1708415222</v>
      </c>
      <c r="E16" s="73" t="n">
        <f aca="false">数据与来源!H31/100000000</f>
        <v>47.1669772817</v>
      </c>
      <c r="F16" s="73" t="n">
        <f aca="false">数据与来源!I31/100000000</f>
        <v>5.6703908124</v>
      </c>
      <c r="G16" s="73" t="n">
        <f aca="false">E16-F16</f>
        <v>41.4965864693</v>
      </c>
      <c r="H16" s="23" t="n">
        <f aca="false">E16/D16</f>
        <v>2.59575084753639</v>
      </c>
      <c r="I16" s="23" t="n">
        <f aca="false">(数据与来源!G31)/AVERAGE(数据与来源!K30,数据与来源!K31)</f>
        <v>0.126835248919658</v>
      </c>
      <c r="J16" s="23" t="n">
        <f aca="false">(数据与来源!D31*(1-MIN(30%,MAX(0,数据与来源!F31/数据与来源!E31)))/AVERAGE(数据与来源!K30-数据与来源!L30,数据与来源!K31-数据与来源!L31))</f>
        <v>0.237379475342773</v>
      </c>
      <c r="K16" s="22" t="n">
        <f aca="false">数据与来源!M31</f>
        <v>1.5</v>
      </c>
      <c r="L16" s="74" t="n">
        <f aca="false">K16*数据与来源!B9*100000000/D16/100000000</f>
        <v>1.82760321278611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15" t="str">
        <f aca="false">数据与来源!A32</f>
        <v>2024</v>
      </c>
      <c r="B17" s="72" t="n">
        <f aca="false">数据与来源!B32/100000000</f>
        <v>372.1758660407</v>
      </c>
      <c r="C17" s="23" t="n">
        <f aca="false">(数据与来源!B32-数据与来源!C32)/数据与来源!B32</f>
        <v>0.229414312208151</v>
      </c>
      <c r="D17" s="73" t="n">
        <f aca="false">数据与来源!G32/100000000</f>
        <v>41.161944225</v>
      </c>
      <c r="E17" s="73" t="n">
        <f aca="false">数据与来源!H32/100000000</f>
        <v>72.1059034382</v>
      </c>
      <c r="F17" s="73" t="n">
        <f aca="false">数据与来源!I32/100000000</f>
        <v>6.9575930483</v>
      </c>
      <c r="G17" s="73" t="n">
        <f aca="false">E17-F17</f>
        <v>65.1483103899</v>
      </c>
      <c r="H17" s="23" t="n">
        <f aca="false">E17/D17</f>
        <v>1.75176136102935</v>
      </c>
      <c r="I17" s="23" t="n">
        <f aca="false">(数据与来源!G32)/AVERAGE(数据与来源!K31,数据与来源!K32)</f>
        <v>0.297046615522684</v>
      </c>
      <c r="J17" s="23" t="n">
        <f aca="false">(数据与来源!D32*(1-MIN(30%,MAX(0,数据与来源!F32/数据与来源!E32)))/AVERAGE(数据与来源!K31-数据与来源!L31,数据与来源!K32-数据与来源!L32))</f>
        <v>0.651596555641567</v>
      </c>
      <c r="K17" s="22" t="n">
        <f aca="false">数据与来源!M32</f>
        <v>1.5</v>
      </c>
      <c r="L17" s="74" t="n">
        <f aca="false">K17*数据与来源!B9*100000000/D17/100000000</f>
        <v>0.80679105349038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15" t="str">
        <f aca="false">数据与来源!A33</f>
        <v>2025</v>
      </c>
      <c r="B18" s="72" t="n">
        <f aca="false">数据与来源!B33/100000000</f>
        <v>414.2617398234</v>
      </c>
      <c r="C18" s="23" t="n">
        <f aca="false">(数据与来源!B33-数据与来源!C33)/数据与来源!B33</f>
        <v>0.241410919524533</v>
      </c>
      <c r="D18" s="73" t="n">
        <f aca="false">数据与来源!G33/100000000</f>
        <v>55.544819709</v>
      </c>
      <c r="E18" s="73" t="n">
        <f aca="false">数据与来源!H33/100000000</f>
        <v>31.9667977825</v>
      </c>
      <c r="F18" s="73" t="n">
        <f aca="false">数据与来源!I33/100000000</f>
        <v>7.2948811706</v>
      </c>
      <c r="G18" s="73" t="n">
        <f aca="false">E18-F18</f>
        <v>24.6719166119</v>
      </c>
      <c r="H18" s="23" t="n">
        <f aca="false">E18/D18</f>
        <v>0.575513575342839</v>
      </c>
      <c r="I18" s="23" t="n">
        <f aca="false">(数据与来源!G33)/AVERAGE(数据与来源!K32,数据与来源!K33)</f>
        <v>0.376551862372497</v>
      </c>
      <c r="J18" s="23" t="n">
        <f aca="false">(数据与来源!D33*(1-MIN(30%,MAX(0,数据与来源!F33/数据与来源!E33)))/AVERAGE(数据与来源!K32-数据与来源!L32,数据与来源!K33-数据与来源!L33))</f>
        <v>0.772850360802402</v>
      </c>
      <c r="K18" s="22" t="n">
        <f aca="false">数据与来源!M33</f>
        <v>2.5</v>
      </c>
      <c r="L18" s="74" t="n">
        <f aca="false">K18*数据与来源!B9*100000000/D18/100000000</f>
        <v>0.99646521250715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75" t="str">
        <f aca="false">数据与来源!A34</f>
        <v>2026TTM</v>
      </c>
      <c r="B19" s="76" t="n">
        <f aca="false">数据与来源!B34/100000000</f>
        <v>408.7612777371</v>
      </c>
      <c r="C19" s="77" t="n">
        <f aca="false">(数据与来源!B34-数据与来源!C34)/数据与来源!B34</f>
        <v>0.260017745903169</v>
      </c>
      <c r="D19" s="78" t="n">
        <f aca="false">数据与来源!G34/100000000</f>
        <v>54.4566751388</v>
      </c>
      <c r="E19" s="78" t="n">
        <f aca="false">数据与来源!H34/100000000</f>
        <v>94.0493553835</v>
      </c>
      <c r="F19" s="78" t="n">
        <f aca="false">数据与来源!I34/100000000</f>
        <v>6.5796376442</v>
      </c>
      <c r="G19" s="78" t="n">
        <f aca="false">E19-F19</f>
        <v>87.4697177393</v>
      </c>
      <c r="H19" s="77" t="n">
        <f aca="false">E19/D19</f>
        <v>1.72704916603494</v>
      </c>
      <c r="I19" s="77" t="n">
        <f aca="false">(数据与来源!G34)/AVERAGE(数据与来源!K33,数据与来源!K34)</f>
        <v>0.361497316962955</v>
      </c>
      <c r="J19" s="77" t="n">
        <f aca="false">(数据与来源!D34*(1-MIN(30%,MAX(0,数据与来源!F34/数据与来源!E34)))/AVERAGE(数据与来源!K33-数据与来源!L33,数据与来源!K34-数据与来源!L34))</f>
        <v>0.672390577449633</v>
      </c>
      <c r="K19" s="79" t="n">
        <f aca="false">数据与来源!M34</f>
        <v>2</v>
      </c>
      <c r="L19" s="80" t="n">
        <f aca="false">K19*数据与来源!B9*100000000/D19/100000000</f>
        <v>0.813101136768662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34" t="s">
        <v>38</v>
      </c>
      <c r="B22" s="34" t="s">
        <v>276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0" hidden="false" customHeight="true" outlineLevel="0" collapsed="false">
      <c r="A23" s="59" t="s">
        <v>277</v>
      </c>
      <c r="B23" s="33" t="s">
        <v>278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30" hidden="false" customHeight="true" outlineLevel="0" collapsed="false">
      <c r="A24" s="59" t="s">
        <v>279</v>
      </c>
      <c r="B24" s="33" t="s">
        <v>280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30" hidden="false" customHeight="true" outlineLevel="0" collapsed="false">
      <c r="A25" s="59" t="s">
        <v>281</v>
      </c>
      <c r="B25" s="33" t="s">
        <v>282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30" hidden="false" customHeight="true" outlineLevel="0" collapsed="false">
      <c r="A26" s="59" t="s">
        <v>283</v>
      </c>
      <c r="B26" s="33" t="s">
        <v>284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30" hidden="false" customHeight="true" outlineLevel="0" collapsed="false">
      <c r="A27" s="59" t="s">
        <v>77</v>
      </c>
      <c r="B27" s="33" t="s">
        <v>285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0">
    <mergeCell ref="A2:W2"/>
    <mergeCell ref="A3:V3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B22:L22"/>
    <mergeCell ref="B23:L23"/>
    <mergeCell ref="B24:L24"/>
    <mergeCell ref="B25:L25"/>
    <mergeCell ref="B26:L26"/>
    <mergeCell ref="B27:L27"/>
  </mergeCells>
  <conditionalFormatting sqref="G9:G19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Z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27" activePane="bottomLeft" state="frozen"/>
      <selection pane="topLeft" activeCell="A1" activeCellId="0" sqref="A1"/>
      <selection pane="bottomLeft" activeCell="D14" activeCellId="0" sqref="D14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5.05"/>
    <col collapsed="false" customWidth="true" hidden="false" outlineLevel="0" max="2" min="2" style="1" width="19.17"/>
    <col collapsed="false" customWidth="true" hidden="false" outlineLevel="0" max="3" min="3" style="1" width="17.15"/>
    <col collapsed="false" customWidth="true" hidden="false" outlineLevel="0" max="7" min="4" style="1" width="15.14"/>
    <col collapsed="false" customWidth="true" hidden="false" outlineLevel="0" max="8" min="8" style="1" width="3.03"/>
    <col collapsed="false" customWidth="true" hidden="false" outlineLevel="0" max="9" min="9" style="1" width="22.2"/>
    <col collapsed="false" customWidth="true" hidden="false" outlineLevel="0" max="10" min="10" style="1" width="15.14"/>
    <col collapsed="false" customWidth="true" hidden="false" outlineLevel="0" max="14" min="11" style="1" width="17.15"/>
    <col collapsed="false" customWidth="false" hidden="false" outlineLevel="0" max="16384" min="15" style="1" width="8.76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2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4" hidden="false" customHeight="true" outlineLevel="0" collapsed="false">
      <c r="A3" s="3" t="s">
        <v>286</v>
      </c>
      <c r="B3" s="3" t="s">
        <v>286</v>
      </c>
      <c r="C3" s="3" t="s">
        <v>286</v>
      </c>
      <c r="D3" s="3" t="s">
        <v>286</v>
      </c>
      <c r="E3" s="3" t="s">
        <v>286</v>
      </c>
      <c r="F3" s="3" t="s">
        <v>286</v>
      </c>
      <c r="G3" s="3" t="s">
        <v>286</v>
      </c>
      <c r="H3" s="3" t="s">
        <v>286</v>
      </c>
      <c r="I3" s="3" t="s">
        <v>286</v>
      </c>
      <c r="J3" s="3" t="s">
        <v>286</v>
      </c>
      <c r="K3" s="3" t="s">
        <v>286</v>
      </c>
      <c r="L3" s="3" t="s">
        <v>286</v>
      </c>
      <c r="M3" s="3" t="s">
        <v>286</v>
      </c>
      <c r="N3" s="3" t="s">
        <v>286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4" t="s">
        <v>287</v>
      </c>
      <c r="B4" s="4" t="s">
        <v>287</v>
      </c>
      <c r="C4" s="4" t="s">
        <v>287</v>
      </c>
      <c r="D4" s="4" t="s">
        <v>287</v>
      </c>
      <c r="E4" s="4" t="s">
        <v>287</v>
      </c>
      <c r="F4" s="4" t="s">
        <v>287</v>
      </c>
      <c r="G4" s="4" t="s">
        <v>287</v>
      </c>
      <c r="H4" s="4" t="s">
        <v>287</v>
      </c>
      <c r="I4" s="4" t="s">
        <v>287</v>
      </c>
      <c r="J4" s="4" t="s">
        <v>287</v>
      </c>
      <c r="K4" s="4" t="s">
        <v>287</v>
      </c>
      <c r="L4" s="4" t="s">
        <v>287</v>
      </c>
      <c r="M4" s="4" t="s">
        <v>287</v>
      </c>
      <c r="N4" s="5" t="str">
        <f aca="false">估值模型!F5</f>
        <v>基准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3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" hidden="false" customHeight="true" outlineLevel="0" collapsed="false">
      <c r="A6" s="13" t="s">
        <v>288</v>
      </c>
      <c r="B6" s="13" t="s">
        <v>288</v>
      </c>
      <c r="C6" s="13" t="s">
        <v>288</v>
      </c>
      <c r="D6" s="13" t="s">
        <v>288</v>
      </c>
      <c r="E6" s="13" t="s">
        <v>288</v>
      </c>
      <c r="F6" s="13" t="s">
        <v>288</v>
      </c>
      <c r="G6" s="13" t="s">
        <v>288</v>
      </c>
      <c r="H6" s="13" t="s">
        <v>288</v>
      </c>
      <c r="I6" s="13" t="s">
        <v>288</v>
      </c>
      <c r="J6" s="13" t="s">
        <v>288</v>
      </c>
      <c r="K6" s="13" t="s">
        <v>288</v>
      </c>
      <c r="L6" s="13" t="s">
        <v>288</v>
      </c>
      <c r="M6" s="13" t="s">
        <v>288</v>
      </c>
      <c r="N6" s="13" t="s">
        <v>288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1" hidden="false" customHeight="true" outlineLevel="0" collapsed="false">
      <c r="A7" s="14" t="s">
        <v>10</v>
      </c>
      <c r="B7" s="14" t="s">
        <v>11</v>
      </c>
      <c r="C7" s="14" t="s">
        <v>12</v>
      </c>
      <c r="D7" s="14" t="s">
        <v>289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1" hidden="false" customHeight="true" outlineLevel="0" collapsed="false">
      <c r="A8" s="15" t="n">
        <v>1</v>
      </c>
      <c r="B8" s="16" t="s">
        <v>16</v>
      </c>
      <c r="C8" s="17" t="s">
        <v>17</v>
      </c>
      <c r="D8" s="18" t="s">
        <v>290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1" hidden="false" customHeight="true" outlineLevel="0" collapsed="false">
      <c r="A9" s="15" t="n">
        <v>2</v>
      </c>
      <c r="B9" s="16" t="s">
        <v>20</v>
      </c>
      <c r="C9" s="17" t="s">
        <v>17</v>
      </c>
      <c r="D9" s="18" t="s">
        <v>291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1" hidden="false" customHeight="true" outlineLevel="0" collapsed="false">
      <c r="A10" s="15" t="n">
        <v>3</v>
      </c>
      <c r="B10" s="16" t="s">
        <v>23</v>
      </c>
      <c r="C10" s="20" t="s">
        <v>24</v>
      </c>
      <c r="D10" s="18" t="s">
        <v>292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1" hidden="false" customHeight="true" outlineLevel="0" collapsed="false">
      <c r="A11" s="15" t="n">
        <v>4</v>
      </c>
      <c r="B11" s="16" t="s">
        <v>27</v>
      </c>
      <c r="C11" s="20" t="s">
        <v>24</v>
      </c>
      <c r="D11" s="18" t="s">
        <v>293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1" hidden="false" customHeight="true" outlineLevel="0" collapsed="false">
      <c r="A12" s="15" t="n">
        <v>5</v>
      </c>
      <c r="B12" s="16" t="s">
        <v>30</v>
      </c>
      <c r="C12" s="17" t="s">
        <v>17</v>
      </c>
      <c r="D12" s="18" t="s">
        <v>294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1" hidden="false" customHeight="true" outlineLevel="0" collapsed="false">
      <c r="A13" s="15" t="n">
        <v>6</v>
      </c>
      <c r="B13" s="16" t="s">
        <v>32</v>
      </c>
      <c r="C13" s="17" t="s">
        <v>17</v>
      </c>
      <c r="D13" s="18" t="s">
        <v>295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1" hidden="false" customHeight="true" outlineLevel="0" collapsed="false">
      <c r="A14" s="15" t="n">
        <v>7</v>
      </c>
      <c r="B14" s="16" t="s">
        <v>296</v>
      </c>
      <c r="C14" s="17" t="s">
        <v>35</v>
      </c>
      <c r="D14" s="18" t="s">
        <v>297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15" t="n">
        <v>8</v>
      </c>
      <c r="B15" s="16" t="s">
        <v>298</v>
      </c>
      <c r="C15" s="21" t="s">
        <v>38</v>
      </c>
      <c r="D15" s="18" t="s">
        <v>299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3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8" hidden="false" customHeight="true" outlineLevel="0" collapsed="false">
      <c r="A17" s="13" t="s">
        <v>300</v>
      </c>
      <c r="B17" s="13" t="s">
        <v>300</v>
      </c>
      <c r="C17" s="13" t="s">
        <v>300</v>
      </c>
      <c r="D17" s="13" t="s">
        <v>300</v>
      </c>
      <c r="E17" s="13" t="s">
        <v>300</v>
      </c>
      <c r="F17" s="13" t="s">
        <v>300</v>
      </c>
      <c r="G17" s="13" t="s">
        <v>300</v>
      </c>
      <c r="H17" s="2"/>
      <c r="I17" s="13" t="s">
        <v>301</v>
      </c>
      <c r="J17" s="13" t="s">
        <v>301</v>
      </c>
      <c r="K17" s="13" t="s">
        <v>301</v>
      </c>
      <c r="L17" s="13" t="s">
        <v>301</v>
      </c>
      <c r="M17" s="13" t="s">
        <v>301</v>
      </c>
      <c r="N17" s="13" t="s">
        <v>301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30" hidden="false" customHeight="true" outlineLevel="0" collapsed="false">
      <c r="A18" s="14" t="s">
        <v>302</v>
      </c>
      <c r="B18" s="14" t="s">
        <v>303</v>
      </c>
      <c r="C18" s="14" t="s">
        <v>304</v>
      </c>
      <c r="D18" s="14" t="s">
        <v>305</v>
      </c>
      <c r="E18" s="14"/>
      <c r="F18" s="14"/>
      <c r="G18" s="14"/>
      <c r="H18" s="2"/>
      <c r="I18" s="14" t="s">
        <v>11</v>
      </c>
      <c r="J18" s="14" t="s">
        <v>96</v>
      </c>
      <c r="K18" s="14" t="s">
        <v>171</v>
      </c>
      <c r="L18" s="14"/>
      <c r="M18" s="14"/>
      <c r="N18" s="1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30" hidden="false" customHeight="true" outlineLevel="0" collapsed="false">
      <c r="A19" s="15" t="s">
        <v>306</v>
      </c>
      <c r="B19" s="16" t="s">
        <v>307</v>
      </c>
      <c r="C19" s="16" t="s">
        <v>308</v>
      </c>
      <c r="D19" s="18" t="s">
        <v>309</v>
      </c>
      <c r="E19" s="18"/>
      <c r="F19" s="18"/>
      <c r="G19" s="18"/>
      <c r="H19" s="2"/>
      <c r="I19" s="15" t="s">
        <v>310</v>
      </c>
      <c r="J19" s="16" t="s">
        <v>103</v>
      </c>
      <c r="K19" s="18" t="s">
        <v>311</v>
      </c>
      <c r="L19" s="18"/>
      <c r="M19" s="18"/>
      <c r="N19" s="1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30" hidden="false" customHeight="true" outlineLevel="0" collapsed="false">
      <c r="A20" s="15" t="s">
        <v>312</v>
      </c>
      <c r="B20" s="16" t="s">
        <v>307</v>
      </c>
      <c r="C20" s="16" t="s">
        <v>313</v>
      </c>
      <c r="D20" s="18" t="s">
        <v>314</v>
      </c>
      <c r="E20" s="18"/>
      <c r="F20" s="18"/>
      <c r="G20" s="18"/>
      <c r="H20" s="2"/>
      <c r="I20" s="15" t="s">
        <v>315</v>
      </c>
      <c r="J20" s="16" t="s">
        <v>103</v>
      </c>
      <c r="K20" s="18" t="s">
        <v>316</v>
      </c>
      <c r="L20" s="18"/>
      <c r="M20" s="18"/>
      <c r="N20" s="1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0" hidden="false" customHeight="true" outlineLevel="0" collapsed="false">
      <c r="A21" s="15" t="s">
        <v>317</v>
      </c>
      <c r="B21" s="16" t="s">
        <v>318</v>
      </c>
      <c r="C21" s="16" t="s">
        <v>308</v>
      </c>
      <c r="D21" s="18" t="s">
        <v>319</v>
      </c>
      <c r="E21" s="18"/>
      <c r="F21" s="18"/>
      <c r="G21" s="18"/>
      <c r="H21" s="2"/>
      <c r="I21" s="15" t="s">
        <v>320</v>
      </c>
      <c r="J21" s="16" t="s">
        <v>103</v>
      </c>
      <c r="K21" s="18" t="s">
        <v>321</v>
      </c>
      <c r="L21" s="18"/>
      <c r="M21" s="18"/>
      <c r="N21" s="1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0" hidden="false" customHeight="true" outlineLevel="0" collapsed="false">
      <c r="A22" s="15" t="s">
        <v>322</v>
      </c>
      <c r="B22" s="16" t="s">
        <v>323</v>
      </c>
      <c r="C22" s="16" t="s">
        <v>324</v>
      </c>
      <c r="D22" s="18" t="s">
        <v>325</v>
      </c>
      <c r="E22" s="18"/>
      <c r="F22" s="18"/>
      <c r="G22" s="18"/>
      <c r="H22" s="2"/>
      <c r="I22" s="15" t="s">
        <v>116</v>
      </c>
      <c r="J22" s="16" t="s">
        <v>117</v>
      </c>
      <c r="K22" s="18" t="s">
        <v>326</v>
      </c>
      <c r="L22" s="18"/>
      <c r="M22" s="18"/>
      <c r="N22" s="1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0" hidden="false" customHeight="true" outlineLevel="0" collapsed="false">
      <c r="A23" s="15" t="s">
        <v>327</v>
      </c>
      <c r="B23" s="16" t="s">
        <v>318</v>
      </c>
      <c r="C23" s="16" t="s">
        <v>308</v>
      </c>
      <c r="D23" s="18" t="s">
        <v>328</v>
      </c>
      <c r="E23" s="18"/>
      <c r="F23" s="18"/>
      <c r="G23" s="18"/>
      <c r="H23" s="2"/>
      <c r="I23" s="15" t="s">
        <v>329</v>
      </c>
      <c r="J23" s="16" t="s">
        <v>330</v>
      </c>
      <c r="K23" s="18" t="s">
        <v>331</v>
      </c>
      <c r="L23" s="18"/>
      <c r="M23" s="18"/>
      <c r="N23" s="1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15" t="s">
        <v>332</v>
      </c>
      <c r="B24" s="16" t="s">
        <v>98</v>
      </c>
      <c r="C24" s="16" t="s">
        <v>333</v>
      </c>
      <c r="D24" s="18" t="s">
        <v>334</v>
      </c>
      <c r="E24" s="18"/>
      <c r="F24" s="18"/>
      <c r="G24" s="18"/>
      <c r="H24" s="2"/>
      <c r="I24" s="15" t="s">
        <v>77</v>
      </c>
      <c r="J24" s="16" t="s">
        <v>335</v>
      </c>
      <c r="K24" s="18" t="s">
        <v>336</v>
      </c>
      <c r="L24" s="18"/>
      <c r="M24" s="18"/>
      <c r="N24" s="1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3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8" hidden="false" customHeight="true" outlineLevel="0" collapsed="false">
      <c r="A26" s="13" t="s">
        <v>337</v>
      </c>
      <c r="B26" s="13" t="s">
        <v>337</v>
      </c>
      <c r="C26" s="13" t="s">
        <v>337</v>
      </c>
      <c r="D26" s="13" t="s">
        <v>337</v>
      </c>
      <c r="E26" s="13" t="s">
        <v>337</v>
      </c>
      <c r="F26" s="13" t="s">
        <v>337</v>
      </c>
      <c r="G26" s="13" t="s">
        <v>337</v>
      </c>
      <c r="H26" s="2"/>
      <c r="I26" s="13" t="s">
        <v>338</v>
      </c>
      <c r="J26" s="13" t="s">
        <v>338</v>
      </c>
      <c r="K26" s="13" t="s">
        <v>338</v>
      </c>
      <c r="L26" s="13" t="s">
        <v>338</v>
      </c>
      <c r="M26" s="13" t="s">
        <v>338</v>
      </c>
      <c r="N26" s="13" t="s">
        <v>338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31" hidden="false" customHeight="true" outlineLevel="0" collapsed="false">
      <c r="A27" s="14" t="s">
        <v>339</v>
      </c>
      <c r="B27" s="14" t="s">
        <v>340</v>
      </c>
      <c r="C27" s="14" t="s">
        <v>341</v>
      </c>
      <c r="D27" s="14" t="s">
        <v>342</v>
      </c>
      <c r="E27" s="14"/>
      <c r="F27" s="14"/>
      <c r="G27" s="14"/>
      <c r="H27" s="2"/>
      <c r="I27" s="14" t="s">
        <v>343</v>
      </c>
      <c r="J27" s="14" t="s">
        <v>344</v>
      </c>
      <c r="K27" s="14" t="s">
        <v>345</v>
      </c>
      <c r="L27" s="14"/>
      <c r="M27" s="14"/>
      <c r="N27" s="1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31" hidden="false" customHeight="true" outlineLevel="0" collapsed="false">
      <c r="A28" s="15" t="s">
        <v>346</v>
      </c>
      <c r="B28" s="16" t="s">
        <v>347</v>
      </c>
      <c r="C28" s="16" t="s">
        <v>348</v>
      </c>
      <c r="D28" s="18" t="s">
        <v>349</v>
      </c>
      <c r="E28" s="18"/>
      <c r="F28" s="18"/>
      <c r="G28" s="18"/>
      <c r="H28" s="2"/>
      <c r="I28" s="15" t="s">
        <v>350</v>
      </c>
      <c r="J28" s="16" t="s">
        <v>351</v>
      </c>
      <c r="K28" s="18" t="s">
        <v>352</v>
      </c>
      <c r="L28" s="18"/>
      <c r="M28" s="18"/>
      <c r="N28" s="1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31" hidden="false" customHeight="true" outlineLevel="0" collapsed="false">
      <c r="A29" s="15" t="s">
        <v>353</v>
      </c>
      <c r="B29" s="16" t="s">
        <v>347</v>
      </c>
      <c r="C29" s="16" t="s">
        <v>354</v>
      </c>
      <c r="D29" s="18" t="s">
        <v>355</v>
      </c>
      <c r="E29" s="18"/>
      <c r="F29" s="18"/>
      <c r="G29" s="18"/>
      <c r="H29" s="2"/>
      <c r="I29" s="15" t="s">
        <v>356</v>
      </c>
      <c r="J29" s="16" t="s">
        <v>351</v>
      </c>
      <c r="K29" s="18" t="s">
        <v>357</v>
      </c>
      <c r="L29" s="18"/>
      <c r="M29" s="18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31" hidden="false" customHeight="true" outlineLevel="0" collapsed="false">
      <c r="A30" s="15" t="s">
        <v>358</v>
      </c>
      <c r="B30" s="16" t="s">
        <v>359</v>
      </c>
      <c r="C30" s="16" t="s">
        <v>360</v>
      </c>
      <c r="D30" s="18" t="s">
        <v>361</v>
      </c>
      <c r="E30" s="18"/>
      <c r="F30" s="18"/>
      <c r="G30" s="18"/>
      <c r="H30" s="2"/>
      <c r="I30" s="15" t="s">
        <v>362</v>
      </c>
      <c r="J30" s="16" t="s">
        <v>351</v>
      </c>
      <c r="K30" s="18" t="s">
        <v>363</v>
      </c>
      <c r="L30" s="18"/>
      <c r="M30" s="18"/>
      <c r="N30" s="1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15" t="s">
        <v>364</v>
      </c>
      <c r="J31" s="16" t="s">
        <v>365</v>
      </c>
      <c r="K31" s="18" t="s">
        <v>366</v>
      </c>
      <c r="L31" s="18"/>
      <c r="M31" s="18"/>
      <c r="N31" s="1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39">
    <mergeCell ref="A3:N3"/>
    <mergeCell ref="A4:M4"/>
    <mergeCell ref="A6:N6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A17:G17"/>
    <mergeCell ref="I17:N17"/>
    <mergeCell ref="D18:G18"/>
    <mergeCell ref="K18:N18"/>
    <mergeCell ref="D19:G19"/>
    <mergeCell ref="K19:N19"/>
    <mergeCell ref="D20:G20"/>
    <mergeCell ref="K20:N20"/>
    <mergeCell ref="D21:G21"/>
    <mergeCell ref="K21:N21"/>
    <mergeCell ref="D22:G22"/>
    <mergeCell ref="K22:N22"/>
    <mergeCell ref="D23:G23"/>
    <mergeCell ref="K23:N23"/>
    <mergeCell ref="D24:G24"/>
    <mergeCell ref="K24:N24"/>
    <mergeCell ref="A26:G26"/>
    <mergeCell ref="I26:N26"/>
    <mergeCell ref="D27:G27"/>
    <mergeCell ref="K27:N27"/>
    <mergeCell ref="D28:G28"/>
    <mergeCell ref="K28:N28"/>
    <mergeCell ref="D29:G29"/>
    <mergeCell ref="K29:N29"/>
    <mergeCell ref="D30:G30"/>
    <mergeCell ref="K30:N30"/>
    <mergeCell ref="K31:N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Z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19" activePane="bottomLeft" state="frozen"/>
      <selection pane="topLeft" activeCell="A1" activeCellId="0" sqref="A1"/>
      <selection pane="bottomLeft" activeCell="E13" activeCellId="0" sqref="E13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7.15"/>
    <col collapsed="false" customWidth="true" hidden="false" outlineLevel="0" max="5" min="3" style="1" width="18.16"/>
    <col collapsed="false" customWidth="true" hidden="false" outlineLevel="0" max="6" min="6" style="1" width="16.15"/>
    <col collapsed="false" customWidth="true" hidden="false" outlineLevel="0" max="7" min="7" style="1" width="18.16"/>
    <col collapsed="false" customWidth="true" hidden="false" outlineLevel="0" max="8" min="8" style="1" width="19.17"/>
    <col collapsed="false" customWidth="true" hidden="false" outlineLevel="0" max="9" min="9" style="1" width="15.14"/>
    <col collapsed="false" customWidth="true" hidden="false" outlineLevel="0" max="12" min="10" style="1" width="17.15"/>
    <col collapsed="false" customWidth="true" hidden="false" outlineLevel="0" max="13" min="13" style="1" width="14.13"/>
    <col collapsed="false" customWidth="true" hidden="false" outlineLevel="0" max="14" min="14" style="1" width="46.42"/>
    <col collapsed="false" customWidth="false" hidden="false" outlineLevel="0" max="16384" min="15" style="1" width="8.76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2" hidden="false" customHeight="true" outlineLevel="0" collapsed="false">
      <c r="A2" s="3" t="s">
        <v>367</v>
      </c>
      <c r="B2" s="3" t="s">
        <v>367</v>
      </c>
      <c r="C2" s="3" t="s">
        <v>367</v>
      </c>
      <c r="D2" s="3" t="s">
        <v>367</v>
      </c>
      <c r="E2" s="3" t="s">
        <v>367</v>
      </c>
      <c r="F2" s="3" t="s">
        <v>367</v>
      </c>
      <c r="G2" s="3" t="s">
        <v>367</v>
      </c>
      <c r="H2" s="3" t="s">
        <v>367</v>
      </c>
      <c r="I2" s="3" t="s">
        <v>367</v>
      </c>
      <c r="J2" s="3" t="s">
        <v>367</v>
      </c>
      <c r="K2" s="3" t="s">
        <v>367</v>
      </c>
      <c r="L2" s="3" t="s">
        <v>367</v>
      </c>
      <c r="M2" s="3" t="s">
        <v>367</v>
      </c>
      <c r="N2" s="3" t="s">
        <v>367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4" hidden="false" customHeight="true" outlineLevel="0" collapsed="false">
      <c r="A3" s="4" t="s">
        <v>368</v>
      </c>
      <c r="B3" s="4" t="s">
        <v>368</v>
      </c>
      <c r="C3" s="4" t="s">
        <v>368</v>
      </c>
      <c r="D3" s="4" t="s">
        <v>368</v>
      </c>
      <c r="E3" s="4" t="s">
        <v>368</v>
      </c>
      <c r="F3" s="4" t="s">
        <v>368</v>
      </c>
      <c r="G3" s="4" t="s">
        <v>368</v>
      </c>
      <c r="H3" s="4" t="s">
        <v>368</v>
      </c>
      <c r="I3" s="4" t="s">
        <v>368</v>
      </c>
      <c r="J3" s="4" t="s">
        <v>368</v>
      </c>
      <c r="K3" s="4" t="s">
        <v>368</v>
      </c>
      <c r="L3" s="4" t="s">
        <v>368</v>
      </c>
      <c r="M3" s="4" t="s">
        <v>368</v>
      </c>
      <c r="N3" s="4" t="s">
        <v>368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3" hidden="false" customHeight="true" outlineLevel="0" collapsed="false">
      <c r="A5" s="13" t="s">
        <v>369</v>
      </c>
      <c r="B5" s="13" t="s">
        <v>369</v>
      </c>
      <c r="C5" s="13" t="s">
        <v>369</v>
      </c>
      <c r="D5" s="13" t="s">
        <v>369</v>
      </c>
      <c r="E5" s="13" t="s">
        <v>369</v>
      </c>
      <c r="F5" s="13" t="s">
        <v>369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" hidden="false" customHeight="true" outlineLevel="0" collapsed="false">
      <c r="A6" s="14" t="s">
        <v>14</v>
      </c>
      <c r="B6" s="14" t="s">
        <v>97</v>
      </c>
      <c r="C6" s="14" t="s">
        <v>370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15" t="s">
        <v>2</v>
      </c>
      <c r="B7" s="81" t="n">
        <v>28.71</v>
      </c>
      <c r="C7" s="47" t="s">
        <v>371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15" t="s">
        <v>372</v>
      </c>
      <c r="B8" s="81" t="n">
        <v>28.35</v>
      </c>
      <c r="C8" s="47" t="s">
        <v>373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15" t="s">
        <v>374</v>
      </c>
      <c r="B9" s="82" t="n">
        <v>22.13939223</v>
      </c>
      <c r="C9" s="47" t="s">
        <v>188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15" t="s">
        <v>375</v>
      </c>
      <c r="B10" s="22" t="n">
        <f aca="false">B7*B9</f>
        <v>635.6219509233</v>
      </c>
      <c r="C10" s="47" t="s">
        <v>376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15" t="s">
        <v>377</v>
      </c>
      <c r="B11" s="22" t="n">
        <v>76.5301781097</v>
      </c>
      <c r="C11" s="47" t="s">
        <v>378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15" t="s">
        <v>379</v>
      </c>
      <c r="B12" s="22" t="n">
        <v>51.7380485429</v>
      </c>
      <c r="C12" s="47" t="s">
        <v>378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15" t="s">
        <v>380</v>
      </c>
      <c r="B13" s="22" t="n">
        <v>1.1922286161</v>
      </c>
      <c r="C13" s="47" t="s">
        <v>378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15" t="s">
        <v>381</v>
      </c>
      <c r="B14" s="22" t="n">
        <v>3.4051538748</v>
      </c>
      <c r="C14" s="47" t="s">
        <v>382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15" t="s">
        <v>383</v>
      </c>
      <c r="B15" s="22" t="n">
        <f aca="false">B11+B12+B13-B14</f>
        <v>126.0553013939</v>
      </c>
      <c r="C15" s="47" t="s">
        <v>384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15" t="s">
        <v>385</v>
      </c>
      <c r="B16" s="22" t="n">
        <f aca="false">B15/B9</f>
        <v>5.69371101448253</v>
      </c>
      <c r="C16" s="47" t="s">
        <v>386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15" t="s">
        <v>387</v>
      </c>
      <c r="B17" s="22" t="n">
        <v>24.755642661</v>
      </c>
      <c r="C17" s="47" t="s">
        <v>378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15" t="s">
        <v>388</v>
      </c>
      <c r="B18" s="22" t="n">
        <v>39.2765283891</v>
      </c>
      <c r="C18" s="47" t="s">
        <v>378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15" t="s">
        <v>389</v>
      </c>
      <c r="B19" s="22" t="n">
        <v>55.4281775385</v>
      </c>
      <c r="C19" s="47" t="s">
        <v>378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3" hidden="false" customHeight="true" outlineLevel="0" collapsed="false">
      <c r="A21" s="13" t="s">
        <v>390</v>
      </c>
      <c r="B21" s="13" t="s">
        <v>390</v>
      </c>
      <c r="C21" s="13" t="s">
        <v>390</v>
      </c>
      <c r="D21" s="13" t="s">
        <v>390</v>
      </c>
      <c r="E21" s="13" t="s">
        <v>390</v>
      </c>
      <c r="F21" s="13" t="s">
        <v>390</v>
      </c>
      <c r="G21" s="13" t="s">
        <v>390</v>
      </c>
      <c r="H21" s="13" t="s">
        <v>390</v>
      </c>
      <c r="I21" s="13" t="s">
        <v>390</v>
      </c>
      <c r="J21" s="13" t="s">
        <v>390</v>
      </c>
      <c r="K21" s="13" t="s">
        <v>390</v>
      </c>
      <c r="L21" s="13" t="s">
        <v>390</v>
      </c>
      <c r="M21" s="13" t="s">
        <v>390</v>
      </c>
      <c r="N21" s="13" t="s">
        <v>390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8" hidden="false" customHeight="true" outlineLevel="0" collapsed="false">
      <c r="A22" s="14" t="s">
        <v>264</v>
      </c>
      <c r="B22" s="14" t="s">
        <v>265</v>
      </c>
      <c r="C22" s="14" t="s">
        <v>391</v>
      </c>
      <c r="D22" s="14" t="s">
        <v>392</v>
      </c>
      <c r="E22" s="14" t="s">
        <v>393</v>
      </c>
      <c r="F22" s="14" t="s">
        <v>394</v>
      </c>
      <c r="G22" s="14" t="s">
        <v>267</v>
      </c>
      <c r="H22" s="14" t="s">
        <v>395</v>
      </c>
      <c r="I22" s="14" t="s">
        <v>269</v>
      </c>
      <c r="J22" s="14" t="s">
        <v>396</v>
      </c>
      <c r="K22" s="14" t="s">
        <v>397</v>
      </c>
      <c r="L22" s="14" t="s">
        <v>398</v>
      </c>
      <c r="M22" s="14" t="s">
        <v>399</v>
      </c>
      <c r="N22" s="14" t="s">
        <v>400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15" t="s">
        <v>401</v>
      </c>
      <c r="B23" s="83" t="n">
        <v>31210873852.54</v>
      </c>
      <c r="C23" s="83" t="n">
        <v>23305898509.15</v>
      </c>
      <c r="D23" s="83" t="n">
        <v>3828282969.05</v>
      </c>
      <c r="E23" s="83" t="n">
        <v>4104344890.06</v>
      </c>
      <c r="F23" s="83" t="n">
        <v>516655761.86</v>
      </c>
      <c r="G23" s="83" t="n">
        <v>3535215876.01</v>
      </c>
      <c r="H23" s="83" t="n">
        <v>6009740480.1</v>
      </c>
      <c r="I23" s="83" t="n">
        <v>1302239870.58</v>
      </c>
      <c r="J23" s="83" t="n">
        <v>30139131311.58</v>
      </c>
      <c r="K23" s="83" t="n">
        <v>12939385288.64</v>
      </c>
      <c r="L23" s="83" t="n">
        <v>6699164486.59</v>
      </c>
      <c r="M23" s="22" t="n">
        <v>1.5</v>
      </c>
      <c r="N23" s="47" t="s">
        <v>402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15" t="s">
        <v>403</v>
      </c>
      <c r="B24" s="83" t="n">
        <v>35850442042.72</v>
      </c>
      <c r="C24" s="83" t="n">
        <v>25876318999.37</v>
      </c>
      <c r="D24" s="83" t="n">
        <v>4408702703.03</v>
      </c>
      <c r="E24" s="83" t="n">
        <v>4782290262.58</v>
      </c>
      <c r="F24" s="83" t="n">
        <v>679950858.49</v>
      </c>
      <c r="G24" s="83" t="n">
        <v>4043745565.7</v>
      </c>
      <c r="H24" s="83" t="n">
        <v>3532331689.8</v>
      </c>
      <c r="I24" s="83" t="n">
        <v>444782071.31</v>
      </c>
      <c r="J24" s="83" t="n">
        <v>35153796066</v>
      </c>
      <c r="K24" s="83" t="n">
        <v>13679110933.26</v>
      </c>
      <c r="L24" s="83" t="n">
        <v>5616350259.65</v>
      </c>
      <c r="M24" s="22" t="n">
        <v>1</v>
      </c>
      <c r="N24" s="47" t="s">
        <v>402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15" t="s">
        <v>404</v>
      </c>
      <c r="B25" s="83" t="n">
        <v>33221948766.65</v>
      </c>
      <c r="C25" s="83" t="n">
        <v>24478638345.45</v>
      </c>
      <c r="D25" s="83" t="n">
        <v>3601552780.37</v>
      </c>
      <c r="E25" s="83" t="n">
        <v>3635945247.07</v>
      </c>
      <c r="F25" s="83" t="n">
        <v>468099267.3</v>
      </c>
      <c r="G25" s="83" t="n">
        <v>3129193906.59</v>
      </c>
      <c r="H25" s="83" t="n">
        <v>-1748962140.49</v>
      </c>
      <c r="I25" s="83" t="n">
        <v>730067960.97</v>
      </c>
      <c r="J25" s="83" t="n">
        <v>36165405805.4</v>
      </c>
      <c r="K25" s="83" t="n">
        <v>15605857859.57</v>
      </c>
      <c r="L25" s="83" t="n">
        <v>2487707386.22</v>
      </c>
      <c r="M25" s="22" t="n">
        <v>0.5</v>
      </c>
      <c r="N25" s="47" t="s">
        <v>402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15" t="s">
        <v>405</v>
      </c>
      <c r="B26" s="83" t="n">
        <v>31745844573.3</v>
      </c>
      <c r="C26" s="83" t="n">
        <v>23706090685.11</v>
      </c>
      <c r="D26" s="83" t="n">
        <v>2467996591.08</v>
      </c>
      <c r="E26" s="83" t="n">
        <v>2546534780</v>
      </c>
      <c r="F26" s="83" t="n">
        <v>218154533.11</v>
      </c>
      <c r="G26" s="83" t="n">
        <v>2301494353.7</v>
      </c>
      <c r="H26" s="83" t="n">
        <v>2577826033.55</v>
      </c>
      <c r="I26" s="83" t="n">
        <v>1058034991.79</v>
      </c>
      <c r="J26" s="83" t="n">
        <v>36799018315.95</v>
      </c>
      <c r="K26" s="83" t="n">
        <v>16756166732.09</v>
      </c>
      <c r="L26" s="83" t="n">
        <v>2912004374.7</v>
      </c>
      <c r="M26" s="22" t="n">
        <v>0.5</v>
      </c>
      <c r="N26" s="47" t="s">
        <v>402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15" t="s">
        <v>406</v>
      </c>
      <c r="B27" s="83" t="n">
        <v>30491743540.85</v>
      </c>
      <c r="C27" s="83" t="n">
        <v>23041740506.77</v>
      </c>
      <c r="D27" s="83" t="n">
        <v>2021516078.92</v>
      </c>
      <c r="E27" s="83" t="n">
        <v>2087105683.25</v>
      </c>
      <c r="F27" s="83" t="n">
        <v>122508491.34</v>
      </c>
      <c r="G27" s="83" t="n">
        <v>1942255843.21</v>
      </c>
      <c r="H27" s="83" t="n">
        <v>5351506023.95</v>
      </c>
      <c r="I27" s="83" t="n">
        <v>927392611.01</v>
      </c>
      <c r="J27" s="83" t="n">
        <v>36706402096.42</v>
      </c>
      <c r="K27" s="83" t="n">
        <v>17695422433.39</v>
      </c>
      <c r="L27" s="83" t="n">
        <v>4757864534.32</v>
      </c>
      <c r="M27" s="22" t="n">
        <v>1</v>
      </c>
      <c r="N27" s="47" t="s">
        <v>402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15" t="s">
        <v>407</v>
      </c>
      <c r="B28" s="83" t="n">
        <v>21705048359.92</v>
      </c>
      <c r="C28" s="83" t="n">
        <v>17911982559.81</v>
      </c>
      <c r="D28" s="83" t="n">
        <v>303996008.26</v>
      </c>
      <c r="E28" s="83" t="n">
        <v>347712999.23</v>
      </c>
      <c r="F28" s="83" t="n">
        <v>-170362312.17</v>
      </c>
      <c r="G28" s="83" t="n">
        <v>515990257.6</v>
      </c>
      <c r="H28" s="83" t="n">
        <v>3568473337.85</v>
      </c>
      <c r="I28" s="83" t="n">
        <v>957004349.81</v>
      </c>
      <c r="J28" s="83" t="n">
        <v>33311872530.14</v>
      </c>
      <c r="K28" s="83" t="n">
        <v>15442617577.3</v>
      </c>
      <c r="L28" s="83" t="n">
        <v>6150845227.35</v>
      </c>
      <c r="M28" s="22" t="n">
        <v>0.5</v>
      </c>
      <c r="N28" s="47" t="s">
        <v>402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15" t="s">
        <v>408</v>
      </c>
      <c r="B29" s="83" t="n">
        <v>23233463181.86</v>
      </c>
      <c r="C29" s="83" t="n">
        <v>18901014360.27</v>
      </c>
      <c r="D29" s="83" t="n">
        <v>534986434.21</v>
      </c>
      <c r="E29" s="83" t="n">
        <v>543457051.87</v>
      </c>
      <c r="F29" s="83" t="n">
        <v>-82053698.86</v>
      </c>
      <c r="G29" s="83" t="n">
        <v>613785285.74</v>
      </c>
      <c r="H29" s="83" t="n">
        <v>716214713.08</v>
      </c>
      <c r="I29" s="83" t="n">
        <v>691804187.45</v>
      </c>
      <c r="J29" s="83" t="n">
        <v>32165891031.43</v>
      </c>
      <c r="K29" s="83" t="n">
        <v>15343121312.64</v>
      </c>
      <c r="L29" s="83" t="n">
        <v>5631295628.77</v>
      </c>
      <c r="M29" s="22" t="n">
        <v>0.5</v>
      </c>
      <c r="N29" s="47" t="s">
        <v>402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15" t="s">
        <v>409</v>
      </c>
      <c r="B30" s="83" t="n">
        <v>21798960604.67</v>
      </c>
      <c r="C30" s="83" t="n">
        <v>16823122585.66</v>
      </c>
      <c r="D30" s="83" t="n">
        <v>705806432.82</v>
      </c>
      <c r="E30" s="83" t="n">
        <v>707759599.25</v>
      </c>
      <c r="F30" s="83" t="n">
        <v>-60045092.38</v>
      </c>
      <c r="G30" s="83" t="n">
        <v>759140760.22</v>
      </c>
      <c r="H30" s="83" t="n">
        <v>3253604803.54</v>
      </c>
      <c r="I30" s="83" t="n">
        <v>975657927.93</v>
      </c>
      <c r="J30" s="83" t="n">
        <v>29998383033.55</v>
      </c>
      <c r="K30" s="83" t="n">
        <v>14596048546.97</v>
      </c>
      <c r="L30" s="83" t="n">
        <v>7034623944.95</v>
      </c>
      <c r="M30" s="22" t="n">
        <v>1</v>
      </c>
      <c r="N30" s="47" t="s">
        <v>402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15" t="s">
        <v>410</v>
      </c>
      <c r="B31" s="83" t="n">
        <v>27041989494.57</v>
      </c>
      <c r="C31" s="83" t="n">
        <v>20833307979.68</v>
      </c>
      <c r="D31" s="83" t="n">
        <v>2035887840.62</v>
      </c>
      <c r="E31" s="83" t="n">
        <v>2078013269.97</v>
      </c>
      <c r="F31" s="83" t="n">
        <v>238509966.63</v>
      </c>
      <c r="G31" s="83" t="n">
        <v>1817084152.22</v>
      </c>
      <c r="H31" s="83" t="n">
        <v>4716697728.17</v>
      </c>
      <c r="I31" s="83" t="n">
        <v>567039081.24</v>
      </c>
      <c r="J31" s="83" t="n">
        <v>30856955973.42</v>
      </c>
      <c r="K31" s="83" t="n">
        <v>14056619661.55</v>
      </c>
      <c r="L31" s="83" t="n">
        <v>6433808650.59</v>
      </c>
      <c r="M31" s="22" t="n">
        <v>1.5</v>
      </c>
      <c r="N31" s="47" t="s">
        <v>402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15" t="s">
        <v>411</v>
      </c>
      <c r="B32" s="83" t="n">
        <v>37217586604.07</v>
      </c>
      <c r="C32" s="83" t="n">
        <v>28679339571.25</v>
      </c>
      <c r="D32" s="83" t="n">
        <v>4671563086.76</v>
      </c>
      <c r="E32" s="83" t="n">
        <v>4722205203.63</v>
      </c>
      <c r="F32" s="83" t="n">
        <v>568279437.29</v>
      </c>
      <c r="G32" s="83" t="n">
        <v>4116194422.5</v>
      </c>
      <c r="H32" s="83" t="n">
        <v>7210590343.82</v>
      </c>
      <c r="I32" s="83" t="n">
        <v>695759304.83</v>
      </c>
      <c r="J32" s="83" t="n">
        <v>32150894481.86</v>
      </c>
      <c r="K32" s="83" t="n">
        <v>13657511437.08</v>
      </c>
      <c r="L32" s="83" t="n">
        <v>8667063566.99</v>
      </c>
      <c r="M32" s="22" t="n">
        <v>1.5</v>
      </c>
      <c r="N32" s="47" t="s">
        <v>402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15" t="s">
        <v>412</v>
      </c>
      <c r="B33" s="83" t="n">
        <v>41426173982.34</v>
      </c>
      <c r="C33" s="83" t="n">
        <v>31425443228.88</v>
      </c>
      <c r="D33" s="83" t="n">
        <v>6478302794.06</v>
      </c>
      <c r="E33" s="83" t="n">
        <v>6518694617.9</v>
      </c>
      <c r="F33" s="83" t="n">
        <v>893518314.21</v>
      </c>
      <c r="G33" s="83" t="n">
        <v>5554481970.9</v>
      </c>
      <c r="H33" s="83" t="n">
        <v>3196679778.25</v>
      </c>
      <c r="I33" s="83" t="n">
        <v>729488117.06</v>
      </c>
      <c r="J33" s="83" t="n">
        <v>32990246148.33</v>
      </c>
      <c r="K33" s="83" t="n">
        <v>15844305050.58</v>
      </c>
      <c r="L33" s="83" t="n">
        <v>6367991239.76</v>
      </c>
      <c r="M33" s="22" t="n">
        <v>2.5</v>
      </c>
      <c r="N33" s="47" t="s">
        <v>402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75" t="s">
        <v>413</v>
      </c>
      <c r="B34" s="84" t="n">
        <f aca="false">B33+B39-B38</f>
        <v>40876127773.71</v>
      </c>
      <c r="C34" s="84" t="n">
        <f aca="false">C33+C39-C38</f>
        <v>30247609168.74</v>
      </c>
      <c r="D34" s="84" t="n">
        <f aca="false">D33+D39-D38</f>
        <v>6190072958.33</v>
      </c>
      <c r="E34" s="84" t="n">
        <f aca="false">E33+E39-E38</f>
        <v>6251628968.34</v>
      </c>
      <c r="F34" s="84" t="n">
        <f aca="false">F33+F39-F38</f>
        <v>782549989.13</v>
      </c>
      <c r="G34" s="84" t="n">
        <f aca="false">G33+G39-G38</f>
        <v>5445667513.88</v>
      </c>
      <c r="H34" s="84" t="n">
        <f aca="false">H33+H39-H38</f>
        <v>9404935538.35</v>
      </c>
      <c r="I34" s="84" t="n">
        <f aca="false">I33+I39-I38</f>
        <v>657963764.42</v>
      </c>
      <c r="J34" s="84" t="n">
        <v>32986980342.58</v>
      </c>
      <c r="K34" s="84" t="n">
        <v>14284092911.71</v>
      </c>
      <c r="L34" s="84" t="n">
        <v>7653017810.97</v>
      </c>
      <c r="M34" s="79" t="n">
        <v>2</v>
      </c>
      <c r="N34" s="85" t="s">
        <v>414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3" hidden="false" customHeight="true" outlineLevel="0" collapsed="false">
      <c r="A36" s="13" t="s">
        <v>415</v>
      </c>
      <c r="B36" s="13" t="s">
        <v>415</v>
      </c>
      <c r="C36" s="13" t="s">
        <v>415</v>
      </c>
      <c r="D36" s="13" t="s">
        <v>415</v>
      </c>
      <c r="E36" s="13" t="s">
        <v>415</v>
      </c>
      <c r="F36" s="13" t="s">
        <v>415</v>
      </c>
      <c r="G36" s="13" t="s">
        <v>415</v>
      </c>
      <c r="H36" s="13" t="s">
        <v>415</v>
      </c>
      <c r="I36" s="13" t="s">
        <v>415</v>
      </c>
      <c r="J36" s="13" t="s">
        <v>415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8" hidden="false" customHeight="true" outlineLevel="0" collapsed="false">
      <c r="A37" s="14" t="s">
        <v>264</v>
      </c>
      <c r="B37" s="14" t="s">
        <v>265</v>
      </c>
      <c r="C37" s="14" t="s">
        <v>391</v>
      </c>
      <c r="D37" s="14" t="s">
        <v>392</v>
      </c>
      <c r="E37" s="14" t="s">
        <v>393</v>
      </c>
      <c r="F37" s="14" t="s">
        <v>394</v>
      </c>
      <c r="G37" s="14" t="s">
        <v>267</v>
      </c>
      <c r="H37" s="14" t="s">
        <v>395</v>
      </c>
      <c r="I37" s="14" t="s">
        <v>269</v>
      </c>
      <c r="J37" s="14" t="s">
        <v>416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15" t="s">
        <v>417</v>
      </c>
      <c r="B38" s="83" t="n">
        <v>26365917793.54</v>
      </c>
      <c r="C38" s="83" t="n">
        <v>20471039723.59</v>
      </c>
      <c r="D38" s="83" t="n">
        <v>3832457549.26</v>
      </c>
      <c r="E38" s="83" t="n">
        <v>3855273938.47</v>
      </c>
      <c r="F38" s="83" t="n">
        <v>491182972</v>
      </c>
      <c r="G38" s="83" t="n">
        <v>3292350026.81</v>
      </c>
      <c r="H38" s="83" t="n">
        <v>1796162293.21</v>
      </c>
      <c r="I38" s="83" t="n">
        <v>553648670.07</v>
      </c>
      <c r="J38" s="47" t="s">
        <v>418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15" t="s">
        <v>419</v>
      </c>
      <c r="B39" s="83" t="n">
        <v>25815871584.91</v>
      </c>
      <c r="C39" s="83" t="n">
        <v>19293205663.45</v>
      </c>
      <c r="D39" s="83" t="n">
        <v>3544227713.53</v>
      </c>
      <c r="E39" s="83" t="n">
        <v>3588208288.91</v>
      </c>
      <c r="F39" s="83" t="n">
        <v>380214646.92</v>
      </c>
      <c r="G39" s="83" t="n">
        <v>3183535569.79</v>
      </c>
      <c r="H39" s="83" t="n">
        <v>8004418053.31</v>
      </c>
      <c r="I39" s="83" t="n">
        <v>482124317.43</v>
      </c>
      <c r="J39" s="47" t="s">
        <v>420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3" hidden="false" customHeight="true" outlineLevel="0" collapsed="false">
      <c r="A42" s="13" t="s">
        <v>421</v>
      </c>
      <c r="B42" s="13" t="s">
        <v>421</v>
      </c>
      <c r="C42" s="13" t="s">
        <v>421</v>
      </c>
      <c r="D42" s="13" t="s">
        <v>421</v>
      </c>
      <c r="E42" s="13" t="s">
        <v>421</v>
      </c>
      <c r="F42" s="13" t="s">
        <v>421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8" hidden="false" customHeight="true" outlineLevel="0" collapsed="false">
      <c r="A43" s="14" t="s">
        <v>422</v>
      </c>
      <c r="B43" s="14" t="s">
        <v>302</v>
      </c>
      <c r="C43" s="14" t="s">
        <v>423</v>
      </c>
      <c r="D43" s="14" t="s">
        <v>424</v>
      </c>
      <c r="E43" s="14" t="s">
        <v>425</v>
      </c>
      <c r="F43" s="14" t="s">
        <v>426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15" t="s">
        <v>427</v>
      </c>
      <c r="B44" s="16" t="s">
        <v>428</v>
      </c>
      <c r="C44" s="16" t="s">
        <v>420</v>
      </c>
      <c r="D44" s="16" t="s">
        <v>429</v>
      </c>
      <c r="E44" s="16" t="s">
        <v>430</v>
      </c>
      <c r="F44" s="47" t="s">
        <v>431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15" t="s">
        <v>432</v>
      </c>
      <c r="B45" s="16" t="s">
        <v>428</v>
      </c>
      <c r="C45" s="16" t="s">
        <v>433</v>
      </c>
      <c r="D45" s="16" t="s">
        <v>434</v>
      </c>
      <c r="E45" s="16" t="s">
        <v>435</v>
      </c>
      <c r="F45" s="47" t="s">
        <v>436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15" t="s">
        <v>437</v>
      </c>
      <c r="B46" s="16" t="s">
        <v>428</v>
      </c>
      <c r="C46" s="16" t="s">
        <v>438</v>
      </c>
      <c r="D46" s="16" t="s">
        <v>439</v>
      </c>
      <c r="E46" s="16" t="s">
        <v>440</v>
      </c>
      <c r="F46" s="47" t="s">
        <v>441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15" t="s">
        <v>442</v>
      </c>
      <c r="B47" s="16" t="s">
        <v>428</v>
      </c>
      <c r="C47" s="16" t="s">
        <v>443</v>
      </c>
      <c r="D47" s="16" t="s">
        <v>444</v>
      </c>
      <c r="E47" s="16" t="s">
        <v>445</v>
      </c>
      <c r="F47" s="47" t="s">
        <v>446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15" t="s">
        <v>447</v>
      </c>
      <c r="B48" s="16" t="s">
        <v>448</v>
      </c>
      <c r="C48" s="16" t="s">
        <v>449</v>
      </c>
      <c r="D48" s="16" t="s">
        <v>450</v>
      </c>
      <c r="E48" s="16" t="s">
        <v>451</v>
      </c>
      <c r="F48" s="4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15" t="s">
        <v>447</v>
      </c>
      <c r="B49" s="16" t="s">
        <v>452</v>
      </c>
      <c r="C49" s="16" t="s">
        <v>453</v>
      </c>
      <c r="D49" s="16" t="s">
        <v>454</v>
      </c>
      <c r="E49" s="16" t="s">
        <v>455</v>
      </c>
      <c r="F49" s="4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15" t="s">
        <v>456</v>
      </c>
      <c r="B50" s="16" t="s">
        <v>457</v>
      </c>
      <c r="C50" s="16" t="s">
        <v>458</v>
      </c>
      <c r="D50" s="16" t="s">
        <v>459</v>
      </c>
      <c r="E50" s="16" t="s">
        <v>460</v>
      </c>
      <c r="F50" s="4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15" t="s">
        <v>442</v>
      </c>
      <c r="B51" s="16" t="s">
        <v>428</v>
      </c>
      <c r="C51" s="16" t="s">
        <v>461</v>
      </c>
      <c r="D51" s="16" t="s">
        <v>462</v>
      </c>
      <c r="E51" s="16" t="s">
        <v>463</v>
      </c>
      <c r="F51" s="4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15" t="s">
        <v>442</v>
      </c>
      <c r="B52" s="16" t="s">
        <v>464</v>
      </c>
      <c r="C52" s="16" t="s">
        <v>465</v>
      </c>
      <c r="D52" s="16" t="s">
        <v>466</v>
      </c>
      <c r="E52" s="16" t="s">
        <v>467</v>
      </c>
      <c r="F52" s="4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15" t="s">
        <v>468</v>
      </c>
      <c r="B53" s="16" t="s">
        <v>469</v>
      </c>
      <c r="C53" s="16" t="s">
        <v>470</v>
      </c>
      <c r="D53" s="16" t="s">
        <v>471</v>
      </c>
      <c r="E53" s="16" t="s">
        <v>472</v>
      </c>
      <c r="F53" s="4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34" hidden="false" customHeight="true" outlineLevel="0" collapsed="false">
      <c r="A55" s="59" t="s">
        <v>473</v>
      </c>
      <c r="B55" s="33" t="s">
        <v>474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34" hidden="false" customHeight="true" outlineLevel="0" collapsed="false">
      <c r="A56" s="59" t="s">
        <v>475</v>
      </c>
      <c r="B56" s="33" t="s">
        <v>476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34" hidden="false" customHeight="true" outlineLevel="0" collapsed="false">
      <c r="A57" s="59" t="s">
        <v>224</v>
      </c>
      <c r="B57" s="33" t="s">
        <v>477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9">
    <mergeCell ref="A2:N2"/>
    <mergeCell ref="A3:N3"/>
    <mergeCell ref="A5:F5"/>
    <mergeCell ref="A21:N21"/>
    <mergeCell ref="A36:J36"/>
    <mergeCell ref="A42:F42"/>
    <mergeCell ref="B55:N55"/>
    <mergeCell ref="B56:N56"/>
    <mergeCell ref="B57:N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2026-10-16T16:57:31Z</dcterms:modified>
  <cp:revision>4</cp:revision>
  <dc:subject/>
  <dc:title/>
</cp:coreProperties>
</file>