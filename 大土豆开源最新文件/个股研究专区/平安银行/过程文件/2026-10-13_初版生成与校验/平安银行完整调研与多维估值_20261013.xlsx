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0123c7878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图流" sheetId="1" r:id="Ra13981fb18af4ca7"/>
    <x:sheet xmlns:r="http://schemas.openxmlformats.org/officeDocument/2006/relationships" name="投资结论" sheetId="2" r:id="Ra1abfa1218e44d61"/>
    <x:sheet xmlns:r="http://schemas.openxmlformats.org/officeDocument/2006/relationships" name="估值系统" sheetId="3" r:id="R6fc975acb0ea466d"/>
    <x:sheet xmlns:r="http://schemas.openxmlformats.org/officeDocument/2006/relationships" name="估值敏感性" sheetId="4" r:id="R6a39194126c14de3"/>
    <x:sheet xmlns:r="http://schemas.openxmlformats.org/officeDocument/2006/relationships" name="股息估值" sheetId="5" r:id="Rbd4931c608db4b38"/>
    <x:sheet xmlns:r="http://schemas.openxmlformats.org/officeDocument/2006/relationships" name="财务十年" sheetId="6" r:id="R912dfe1b4db94e69"/>
    <x:sheet xmlns:r="http://schemas.openxmlformats.org/officeDocument/2006/relationships" name="资产质量" sheetId="7" r:id="R8fd83249a8884db2"/>
    <x:sheet xmlns:r="http://schemas.openxmlformats.org/officeDocument/2006/relationships" name="同业比较" sheetId="8" r:id="R10a763b5f1604130"/>
    <x:sheet xmlns:r="http://schemas.openxmlformats.org/officeDocument/2006/relationships" name="巴菲特框架" sheetId="9" r:id="Rbb0823822c4c44bf"/>
    <x:sheet xmlns:r="http://schemas.openxmlformats.org/officeDocument/2006/relationships" name="数据与来源" sheetId="10" r:id="R11f71f3475c5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"/>
    <x:numFmt numFmtId="201" formatCode="0.0%"/>
    <x:numFmt numFmtId="202" formatCode="0.00"/>
    <x:numFmt numFmtId="203" formatCode="0.00%"/>
    <x:numFmt numFmtId="204" formatCode="0.000"/>
    <x:numFmt numFmtId="205" formatCode="0.00x"/>
    <x:numFmt numFmtId="206" formatCode="000000"/>
    <x:numFmt numFmtId="207" formatCode="0"/>
    <x:numFmt numFmtId="208" formatCode="#,##0.00"/>
    <x:numFmt numFmtId="209" formatCode="#,##0"/>
  </x:numFmts>
  <x:fonts count="22">
    <x:font>
      <x:sz val="11"/>
      <x:name val="Carlito"/>
    </x:font>
    <x:font>
      <x:sz val="10"/>
      <x:color rgb="FF222222"/>
      <x:name val="Microsoft YaHei"/>
    </x:font>
    <x:font>
      <x:b/>
      <x:sz val="15"/>
      <x:color rgb="FF17365D"/>
      <x:name val="Microsoft YaHei"/>
    </x:font>
    <x:font>
      <x:i/>
      <x:sz val="9"/>
      <x:color rgb="FF7F7F7F"/>
      <x:name val="Microsoft YaHei"/>
    </x:font>
    <x:font>
      <x:i/>
      <x:sz val="9"/>
      <x:color rgb="FF17365D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i/>
      <x:sz val="10"/>
      <x:color rgb="FF222222"/>
      <x:name val="Microsoft YaHei"/>
    </x:font>
    <x:font>
      <x:sz val="10"/>
      <x:color rgb="FF548235"/>
      <x:name val="Microsoft YaHei"/>
    </x:font>
    <x:font>
      <x:i/>
      <x:sz val="10"/>
      <x:color rgb="FF548235"/>
      <x:name val="Microsoft YaHei"/>
    </x:font>
    <x:font>
      <x:b/>
      <x:sz val="10"/>
      <x:color rgb="FF17365D"/>
      <x:name val="Microsoft YaHei"/>
    </x:font>
    <x:font>
      <x:b/>
      <x:sz val="10"/>
      <x:color rgb="FF222222"/>
      <x:name val="Microsoft YaHei"/>
    </x:font>
    <x:font>
      <x:sz val="10"/>
      <x:color rgb="FF17365D"/>
      <x:name val="Microsoft YaHei"/>
    </x:font>
    <x:font>
      <x:sz val="10"/>
      <x:color rgb="FF0000FF"/>
      <x:name val="Microsoft YaHei"/>
    </x:font>
    <x:font>
      <x:i/>
      <x:sz val="10"/>
      <x:color rgb="FF0000FF"/>
      <x:name val="Microsoft YaHei"/>
    </x:font>
    <x:font>
      <x:b/>
      <x:i/>
      <x:sz val="10"/>
      <x:color rgb="FFFFFFFF"/>
      <x:name val="Microsoft YaHei"/>
    </x:font>
    <x:font>
      <x:b/>
      <x:sz val="9"/>
      <x:color rgb="FFFFFFFF"/>
      <x:name val="Microsoft YaHei"/>
    </x:font>
    <x:font>
      <x:b/>
      <x:sz val="14"/>
      <x:color rgb="FF17365D"/>
      <x:name val="Microsoft YaHei"/>
    </x:font>
    <x:font>
      <x:b/>
      <x:i/>
      <x:sz val="10"/>
      <x:color rgb="FF222222"/>
      <x:name val="Microsoft YaHei"/>
    </x:font>
    <x:font>
      <x:u val="single"/>
      <x:sz val="9"/>
      <x:color rgb="FF0563C1"/>
      <x:name val="Microsoft YaHei"/>
    </x:font>
    <x:font>
      <x:sz val="11"/>
      <x:color rgb="FF222222"/>
      <x:name val="Microsoft YaHei"/>
    </x:font>
    <x:font>
      <x:b/>
      <x:sz val="13"/>
      <x:color rgb="FF17365D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FC000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32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/>
      <x:top/>
      <x:bottom style="thin">
        <x:color rgb="FF2F75B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  <x:border>
      <x:left style="thin">
        <x:color rgb="FF2F75B5"/>
      </x:left>
      <x:right/>
      <x:top style="thin">
        <x:color rgb="FF2F75B5"/>
      </x:top>
      <x:bottom/>
      <x:diagonal/>
    </x:border>
    <x:border>
      <x:left/>
      <x:right/>
      <x:top style="thin">
        <x:color rgb="FF2F75B5"/>
      </x:top>
      <x:bottom/>
      <x:diagonal/>
    </x:border>
    <x:border>
      <x:left/>
      <x:right style="thin">
        <x:color rgb="FF2F75B5"/>
      </x:right>
      <x:top style="thin">
        <x:color rgb="FF2F75B5"/>
      </x:top>
      <x:bottom/>
      <x:diagonal/>
    </x:border>
    <x:border>
      <x:left style="thin">
        <x:color rgb="FF2F75B5"/>
      </x:left>
      <x:right/>
      <x:top/>
      <x:bottom/>
      <x:diagonal/>
    </x:border>
    <x:border>
      <x:left/>
      <x:right style="thin">
        <x:color rgb="FF2F75B5"/>
      </x:right>
      <x:top/>
      <x:bottom/>
      <x:diagonal/>
    </x:border>
    <x:border>
      <x:left style="thin">
        <x:color rgb="FF2F75B5"/>
      </x:left>
      <x:right/>
      <x:top/>
      <x:bottom style="thin">
        <x:color rgb="FF2F75B5"/>
      </x:bottom>
      <x:diagonal/>
    </x:border>
    <x:border>
      <x:left/>
      <x:right style="thin">
        <x:color rgb="FF2F75B5"/>
      </x:right>
      <x:top/>
      <x:bottom style="thin">
        <x:color rgb="FF2F75B5"/>
      </x:bottom>
      <x:diagonal/>
    </x:border>
    <x:border>
      <x:left style="thin">
        <x:color rgb="FFB4C6E7"/>
      </x:left>
      <x:right/>
      <x:top style="thin">
        <x:color rgb="FFB4C6E7"/>
      </x:top>
      <x:bottom/>
      <x:diagonal/>
    </x:border>
    <x:border>
      <x:left/>
      <x:right/>
      <x:top style="thin">
        <x:color rgb="FFB4C6E7"/>
      </x:top>
      <x:bottom/>
      <x:diagonal/>
    </x:border>
    <x:border>
      <x:left/>
      <x:right style="thin">
        <x:color rgb="FFB4C6E7"/>
      </x:right>
      <x:top style="thin">
        <x:color rgb="FFB4C6E7"/>
      </x:top>
      <x:bottom/>
      <x:diagonal/>
    </x:border>
    <x:border>
      <x:left style="thin">
        <x:color rgb="FFB4C6E7"/>
      </x:left>
      <x:right/>
      <x:top/>
      <x:bottom/>
      <x:diagonal/>
    </x:border>
    <x:border>
      <x:left/>
      <x:right style="thin">
        <x:color rgb="FFB4C6E7"/>
      </x:right>
      <x:top/>
      <x:bottom/>
      <x:diagonal/>
    </x:border>
    <x:border>
      <x:left style="thin">
        <x:color rgb="FFB4C6E7"/>
      </x:left>
      <x:right/>
      <x:top/>
      <x:bottom style="thin">
        <x:color rgb="FFB4C6E7"/>
      </x:bottom>
      <x:diagonal/>
    </x:border>
    <x:border>
      <x:left/>
      <x:right/>
      <x:top/>
      <x:bottom style="thin">
        <x:color rgb="FFB4C6E7"/>
      </x:bottom>
      <x:diagonal/>
    </x:border>
    <x:border>
      <x:left/>
      <x:right style="thin">
        <x:color rgb="FFB4C6E7"/>
      </x:right>
      <x:top/>
      <x:bottom style="thin">
        <x:color rgb="FFB4C6E7"/>
      </x:bottom>
      <x:diagonal/>
    </x:border>
    <x:border>
      <x:left style="medium">
        <x:color rgb="FF548235"/>
      </x:left>
      <x:right/>
      <x:top style="medium">
        <x:color rgb="FF548235"/>
      </x:top>
      <x:bottom/>
      <x:diagonal/>
    </x:border>
    <x:border>
      <x:left/>
      <x:right/>
      <x:top style="medium">
        <x:color rgb="FF548235"/>
      </x:top>
      <x:bottom/>
      <x:diagonal/>
    </x:border>
    <x:border>
      <x:left/>
      <x:right style="medium">
        <x:color rgb="FF548235"/>
      </x:right>
      <x:top style="medium">
        <x:color rgb="FF548235"/>
      </x:top>
      <x:bottom/>
      <x:diagonal/>
    </x:border>
    <x:border>
      <x:left style="medium">
        <x:color rgb="FF548235"/>
      </x:left>
      <x:right/>
      <x:top/>
      <x:bottom/>
      <x:diagonal/>
    </x:border>
    <x:border>
      <x:left/>
      <x:right style="medium">
        <x:color rgb="FF548235"/>
      </x:right>
      <x:top/>
      <x:bottom/>
      <x:diagonal/>
    </x:border>
    <x:border>
      <x:left style="medium">
        <x:color rgb="FF548235"/>
      </x:left>
      <x:right/>
      <x:top/>
      <x:bottom style="medium">
        <x:color rgb="FF548235"/>
      </x:bottom>
      <x:diagonal/>
    </x:border>
    <x:border>
      <x:left/>
      <x:right/>
      <x:top/>
      <x:bottom style="medium">
        <x:color rgb="FF548235"/>
      </x:bottom>
      <x:diagonal/>
    </x:border>
    <x:border>
      <x:left/>
      <x:right style="medium">
        <x:color rgb="FF548235"/>
      </x:right>
      <x:top/>
      <x:bottom style="medium">
        <x:color rgb="FF548235"/>
      </x:bottom>
      <x:diagonal/>
    </x:border>
  </x:borders>
  <x:cellStyleXfs count="1">
    <x:xf numFmtId="0" fontId="0" fillId="0" borderId="0"/>
  </x:cellStyleXfs>
  <x:cellXfs count="48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2" borderId="6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6" fillId="2" borderId="7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horizontal="center" vertical="center"/>
    </x:xf>
    <x:xf numFmtId="200" fontId="1" fillId="2" borderId="6" xfId="0" applyNumberFormat="1" applyFont="1" applyFill="1" applyBorder="1" applyAlignment="1">
      <x:alignment horizontal="center" vertical="center"/>
    </x:xf>
    <x:xf numFmtId="201" fontId="1" fillId="0" borderId="7" xfId="0" applyNumberFormat="1" applyFont="1" applyFill="1" applyBorder="1" applyAlignment="1">
      <x:alignment horizontal="center" vertical="center"/>
    </x:xf>
    <x:xf numFmtId="201" fontId="7" fillId="0" borderId="7" xfId="0" applyNumberFormat="1" applyFont="1" applyFill="1" applyBorder="1" applyAlignment="1">
      <x:alignment horizontal="center" vertical="center"/>
    </x:xf>
    <x:xf numFmtId="200" fontId="1" fillId="2" borderId="7" xfId="0" applyNumberFormat="1" applyFont="1" applyFill="1" applyBorder="1" applyAlignment="1">
      <x:alignment horizontal="center" vertical="center"/>
    </x:xf>
    <x:xf numFmtId="202" fontId="1" fillId="0" borderId="7" xfId="0" applyNumberFormat="1" applyFont="1" applyFill="1" applyBorder="1" applyAlignment="1">
      <x:alignment horizontal="center" vertical="center"/>
    </x:xf>
    <x:xf numFmtId="202" fontId="1" fillId="2" borderId="7" xfId="0" applyNumberFormat="1" applyFont="1" applyFill="1" applyBorder="1" applyAlignment="1">
      <x:alignment horizontal="center" vertical="center"/>
    </x:xf>
    <x:xf numFmtId="203" fontId="1" fillId="0" borderId="7" xfId="0" applyNumberFormat="1" applyFont="1" applyFill="1" applyBorder="1" applyAlignment="1">
      <x:alignment horizontal="center" vertical="center"/>
    </x:xf>
    <x:xf numFmtId="203" fontId="7" fillId="0" borderId="7" xfId="0" applyNumberFormat="1" applyFont="1" applyFill="1" applyBorder="1" applyAlignment="1">
      <x:alignment horizontal="center" vertical="center"/>
    </x:xf>
    <x:xf numFmtId="200" fontId="1" fillId="0" borderId="7" xfId="0" applyNumberFormat="1" applyFont="1" applyFill="1" applyBorder="1" applyAlignment="1">
      <x:alignment horizontal="center" vertical="center"/>
    </x:xf>
    <x:xf numFmtId="204" fontId="1" fillId="0" borderId="7" xfId="0" applyNumberFormat="1" applyFont="1" applyFill="1" applyBorder="1" applyAlignment="1">
      <x:alignment horizontal="center" vertical="center"/>
    </x:xf>
    <x:xf numFmtId="202" fontId="1" fillId="4" borderId="7" xfId="0" applyNumberFormat="1" applyFont="1" applyFill="1" applyBorder="1" applyAlignment="1">
      <x:alignment horizontal="center" vertical="center"/>
    </x:xf>
    <x:xf numFmtId="202" fontId="1" fillId="4" borderId="8" xfId="0" applyNumberFormat="1" applyFont="1" applyFill="1" applyBorder="1" applyAlignment="1">
      <x:alignment horizontal="center" vertical="center"/>
    </x:xf>
    <x:xf numFmtId="202" fontId="8" fillId="4" borderId="8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200" fontId="1" fillId="5" borderId="6" xfId="0" applyNumberFormat="1" applyFont="1" applyFill="1" applyBorder="1" applyAlignment="1">
      <x:alignment horizontal="center" vertical="center"/>
    </x:xf>
    <x:xf numFmtId="201" fontId="7" fillId="5" borderId="7" xfId="0" applyNumberFormat="1" applyFont="1" applyFill="1" applyBorder="1" applyAlignment="1">
      <x:alignment horizontal="center" vertical="center"/>
    </x:xf>
    <x:xf numFmtId="200" fontId="1" fillId="5" borderId="7" xfId="0" applyNumberFormat="1" applyFont="1" applyFill="1" applyBorder="1" applyAlignment="1">
      <x:alignment horizontal="center" vertical="center"/>
    </x:xf>
    <x:xf numFmtId="202" fontId="1" fillId="5" borderId="7" xfId="0" applyNumberFormat="1" applyFont="1" applyFill="1" applyBorder="1" applyAlignment="1">
      <x:alignment horizontal="center" vertical="center"/>
    </x:xf>
    <x:xf numFmtId="203" fontId="7" fillId="5" borderId="7" xfId="0" applyNumberFormat="1" applyFont="1" applyFill="1" applyBorder="1" applyAlignment="1">
      <x:alignment horizontal="center" vertical="center"/>
    </x:xf>
    <x:xf numFmtId="204" fontId="1" fillId="5" borderId="7" xfId="0" applyNumberFormat="1" applyFont="1" applyFill="1" applyBorder="1" applyAlignment="1">
      <x:alignment horizontal="center" vertical="center"/>
    </x:xf>
    <x:xf numFmtId="202" fontId="8" fillId="5" borderId="8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201" fontId="9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5" fontId="2" fillId="2" borderId="0" xfId="0" applyNumberFormat="1" applyFont="1" applyFill="1" applyBorder="1" applyAlignment="1">
      <x:alignment vertical="center"/>
    </x:xf>
    <x:xf numFmtId="205" fontId="2" fillId="2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205" fontId="2" fillId="7" borderId="0" xfId="0" applyNumberFormat="1" applyFont="1" applyFill="1" applyBorder="1" applyAlignment="1">
      <x:alignment vertical="center"/>
    </x:xf>
    <x:xf numFmtId="205" fontId="2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202" fontId="2" fillId="8" borderId="0" xfId="0" applyNumberFormat="1" applyFont="1" applyFill="1" applyBorder="1" applyAlignment="1">
      <x:alignment vertical="center"/>
    </x:xf>
    <x:xf numFmtId="202" fontId="2" fillId="8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201" fontId="2" fillId="5" borderId="0" xfId="0" applyNumberFormat="1" applyFont="1" applyFill="1" applyBorder="1" applyAlignment="1">
      <x:alignment vertical="center"/>
    </x:xf>
    <x:xf numFmtId="201" fontId="2" fillId="5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center"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6" fontId="1" fillId="0" borderId="6" xfId="0" applyNumberFormat="1" applyFont="1" applyFill="1" applyBorder="1" applyAlignment="1">
      <x:alignment horizontal="center" vertical="center"/>
    </x:xf>
    <x:xf numFmtId="206" fontId="1" fillId="0" borderId="7" xfId="0" applyNumberFormat="1" applyFont="1" applyFill="1" applyBorder="1" applyAlignment="1">
      <x:alignment horizontal="center" vertical="center"/>
    </x:xf>
    <x:xf numFmtId="206" fontId="1" fillId="0" borderId="8" xfId="0" applyNumberFormat="1" applyFont="1" applyFill="1" applyBorder="1" applyAlignment="1">
      <x:alignment horizontal="center" vertical="center"/>
    </x:xf>
    <x:xf numFmtId="206" fontId="1" fillId="5" borderId="6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0" borderId="7" xfId="0" applyNumberFormat="1" applyFont="1" applyFill="1" applyBorder="1" applyAlignment="1">
      <x:alignment horizontal="center" vertical="center"/>
    </x:xf>
    <x:xf numFmtId="0" fontId="10" fillId="0" borderId="8" xfId="0" applyNumberFormat="1" applyFont="1" applyFill="1" applyBorder="1" applyAlignment="1">
      <x:alignment horizontal="center" vertical="center"/>
    </x:xf>
    <x:xf numFmtId="202" fontId="1" fillId="5" borderId="6" xfId="0" applyNumberFormat="1" applyFont="1" applyFill="1" applyBorder="1" applyAlignment="1">
      <x:alignment horizontal="center" vertical="center"/>
    </x:xf>
    <x:xf numFmtId="202" fontId="1" fillId="0" borderId="8" xfId="0" applyNumberFormat="1" applyFont="1" applyFill="1" applyBorder="1" applyAlignment="1">
      <x:alignment horizontal="center" vertical="center"/>
    </x:xf>
    <x:xf numFmtId="203" fontId="1" fillId="5" borderId="6" xfId="0" applyNumberFormat="1" applyFont="1" applyFill="1" applyBorder="1" applyAlignment="1">
      <x:alignment horizontal="center" vertical="center"/>
    </x:xf>
    <x:xf numFmtId="203" fontId="1" fillId="0" borderId="8" xfId="0" applyNumberFormat="1" applyFont="1" applyFill="1" applyBorder="1" applyAlignment="1">
      <x:alignment horizontal="center" vertical="center"/>
    </x:xf>
    <x:xf numFmtId="203" fontId="7" fillId="5" borderId="6" xfId="0" applyNumberFormat="1" applyFont="1" applyFill="1" applyBorder="1" applyAlignment="1">
      <x:alignment horizontal="center" vertical="center"/>
    </x:xf>
    <x:xf numFmtId="203" fontId="7" fillId="0" borderId="8" xfId="0" applyNumberFormat="1" applyFont="1" applyFill="1" applyBorder="1" applyAlignment="1">
      <x:alignment horizontal="center" vertical="center"/>
    </x:xf>
    <x:xf numFmtId="201" fontId="7" fillId="5" borderId="6" xfId="0" applyNumberFormat="1" applyFont="1" applyFill="1" applyBorder="1" applyAlignment="1">
      <x:alignment horizontal="center" vertical="center"/>
    </x:xf>
    <x:xf numFmtId="201" fontId="7" fillId="0" borderId="8" xfId="0" applyNumberFormat="1" applyFont="1" applyFill="1" applyBorder="1" applyAlignment="1">
      <x:alignment horizontal="center" vertical="center"/>
    </x:xf>
    <x:xf numFmtId="0" fontId="11" fillId="0" borderId="6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  <x:xf numFmtId="0" fontId="11" fillId="0" borderId="8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left" vertical="center"/>
    </x:xf>
    <x:xf numFmtId="0" fontId="1" fillId="0" borderId="7" xfId="0" applyNumberFormat="1" applyFont="1" applyFill="1" applyBorder="1" applyAlignment="1">
      <x:alignment horizontal="left" vertical="center"/>
    </x:xf>
    <x:xf numFmtId="0" fontId="1" fillId="0" borderId="8" xfId="0" applyNumberFormat="1" applyFont="1" applyFill="1" applyBorder="1" applyAlignment="1">
      <x:alignment horizontal="left" vertical="center"/>
    </x:xf>
    <x:xf numFmtId="205" fontId="1" fillId="0" borderId="6" xfId="0" applyNumberFormat="1" applyFont="1" applyFill="1" applyBorder="1" applyAlignment="1">
      <x:alignment horizontal="center" vertical="center"/>
    </x:xf>
    <x:xf numFmtId="205" fontId="1" fillId="0" borderId="7" xfId="0" applyNumberFormat="1" applyFont="1" applyFill="1" applyBorder="1" applyAlignment="1">
      <x:alignment horizontal="center" vertical="center"/>
    </x:xf>
    <x:xf numFmtId="201" fontId="1" fillId="0" borderId="8" xfId="0" applyNumberFormat="1" applyFont="1" applyFill="1" applyBorder="1" applyAlignment="1">
      <x:alignment horizontal="center" vertical="center"/>
    </x:xf>
    <x:xf numFmtId="202" fontId="8" fillId="0" borderId="7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202" fontId="13" fillId="5" borderId="0" xfId="0" applyNumberFormat="1" applyFont="1" applyFill="1" applyBorder="1" applyAlignment="1">
      <x:alignment vertical="center"/>
    </x:xf>
    <x:xf numFmtId="204" fontId="13" fillId="5" borderId="0" xfId="0" applyNumberFormat="1" applyFont="1" applyFill="1" applyBorder="1" applyAlignment="1">
      <x:alignment vertical="center"/>
    </x:xf>
    <x:xf numFmtId="202" fontId="13" fillId="5" borderId="6" xfId="0" applyNumberFormat="1" applyFont="1" applyFill="1" applyBorder="1" applyAlignment="1">
      <x:alignment vertical="center"/>
    </x:xf>
    <x:xf numFmtId="202" fontId="13" fillId="5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8" fillId="0" borderId="7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204" fontId="13" fillId="5" borderId="7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/>
    </x:xf>
    <x:xf numFmtId="201" fontId="7" fillId="0" borderId="8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202" fontId="13" fillId="5" borderId="6" xfId="0" applyNumberFormat="1" applyFont="1" applyFill="1" applyBorder="1" applyAlignment="1">
      <x:alignment horizontal="center" vertical="center"/>
    </x:xf>
    <x:xf numFmtId="202" fontId="13" fillId="5" borderId="7" xfId="0" applyNumberFormat="1" applyFont="1" applyFill="1" applyBorder="1" applyAlignment="1">
      <x:alignment horizontal="center" vertical="center"/>
    </x:xf>
    <x:xf numFmtId="204" fontId="13" fillId="5" borderId="7" xfId="0" applyNumberFormat="1" applyFont="1" applyFill="1" applyBorder="1" applyAlignment="1">
      <x:alignment horizontal="center" vertical="center"/>
    </x:xf>
    <x:xf numFmtId="0" fontId="1" fillId="8" borderId="8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201" fontId="1" fillId="0" borderId="6" xfId="0" applyNumberFormat="1" applyFont="1" applyFill="1" applyBorder="1" applyAlignment="1">
      <x:alignment horizontal="center" vertical="center"/>
    </x:xf>
    <x:xf numFmtId="201" fontId="7" fillId="0" borderId="6" xfId="0" applyNumberFormat="1" applyFont="1" applyFill="1" applyBorder="1" applyAlignment="1">
      <x:alignment horizontal="center" vertical="center"/>
    </x:xf>
    <x:xf numFmtId="202" fontId="1" fillId="0" borderId="6" xfId="0" applyNumberFormat="1" applyFont="1" applyFill="1" applyBorder="1" applyAlignment="1">
      <x:alignment horizontal="center" vertical="center"/>
    </x:xf>
    <x:xf numFmtId="202" fontId="11" fillId="8" borderId="8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1" fontId="13" fillId="5" borderId="0" xfId="0" applyNumberFormat="1" applyFont="1" applyFill="1" applyBorder="1" applyAlignment="1">
      <x:alignment vertical="center"/>
    </x:xf>
    <x:xf numFmtId="201" fontId="14" fillId="5" borderId="0" xfId="0" applyNumberFormat="1" applyFont="1" applyFill="1" applyBorder="1" applyAlignment="1">
      <x:alignment vertical="center"/>
    </x:xf>
    <x:xf numFmtId="201" fontId="14" fillId="5" borderId="6" xfId="0" applyNumberFormat="1" applyFont="1" applyFill="1" applyBorder="1" applyAlignment="1">
      <x:alignment vertical="center"/>
    </x:xf>
    <x:xf numFmtId="201" fontId="14" fillId="5" borderId="7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1" fontId="14" fillId="5" borderId="6" xfId="0" applyNumberFormat="1" applyFont="1" applyFill="1" applyBorder="1" applyAlignment="1">
      <x:alignment horizontal="center" vertical="center"/>
    </x:xf>
    <x:xf numFmtId="201" fontId="14" fillId="5" borderId="7" xfId="0" applyNumberFormat="1" applyFont="1" applyFill="1" applyBorder="1" applyAlignment="1">
      <x:alignment horizontal="center"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8" borderId="7" xfId="0" applyNumberFormat="1" applyFont="1" applyFill="1" applyBorder="1" applyAlignment="1">
      <x:alignment vertical="center"/>
    </x:xf>
    <x:xf numFmtId="202" fontId="1" fillId="8" borderId="8" xfId="0" applyNumberFormat="1" applyFont="1" applyFill="1" applyBorder="1" applyAlignment="1">
      <x:alignment vertical="center"/>
    </x:xf>
    <x:xf numFmtId="202" fontId="1" fillId="8" borderId="7" xfId="0" applyNumberFormat="1" applyFont="1" applyFill="1" applyBorder="1" applyAlignment="1">
      <x:alignment horizontal="center" vertical="center"/>
    </x:xf>
    <x:xf numFmtId="202" fontId="1" fillId="8" borderId="8" xfId="0" applyNumberFormat="1" applyFont="1" applyFill="1" applyBorder="1" applyAlignment="1">
      <x:alignment horizontal="center" vertical="center"/>
    </x:xf>
    <x:xf numFmtId="201" fontId="5" fillId="3" borderId="4" xfId="0" applyNumberFormat="1" applyFont="1" applyFill="1" applyBorder="1" applyAlignment="1">
      <x:alignment horizontal="center" vertical="center"/>
    </x:xf>
    <x:xf numFmtId="201" fontId="5" fillId="3" borderId="5" xfId="0" applyNumberFormat="1" applyFont="1" applyFill="1" applyBorder="1" applyAlignment="1">
      <x:alignment horizontal="center" vertical="center"/>
    </x:xf>
    <x:xf numFmtId="201" fontId="15" fillId="3" borderId="4" xfId="0" applyNumberFormat="1" applyFont="1" applyFill="1" applyBorder="1" applyAlignment="1">
      <x:alignment horizontal="center" vertical="center"/>
    </x:xf>
    <x:xf numFmtId="201" fontId="15" fillId="3" borderId="5" xfId="0" applyNumberFormat="1" applyFont="1" applyFill="1" applyBorder="1" applyAlignment="1">
      <x:alignment horizontal="center" vertical="center"/>
    </x:xf>
    <x:xf numFmtId="0" fontId="16" fillId="3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vertical="center"/>
    </x:xf>
    <x:xf numFmtId="202" fontId="17" fillId="2" borderId="0" xfId="0" applyNumberFormat="1" applyFont="1" applyFill="1" applyBorder="1" applyAlignment="1">
      <x:alignment vertical="center"/>
    </x:xf>
    <x:xf numFmtId="202" fontId="17" fillId="2" borderId="0" xfId="0" applyNumberFormat="1" applyFont="1" applyFill="1" applyBorder="1" applyAlignment="1">
      <x:alignment horizontal="center" vertical="center"/>
    </x:xf>
    <x:xf numFmtId="0" fontId="17" fillId="7" borderId="0" xfId="0" applyNumberFormat="1" applyFont="1" applyFill="1" applyBorder="1" applyAlignment="1">
      <x:alignment vertical="center"/>
    </x:xf>
    <x:xf numFmtId="202" fontId="17" fillId="7" borderId="0" xfId="0" applyNumberFormat="1" applyFont="1" applyFill="1" applyBorder="1" applyAlignment="1">
      <x:alignment vertical="center"/>
    </x:xf>
    <x:xf numFmtId="202" fontId="17" fillId="7" borderId="0" xfId="0" applyNumberFormat="1" applyFont="1" applyFill="1" applyBorder="1" applyAlignment="1">
      <x:alignment horizontal="center" vertical="center"/>
    </x:xf>
    <x:xf numFmtId="0" fontId="17" fillId="8" borderId="0" xfId="0" applyNumberFormat="1" applyFont="1" applyFill="1" applyBorder="1" applyAlignment="1">
      <x:alignment vertical="center"/>
    </x:xf>
    <x:xf numFmtId="202" fontId="17" fillId="8" borderId="0" xfId="0" applyNumberFormat="1" applyFont="1" applyFill="1" applyBorder="1" applyAlignment="1">
      <x:alignment vertical="center"/>
    </x:xf>
    <x:xf numFmtId="202" fontId="17" fillId="8" borderId="0" xfId="0" applyNumberFormat="1" applyFont="1" applyFill="1" applyBorder="1" applyAlignment="1">
      <x:alignment horizontal="center" vertical="center"/>
    </x:xf>
    <x:xf numFmtId="0" fontId="17" fillId="5" borderId="0" xfId="0" applyNumberFormat="1" applyFont="1" applyFill="1" applyBorder="1" applyAlignment="1">
      <x:alignment vertical="center"/>
    </x:xf>
    <x:xf numFmtId="201" fontId="17" fillId="5" borderId="0" xfId="0" applyNumberFormat="1" applyFont="1" applyFill="1" applyBorder="1" applyAlignment="1">
      <x:alignment vertical="center"/>
    </x:xf>
    <x:xf numFmtId="201" fontId="17" fillId="5" borderId="0" xfId="0" applyNumberFormat="1" applyFont="1" applyFill="1" applyBorder="1" applyAlignment="1">
      <x:alignment horizontal="center" vertical="center"/>
    </x:xf>
    <x:xf numFmtId="201" fontId="7" fillId="0" borderId="6" xfId="0" applyNumberFormat="1" applyFont="1" applyFill="1" applyBorder="1" applyAlignment="1">
      <x:alignment vertical="center"/>
    </x:xf>
    <x:xf numFmtId="201" fontId="14" fillId="5" borderId="8" xfId="0" applyNumberFormat="1" applyFont="1" applyFill="1" applyBorder="1" applyAlignment="1">
      <x:alignment vertical="center"/>
    </x:xf>
    <x:xf numFmtId="0" fontId="1" fillId="9" borderId="6" xfId="0" applyNumberFormat="1" applyFont="1" applyFill="1" applyBorder="1" applyAlignment="1">
      <x:alignment vertical="center"/>
    </x:xf>
    <x:xf numFmtId="201" fontId="14" fillId="9" borderId="6" xfId="0" applyNumberFormat="1" applyFont="1" applyFill="1" applyBorder="1" applyAlignment="1">
      <x:alignment vertical="center"/>
    </x:xf>
    <x:xf numFmtId="202" fontId="1" fillId="9" borderId="6" xfId="0" applyNumberFormat="1" applyFont="1" applyFill="1" applyBorder="1" applyAlignment="1">
      <x:alignment vertical="center"/>
    </x:xf>
    <x:xf numFmtId="201" fontId="7" fillId="9" borderId="6" xfId="0" applyNumberFormat="1" applyFont="1" applyFill="1" applyBorder="1" applyAlignment="1">
      <x:alignment vertical="center"/>
    </x:xf>
    <x:xf numFmtId="0" fontId="1" fillId="8" borderId="7" xfId="0" applyNumberFormat="1" applyFont="1" applyFill="1" applyBorder="1" applyAlignment="1">
      <x:alignment vertical="center"/>
    </x:xf>
    <x:xf numFmtId="201" fontId="14" fillId="8" borderId="7" xfId="0" applyNumberFormat="1" applyFont="1" applyFill="1" applyBorder="1" applyAlignment="1">
      <x:alignment vertical="center"/>
    </x:xf>
    <x:xf numFmtId="201" fontId="7" fillId="8" borderId="7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201" fontId="7" fillId="5" borderId="7" xfId="0" applyNumberFormat="1" applyFont="1" applyFill="1" applyBorder="1" applyAlignment="1">
      <x:alignment vertical="center"/>
    </x:xf>
    <x:xf numFmtId="202" fontId="1" fillId="5" borderId="7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8" borderId="8" xfId="0" applyNumberFormat="1" applyFont="1" applyFill="1" applyBorder="1" applyAlignment="1">
      <x:alignment vertical="center"/>
    </x:xf>
    <x:xf numFmtId="201" fontId="7" fillId="8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15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0" fontId="1" fillId="2" borderId="14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15" xfId="0" applyNumberFormat="1" applyFont="1" applyFill="1" applyBorder="1" applyAlignment="1">
      <x:alignment vertical="center" wrapText="1"/>
    </x:xf>
    <x:xf numFmtId="204" fontId="17" fillId="8" borderId="0" xfId="0" applyNumberFormat="1" applyFont="1" applyFill="1" applyBorder="1" applyAlignment="1">
      <x:alignment vertical="center"/>
    </x:xf>
    <x:xf numFmtId="204" fontId="17" fillId="8" borderId="0" xfId="0" applyNumberFormat="1" applyFont="1" applyFill="1" applyBorder="1" applyAlignment="1">
      <x:alignment horizontal="center" vertical="center"/>
    </x:xf>
    <x:xf numFmtId="203" fontId="17" fillId="7" borderId="0" xfId="0" applyNumberFormat="1" applyFont="1" applyFill="1" applyBorder="1" applyAlignment="1">
      <x:alignment vertical="center"/>
    </x:xf>
    <x:xf numFmtId="203" fontId="17" fillId="7" borderId="0" xfId="0" applyNumberFormat="1" applyFont="1" applyFill="1" applyBorder="1" applyAlignment="1">
      <x:alignment horizontal="center" vertical="center"/>
    </x:xf>
    <x:xf numFmtId="203" fontId="17" fillId="5" borderId="0" xfId="0" applyNumberFormat="1" applyFont="1" applyFill="1" applyBorder="1" applyAlignment="1">
      <x:alignment vertical="center"/>
    </x:xf>
    <x:xf numFmtId="203" fontId="17" fillId="5" borderId="0" xfId="0" applyNumberFormat="1" applyFont="1" applyFill="1" applyBorder="1" applyAlignment="1">
      <x:alignment horizontal="center" vertical="center"/>
    </x:xf>
    <x:xf numFmtId="0" fontId="10" fillId="2" borderId="2" xfId="0" applyNumberFormat="1" applyFont="1" applyFill="1" applyBorder="1" applyAlignment="1">
      <x:alignment vertical="center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4" fontId="1" fillId="0" borderId="8" xfId="0" applyNumberFormat="1" applyFont="1" applyFill="1" applyBorder="1" applyAlignment="1">
      <x:alignment vertical="center"/>
    </x:xf>
    <x:xf numFmtId="204" fontId="1" fillId="8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204" fontId="1" fillId="5" borderId="8" xfId="0" applyNumberFormat="1" applyFont="1" applyFill="1" applyBorder="1" applyAlignment="1">
      <x:alignment vertical="center"/>
    </x:xf>
    <x:xf numFmtId="201" fontId="7" fillId="5" borderId="8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3" fontId="7" fillId="0" borderId="6" xfId="0" applyNumberFormat="1" applyFont="1" applyFill="1" applyBorder="1" applyAlignment="1">
      <x:alignment vertical="center"/>
    </x:xf>
    <x:xf numFmtId="203" fontId="7" fillId="0" borderId="7" xfId="0" applyNumberFormat="1" applyFont="1" applyFill="1" applyBorder="1" applyAlignment="1">
      <x:alignment vertical="center"/>
    </x:xf>
    <x:xf numFmtId="203" fontId="7" fillId="0" borderId="8" xfId="0" applyNumberFormat="1" applyFont="1" applyFill="1" applyBorder="1" applyAlignment="1">
      <x:alignment vertical="center"/>
    </x:xf>
    <x:xf numFmtId="204" fontId="1" fillId="5" borderId="7" xfId="0" applyNumberFormat="1" applyFont="1" applyFill="1" applyBorder="1" applyAlignment="1">
      <x:alignment vertical="center"/>
    </x:xf>
    <x:xf numFmtId="0" fontId="1" fillId="9" borderId="8" xfId="0" applyNumberFormat="1" applyFont="1" applyFill="1" applyBorder="1" applyAlignment="1">
      <x:alignment vertical="center"/>
    </x:xf>
    <x:xf numFmtId="201" fontId="14" fillId="9" borderId="8" xfId="0" applyNumberFormat="1" applyFont="1" applyFill="1" applyBorder="1" applyAlignment="1">
      <x:alignment vertical="center"/>
    </x:xf>
    <x:xf numFmtId="204" fontId="1" fillId="9" borderId="8" xfId="0" applyNumberFormat="1" applyFont="1" applyFill="1" applyBorder="1" applyAlignment="1">
      <x:alignment vertical="center"/>
    </x:xf>
    <x:xf numFmtId="201" fontId="7" fillId="9" borderId="8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horizontal="center" vertical="center"/>
    </x:xf>
    <x:xf numFmtId="203" fontId="7" fillId="0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horizontal="center" vertical="center"/>
    </x:xf>
    <x:xf numFmtId="200" fontId="1" fillId="0" borderId="8" xfId="0" applyNumberFormat="1" applyFont="1" applyFill="1" applyBorder="1" applyAlignment="1">
      <x:alignment horizontal="center" vertical="center"/>
    </x:xf>
    <x:xf numFmtId="207" fontId="1" fillId="0" borderId="6" xfId="0" applyNumberFormat="1" applyFont="1" applyFill="1" applyBorder="1" applyAlignment="1">
      <x:alignment horizontal="center" vertical="center"/>
    </x:xf>
    <x:xf numFmtId="207" fontId="1" fillId="0" borderId="7" xfId="0" applyNumberFormat="1" applyFont="1" applyFill="1" applyBorder="1" applyAlignment="1">
      <x:alignment horizontal="center" vertical="center"/>
    </x:xf>
    <x:xf numFmtId="207" fontId="1" fillId="0" borderId="8" xfId="0" applyNumberFormat="1" applyFont="1" applyFill="1" applyBorder="1" applyAlignment="1">
      <x:alignment horizontal="center" vertical="center"/>
    </x:xf>
    <x:xf numFmtId="207" fontId="1" fillId="5" borderId="7" xfId="0" applyNumberFormat="1" applyFont="1" applyFill="1" applyBorder="1" applyAlignment="1">
      <x:alignment horizontal="center" vertical="center"/>
    </x:xf>
    <x:xf numFmtId="200" fontId="11" fillId="0" borderId="8" xfId="0" applyNumberFormat="1" applyFont="1" applyFill="1" applyBorder="1" applyAlignment="1">
      <x:alignment horizontal="center" vertical="center"/>
    </x:xf>
    <x:xf numFmtId="203" fontId="18" fillId="0" borderId="8" xfId="0" applyNumberFormat="1" applyFont="1" applyFill="1" applyBorder="1" applyAlignment="1">
      <x:alignment horizontal="center" vertical="center"/>
    </x:xf>
    <x:xf numFmtId="207" fontId="11" fillId="0" borderId="8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vertical="center"/>
    </x:xf>
    <x:xf numFmtId="200" fontId="11" fillId="7" borderId="8" xfId="0" applyNumberFormat="1" applyFont="1" applyFill="1" applyBorder="1" applyAlignment="1">
      <x:alignment horizontal="center" vertical="center"/>
    </x:xf>
    <x:xf numFmtId="203" fontId="18" fillId="7" borderId="8" xfId="0" applyNumberFormat="1" applyFont="1" applyFill="1" applyBorder="1" applyAlignment="1">
      <x:alignment horizontal="center" vertical="center"/>
    </x:xf>
    <x:xf numFmtId="207" fontId="11" fillId="7" borderId="8" xfId="0" applyNumberFormat="1" applyFont="1" applyFill="1" applyBorder="1" applyAlignment="1">
      <x:alignment horizontal="center" vertical="center"/>
    </x:xf>
    <x:xf numFmtId="0" fontId="3" fillId="4" borderId="16" xfId="0" applyNumberFormat="1" applyFont="1" applyFill="1" applyBorder="1" applyAlignment="1">
      <x:alignment vertical="center"/>
    </x:xf>
    <x:xf numFmtId="0" fontId="3" fillId="4" borderId="17" xfId="0" applyNumberFormat="1" applyFont="1" applyFill="1" applyBorder="1" applyAlignment="1">
      <x:alignment vertical="center"/>
    </x:xf>
    <x:xf numFmtId="0" fontId="3" fillId="4" borderId="18" xfId="0" applyNumberFormat="1" applyFont="1" applyFill="1" applyBorder="1" applyAlignment="1">
      <x:alignment vertical="center"/>
    </x:xf>
    <x:xf numFmtId="0" fontId="3" fillId="4" borderId="19" xfId="0" applyNumberFormat="1" applyFont="1" applyFill="1" applyBorder="1" applyAlignment="1">
      <x:alignment vertical="center"/>
    </x:xf>
    <x:xf numFmtId="0" fontId="3" fillId="4" borderId="20" xfId="0" applyNumberFormat="1" applyFont="1" applyFill="1" applyBorder="1" applyAlignment="1">
      <x:alignment vertical="center"/>
    </x:xf>
    <x:xf numFmtId="0" fontId="3" fillId="4" borderId="21" xfId="0" applyNumberFormat="1" applyFont="1" applyFill="1" applyBorder="1" applyAlignment="1">
      <x:alignment vertical="center"/>
    </x:xf>
    <x:xf numFmtId="0" fontId="3" fillId="4" borderId="22" xfId="0" applyNumberFormat="1" applyFont="1" applyFill="1" applyBorder="1" applyAlignment="1">
      <x:alignment vertical="center"/>
    </x:xf>
    <x:xf numFmtId="0" fontId="3" fillId="4" borderId="23" xfId="0" applyNumberFormat="1" applyFont="1" applyFill="1" applyBorder="1" applyAlignment="1">
      <x:alignment vertical="center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3" fillId="4" borderId="21" xfId="0" applyNumberFormat="1" applyFont="1" applyFill="1" applyBorder="1" applyAlignment="1">
      <x:alignment vertical="center" wrapText="1"/>
    </x:xf>
    <x:xf numFmtId="0" fontId="3" fillId="4" borderId="22" xfId="0" applyNumberFormat="1" applyFont="1" applyFill="1" applyBorder="1" applyAlignment="1">
      <x:alignment vertical="center" wrapText="1"/>
    </x:xf>
    <x:xf numFmtId="0" fontId="3" fillId="4" borderId="23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3" fontId="8" fillId="5" borderId="0" xfId="0" applyNumberFormat="1" applyFont="1" applyFill="1" applyBorder="1" applyAlignment="1">
      <x:alignment vertical="center"/>
    </x:xf>
    <x:xf numFmtId="203" fontId="9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horizontal="center" vertical="center"/>
    </x:xf>
    <x:xf numFmtId="203" fontId="9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8" fontId="1" fillId="0" borderId="0" xfId="0" applyNumberFormat="1" applyFont="1" applyFill="1" applyBorder="1" applyAlignment="1">
      <x:alignment vertical="center"/>
    </x:xf>
    <x:xf numFmtId="208" fontId="1" fillId="0" borderId="6" xfId="0" applyNumberFormat="1" applyFont="1" applyFill="1" applyBorder="1" applyAlignment="1">
      <x:alignment vertical="center"/>
    </x:xf>
    <x:xf numFmtId="208" fontId="1" fillId="0" borderId="7" xfId="0" applyNumberFormat="1" applyFont="1" applyFill="1" applyBorder="1" applyAlignment="1">
      <x:alignment vertical="center"/>
    </x:xf>
    <x:xf numFmtId="208" fontId="1" fillId="0" borderId="8" xfId="0" applyNumberFormat="1" applyFont="1" applyFill="1" applyBorder="1" applyAlignment="1">
      <x:alignment vertical="center"/>
    </x:xf>
    <x:xf numFmtId="208" fontId="1" fillId="0" borderId="6" xfId="0" applyNumberFormat="1" applyFont="1" applyFill="1" applyBorder="1" applyAlignment="1">
      <x:alignment horizontal="center" vertical="center"/>
    </x:xf>
    <x:xf numFmtId="208" fontId="1" fillId="0" borderId="7" xfId="0" applyNumberFormat="1" applyFont="1" applyFill="1" applyBorder="1" applyAlignment="1">
      <x:alignment horizontal="center" vertical="center"/>
    </x:xf>
    <x:xf numFmtId="208" fontId="1" fillId="0" borderId="8" xfId="0" applyNumberFormat="1" applyFont="1" applyFill="1" applyBorder="1" applyAlignment="1">
      <x:alignment horizontal="center" vertical="center"/>
    </x:xf>
    <x:xf numFmtId="0" fontId="1" fillId="5" borderId="7" xfId="0" applyNumberFormat="1" applyFont="1" applyFill="1" applyBorder="1" applyAlignment="1">
      <x:alignment horizontal="center" vertical="center"/>
    </x:xf>
    <x:xf numFmtId="208" fontId="1" fillId="5" borderId="7" xfId="0" applyNumberFormat="1" applyFont="1" applyFill="1" applyBorder="1" applyAlignment="1">
      <x:alignment horizontal="center" vertical="center"/>
    </x:xf>
    <x:xf numFmtId="208" fontId="1" fillId="8" borderId="8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vertical="center"/>
    </x:xf>
    <x:xf numFmtId="0" fontId="19" fillId="0" borderId="7" xfId="0" applyNumberFormat="1" applyFont="1" applyFill="1" applyBorder="1" applyAlignment="1">
      <x:alignment vertical="center"/>
    </x:xf>
    <x:xf numFmtId="0" fontId="19" fillId="0" borderId="8" xfId="0" applyNumberFormat="1" applyFont="1" applyFill="1" applyBorder="1" applyAlignment="1">
      <x:alignment vertical="center"/>
    </x:xf>
    <x:xf numFmtId="0" fontId="19" fillId="0" borderId="6" xfId="0" applyNumberFormat="1" applyFont="1" applyFill="1" applyBorder="1" applyAlignment="1">
      <x:alignment vertical="center" wrapText="0"/>
    </x:xf>
    <x:xf numFmtId="0" fontId="19" fillId="0" borderId="7" xfId="0" applyNumberFormat="1" applyFont="1" applyFill="1" applyBorder="1" applyAlignment="1">
      <x:alignment vertical="center" wrapText="0"/>
    </x:xf>
    <x:xf numFmtId="0" fontId="19" fillId="0" borderId="8" xfId="0" applyNumberFormat="1" applyFont="1" applyFill="1" applyBorder="1" applyAlignment="1">
      <x:alignment vertical="center" wrapText="0"/>
    </x:xf>
    <x:xf numFmtId="204" fontId="1" fillId="0" borderId="6" xfId="0" applyNumberFormat="1" applyFont="1" applyFill="1" applyBorder="1" applyAlignment="1">
      <x:alignment horizontal="center" vertical="center"/>
    </x:xf>
    <x:xf numFmtId="204" fontId="1" fillId="0" borderId="8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vertic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vertical="center" wrapText="1"/>
    </x:xf>
    <x:xf numFmtId="205" fontId="8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5" fontId="8" fillId="0" borderId="6" xfId="0" applyNumberFormat="1" applyFont="1" applyFill="1" applyBorder="1" applyAlignment="1">
      <x:alignment vertical="center"/>
    </x:xf>
    <x:xf numFmtId="205" fontId="8" fillId="0" borderId="7" xfId="0" applyNumberFormat="1" applyFont="1" applyFill="1" applyBorder="1" applyAlignment="1">
      <x:alignment vertical="center"/>
    </x:xf>
    <x:xf numFmtId="203" fontId="9" fillId="0" borderId="7" xfId="0" applyNumberFormat="1" applyFont="1" applyFill="1" applyBorder="1" applyAlignment="1">
      <x:alignment vertical="center"/>
    </x:xf>
    <x:xf numFmtId="203" fontId="9" fillId="0" borderId="8" xfId="0" applyNumberFormat="1" applyFont="1" applyFill="1" applyBorder="1" applyAlignment="1">
      <x:alignment vertical="center"/>
    </x:xf>
    <x:xf numFmtId="205" fontId="8" fillId="0" borderId="6" xfId="0" applyNumberFormat="1" applyFont="1" applyFill="1" applyBorder="1" applyAlignment="1">
      <x:alignment horizontal="center" vertical="center"/>
    </x:xf>
    <x:xf numFmtId="205" fontId="8" fillId="0" borderId="7" xfId="0" applyNumberFormat="1" applyFont="1" applyFill="1" applyBorder="1" applyAlignment="1">
      <x:alignment horizontal="center" vertical="center"/>
    </x:xf>
    <x:xf numFmtId="203" fontId="9" fillId="0" borderId="7" xfId="0" applyNumberFormat="1" applyFont="1" applyFill="1" applyBorder="1" applyAlignment="1">
      <x:alignment horizontal="center" vertical="center"/>
    </x:xf>
    <x:xf numFmtId="203" fontId="9" fillId="0" borderId="8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vertical="center"/>
    </x:xf>
    <x:xf numFmtId="0" fontId="20" fillId="8" borderId="0" xfId="0" applyNumberFormat="1" applyFont="1" applyFill="1" applyBorder="1" applyAlignment="1">
      <x:alignment vertical="center" wrapText="1"/>
    </x:xf>
    <x:xf numFmtId="0" fontId="20" fillId="8" borderId="24" xfId="0" applyNumberFormat="1" applyFont="1" applyFill="1" applyBorder="1" applyAlignment="1">
      <x:alignment vertical="center" wrapText="1"/>
    </x:xf>
    <x:xf numFmtId="0" fontId="1" fillId="0" borderId="25" xfId="0" applyNumberFormat="1" applyFont="1" applyFill="1" applyBorder="1" applyAlignment="1">
      <x:alignment vertical="center"/>
    </x:xf>
    <x:xf numFmtId="0" fontId="1" fillId="0" borderId="26" xfId="0" applyNumberFormat="1" applyFont="1" applyFill="1" applyBorder="1" applyAlignment="1">
      <x:alignment vertical="center"/>
    </x:xf>
    <x:xf numFmtId="0" fontId="1" fillId="0" borderId="27" xfId="0" applyNumberFormat="1" applyFont="1" applyFill="1" applyBorder="1" applyAlignment="1">
      <x:alignment vertical="center"/>
    </x:xf>
    <x:xf numFmtId="0" fontId="1" fillId="0" borderId="28" xfId="0" applyNumberFormat="1" applyFont="1" applyFill="1" applyBorder="1" applyAlignment="1">
      <x:alignment vertical="center"/>
    </x:xf>
    <x:xf numFmtId="0" fontId="1" fillId="0" borderId="29" xfId="0" applyNumberFormat="1" applyFont="1" applyFill="1" applyBorder="1" applyAlignment="1">
      <x:alignment vertical="center"/>
    </x:xf>
    <x:xf numFmtId="0" fontId="1" fillId="0" borderId="30" xfId="0" applyNumberFormat="1" applyFont="1" applyFill="1" applyBorder="1" applyAlignment="1">
      <x:alignment vertical="center"/>
    </x:xf>
    <x:xf numFmtId="0" fontId="1" fillId="0" borderId="31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10" fillId="7" borderId="2" xfId="0" applyNumberFormat="1" applyFont="1" applyFill="1" applyBorder="1" applyAlignment="1">
      <x:alignment vertical="center"/>
    </x:xf>
    <x:xf numFmtId="0" fontId="10" fillId="7" borderId="2" xfId="0" applyNumberFormat="1" applyFont="1" applyFill="1" applyBorder="1" applyAlignment="1">
      <x:alignment horizontal="center" vertical="center"/>
    </x:xf>
    <x:xf numFmtId="0" fontId="1" fillId="2" borderId="16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/>
    </x:xf>
    <x:xf numFmtId="0" fontId="1" fillId="2" borderId="18" xfId="0" applyNumberFormat="1" applyFont="1" applyFill="1" applyBorder="1" applyAlignment="1">
      <x:alignment vertical="center"/>
    </x:xf>
    <x:xf numFmtId="0" fontId="1" fillId="2" borderId="19" xfId="0" applyNumberFormat="1" applyFont="1" applyFill="1" applyBorder="1" applyAlignment="1">
      <x:alignment vertical="center"/>
    </x:xf>
    <x:xf numFmtId="0" fontId="1" fillId="2" borderId="20" xfId="0" applyNumberFormat="1" applyFont="1" applyFill="1" applyBorder="1" applyAlignment="1">
      <x:alignment vertical="center"/>
    </x:xf>
    <x:xf numFmtId="0" fontId="1" fillId="2" borderId="21" xfId="0" applyNumberFormat="1" applyFont="1" applyFill="1" applyBorder="1" applyAlignment="1">
      <x:alignment vertical="center"/>
    </x:xf>
    <x:xf numFmtId="0" fontId="1" fillId="2" borderId="22" xfId="0" applyNumberFormat="1" applyFont="1" applyFill="1" applyBorder="1" applyAlignment="1">
      <x:alignment vertical="center"/>
    </x:xf>
    <x:xf numFmtId="0" fontId="1" fillId="2" borderId="23" xfId="0" applyNumberFormat="1" applyFont="1" applyFill="1" applyBorder="1" applyAlignment="1">
      <x:alignment vertical="center"/>
    </x:xf>
    <x:xf numFmtId="0" fontId="1" fillId="2" borderId="16" xfId="0" applyNumberFormat="1" applyFont="1" applyFill="1" applyBorder="1" applyAlignment="1">
      <x:alignment vertical="center" wrapText="1"/>
    </x:xf>
    <x:xf numFmtId="0" fontId="1" fillId="2" borderId="17" xfId="0" applyNumberFormat="1" applyFont="1" applyFill="1" applyBorder="1" applyAlignment="1">
      <x:alignment vertical="center" wrapText="1"/>
    </x:xf>
    <x:xf numFmtId="0" fontId="1" fillId="2" borderId="18" xfId="0" applyNumberFormat="1" applyFont="1" applyFill="1" applyBorder="1" applyAlignment="1">
      <x:alignment vertical="center" wrapText="1"/>
    </x:xf>
    <x:xf numFmtId="0" fontId="1" fillId="2" borderId="19" xfId="0" applyNumberFormat="1" applyFont="1" applyFill="1" applyBorder="1" applyAlignment="1">
      <x:alignment vertical="center" wrapText="1"/>
    </x:xf>
    <x:xf numFmtId="0" fontId="1" fillId="2" borderId="20" xfId="0" applyNumberFormat="1" applyFont="1" applyFill="1" applyBorder="1" applyAlignment="1">
      <x:alignment vertical="center" wrapText="1"/>
    </x:xf>
    <x:xf numFmtId="0" fontId="1" fillId="2" borderId="21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center" wrapText="1"/>
    </x:xf>
    <x:xf numFmtId="0" fontId="1" fillId="2" borderId="23" xfId="0" applyNumberFormat="1" applyFont="1" applyFill="1" applyBorder="1" applyAlignment="1">
      <x:alignment vertic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17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2" borderId="22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1" fillId="8" borderId="16" xfId="0" applyNumberFormat="1" applyFont="1" applyFill="1" applyBorder="1" applyAlignment="1">
      <x:alignment vertical="center"/>
    </x:xf>
    <x:xf numFmtId="0" fontId="1" fillId="8" borderId="17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20" xfId="0" applyNumberFormat="1" applyFont="1" applyFill="1" applyBorder="1" applyAlignment="1">
      <x:alignment vertical="center"/>
    </x:xf>
    <x:xf numFmtId="0" fontId="1" fillId="8" borderId="21" xfId="0" applyNumberFormat="1" applyFont="1" applyFill="1" applyBorder="1" applyAlignment="1">
      <x:alignment vertical="center"/>
    </x:xf>
    <x:xf numFmtId="0" fontId="1" fillId="8" borderId="22" xfId="0" applyNumberFormat="1" applyFont="1" applyFill="1" applyBorder="1" applyAlignment="1">
      <x:alignment vertical="center"/>
    </x:xf>
    <x:xf numFmtId="0" fontId="1" fillId="8" borderId="23" xfId="0" applyNumberFormat="1" applyFont="1" applyFill="1" applyBorder="1" applyAlignment="1">
      <x:alignment vertical="center"/>
    </x:xf>
    <x:xf numFmtId="0" fontId="1" fillId="8" borderId="16" xfId="0" applyNumberFormat="1" applyFont="1" applyFill="1" applyBorder="1" applyAlignment="1">
      <x:alignment vertical="center" wrapText="1"/>
    </x:xf>
    <x:xf numFmtId="0" fontId="1" fillId="8" borderId="17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20" xfId="0" applyNumberFormat="1" applyFont="1" applyFill="1" applyBorder="1" applyAlignment="1">
      <x:alignment vertical="center" wrapText="1"/>
    </x:xf>
    <x:xf numFmtId="0" fontId="1" fillId="8" borderId="21" xfId="0" applyNumberFormat="1" applyFont="1" applyFill="1" applyBorder="1" applyAlignment="1">
      <x:alignment vertical="center" wrapText="1"/>
    </x:xf>
    <x:xf numFmtId="0" fontId="1" fillId="8" borderId="22" xfId="0" applyNumberFormat="1" applyFont="1" applyFill="1" applyBorder="1" applyAlignment="1">
      <x:alignment vertical="center" wrapText="1"/>
    </x:xf>
    <x:xf numFmtId="0" fontId="1" fillId="8" borderId="23" xfId="0" applyNumberFormat="1" applyFont="1" applyFill="1" applyBorder="1" applyAlignment="1">
      <x:alignment vertical="center" wrapText="1"/>
    </x:xf>
    <x:xf numFmtId="0" fontId="1" fillId="8" borderId="16" xfId="0" applyNumberFormat="1" applyFont="1" applyFill="1" applyBorder="1" applyAlignment="1">
      <x:alignment horizontal="center" vertical="center" wrapText="1"/>
    </x:xf>
    <x:xf numFmtId="0" fontId="1" fillId="8" borderId="17" xfId="0" applyNumberFormat="1" applyFont="1" applyFill="1" applyBorder="1" applyAlignment="1">
      <x:alignment horizontal="center" vertical="center" wrapText="1"/>
    </x:xf>
    <x:xf numFmtId="0" fontId="1" fillId="8" borderId="18" xfId="0" applyNumberFormat="1" applyFont="1" applyFill="1" applyBorder="1" applyAlignment="1">
      <x:alignment horizontal="center" vertical="center" wrapText="1"/>
    </x:xf>
    <x:xf numFmtId="0" fontId="1" fillId="8" borderId="19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20" xfId="0" applyNumberFormat="1" applyFont="1" applyFill="1" applyBorder="1" applyAlignment="1">
      <x:alignment horizontal="center" vertical="center" wrapText="1"/>
    </x:xf>
    <x:xf numFmtId="0" fontId="1" fillId="8" borderId="21" xfId="0" applyNumberFormat="1" applyFont="1" applyFill="1" applyBorder="1" applyAlignment="1">
      <x:alignment horizontal="center" vertical="center" wrapText="1"/>
    </x:xf>
    <x:xf numFmtId="0" fontId="1" fillId="8" borderId="22" xfId="0" applyNumberFormat="1" applyFont="1" applyFill="1" applyBorder="1" applyAlignment="1">
      <x:alignment horizontal="center" vertical="center" wrapText="1"/>
    </x:xf>
    <x:xf numFmtId="0" fontId="1" fillId="8" borderId="23" xfId="0" applyNumberFormat="1" applyFont="1" applyFill="1" applyBorder="1" applyAlignment="1">
      <x:alignment horizontal="center" vertical="center" wrapText="1"/>
    </x:xf>
    <x:xf numFmtId="0" fontId="1" fillId="5" borderId="16" xfId="0" applyNumberFormat="1" applyFont="1" applyFill="1" applyBorder="1" applyAlignment="1">
      <x:alignment vertical="center"/>
    </x:xf>
    <x:xf numFmtId="0" fontId="1" fillId="5" borderId="17" xfId="0" applyNumberFormat="1" applyFont="1" applyFill="1" applyBorder="1" applyAlignment="1">
      <x:alignment vertical="center"/>
    </x:xf>
    <x:xf numFmtId="0" fontId="1" fillId="5" borderId="18" xfId="0" applyNumberFormat="1" applyFont="1" applyFill="1" applyBorder="1" applyAlignment="1">
      <x:alignment vertical="center"/>
    </x:xf>
    <x:xf numFmtId="0" fontId="1" fillId="5" borderId="19" xfId="0" applyNumberFormat="1" applyFont="1" applyFill="1" applyBorder="1" applyAlignment="1">
      <x:alignment vertical="center"/>
    </x:xf>
    <x:xf numFmtId="0" fontId="1" fillId="5" borderId="20" xfId="0" applyNumberFormat="1" applyFont="1" applyFill="1" applyBorder="1" applyAlignment="1">
      <x:alignment vertical="center"/>
    </x:xf>
    <x:xf numFmtId="0" fontId="1" fillId="5" borderId="21" xfId="0" applyNumberFormat="1" applyFont="1" applyFill="1" applyBorder="1" applyAlignment="1">
      <x:alignment vertical="center"/>
    </x:xf>
    <x:xf numFmtId="0" fontId="1" fillId="5" borderId="22" xfId="0" applyNumberFormat="1" applyFont="1" applyFill="1" applyBorder="1" applyAlignment="1">
      <x:alignment vertical="center"/>
    </x:xf>
    <x:xf numFmtId="0" fontId="1" fillId="5" borderId="23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center" wrapText="1"/>
    </x:xf>
    <x:xf numFmtId="0" fontId="1" fillId="5" borderId="17" xfId="0" applyNumberFormat="1" applyFont="1" applyFill="1" applyBorder="1" applyAlignment="1">
      <x:alignment vertical="center" wrapText="1"/>
    </x:xf>
    <x:xf numFmtId="0" fontId="1" fillId="5" borderId="18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5" borderId="21" xfId="0" applyNumberFormat="1" applyFont="1" applyFill="1" applyBorder="1" applyAlignment="1">
      <x:alignment vertical="center" wrapText="1"/>
    </x:xf>
    <x:xf numFmtId="0" fontId="1" fillId="5" borderId="22" xfId="0" applyNumberFormat="1" applyFont="1" applyFill="1" applyBorder="1" applyAlignment="1">
      <x:alignment vertical="center" wrapText="1"/>
    </x:xf>
    <x:xf numFmtId="0" fontId="1" fillId="5" borderId="23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1" fillId="5" borderId="17" xfId="0" applyNumberFormat="1" applyFont="1" applyFill="1" applyBorder="1" applyAlignment="1">
      <x:alignment horizontal="center" vertical="center" wrapText="1"/>
    </x:xf>
    <x:xf numFmtId="0" fontId="1" fillId="5" borderId="18" xfId="0" applyNumberFormat="1" applyFont="1" applyFill="1" applyBorder="1" applyAlignment="1">
      <x:alignment horizontal="center"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horizontal="center" vertical="center" wrapText="1"/>
    </x:xf>
    <x:xf numFmtId="0" fontId="1" fillId="5" borderId="21" xfId="0" applyNumberFormat="1" applyFont="1" applyFill="1" applyBorder="1" applyAlignment="1">
      <x:alignment horizontal="center" vertical="center" wrapText="1"/>
    </x:xf>
    <x:xf numFmtId="0" fontId="1" fillId="5" borderId="22" xfId="0" applyNumberFormat="1" applyFont="1" applyFill="1" applyBorder="1" applyAlignment="1">
      <x:alignment horizontal="center" vertical="center" wrapText="1"/>
    </x:xf>
    <x:xf numFmtId="0" fontId="1" fillId="5" borderId="23" xfId="0" applyNumberFormat="1" applyFont="1" applyFill="1" applyBorder="1" applyAlignment="1">
      <x:alignment horizontal="center" vertical="center" wrapText="1"/>
    </x:xf>
    <x:xf numFmtId="209" fontId="1" fillId="0" borderId="0" xfId="0" applyNumberFormat="1" applyFont="1" applyFill="1" applyBorder="1" applyAlignment="1">
      <x:alignment vertical="center"/>
    </x:xf>
    <x:xf numFmtId="209" fontId="1" fillId="0" borderId="6" xfId="0" applyNumberFormat="1" applyFont="1" applyFill="1" applyBorder="1" applyAlignment="1">
      <x:alignment vertical="center"/>
    </x:xf>
    <x:xf numFmtId="209" fontId="1" fillId="0" borderId="7" xfId="0" applyNumberFormat="1" applyFont="1" applyFill="1" applyBorder="1" applyAlignment="1">
      <x:alignment vertical="center"/>
    </x:xf>
    <x:xf numFmtId="209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202" fontId="1" fillId="4" borderId="8" xfId="0" applyNumberFormat="1" applyFont="1" applyFill="1" applyBorder="1" applyAlignment="1">
      <x:alignment vertical="center"/>
    </x:xf>
    <x:xf numFmtId="201" fontId="7" fillId="4" borderId="8" xfId="0" applyNumberFormat="1" applyFont="1" applyFill="1" applyBorder="1" applyAlignment="1">
      <x:alignment vertical="center"/>
    </x:xf>
    <x:xf numFmtId="0" fontId="21" fillId="8" borderId="0" xfId="0" applyNumberFormat="1" applyFont="1" applyFill="1" applyBorder="1" applyAlignment="1">
      <x:alignment vertical="center"/>
    </x:xf>
    <x:xf numFmtId="204" fontId="21" fillId="8" borderId="0" xfId="0" applyNumberFormat="1" applyFont="1" applyFill="1" applyBorder="1" applyAlignment="1">
      <x:alignment vertical="center"/>
    </x:xf>
    <x:xf numFmtId="204" fontId="21" fillId="8" borderId="0" xfId="0" applyNumberFormat="1" applyFont="1" applyFill="1" applyBorder="1" applyAlignment="1">
      <x:alignment horizontal="center" vertical="center"/>
    </x:xf>
    <x:xf numFmtId="0" fontId="21" fillId="2" borderId="0" xfId="0" applyNumberFormat="1" applyFont="1" applyFill="1" applyBorder="1" applyAlignment="1">
      <x:alignment vertical="center"/>
    </x:xf>
    <x:xf numFmtId="203" fontId="21" fillId="2" borderId="0" xfId="0" applyNumberFormat="1" applyFont="1" applyFill="1" applyBorder="1" applyAlignment="1">
      <x:alignment vertical="center"/>
    </x:xf>
    <x:xf numFmtId="203" fontId="21" fillId="2" borderId="0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vertical="center"/>
    </x:xf>
    <x:xf numFmtId="203" fontId="21" fillId="5" borderId="0" xfId="0" applyNumberFormat="1" applyFont="1" applyFill="1" applyBorder="1" applyAlignment="1">
      <x:alignment vertical="center"/>
    </x:xf>
    <x:xf numFmtId="203" fontId="21" fillId="5" borderId="0" xfId="0" applyNumberFormat="1" applyFont="1" applyFill="1" applyBorder="1" applyAlignment="1">
      <x:alignment horizontal="center" vertic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9" fontId="1" fillId="0" borderId="6" xfId="0" applyNumberFormat="1" applyFont="1" applyFill="1" applyBorder="1" applyAlignment="1">
      <x:alignment horizontal="center" vertical="center"/>
    </x:xf>
    <x:xf numFmtId="209" fontId="1" fillId="0" borderId="7" xfId="0" applyNumberFormat="1" applyFont="1" applyFill="1" applyBorder="1" applyAlignment="1">
      <x:alignment horizontal="center" vertical="center"/>
    </x:xf>
    <x:xf numFmtId="201" fontId="7" fillId="4" borderId="8" xfId="0" applyNumberFormat="1" applyFont="1" applyFill="1" applyBorder="1" applyAlignment="1">
      <x:alignment horizontal="center" vertical="center"/>
    </x:xf>
    <x:xf numFmtId="209" fontId="1" fillId="0" borderId="8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20" fillId="8" borderId="24" xfId="0" applyNumberFormat="1" applyFont="1" applyFill="1" applyBorder="1" applyAlignment="1">
      <x:alignment horizontal="center" vertical="center" wrapText="1"/>
    </x:xf>
    <x:xf numFmtId="0" fontId="1" fillId="0" borderId="25" xfId="0" applyNumberFormat="1" applyFont="1" applyFill="1" applyBorder="1" applyAlignment="1">
      <x:alignment horizontal="center" vertical="center"/>
    </x:xf>
    <x:xf numFmtId="0" fontId="1" fillId="0" borderId="26" xfId="0" applyNumberFormat="1" applyFont="1" applyFill="1" applyBorder="1" applyAlignment="1">
      <x:alignment horizontal="center" vertical="center"/>
    </x:xf>
    <x:xf numFmtId="0" fontId="1" fillId="0" borderId="27" xfId="0" applyNumberFormat="1" applyFont="1" applyFill="1" applyBorder="1" applyAlignment="1">
      <x:alignment horizontal="center" vertical="center"/>
    </x:xf>
    <x:xf numFmtId="0" fontId="1" fillId="0" borderId="28" xfId="0" applyNumberFormat="1" applyFont="1" applyFill="1" applyBorder="1" applyAlignment="1">
      <x:alignment horizontal="center" vertical="center"/>
    </x:xf>
    <x:xf numFmtId="0" fontId="1" fillId="0" borderId="29" xfId="0" applyNumberFormat="1" applyFont="1" applyFill="1" applyBorder="1" applyAlignment="1">
      <x:alignment horizontal="center" vertical="center"/>
    </x:xf>
    <x:xf numFmtId="0" fontId="1" fillId="0" borderId="30" xfId="0" applyNumberFormat="1" applyFont="1" applyFill="1" applyBorder="1" applyAlignment="1">
      <x:alignment horizontal="center" vertical="center"/>
    </x:xf>
    <x:xf numFmtId="0" fontId="1" fillId="0" borderId="31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0" fontId="1" fillId="9" borderId="6" xfId="0" applyNumberFormat="1" applyFont="1" applyFill="1" applyBorder="1" applyAlignment="1">
      <x:alignment horizontal="center" vertical="center"/>
    </x:xf>
    <x:xf numFmtId="201" fontId="14" fillId="9" borderId="6" xfId="0" applyNumberFormat="1" applyFont="1" applyFill="1" applyBorder="1" applyAlignment="1">
      <x:alignment horizontal="center" vertical="center"/>
    </x:xf>
    <x:xf numFmtId="202" fontId="1" fillId="9" borderId="6" xfId="0" applyNumberFormat="1" applyFont="1" applyFill="1" applyBorder="1" applyAlignment="1">
      <x:alignment horizontal="center" vertical="center"/>
    </x:xf>
    <x:xf numFmtId="201" fontId="7" fillId="9" borderId="6" xfId="0" applyNumberFormat="1" applyFont="1" applyFill="1" applyBorder="1" applyAlignment="1">
      <x:alignment horizontal="center" vertical="center"/>
    </x:xf>
    <x:xf numFmtId="0" fontId="1" fillId="8" borderId="7" xfId="0" applyNumberFormat="1" applyFont="1" applyFill="1" applyBorder="1" applyAlignment="1">
      <x:alignment horizontal="center" vertical="center"/>
    </x:xf>
    <x:xf numFmtId="201" fontId="14" fillId="8" borderId="7" xfId="0" applyNumberFormat="1" applyFont="1" applyFill="1" applyBorder="1" applyAlignment="1">
      <x:alignment horizontal="center" vertical="center"/>
    </x:xf>
    <x:xf numFmtId="201" fontId="7" fillId="8" borderId="7" xfId="0" applyNumberFormat="1" applyFont="1" applyFill="1" applyBorder="1" applyAlignment="1">
      <x:alignment horizontal="center" vertical="center"/>
    </x:xf>
    <x:xf numFmtId="201" fontId="14" fillId="5" borderId="8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201" fontId="7" fillId="8" borderId="8" xfId="0" applyNumberFormat="1" applyFont="1" applyFill="1" applyBorder="1" applyAlignment="1">
      <x:alignment horizontal="center" vertical="center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204" fontId="1" fillId="8" borderId="7" xfId="0" applyNumberFormat="1" applyFont="1" applyFill="1" applyBorder="1" applyAlignment="1">
      <x:alignment horizontal="center" vertical="center"/>
    </x:xf>
    <x:xf numFmtId="0" fontId="1" fillId="5" borderId="8" xfId="0" applyNumberFormat="1" applyFont="1" applyFill="1" applyBorder="1" applyAlignment="1">
      <x:alignment horizontal="center" vertical="center"/>
    </x:xf>
    <x:xf numFmtId="204" fontId="1" fillId="5" borderId="8" xfId="0" applyNumberFormat="1" applyFont="1" applyFill="1" applyBorder="1" applyAlignment="1">
      <x:alignment horizontal="center" vertical="center"/>
    </x:xf>
    <x:xf numFmtId="201" fontId="7" fillId="5" borderId="8" xfId="0" applyNumberFormat="1" applyFont="1" applyFill="1" applyBorder="1" applyAlignment="1">
      <x:alignment horizontal="center" vertical="center"/>
    </x:xf>
    <x:xf numFmtId="0" fontId="1" fillId="9" borderId="8" xfId="0" applyNumberFormat="1" applyFont="1" applyFill="1" applyBorder="1" applyAlignment="1">
      <x:alignment horizontal="center" vertical="center"/>
    </x:xf>
    <x:xf numFmtId="201" fontId="14" fillId="9" borderId="8" xfId="0" applyNumberFormat="1" applyFont="1" applyFill="1" applyBorder="1" applyAlignment="1">
      <x:alignment horizontal="center" vertical="center"/>
    </x:xf>
    <x:xf numFmtId="204" fontId="1" fillId="9" borderId="8" xfId="0" applyNumberFormat="1" applyFont="1" applyFill="1" applyBorder="1" applyAlignment="1">
      <x:alignment horizontal="center" vertical="center"/>
    </x:xf>
    <x:xf numFmtId="201" fontId="7" fillId="9" borderId="8" xfId="0" applyNumberFormat="1" applyFont="1" applyFill="1" applyBorder="1" applyAlignment="1">
      <x:alignment horizontal="center" vertical="center"/>
    </x:xf>
    <x:xf numFmtId="0" fontId="6" fillId="2" borderId="6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horizontal="center" vertical="center"/>
    </x:xf>
    <x:xf numFmtId="0" fontId="6" fillId="2" borderId="7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11" fillId="7" borderId="8" xfId="0" applyNumberFormat="1" applyFont="1" applyFill="1" applyBorder="1" applyAlignment="1">
      <x:alignment horizontal="center" vertical="center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3" fillId="4" borderId="20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 applyAlignment="1">
      <x:alignment horizontal="center" vertical="center" wrapText="1"/>
    </x:xf>
    <x:xf numFmtId="0" fontId="3" fillId="4" borderId="22" xfId="0" applyNumberFormat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1" fillId="0" borderId="6" xfId="0" applyNumberFormat="1" applyFont="1" applyFill="1" applyBorder="1" applyAlignment="1">
      <x:alignment horizontal="center" vertical="center"/>
    </x:xf>
    <x:xf numFmtId="0" fontId="11" fillId="0" borderId="7" xfId="0" applyNumberFormat="1" applyFont="1" applyFill="1" applyBorder="1" applyAlignment="1">
      <x:alignment horizontal="center" vertical="center"/>
    </x:xf>
    <x:xf numFmtId="0" fontId="11" fillId="0" borderId="8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horizontal="center" vertical="center"/>
    </x:xf>
    <x:xf numFmtId="202" fontId="8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0"/>
    </x:xf>
    <x:xf numFmtId="0" fontId="19" fillId="0" borderId="7" xfId="0" applyNumberFormat="1" applyFont="1" applyFill="1" applyBorder="1" applyAlignment="1">
      <x:alignment horizontal="center" vertical="center" wrapText="0"/>
    </x:xf>
    <x:xf numFmtId="0" fontId="19" fillId="0" borderId="8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3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59fea850b4015" /><Relationship Type="http://schemas.openxmlformats.org/officeDocument/2006/relationships/theme" Target="/xl/theme/theme1.xml" Id="R26dd825d10674f7f" /><Relationship Type="http://schemas.openxmlformats.org/officeDocument/2006/relationships/sharedStrings" Target="/xl/sharedStrings.xml" Id="R4e9b668a701d4767" /><Relationship Type="http://schemas.openxmlformats.org/officeDocument/2006/relationships/worksheet" Target="/xl/worksheets/sheet1.xml" Id="Ra13981fb18af4ca7" /><Relationship Type="http://schemas.openxmlformats.org/officeDocument/2006/relationships/worksheet" Target="/xl/worksheets/sheet2.xml" Id="Ra1abfa1218e44d61" /><Relationship Type="http://schemas.openxmlformats.org/officeDocument/2006/relationships/worksheet" Target="/xl/worksheets/sheet3.xml" Id="R6fc975acb0ea466d" /><Relationship Type="http://schemas.openxmlformats.org/officeDocument/2006/relationships/worksheet" Target="/xl/worksheets/sheet4.xml" Id="R6a39194126c14de3" /><Relationship Type="http://schemas.openxmlformats.org/officeDocument/2006/relationships/worksheet" Target="/xl/worksheets/sheet5.xml" Id="Rbd4931c608db4b38" /><Relationship Type="http://schemas.openxmlformats.org/officeDocument/2006/relationships/worksheet" Target="/xl/worksheets/sheet6.xml" Id="R912dfe1b4db94e69" /><Relationship Type="http://schemas.openxmlformats.org/officeDocument/2006/relationships/worksheet" Target="/xl/worksheets/sheet7.xml" Id="R8fd83249a8884db2" /><Relationship Type="http://schemas.openxmlformats.org/officeDocument/2006/relationships/worksheet" Target="/xl/worksheets/sheet8.xml" Id="R10a763b5f1604130" /><Relationship Type="http://schemas.openxmlformats.org/officeDocument/2006/relationships/worksheet" Target="/xl/worksheets/sheet9.xml" Id="Rbb0823822c4c44bf" /><Relationship Type="http://schemas.openxmlformats.org/officeDocument/2006/relationships/worksheet" Target="/xl/worksheets/sheet10.xml" Id="R11f71f3475c540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89e81458824d6b" /><Relationship Type="http://schemas.openxmlformats.org/officeDocument/2006/relationships/chart" Target="/xl/drawings/charts/chart2.xml" Id="Rae087349394242e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9e9868d98a64fc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74b7c7d4ffc47b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8bf193f7f9640e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73294775552f4520" /><Relationship Type="http://schemas.openxmlformats.org/officeDocument/2006/relationships/chart" Target="/xl/drawings/charts/chart7.xml" Id="R9b262d5b2f4a41d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15f5bb2040bb40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Microsoft YaHei"/>
                <a:ea typeface="Microsoft YaHei"/>
                <a:cs typeface="Microsoft YaHei"/>
              </a:rPr>
              <a:t>营业收入与净利润（亿元）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营业收入（亿元）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'一图流'!$C$18:$C$27</c:f>
              <c:strCache>
                <c:ptCount val="0"/>
              </c:strCache>
            </c:strRef>
          </c:cat>
          <c:val>
            <c:numRef>
              <c:f>'一图流'!$D$18:$D$27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归母净利润（亿元）</c:v>
          </c:tx>
          <c:spPr>
            <a:ln xmlns:a="http://schemas.openxmlformats.org/drawingml/2006/main" w="1905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'一图流'!$C$18:$C$27</c:f>
              <c:strCache>
                <c:ptCount val="0"/>
              </c:strCache>
            </c:strRef>
          </c:cat>
          <c:val>
            <c:numRef>
              <c:f>'一图流'!$E$18:$E$27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Microsoft YaHei"/>
                <a:ea typeface="Microsoft YaHei"/>
                <a:cs typeface="Microsoft YaHei"/>
              </a:rPr>
              <a:t>基准估值与当前股价（元）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基准价值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'一图流'!$K$18:$K$24</c:f>
              <c:strCache>
                <c:ptCount val="0"/>
              </c:strCache>
            </c:strRef>
          </c:cat>
          <c:val>
            <c:numRef>
              <c:f>'一图流'!$L$18:$L$24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基准估值方法与当前股价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基准价值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'估值系统'!$X$6:$X$12</c:f>
              <c:strCache>
                <c:ptCount val="0"/>
              </c:strCache>
            </c:strRef>
          </c:cat>
          <c:val>
            <c:numRef>
              <c:f>'估值系统'!$Y$6:$Y$12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Microsoft YaHei"/>
                <a:ea typeface="Microsoft YaHei"/>
                <a:cs typeface="Microsoft YaHei"/>
              </a:rPr>
              <a:t>ROE下降时的综合估值中枢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综合估值中枢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'估值敏感性'!$H$21:$H$26</c:f>
              <c:strCache>
                <c:ptCount val="0"/>
              </c:strCache>
            </c:strRef>
          </c:cat>
          <c:val>
            <c:numRef>
              <c:f>'估值敏感性'!$J$21:$J$26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Microsoft YaHei"/>
                <a:ea typeface="Microsoft YaHei"/>
                <a:cs typeface="Microsoft YaHei"/>
              </a:rPr>
              <a:t>按11.57元计算的股息率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现价股息率</c:v>
          </c:tx>
          <c:spPr>
            <a:solidFill xmlns:a="http://schemas.openxmlformats.org/drawingml/2006/main">
              <a:srgbClr val="548235"/>
            </a:solidFill>
          </c:spPr>
          <c:invertIfNegative val="0"/>
          <c:cat>
            <c:strRef>
              <c:f>'股息估值'!$C$21:$C$25</c:f>
              <c:strCache>
                <c:ptCount val="0"/>
              </c:strCache>
            </c:strRef>
          </c:cat>
          <c:val>
            <c:numRef>
              <c:f>'股息估值'!$G$21:$G$25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营业收入与净利润（亿元）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营业收入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'财务十年'!$P$6:$P$15</c:f>
              <c:strCache>
                <c:ptCount val="0"/>
              </c:strCache>
            </c:strRef>
          </c:cat>
          <c:val>
            <c:numRef>
              <c:f>'财务十年'!$Q$6:$Q$15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净利润</c:v>
          </c:tx>
          <c:spPr>
            <a:ln xmlns:a="http://schemas.openxmlformats.org/drawingml/2006/main" w="1905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'财务十年'!$P$6:$P$15</c:f>
              <c:strCache>
                <c:ptCount val="0"/>
              </c:strCache>
            </c:strRef>
          </c:cat>
          <c:val>
            <c:numRef>
              <c:f>'财务十年'!$R$6:$R$15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ROE与净息差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ROE</c:v>
          </c:tx>
          <c:spPr>
            <a:ln xmlns:a="http://schemas.openxmlformats.org/drawingml/2006/main" w="19050">
              <a:solidFill>
                <a:srgbClr val="17365D"/>
              </a:solidFill>
              <a:prstDash val="solid"/>
            </a:ln>
          </c:spPr>
          <c:marker>
            <c:symbol val="none"/>
          </c:marker>
          <c:cat>
            <c:strRef>
              <c:f>'财务十年'!$P$6:$P$15</c:f>
              <c:strCache>
                <c:ptCount val="0"/>
              </c:strCache>
            </c:strRef>
          </c:cat>
          <c:val>
            <c:numRef>
              <c:f>'财务十年'!$S$6:$S$15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净息差</c:v>
          </c:tx>
          <c:spPr>
            <a:ln xmlns:a="http://schemas.openxmlformats.org/drawingml/2006/main" w="1905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strRef>
              <c:f>'财务十年'!$P$6:$P$15</c:f>
              <c:strCache>
                <c:ptCount val="0"/>
              </c:strCache>
            </c:strRef>
          </c:cat>
          <c:val>
            <c:numRef>
              <c:f>'财务十年'!$T$6:$T$15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PB对比：平安银行低于同业中位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PB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'同业比较'!$D$13:$D$21</c:f>
              <c:strCache>
                <c:ptCount val="0"/>
              </c:strCache>
            </c:strRef>
          </c:cat>
          <c:val>
            <c:numRef>
              <c:f>'同业比较'!$G$13:$G$21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16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89e81458824d6b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087349394242e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e9868d98a64fc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13</xdr:col>
      <xdr:colOff>0</xdr:colOff>
      <xdr:row>19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4b7c7d4ffc47b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19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bf193f7f9640e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15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294775552f4520"/>
        </a:graphicData>
      </a:graphic>
    </xdr:graphicFrame>
    <xdr:clientData/>
  </xdr:twoCellAnchor>
  <xdr:twoCellAnchor>
    <xdr:from>
      <xdr:col>15</xdr:col>
      <xdr:colOff>0</xdr:colOff>
      <xdr:row>33</xdr:row>
      <xdr:rowOff>0</xdr:rowOff>
    </xdr:from>
    <xdr:to>
      <xdr:col>23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262d5b2f4a41d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2</xdr:col>
      <xdr:colOff>0</xdr:colOff>
      <xdr:row>25</xdr:row>
      <xdr:rowOff>0</xdr:rowOff>
    </xdr:from>
    <xdr:to>
      <xdr:col>23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f5bb2040bb403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9c1b494da744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756164feb2646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60c7cdbf12c46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b0d4f81ac124a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8676985d250f4e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4587baed873f47cd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12" hidden="0" customWidth="1"/>
    <x:col min="4" max="4" width="14" hidden="0" customWidth="1"/>
    <x:col min="5" max="5" width="15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13" hidden="0" customWidth="1"/>
    <x:col min="11" max="11" width="15" hidden="0" customWidth="1"/>
    <x:col min="12" max="12" width="13" hidden="0" customWidth="1"/>
    <x:col min="13" max="13" width="13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3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</x:row>
    <x:row r="2" ht="27" customHeight="1">
      <x:c r="A2" s="89"/>
      <x:c r="B2" s="89"/>
      <x:c r="C2" s="4" t="str">
        <x:v>平安银行一图流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</x:row>
    <x:row r="3">
      <x:c r="A3" s="89"/>
      <x:c r="B3" s="89"/>
      <x:c r="C3" s="6" t="str">
        <x:v>经营数据截至2026-06-30；股价截至2026-10-13，尚未纳入2026年三季报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</x:row>
    <x:row r="4" ht="20" customHeight="1">
      <x:c r="A4" s="89"/>
      <x:c r="B4" s="89"/>
      <x:c r="C4" s="11" t="str">
        <x:v>阅读顺序：①顶部双口径结论　②公司画像　③十年趋势与六种估值　④价格区间与风险触发线</x:v>
      </x:c>
      <x:c r="D4" s="423"/>
      <x:c r="E4" s="423"/>
      <x:c r="F4" s="423"/>
      <x:c r="G4" s="423"/>
      <x:c r="H4" s="423"/>
      <x:c r="I4" s="423"/>
      <x:c r="J4" s="423"/>
      <x:c r="K4" s="423"/>
      <x:c r="L4" s="423"/>
      <x:c r="M4" s="423"/>
      <x:c r="N4" s="423"/>
      <x:c r="O4" s="423"/>
      <x:c r="P4" s="423"/>
      <x:c r="Q4" s="423"/>
      <x:c r="R4" s="423"/>
    </x:row>
    <x:row r="5">
      <x:c r="A5" s="89"/>
      <x:c r="B5" s="89"/>
      <x:c r="C5" s="68" t="str">
        <x:v>当前股价</x:v>
      </x:c>
      <x:c r="D5" s="68"/>
      <x:c r="E5" s="68"/>
      <x:c r="F5" s="68"/>
      <x:c r="G5" s="68" t="str">
        <x:v>合理价值区间</x:v>
      </x:c>
      <x:c r="H5" s="68"/>
      <x:c r="I5" s="68"/>
      <x:c r="J5" s="68"/>
      <x:c r="K5" s="68" t="str">
        <x:v>加权估值中枢</x:v>
      </x:c>
      <x:c r="L5" s="68"/>
      <x:c r="M5" s="68"/>
      <x:c r="N5" s="68"/>
      <x:c r="O5" s="68" t="str">
        <x:v>对综合折价</x:v>
      </x:c>
      <x:c r="P5" s="68"/>
      <x:c r="Q5" s="68" t="str">
        <x:v>对股利折价</x:v>
      </x:c>
      <x:c r="R5" s="68"/>
    </x:row>
    <x:row r="6">
      <x:c r="A6" s="89"/>
      <x:c r="B6" s="89"/>
      <x:c r="C6" s="168" t="n">
        <x:f>'估值系统'!D6</x:f>
        <x:v>11.57</x:v>
      </x:c>
      <x:c r="D6" s="168"/>
      <x:c r="E6" s="168"/>
      <x:c r="F6" s="168"/>
      <x:c r="G6" s="174" t="n">
        <x:f>'估值系统'!K15</x:f>
        <x:v>13</x:v>
      </x:c>
      <x:c r="H6" s="174" t="str">
        <x:v>—</x:v>
      </x:c>
      <x:c r="I6" s="174"/>
      <x:c r="J6" s="174" t="n">
        <x:f>'估值系统'!K16</x:f>
        <x:v>17</x:v>
      </x:c>
      <x:c r="K6" s="171" t="n">
        <x:f>'估值系统'!M12</x:f>
        <x:v>16.837593606777297</x:v>
      </x:c>
      <x:c r="L6" s="171"/>
      <x:c r="M6" s="171"/>
      <x:c r="N6" s="171"/>
      <x:c r="O6" s="177" t="n">
        <x:f>1-'估值系统'!D6/'估值系统'!M12</x:f>
        <x:v>0.31284717577795906</x:v>
      </x:c>
      <x:c r="P6" s="177"/>
      <x:c r="Q6" s="177" t="n">
        <x:f>1-'估值系统'!D6/'估值系统'!M11</x:f>
        <x:v>0.08078056201895789</x:v>
      </x:c>
      <x:c r="R6" s="177"/>
    </x:row>
    <x:row r="7">
      <x:c r="A7" s="89"/>
      <x:c r="B7" s="89"/>
      <x:c r="C7" s="168"/>
      <x:c r="D7" s="168"/>
      <x:c r="E7" s="168"/>
      <x:c r="F7" s="168"/>
      <x:c r="G7" s="174"/>
      <x:c r="H7" s="174"/>
      <x:c r="I7" s="174"/>
      <x:c r="J7" s="174"/>
      <x:c r="K7" s="171"/>
      <x:c r="L7" s="171"/>
      <x:c r="M7" s="171"/>
      <x:c r="N7" s="171"/>
      <x:c r="O7" s="177"/>
      <x:c r="P7" s="177"/>
      <x:c r="Q7" s="177"/>
      <x:c r="R7" s="177"/>
    </x:row>
    <x:row r="8" ht="27" customHeight="1">
      <x:c r="A8" s="89"/>
      <x:c r="B8" s="89"/>
      <x:c r="C8" s="218" t="str">
        <x:v>结论：相对综合中枢约有三成折价，但相对股利模型只有个位数折价。当前更接近防守价值，适合小仓观察；10—11元或基本面连续改善后更有吸引力。</x:v>
      </x:c>
      <x:c r="D8" s="218"/>
      <x:c r="E8" s="218"/>
      <x:c r="F8" s="218"/>
      <x:c r="G8" s="218"/>
      <x:c r="H8" s="218"/>
      <x:c r="I8" s="218"/>
      <x:c r="J8" s="218"/>
      <x:c r="K8" s="218"/>
      <x:c r="L8" s="218"/>
      <x:c r="M8" s="218"/>
      <x:c r="N8" s="218"/>
      <x:c r="O8" s="218"/>
      <x:c r="P8" s="218"/>
      <x:c r="Q8" s="218"/>
      <x:c r="R8" s="218"/>
    </x:row>
    <x:row r="9">
      <x:c r="A9" s="89"/>
      <x:c r="B9" s="89"/>
      <x:c r="C9" s="89"/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</x:row>
    <x:row r="10" ht="23" customHeight="1">
      <x:c r="A10" s="89"/>
      <x:c r="B10" s="89"/>
      <x:c r="C10" s="68" t="str">
        <x:v>公司全貌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</x:row>
    <x:row r="11">
      <x:c r="A11" s="89"/>
      <x:c r="B11" s="89"/>
      <x:c r="C11" s="329" t="str">
        <x:v>商业模式</x:v>
      </x:c>
      <x:c r="D11" s="329"/>
      <x:c r="E11" s="329"/>
      <x:c r="F11" s="329"/>
      <x:c r="G11" s="329" t="str">
        <x:v>竞争优势</x:v>
      </x:c>
      <x:c r="H11" s="329"/>
      <x:c r="I11" s="329"/>
      <x:c r="J11" s="329"/>
      <x:c r="K11" s="329" t="str">
        <x:v>经营质量</x:v>
      </x:c>
      <x:c r="L11" s="329"/>
      <x:c r="M11" s="329"/>
      <x:c r="N11" s="329"/>
      <x:c r="O11" s="329" t="str">
        <x:v>主要风险</x:v>
      </x:c>
      <x:c r="P11" s="329"/>
      <x:c r="Q11" s="329"/>
      <x:c r="R11" s="329"/>
    </x:row>
    <x:row r="12" ht="22" customHeight="1">
      <x:c r="A12" s="89"/>
      <x:c r="B12" s="89"/>
      <x:c r="C12" s="346" t="str">
        <x:v>全国性股份制商业银行
总资产6.03万亿元
贷款/存款3.45/3.66万亿元</x:v>
      </x:c>
      <x:c r="D12" s="347"/>
      <x:c r="E12" s="347"/>
      <x:c r="F12" s="348"/>
      <x:c r="G12" s="372" t="str">
        <x:v>平安集团合计持股58%
零售AUM 4.40万亿元
财富管理手续费同比+35.6%</x:v>
      </x:c>
      <x:c r="H12" s="373"/>
      <x:c r="I12" s="373"/>
      <x:c r="J12" s="374"/>
      <x:c r="K12" s="346" t="str">
        <x:v>1H26 ROE 10.56%
不良贷款率1.05%
拨备覆盖率219.58%</x:v>
      </x:c>
      <x:c r="L12" s="347"/>
      <x:c r="M12" s="347"/>
      <x:c r="N12" s="348"/>
      <x:c r="O12" s="397" t="str">
        <x:v>净息差1.80%
消费贷不良率1.24%（+12bp）
核心一级资本9.32%</x:v>
      </x:c>
      <x:c r="P12" s="398"/>
      <x:c r="Q12" s="398"/>
      <x:c r="R12" s="399"/>
    </x:row>
    <x:row r="13" ht="22" customHeight="1">
      <x:c r="A13" s="89"/>
      <x:c r="B13" s="89"/>
      <x:c r="C13" s="349"/>
      <x:c r="D13" s="350"/>
      <x:c r="E13" s="350"/>
      <x:c r="F13" s="351"/>
      <x:c r="G13" s="375"/>
      <x:c r="H13" s="376"/>
      <x:c r="I13" s="376"/>
      <x:c r="J13" s="377"/>
      <x:c r="K13" s="349"/>
      <x:c r="L13" s="350"/>
      <x:c r="M13" s="350"/>
      <x:c r="N13" s="351"/>
      <x:c r="O13" s="400"/>
      <x:c r="P13" s="401"/>
      <x:c r="Q13" s="401"/>
      <x:c r="R13" s="402"/>
    </x:row>
    <x:row r="14" ht="22" customHeight="1">
      <x:c r="A14" s="89"/>
      <x:c r="B14" s="89"/>
      <x:c r="C14" s="352"/>
      <x:c r="D14" s="353"/>
      <x:c r="E14" s="353"/>
      <x:c r="F14" s="354"/>
      <x:c r="G14" s="378"/>
      <x:c r="H14" s="379"/>
      <x:c r="I14" s="379"/>
      <x:c r="J14" s="380"/>
      <x:c r="K14" s="352"/>
      <x:c r="L14" s="353"/>
      <x:c r="M14" s="353"/>
      <x:c r="N14" s="354"/>
      <x:c r="O14" s="403"/>
      <x:c r="P14" s="404"/>
      <x:c r="Q14" s="404"/>
      <x:c r="R14" s="405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</x:row>
    <x:row r="16" ht="23" customHeight="1">
      <x:c r="A16" s="89"/>
      <x:c r="B16" s="89"/>
      <x:c r="C16" s="68" t="str">
        <x:v>十年经营趋势</x:v>
      </x:c>
      <x:c r="D16" s="89"/>
      <x:c r="E16" s="89"/>
      <x:c r="F16" s="89"/>
      <x:c r="G16" s="89"/>
      <x:c r="H16" s="89"/>
      <x:c r="I16" s="89"/>
      <x:c r="J16" s="89"/>
      <x:c r="K16" s="68" t="str">
        <x:v>六种估值方法</x:v>
      </x:c>
      <x:c r="L16" s="89"/>
      <x:c r="M16" s="89"/>
      <x:c r="N16" s="89"/>
      <x:c r="O16" s="89"/>
      <x:c r="P16" s="89"/>
      <x:c r="Q16" s="89"/>
      <x:c r="R16" s="89"/>
    </x:row>
    <x:row r="17">
      <x:c r="A17" s="89"/>
      <x:c r="B17" s="89"/>
      <x:c r="C17" s="17" t="str">
        <x:v>年份</x:v>
      </x:c>
      <x:c r="D17" s="18" t="str">
        <x:v>营业收入（亿元）</x:v>
      </x:c>
      <x:c r="E17" s="19" t="str">
        <x:v>归母净利润（亿元）</x:v>
      </x:c>
      <x:c r="F17" s="89"/>
      <x:c r="G17" s="89"/>
      <x:c r="H17" s="89"/>
      <x:c r="I17" s="89"/>
      <x:c r="J17" s="89"/>
      <x:c r="K17" s="17" t="str">
        <x:v>方法</x:v>
      </x:c>
      <x:c r="L17" s="18" t="str">
        <x:v>基准价值</x:v>
      </x:c>
      <x:c r="M17" s="19" t="str">
        <x:v>较当前价</x:v>
      </x:c>
      <x:c r="N17" s="89"/>
      <x:c r="O17" s="89"/>
      <x:c r="P17" s="89"/>
      <x:c r="Q17" s="89"/>
      <x:c r="R17" s="89"/>
    </x:row>
    <x:row r="18">
      <x:c r="A18" s="89"/>
      <x:c r="B18" s="89"/>
      <x:c r="C18" s="23" t="str">
        <x:f>'财务十年'!D5</x:f>
        <x:v>2016</x:v>
      </x:c>
      <x:c r="D18" s="424" t="n">
        <x:f>'财务十年'!D6</x:f>
        <x:v>1077.15</x:v>
      </x:c>
      <x:c r="E18" s="424" t="n">
        <x:f>'财务十年'!D8</x:f>
        <x:v>225.99</x:v>
      </x:c>
      <x:c r="F18" s="89"/>
      <x:c r="G18" s="89"/>
      <x:c r="H18" s="89"/>
      <x:c r="I18" s="89"/>
      <x:c r="J18" s="89"/>
      <x:c r="K18" s="23" t="str">
        <x:f>'估值系统'!J6</x:f>
        <x:v>剩余收益模型</x:v>
      </x:c>
      <x:c r="L18" s="144" t="n">
        <x:f>'估值系统'!M6</x:f>
        <x:v>21.460878996366</x:v>
      </x:c>
      <x:c r="M18" s="143" t="n">
        <x:f>L18/'估值系统'!$D$6-1</x:f>
        <x:v>0.8548728605329299</x:v>
      </x:c>
      <x:c r="N18" s="89"/>
      <x:c r="O18" s="89"/>
      <x:c r="P18" s="89"/>
      <x:c r="Q18" s="89"/>
      <x:c r="R18" s="89"/>
    </x:row>
    <x:row r="19">
      <x:c r="A19" s="89"/>
      <x:c r="B19" s="89"/>
      <x:c r="C19" s="24" t="str">
        <x:f>'财务十年'!E5</x:f>
        <x:v>2017</x:v>
      </x:c>
      <x:c r="D19" s="425" t="n">
        <x:f>'财务十年'!E6</x:f>
        <x:v>1057.8600000000001</x:v>
      </x:c>
      <x:c r="E19" s="425" t="n">
        <x:f>'财务十年'!E8</x:f>
        <x:v>231.89</x:v>
      </x:c>
      <x:c r="F19" s="89"/>
      <x:c r="G19" s="89"/>
      <x:c r="H19" s="89"/>
      <x:c r="I19" s="89"/>
      <x:c r="J19" s="89"/>
      <x:c r="K19" s="24" t="str">
        <x:f>'估值系统'!J7</x:f>
        <x:v>PB-ROE模型</x:v>
      </x:c>
      <x:c r="L19" s="41" t="n">
        <x:f>'估值系统'!M7</x:f>
        <x:v>22.710588235294118</x:v>
      </x:c>
      <x:c r="M19" s="39" t="n">
        <x:f>L19/'估值系统'!$D$6-1</x:f>
        <x:v>0.9628857593166913</x:v>
      </x:c>
      <x:c r="N19" s="89"/>
      <x:c r="O19" s="89"/>
      <x:c r="P19" s="89"/>
      <x:c r="Q19" s="89"/>
      <x:c r="R19" s="89"/>
    </x:row>
    <x:row r="20">
      <x:c r="A20" s="89"/>
      <x:c r="B20" s="89"/>
      <x:c r="C20" s="24" t="str">
        <x:f>'财务十年'!F5</x:f>
        <x:v>2018</x:v>
      </x:c>
      <x:c r="D20" s="425" t="n">
        <x:f>'财务十年'!F6</x:f>
        <x:v>1167.1599999999999</x:v>
      </x:c>
      <x:c r="E20" s="425" t="n">
        <x:f>'财务十年'!F8</x:f>
        <x:v>248.18</x:v>
      </x:c>
      <x:c r="F20" s="89"/>
      <x:c r="G20" s="89"/>
      <x:c r="H20" s="89"/>
      <x:c r="I20" s="89"/>
      <x:c r="J20" s="89"/>
      <x:c r="K20" s="24" t="str">
        <x:f>'估值系统'!J8</x:f>
        <x:v>十年历史PB</x:v>
      </x:c>
      <x:c r="L20" s="41" t="n">
        <x:f>'估值系统'!M8</x:f>
        <x:v>19.175516188036777</x:v>
      </x:c>
      <x:c r="M20" s="39" t="n">
        <x:f>L20/'估值系统'!$D$6-1</x:f>
        <x:v>0.6573479851371458</x:v>
      </x:c>
      <x:c r="N20" s="89"/>
      <x:c r="O20" s="89"/>
      <x:c r="P20" s="89"/>
      <x:c r="Q20" s="89"/>
      <x:c r="R20" s="89"/>
    </x:row>
    <x:row r="21">
      <x:c r="A21" s="89"/>
      <x:c r="B21" s="89"/>
      <x:c r="C21" s="24" t="str">
        <x:f>'财务十年'!G5</x:f>
        <x:v>2019</x:v>
      </x:c>
      <x:c r="D21" s="425" t="n">
        <x:f>'财务十年'!G6</x:f>
        <x:v>1379.58</x:v>
      </x:c>
      <x:c r="E21" s="425" t="n">
        <x:f>'财务十年'!G8</x:f>
        <x:v>281.95</x:v>
      </x:c>
      <x:c r="F21" s="89"/>
      <x:c r="G21" s="89"/>
      <x:c r="H21" s="89"/>
      <x:c r="I21" s="89"/>
      <x:c r="J21" s="89"/>
      <x:c r="K21" s="24" t="str">
        <x:f>'估值系统'!J9</x:f>
        <x:v>十年历史PE</x:v>
      </x:c>
      <x:c r="L21" s="41" t="n">
        <x:f>'估值系统'!M9</x:f>
        <x:v>14.642564493859458</x:v>
      </x:c>
      <x:c r="M21" s="39" t="n">
        <x:f>L21/'估值系统'!$D$6-1</x:f>
        <x:v>0.26556305046322026</x:v>
      </x:c>
      <x:c r="N21" s="89"/>
      <x:c r="O21" s="89"/>
      <x:c r="P21" s="89"/>
      <x:c r="Q21" s="89"/>
      <x:c r="R21" s="89"/>
    </x:row>
    <x:row r="22">
      <x:c r="A22" s="89"/>
      <x:c r="B22" s="89"/>
      <x:c r="C22" s="24" t="str">
        <x:f>'财务十年'!H5</x:f>
        <x:v>2020</x:v>
      </x:c>
      <x:c r="D22" s="425" t="n">
        <x:f>'财务十年'!H6</x:f>
        <x:v>1535.42</x:v>
      </x:c>
      <x:c r="E22" s="425" t="n">
        <x:f>'财务十年'!H8</x:f>
        <x:v>289.28000000000003</x:v>
      </x:c>
      <x:c r="F22" s="89"/>
      <x:c r="G22" s="89"/>
      <x:c r="H22" s="89"/>
      <x:c r="I22" s="89"/>
      <x:c r="J22" s="89"/>
      <x:c r="K22" s="24" t="str">
        <x:f>'估值系统'!J10</x:f>
        <x:v>同业ROE调整PB</x:v>
      </x:c>
      <x:c r="L22" s="41" t="n">
        <x:f>'估值系统'!M10</x:f>
        <x:v>15.27017821782178</x:v>
      </x:c>
      <x:c r="M22" s="39" t="n">
        <x:f>L22/'估值系统'!$D$6-1</x:f>
        <x:v>0.31980797042539155</x:v>
      </x:c>
      <x:c r="N22" s="89"/>
      <x:c r="O22" s="89"/>
      <x:c r="P22" s="89"/>
      <x:c r="Q22" s="89"/>
      <x:c r="R22" s="89"/>
    </x:row>
    <x:row r="23">
      <x:c r="A23" s="89"/>
      <x:c r="B23" s="89"/>
      <x:c r="C23" s="24" t="str">
        <x:f>'财务十年'!I5</x:f>
        <x:v>2021</x:v>
      </x:c>
      <x:c r="D23" s="425" t="n">
        <x:f>'财务十年'!I6</x:f>
        <x:v>1693.8300000000002</x:v>
      </x:c>
      <x:c r="E23" s="425" t="n">
        <x:f>'财务十年'!I8</x:f>
        <x:v>363.36</x:v>
      </x:c>
      <x:c r="F23" s="89"/>
      <x:c r="G23" s="89"/>
      <x:c r="H23" s="89"/>
      <x:c r="I23" s="89"/>
      <x:c r="J23" s="89"/>
      <x:c r="K23" s="24" t="str">
        <x:f>'估值系统'!J11</x:f>
        <x:v>两阶段股利模型</x:v>
      </x:c>
      <x:c r="L23" s="41" t="n">
        <x:f>'估值系统'!M11</x:f>
        <x:v>12.586766034247656</x:v>
      </x:c>
      <x:c r="M23" s="39" t="n">
        <x:f>L23/'估值系统'!$D$6-1</x:f>
        <x:v>0.08787951894966772</x:v>
      </x:c>
      <x:c r="N23" s="89"/>
      <x:c r="O23" s="89"/>
      <x:c r="P23" s="89"/>
      <x:c r="Q23" s="89"/>
      <x:c r="R23" s="89"/>
    </x:row>
    <x:row r="24">
      <x:c r="A24" s="89"/>
      <x:c r="B24" s="89"/>
      <x:c r="C24" s="24" t="str">
        <x:f>'财务十年'!J5</x:f>
        <x:v>2022</x:v>
      </x:c>
      <x:c r="D24" s="425" t="n">
        <x:f>'财务十年'!J6</x:f>
        <x:v>1798.95</x:v>
      </x:c>
      <x:c r="E24" s="425" t="n">
        <x:f>'财务十年'!J8</x:f>
        <x:v>455.15999999999997</x:v>
      </x:c>
      <x:c r="F24" s="89"/>
      <x:c r="G24" s="89"/>
      <x:c r="H24" s="89"/>
      <x:c r="I24" s="89"/>
      <x:c r="J24" s="89"/>
      <x:c r="K24" s="36" t="str">
        <x:v>当前股价</x:v>
      </x:c>
      <x:c r="L24" s="48" t="n">
        <x:f>'估值系统'!D6</x:f>
        <x:v>11.57</x:v>
      </x:c>
      <x:c r="M24" s="426" t="n">
        <x:v>0</x:v>
      </x:c>
      <x:c r="N24" s="89"/>
      <x:c r="O24" s="89"/>
      <x:c r="P24" s="89"/>
      <x:c r="Q24" s="89"/>
      <x:c r="R24" s="89"/>
    </x:row>
    <x:row r="25">
      <x:c r="A25" s="89"/>
      <x:c r="B25" s="89"/>
      <x:c r="C25" s="24" t="str">
        <x:f>'财务十年'!K5</x:f>
        <x:v>2023</x:v>
      </x:c>
      <x:c r="D25" s="425" t="n">
        <x:f>'财务十年'!K6</x:f>
        <x:v>1646.9900000000002</x:v>
      </x:c>
      <x:c r="E25" s="425" t="n">
        <x:f>'财务十年'!K8</x:f>
        <x:v>464.54999999999995</x:v>
      </x:c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</x:row>
    <x:row r="26">
      <x:c r="A26" s="89"/>
      <x:c r="B26" s="89"/>
      <x:c r="C26" s="24" t="str">
        <x:f>'财务十年'!L5</x:f>
        <x:v>2024</x:v>
      </x:c>
      <x:c r="D26" s="425" t="n">
        <x:f>'财务十年'!L6</x:f>
        <x:v>1466.9499999999998</x:v>
      </x:c>
      <x:c r="E26" s="425" t="n">
        <x:f>'财务十年'!L8</x:f>
        <x:v>445.08000000000004</x:v>
      </x:c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</x:row>
    <x:row r="27">
      <x:c r="A27" s="89"/>
      <x:c r="B27" s="89"/>
      <x:c r="C27" s="25" t="str">
        <x:f>'财务十年'!M5</x:f>
        <x:v>2025</x:v>
      </x:c>
      <x:c r="D27" s="427" t="n">
        <x:f>'财务十年'!M6</x:f>
        <x:v>1314.42</x:v>
      </x:c>
      <x:c r="E27" s="427" t="n">
        <x:f>'财务十年'!M8</x:f>
        <x:v>426.33000000000004</x:v>
      </x:c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</x:row>
    <x:row r="29" ht="23" customHeight="1">
      <x:c r="A29" s="89"/>
      <x:c r="B29" s="89"/>
      <x:c r="C29" s="68" t="str">
        <x:v>价格区间与行动</x:v>
      </x:c>
      <x:c r="D29" s="89"/>
      <x:c r="E29" s="89"/>
      <x:c r="F29" s="89"/>
      <x:c r="G29" s="89"/>
      <x:c r="H29" s="89"/>
      <x:c r="I29" s="89"/>
      <x:c r="J29" s="89"/>
      <x:c r="K29" s="68" t="str">
        <x:v>关键监控线</x:v>
      </x:c>
      <x:c r="L29" s="89"/>
      <x:c r="M29" s="89"/>
      <x:c r="N29" s="89"/>
      <x:c r="O29" s="89"/>
      <x:c r="P29" s="89"/>
      <x:c r="Q29" s="89"/>
      <x:c r="R29" s="89"/>
    </x:row>
    <x:row r="30">
      <x:c r="A30" s="89"/>
      <x:c r="B30" s="89"/>
      <x:c r="C30" s="17" t="str">
        <x:v>价格区间</x:v>
      </x:c>
      <x:c r="D30" s="18" t="str">
        <x:v>动作</x:v>
      </x:c>
      <x:c r="E30" s="18" t="str">
        <x:v>位置</x:v>
      </x:c>
      <x:c r="F30" s="18" t="str">
        <x:v>前提</x:v>
      </x:c>
      <x:c r="G30" s="18"/>
      <x:c r="H30" s="18"/>
      <x:c r="I30" s="18"/>
      <x:c r="J30" s="19"/>
      <x:c r="K30" s="17" t="str">
        <x:v>风险</x:v>
      </x:c>
      <x:c r="L30" s="18" t="str">
        <x:v>当前</x:v>
      </x:c>
      <x:c r="M30" s="18" t="str">
        <x:v>预警线</x:v>
      </x:c>
      <x:c r="N30" s="18" t="str">
        <x:v>动作</x:v>
      </x:c>
      <x:c r="O30" s="18"/>
      <x:c r="P30" s="18"/>
      <x:c r="Q30" s="18"/>
      <x:c r="R30" s="19"/>
    </x:row>
    <x:row r="31">
      <x:c r="A31" s="89"/>
      <x:c r="B31" s="89"/>
      <x:c r="C31" s="23" t="str">
        <x:v>≤10.00元</x:v>
      </x:c>
      <x:c r="D31" s="23" t="str">
        <x:v>提高关注/分批</x:v>
      </x:c>
      <x:c r="E31" s="23" t="str">
        <x:v>防守价值折价约20%</x:v>
      </x:c>
      <x:c r="F31" s="23" t="str">
        <x:v>资产质量未恶化</x:v>
      </x:c>
      <x:c r="G31" s="23"/>
      <x:c r="H31" s="23"/>
      <x:c r="I31" s="23"/>
      <x:c r="J31" s="23"/>
      <x:c r="K31" s="23" t="str">
        <x:v>净息差</x:v>
      </x:c>
      <x:c r="L31" s="238" t="n">
        <x:f>'财务十年'!N14</x:f>
        <x:v>0.018</x:v>
      </x:c>
      <x:c r="M31" s="23" t="str">
        <x:v>&lt;1.70%</x:v>
      </x:c>
      <x:c r="N31" s="23" t="str">
        <x:v>下调ROE与合理PB</x:v>
      </x:c>
      <x:c r="O31" s="23"/>
      <x:c r="P31" s="23"/>
      <x:c r="Q31" s="23"/>
      <x:c r="R31" s="23"/>
    </x:row>
    <x:row r="32">
      <x:c r="A32" s="89"/>
      <x:c r="B32" s="89"/>
      <x:c r="C32" s="24" t="str">
        <x:v>10.00—11.00元</x:v>
      </x:c>
      <x:c r="D32" s="24" t="str">
        <x:v>小额分批</x:v>
      </x:c>
      <x:c r="E32" s="24" t="str">
        <x:v>有一定防守空间</x:v>
      </x:c>
      <x:c r="F32" s="24" t="str">
        <x:v>ROE维持9%以上</x:v>
      </x:c>
      <x:c r="G32" s="24"/>
      <x:c r="H32" s="24"/>
      <x:c r="I32" s="24"/>
      <x:c r="J32" s="24"/>
      <x:c r="K32" s="24" t="str">
        <x:v>关注类贷款率</x:v>
      </x:c>
      <x:c r="L32" s="44" t="n">
        <x:f>'资产质量'!F7</x:f>
        <x:v>0.0183</x:v>
      </x:c>
      <x:c r="M32" s="24" t="str">
        <x:v>&gt;2.00%</x:v>
      </x:c>
      <x:c r="N32" s="24" t="str">
        <x:v>检查是否向不良迁徙</x:v>
      </x:c>
      <x:c r="O32" s="24"/>
      <x:c r="P32" s="24"/>
      <x:c r="Q32" s="24"/>
      <x:c r="R32" s="24"/>
    </x:row>
    <x:row r="33">
      <x:c r="A33" s="89"/>
      <x:c r="B33" s="89"/>
      <x:c r="C33" s="289" t="str">
        <x:v>11.00—13.00元</x:v>
      </x:c>
      <x:c r="D33" s="289" t="str">
        <x:v>小仓观察</x:v>
      </x:c>
      <x:c r="E33" s="289" t="str">
        <x:v>接近股利模型价值</x:v>
      </x:c>
      <x:c r="F33" s="289" t="str">
        <x:v>等待收入与资本验证</x:v>
      </x:c>
      <x:c r="G33" s="289"/>
      <x:c r="H33" s="289"/>
      <x:c r="I33" s="289"/>
      <x:c r="J33" s="289"/>
      <x:c r="K33" s="24" t="str">
        <x:v>消费贷不良率</x:v>
      </x:c>
      <x:c r="L33" s="44" t="n">
        <x:v>0.0124</x:v>
      </x:c>
      <x:c r="M33" s="24" t="str">
        <x:v>&gt;1.50%</x:v>
      </x:c>
      <x:c r="N33" s="24" t="str">
        <x:v>当前较上年末上升12bp</x:v>
      </x:c>
      <x:c r="O33" s="24"/>
      <x:c r="P33" s="24"/>
      <x:c r="Q33" s="24"/>
      <x:c r="R33" s="24"/>
    </x:row>
    <x:row r="34">
      <x:c r="A34" s="89"/>
      <x:c r="B34" s="89"/>
      <x:c r="C34" s="24" t="str">
        <x:v>13.00—17.00元</x:v>
      </x:c>
      <x:c r="D34" s="24" t="str">
        <x:v>持有为主</x:v>
      </x:c>
      <x:c r="E34" s="24" t="str">
        <x:v>核心合理价值区间</x:v>
      </x:c>
      <x:c r="F34" s="24" t="str">
        <x:v>符合基准情景</x:v>
      </x:c>
      <x:c r="G34" s="24"/>
      <x:c r="H34" s="24"/>
      <x:c r="I34" s="24"/>
      <x:c r="J34" s="24"/>
      <x:c r="K34" s="24" t="str">
        <x:v>拨备覆盖率</x:v>
      </x:c>
      <x:c r="L34" s="44" t="n">
        <x:f>'财务十年'!N17</x:f>
        <x:v>2.1958</x:v>
      </x:c>
      <x:c r="M34" s="24" t="str">
        <x:v>&lt;180%</x:v>
      </x:c>
      <x:c r="N34" s="24" t="str">
        <x:v>下调账面价值可信度</x:v>
      </x:c>
      <x:c r="O34" s="24"/>
      <x:c r="P34" s="24"/>
      <x:c r="Q34" s="24"/>
      <x:c r="R34" s="24"/>
    </x:row>
    <x:row r="35">
      <x:c r="A35" s="89"/>
      <x:c r="B35" s="89"/>
      <x:c r="C35" s="25" t="str">
        <x:v>&gt;17.00元</x:v>
      </x:c>
      <x:c r="D35" s="25" t="str">
        <x:v>重新评估</x:v>
      </x:c>
      <x:c r="E35" s="25" t="str">
        <x:v>高于综合中枢附近</x:v>
      </x:c>
      <x:c r="F35" s="25" t="str">
        <x:v>需ROE与资本改善</x:v>
      </x:c>
      <x:c r="G35" s="25"/>
      <x:c r="H35" s="25"/>
      <x:c r="I35" s="25"/>
      <x:c r="J35" s="25"/>
      <x:c r="K35" s="24" t="str">
        <x:v>核心一级资本</x:v>
      </x:c>
      <x:c r="L35" s="44" t="n">
        <x:f>'财务十年'!N18</x:f>
        <x:v>0.0932</x:v>
      </x:c>
      <x:c r="M35" s="24" t="str">
        <x:v>&lt;8.80%</x:v>
      </x:c>
      <x:c r="N35" s="24" t="str">
        <x:v>降低分红与扩表假设</x:v>
      </x:c>
      <x:c r="O35" s="24"/>
      <x:c r="P35" s="24"/>
      <x:c r="Q35" s="24"/>
      <x:c r="R35" s="24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25" t="str">
        <x:v>ROE</x:v>
      </x:c>
      <x:c r="L36" s="103" t="n">
        <x:f>'财务十年'!N12</x:f>
        <x:v>0.1056</x:v>
      </x:c>
      <x:c r="M36" s="25" t="str">
        <x:v>&lt;8.00%</x:v>
      </x:c>
      <x:c r="N36" s="25" t="str">
        <x:v>下调合理估值区间</x:v>
      </x:c>
      <x:c r="O36" s="25"/>
      <x:c r="P36" s="25"/>
      <x:c r="Q36" s="25"/>
      <x:c r="R36" s="25"/>
    </x:row>
    <x:row r="37" ht="23" customHeight="1">
      <x:c r="A37" s="89"/>
      <x:c r="B37" s="89"/>
      <x:c r="C37" s="68" t="str">
        <x:v>股息视角</x:v>
      </x:c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</x:row>
    <x:row r="38">
      <x:c r="A38" s="89"/>
      <x:c r="B38" s="89"/>
      <x:c r="C38" s="68" t="str">
        <x:v>2025全年DPS</x:v>
      </x:c>
      <x:c r="D38" s="68"/>
      <x:c r="E38" s="68"/>
      <x:c r="F38" s="68"/>
      <x:c r="G38" s="68" t="str">
        <x:v>2025全年股息率</x:v>
      </x:c>
      <x:c r="H38" s="68"/>
      <x:c r="I38" s="68"/>
      <x:c r="J38" s="68"/>
      <x:c r="K38" s="68" t="str">
        <x:v>近12个月现金股息率</x:v>
      </x:c>
      <x:c r="L38" s="68"/>
      <x:c r="M38" s="68"/>
      <x:c r="N38" s="68"/>
      <x:c r="O38" s="68" t="str">
        <x:v>常态分红支付率</x:v>
      </x:c>
      <x:c r="P38" s="68"/>
      <x:c r="Q38" s="68"/>
      <x:c r="R38" s="68"/>
    </x:row>
    <x:row r="39">
      <x:c r="A39" s="89"/>
      <x:c r="B39" s="89"/>
      <x:c r="C39" s="415" t="n">
        <x:f>'股息估值'!G6</x:f>
        <x:v>0.596</x:v>
      </x:c>
      <x:c r="D39" s="415"/>
      <x:c r="E39" s="415"/>
      <x:c r="F39" s="415"/>
      <x:c r="G39" s="418" t="n">
        <x:f>'股息估值'!K6</x:f>
        <x:v>0.05151253241140881</x:v>
      </x:c>
      <x:c r="H39" s="418"/>
      <x:c r="I39" s="418"/>
      <x:c r="J39" s="418"/>
      <x:c r="K39" s="421" t="n">
        <x:f>'股息估值'!O6</x:f>
        <x:v>0.07303370786516854</x:v>
      </x:c>
      <x:c r="L39" s="421"/>
      <x:c r="M39" s="421"/>
      <x:c r="N39" s="421"/>
      <x:c r="O39" s="422" t="str">
        <x:v>27%—30%</x:v>
      </x:c>
      <x:c r="P39" s="422"/>
      <x:c r="Q39" s="422"/>
      <x:c r="R39" s="422"/>
    </x:row>
    <x:row r="40">
      <x:c r="A40" s="89"/>
      <x:c r="B40" s="89"/>
      <x:c r="C40" s="415"/>
      <x:c r="D40" s="415"/>
      <x:c r="E40" s="415"/>
      <x:c r="F40" s="415"/>
      <x:c r="G40" s="418"/>
      <x:c r="H40" s="418"/>
      <x:c r="I40" s="418"/>
      <x:c r="J40" s="418"/>
      <x:c r="K40" s="421"/>
      <x:c r="L40" s="421"/>
      <x:c r="M40" s="421"/>
      <x:c r="N40" s="421"/>
      <x:c r="O40" s="422"/>
      <x:c r="P40" s="422"/>
      <x:c r="Q40" s="422"/>
      <x:c r="R40" s="422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</x:row>
    <x:row r="42" ht="20" customHeight="1">
      <x:c r="A42" s="89"/>
      <x:c r="B42" s="89"/>
      <x:c r="C42" s="136" t="str">
        <x:v>27%—30%为常态分红支付率，对应现价长期股息率约5.0%—5.6%；35%需CET1改善。近12个月现金股息率7.30%包含三次派息，不能直接外推。</x:v>
      </x:c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</x:row>
  </x:sheetData>
  <x:mergeCells>
    <x:mergeCell ref="C2:R2"/>
    <x:mergeCell ref="C3:R3"/>
    <x:mergeCell ref="C4:R4"/>
    <x:mergeCell ref="C5:F5"/>
    <x:mergeCell ref="C6:F7"/>
    <x:mergeCell ref="K5:N5"/>
    <x:mergeCell ref="K6:N7"/>
    <x:mergeCell ref="O5:P5"/>
    <x:mergeCell ref="O6:P7"/>
    <x:mergeCell ref="Q5:R5"/>
    <x:mergeCell ref="Q6:R7"/>
    <x:mergeCell ref="G5:J5"/>
    <x:mergeCell ref="G6:G7"/>
    <x:mergeCell ref="H6:I7"/>
    <x:mergeCell ref="J6:J7"/>
    <x:mergeCell ref="C8:R8"/>
    <x:mergeCell ref="C10:R10"/>
    <x:mergeCell ref="C11:F11"/>
    <x:mergeCell ref="G11:J11"/>
    <x:mergeCell ref="K11:N11"/>
    <x:mergeCell ref="O11:R11"/>
    <x:mergeCell ref="C12:F14"/>
    <x:mergeCell ref="G12:J14"/>
    <x:mergeCell ref="K12:N14"/>
    <x:mergeCell ref="O12:R14"/>
    <x:mergeCell ref="C16:J16"/>
    <x:mergeCell ref="K16:R16"/>
    <x:mergeCell ref="C29:J29"/>
    <x:mergeCell ref="K29:R29"/>
    <x:mergeCell ref="F30:J30"/>
    <x:mergeCell ref="F31:J31"/>
    <x:mergeCell ref="F32:J32"/>
    <x:mergeCell ref="F33:J33"/>
    <x:mergeCell ref="F34:J34"/>
    <x:mergeCell ref="F35:J35"/>
    <x:mergeCell ref="N30:R30"/>
    <x:mergeCell ref="N31:R31"/>
    <x:mergeCell ref="N32:R32"/>
    <x:mergeCell ref="N33:R33"/>
    <x:mergeCell ref="N34:R34"/>
    <x:mergeCell ref="N35:R35"/>
    <x:mergeCell ref="N36:R36"/>
    <x:mergeCell ref="C37:R37"/>
    <x:mergeCell ref="C38:F38"/>
    <x:mergeCell ref="C39:F40"/>
    <x:mergeCell ref="G38:J38"/>
    <x:mergeCell ref="G39:J40"/>
    <x:mergeCell ref="K38:N38"/>
    <x:mergeCell ref="K39:N40"/>
    <x:mergeCell ref="O38:R38"/>
    <x:mergeCell ref="O39:R40"/>
    <x:mergeCell ref="C42:R42"/>
  </x:mergeCells>
  <x:pageMargins left="0.7" right="0.7" top="0.75" bottom="0.75" header="0.3" footer="0.3"/>
  <x:drawing xmlns:r="http://schemas.openxmlformats.org/officeDocument/2006/relationships" r:id="Rdc9c1b494da744f1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19" hidden="0" customWidth="1"/>
    <x:col min="4" max="4" width="14" hidden="0" customWidth="1"/>
    <x:col min="5" max="5" width="20" hidden="0" customWidth="1"/>
    <x:col min="6" max="6" width="16" hidden="0" customWidth="1"/>
    <x:col min="7" max="7" width="10" hidden="0" customWidth="1"/>
    <x:col min="8" max="8" width="22" hidden="0" customWidth="1"/>
    <x:col min="9" max="9" width="3" hidden="0" customWidth="1"/>
    <x:col min="10" max="10" width="20" hidden="0" customWidth="1"/>
    <x:col min="11" max="11" width="14" hidden="0" customWidth="1"/>
    <x:col min="12" max="12" width="15" hidden="0" customWidth="1"/>
    <x:col min="13" max="13" width="18" hidden="0" customWidth="1"/>
    <x:col min="14" max="14" width="18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7" customHeight="1">
      <x:c r="A2" s="89"/>
      <x:c r="B2" s="89"/>
      <x:c r="C2" s="4" t="str">
        <x:v>平安银行（000001.SZ）完整投资调研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89"/>
      <x:c r="B3" s="89"/>
      <x:c r="C3" s="6" t="str">
        <x:v>经营数据截至2026-06-30；股价截至2026-10-13，尚未纳入2026年三季报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</x:row>
    <x:row r="4" ht="20" customHeight="1">
      <x:c r="A4" s="89"/>
      <x:c r="B4" s="89"/>
      <x:c r="C4" s="11" t="str">
        <x:v>阅读顺序：①顶部结论数字　②关键指标与风险线　③估值操作区间　④巴菲特式总评</x:v>
      </x:c>
      <x:c r="D4" s="423"/>
      <x:c r="E4" s="423"/>
      <x:c r="F4" s="423"/>
      <x:c r="G4" s="423"/>
      <x:c r="H4" s="423"/>
      <x:c r="I4" s="423"/>
      <x:c r="J4" s="423"/>
      <x:c r="K4" s="423"/>
      <x:c r="L4" s="423"/>
      <x:c r="M4" s="423"/>
      <x:c r="N4" s="423"/>
    </x:row>
    <x:row r="5">
      <x:c r="A5" s="89"/>
      <x:c r="B5" s="89"/>
      <x:c r="C5" s="68" t="str">
        <x:v>当前股价</x:v>
      </x:c>
      <x:c r="D5" s="68"/>
      <x:c r="E5" s="68"/>
      <x:c r="F5" s="68" t="str">
        <x:v>合理价值区间</x:v>
      </x:c>
      <x:c r="G5" s="68"/>
      <x:c r="H5" s="68"/>
      <x:c r="I5" s="68" t="str">
        <x:v>加权估值中枢</x:v>
      </x:c>
      <x:c r="J5" s="68"/>
      <x:c r="K5" s="68"/>
      <x:c r="L5" s="68" t="str">
        <x:v>相对综合中枢折价</x:v>
      </x:c>
      <x:c r="M5" s="68"/>
      <x:c r="N5" s="68"/>
    </x:row>
    <x:row r="6">
      <x:c r="A6" s="89"/>
      <x:c r="B6" s="89"/>
      <x:c r="C6" s="168" t="n">
        <x:f>'估值系统'!D6</x:f>
        <x:v>11.57</x:v>
      </x:c>
      <x:c r="D6" s="168"/>
      <x:c r="E6" s="168"/>
      <x:c r="F6" s="174" t="n">
        <x:f>'估值系统'!K15</x:f>
        <x:v>13</x:v>
      </x:c>
      <x:c r="G6" s="305" t="str">
        <x:v>—</x:v>
      </x:c>
      <x:c r="H6" s="174" t="n">
        <x:f>'估值系统'!K16</x:f>
        <x:v>17</x:v>
      </x:c>
      <x:c r="I6" s="171" t="n">
        <x:f>'估值系统'!M12</x:f>
        <x:v>16.837593606777297</x:v>
      </x:c>
      <x:c r="J6" s="171"/>
      <x:c r="K6" s="171"/>
      <x:c r="L6" s="177" t="n">
        <x:f>1-'估值系统'!D6/'估值系统'!M12</x:f>
        <x:v>0.31284717577795906</x:v>
      </x:c>
      <x:c r="M6" s="177"/>
      <x:c r="N6" s="177"/>
    </x:row>
    <x:row r="7">
      <x:c r="A7" s="89"/>
      <x:c r="B7" s="89"/>
      <x:c r="C7" s="168"/>
      <x:c r="D7" s="168"/>
      <x:c r="E7" s="168"/>
      <x:c r="F7" s="174"/>
      <x:c r="G7" s="305"/>
      <x:c r="H7" s="305"/>
      <x:c r="I7" s="171"/>
      <x:c r="J7" s="171"/>
      <x:c r="K7" s="171"/>
      <x:c r="L7" s="177"/>
      <x:c r="M7" s="177"/>
      <x:c r="N7" s="177"/>
    </x:row>
    <x:row r="8">
      <x:c r="A8" s="89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</x:row>
    <x:row r="9" ht="23" customHeight="1">
      <x:c r="A9" s="89"/>
      <x:c r="B9" s="89"/>
      <x:c r="C9" s="68" t="str">
        <x:v>结论</x:v>
      </x:c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</x:row>
    <x:row r="10" ht="22" customHeight="1">
      <x:c r="A10" s="89"/>
      <x:c r="B10" s="89"/>
      <x:c r="C10" s="428" t="str">
        <x:v>判断：估值不贵，但尚未形成无争议的深度低估。修订后六法综合中枢约17元，当前价折价约三成；但采用更保守的股利模型，价值仅约13元，当前折价只有个位数。核心合理价值区间下修至13—17元。营收从2022年高点连续三年下降，2025年利润又受到减值损失减少的明显缓冲，因此历史PB/PE回归只能作为修复情景，不能作为主要买入依据。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</x:row>
    <x:row r="11" ht="22" customHeight="1">
      <x:c r="A11" s="89"/>
      <x:c r="B11" s="89"/>
      <x:c r="C11" s="89"/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</x:row>
    <x:row r="12" ht="22" customHeight="1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</x:row>
    <x:row r="14" ht="23" customHeight="1">
      <x:c r="A14" s="89"/>
      <x:c r="B14" s="89"/>
      <x:c r="C14" s="68" t="str">
        <x:v>当前关键数字</x:v>
      </x:c>
      <x:c r="D14" s="89"/>
      <x:c r="E14" s="89"/>
      <x:c r="F14" s="89"/>
      <x:c r="G14" s="89"/>
      <x:c r="H14" s="89"/>
      <x:c r="I14" s="89"/>
      <x:c r="J14" s="68" t="str">
        <x:v>核心风险与触发线</x:v>
      </x:c>
      <x:c r="K14" s="89"/>
      <x:c r="L14" s="89"/>
      <x:c r="M14" s="89"/>
      <x:c r="N14" s="89"/>
    </x:row>
    <x:row r="15">
      <x:c r="A15" s="89"/>
      <x:c r="B15" s="89"/>
      <x:c r="C15" s="17" t="str">
        <x:v>指标</x:v>
      </x:c>
      <x:c r="D15" s="18" t="str">
        <x:v>当前值</x:v>
      </x:c>
      <x:c r="E15" s="18" t="str">
        <x:v>参照</x:v>
      </x:c>
      <x:c r="F15" s="18" t="str">
        <x:v>含义</x:v>
      </x:c>
      <x:c r="G15" s="18"/>
      <x:c r="H15" s="19"/>
      <x:c r="I15" s="89"/>
      <x:c r="J15" s="17" t="str">
        <x:v>风险</x:v>
      </x:c>
      <x:c r="K15" s="18" t="str">
        <x:v>当前</x:v>
      </x:c>
      <x:c r="L15" s="18" t="str">
        <x:v>预警线</x:v>
      </x:c>
      <x:c r="M15" s="18" t="str">
        <x:v>动作</x:v>
      </x:c>
      <x:c r="N15" s="19"/>
    </x:row>
    <x:row r="16">
      <x:c r="A16" s="89"/>
      <x:c r="B16" s="89"/>
      <x:c r="C16" s="23" t="str">
        <x:v>PB</x:v>
      </x:c>
      <x:c r="D16" s="313" t="n">
        <x:f>'估值系统'!D13</x:f>
        <x:v>0.4794861168669706</x:v>
      </x:c>
      <x:c r="E16" s="23" t="str">
        <x:v>同业中位约0.58倍</x:v>
      </x:c>
      <x:c r="F16" s="23" t="str">
        <x:v>低估，但需验证ROE可持续性</x:v>
      </x:c>
      <x:c r="G16" s="23"/>
      <x:c r="H16" s="23"/>
      <x:c r="I16" s="89"/>
      <x:c r="J16" s="23" t="str">
        <x:v>净息差</x:v>
      </x:c>
      <x:c r="K16" s="238" t="n">
        <x:v>0.018</x:v>
      </x:c>
      <x:c r="L16" s="23" t="str">
        <x:v>&lt;1.70%</x:v>
      </x:c>
      <x:c r="M16" s="23" t="str">
        <x:v>下调ROE与合理PB</x:v>
      </x:c>
      <x:c r="N16" s="23"/>
    </x:row>
    <x:row r="17">
      <x:c r="A17" s="89"/>
      <x:c r="B17" s="89"/>
      <x:c r="C17" s="24" t="str">
        <x:v>TTM PE</x:v>
      </x:c>
      <x:c r="D17" s="314" t="n">
        <x:f>'估值系统'!D14</x:f>
        <x:v>5.431924882629108</x:v>
      </x:c>
      <x:c r="E17" s="24" t="str">
        <x:v>同业中位约5倍</x:v>
      </x:c>
      <x:c r="F17" s="24" t="str">
        <x:v>估值不高；2025利润受减值减少缓冲</x:v>
      </x:c>
      <x:c r="G17" s="24"/>
      <x:c r="H17" s="24"/>
      <x:c r="I17" s="89"/>
      <x:c r="J17" s="24" t="str">
        <x:v>关注类贷款</x:v>
      </x:c>
      <x:c r="K17" s="44" t="n">
        <x:v>0.0183</x:v>
      </x:c>
      <x:c r="L17" s="24" t="str">
        <x:v>&gt;2.00%</x:v>
      </x:c>
      <x:c r="M17" s="24" t="str">
        <x:v>检查风险迁徙</x:v>
      </x:c>
      <x:c r="N17" s="24"/>
    </x:row>
    <x:row r="18">
      <x:c r="A18" s="89"/>
      <x:c r="B18" s="89"/>
      <x:c r="C18" s="24" t="str">
        <x:v>1H26年化ROE</x:v>
      </x:c>
      <x:c r="D18" s="315" t="n">
        <x:f>'财务十年'!N12</x:f>
        <x:v>0.1056</x:v>
      </x:c>
      <x:c r="E18" s="24" t="str">
        <x:v>近五年均值约10.8%</x:v>
      </x:c>
      <x:c r="F18" s="24" t="str">
        <x:v>仍能覆盖基准股权成本附近</x:v>
      </x:c>
      <x:c r="G18" s="24"/>
      <x:c r="H18" s="24"/>
      <x:c r="I18" s="89"/>
      <x:c r="J18" s="24" t="str">
        <x:v>消费贷不良率</x:v>
      </x:c>
      <x:c r="K18" s="44" t="n">
        <x:v>0.0124</x:v>
      </x:c>
      <x:c r="L18" s="24" t="str">
        <x:v>&gt;1.50%</x:v>
      </x:c>
      <x:c r="M18" s="24" t="str">
        <x:v>当前同比上升12bp</x:v>
      </x:c>
      <x:c r="N18" s="24"/>
    </x:row>
    <x:row r="19">
      <x:c r="A19" s="89"/>
      <x:c r="B19" s="89"/>
      <x:c r="C19" s="24" t="str">
        <x:v>净息差</x:v>
      </x:c>
      <x:c r="D19" s="315" t="n">
        <x:f>'财务十年'!N14</x:f>
        <x:v>0.018</x:v>
      </x:c>
      <x:c r="E19" s="24" t="str">
        <x:v>2021年2.79%</x:v>
      </x:c>
      <x:c r="F19" s="24" t="str">
        <x:v>长期下行后暂时稳定</x:v>
      </x:c>
      <x:c r="G19" s="24"/>
      <x:c r="H19" s="24"/>
      <x:c r="I19" s="89"/>
      <x:c r="J19" s="24" t="str">
        <x:v>逾期60天偏离度</x:v>
      </x:c>
      <x:c r="K19" s="41" t="n">
        <x:v>0.84</x:v>
      </x:c>
      <x:c r="L19" s="24" t="str">
        <x:v>&gt;1.00</x:v>
      </x:c>
      <x:c r="M19" s="24" t="str">
        <x:v>检查风险确认时点</x:v>
      </x:c>
      <x:c r="N19" s="24"/>
    </x:row>
    <x:row r="20">
      <x:c r="A20" s="89"/>
      <x:c r="B20" s="89"/>
      <x:c r="C20" s="24" t="str">
        <x:v>不良贷款率</x:v>
      </x:c>
      <x:c r="D20" s="315" t="n">
        <x:f>'财务十年'!N16</x:f>
        <x:v>0.0105</x:v>
      </x:c>
      <x:c r="E20" s="24" t="str">
        <x:v>优质标准&lt;1%</x:v>
      </x:c>
      <x:c r="F20" s="24" t="str">
        <x:v>稳定，但略高于优质线</x:v>
      </x:c>
      <x:c r="G20" s="24"/>
      <x:c r="H20" s="24"/>
      <x:c r="I20" s="89"/>
      <x:c r="J20" s="24" t="str">
        <x:v>拨备覆盖率</x:v>
      </x:c>
      <x:c r="K20" s="44" t="n">
        <x:v>2.1958</x:v>
      </x:c>
      <x:c r="L20" s="24" t="str">
        <x:v>&lt;180%</x:v>
      </x:c>
      <x:c r="M20" s="24" t="str">
        <x:v>下调账面价值可信度</x:v>
      </x:c>
      <x:c r="N20" s="24"/>
    </x:row>
    <x:row r="21">
      <x:c r="A21" s="89"/>
      <x:c r="B21" s="89"/>
      <x:c r="C21" s="24" t="str">
        <x:v>拨备覆盖率</x:v>
      </x:c>
      <x:c r="D21" s="315" t="n">
        <x:f>'财务十年'!N17</x:f>
        <x:v>2.1958</x:v>
      </x:c>
      <x:c r="E21" s="24" t="str">
        <x:v>2022年290%</x:v>
      </x:c>
      <x:c r="F21" s="24" t="str">
        <x:v>仍充足，缓冲在下降</x:v>
      </x:c>
      <x:c r="G21" s="24"/>
      <x:c r="H21" s="24"/>
      <x:c r="I21" s="89"/>
      <x:c r="J21" s="24" t="str">
        <x:v>核心一级资本</x:v>
      </x:c>
      <x:c r="K21" s="44" t="n">
        <x:v>0.0932</x:v>
      </x:c>
      <x:c r="L21" s="24" t="str">
        <x:v>&lt;8.80%</x:v>
      </x:c>
      <x:c r="M21" s="24" t="str">
        <x:v>降低分红与扩表假设</x:v>
      </x:c>
      <x:c r="N21" s="24"/>
    </x:row>
    <x:row r="22">
      <x:c r="A22" s="89"/>
      <x:c r="B22" s="89"/>
      <x:c r="C22" s="24" t="str">
        <x:v>核心一级资本</x:v>
      </x:c>
      <x:c r="D22" s="315" t="n">
        <x:f>'财务十年'!N18</x:f>
        <x:v>0.0932</x:v>
      </x:c>
      <x:c r="E22" s="24" t="str">
        <x:v>监管线7.75%</x:v>
      </x:c>
      <x:c r="F22" s="24" t="str">
        <x:v>仅高157bp，限制高分红与扩表</x:v>
      </x:c>
      <x:c r="G22" s="24"/>
      <x:c r="H22" s="24"/>
      <x:c r="I22" s="89"/>
      <x:c r="J22" s="25" t="str">
        <x:v>ROE</x:v>
      </x:c>
      <x:c r="K22" s="103" t="n">
        <x:v>0.1056</x:v>
      </x:c>
      <x:c r="L22" s="25" t="str">
        <x:v>&lt;8.00%</x:v>
      </x:c>
      <x:c r="M22" s="25" t="str">
        <x:v>估值中枢下修</x:v>
      </x:c>
      <x:c r="N22" s="25"/>
    </x:row>
    <x:row r="23">
      <x:c r="A23" s="89"/>
      <x:c r="B23" s="89"/>
      <x:c r="C23" s="25" t="str">
        <x:v>2025全年股息率</x:v>
      </x:c>
      <x:c r="D23" s="316" t="n">
        <x:f>'股息估值'!K6</x:f>
        <x:v>0.05151253241140881</x:v>
      </x:c>
      <x:c r="E23" s="25" t="str">
        <x:v>近12个月现金7.3%</x:v>
      </x:c>
      <x:c r="F23" s="25" t="str">
        <x:v>年度口径约5.15%，更适合作为估值基准</x:v>
      </x:c>
      <x:c r="G23" s="25"/>
      <x:c r="H23" s="25"/>
      <x:c r="I23" s="89"/>
      <x:c r="J23" s="89"/>
      <x:c r="K23" s="89"/>
      <x:c r="L23" s="89"/>
      <x:c r="M23" s="89"/>
      <x:c r="N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</x:row>
    <x:row r="26" ht="23" customHeight="1">
      <x:c r="A26" s="89"/>
      <x:c r="B26" s="89"/>
      <x:c r="C26" s="68" t="str">
        <x:v>估值与操作区间</x:v>
      </x:c>
      <x:c r="D26" s="89"/>
      <x:c r="E26" s="89"/>
      <x:c r="F26" s="89"/>
      <x:c r="G26" s="89"/>
      <x:c r="H26" s="89"/>
      <x:c r="I26" s="89"/>
      <x:c r="J26" s="68" t="str">
        <x:v>五个关键假设</x:v>
      </x:c>
      <x:c r="K26" s="89"/>
      <x:c r="L26" s="89"/>
      <x:c r="M26" s="89"/>
      <x:c r="N26" s="89"/>
    </x:row>
    <x:row r="27" ht="30" customHeight="1">
      <x:c r="A27" s="89"/>
      <x:c r="B27" s="89"/>
      <x:c r="C27" s="17" t="str">
        <x:v>价格区间</x:v>
      </x:c>
      <x:c r="D27" s="18" t="str">
        <x:v>对应位置</x:v>
      </x:c>
      <x:c r="E27" s="18" t="str">
        <x:v>动作</x:v>
      </x:c>
      <x:c r="F27" s="18" t="str">
        <x:v>前提</x:v>
      </x:c>
      <x:c r="G27" s="18"/>
      <x:c r="H27" s="19"/>
      <x:c r="I27" s="89"/>
      <x:c r="J27" s="23" t="n">
        <x:v>1</x:v>
      </x:c>
      <x:c r="K27" s="293" t="str">
        <x:v>长期ROE维持9%—10.5%，不会跌向市场隐含的约6%。</x:v>
      </x:c>
      <x:c r="L27" s="293"/>
      <x:c r="M27" s="293"/>
      <x:c r="N27" s="293"/>
    </x:row>
    <x:row r="28" ht="30" customHeight="1">
      <x:c r="A28" s="89"/>
      <x:c r="B28" s="89"/>
      <x:c r="C28" s="23" t="str">
        <x:v>≤10.00元</x:v>
      </x:c>
      <x:c r="D28" s="23" t="str">
        <x:v>较防守价值折价约20%</x:v>
      </x:c>
      <x:c r="E28" s="23" t="str">
        <x:v>提高关注/分批</x:v>
      </x:c>
      <x:c r="F28" s="23" t="str">
        <x:v>资产质量与资本未恶化</x:v>
      </x:c>
      <x:c r="G28" s="23"/>
      <x:c r="H28" s="23"/>
      <x:c r="I28" s="89"/>
      <x:c r="J28" s="24" t="n">
        <x:v>2</x:v>
      </x:c>
      <x:c r="K28" s="294" t="str">
        <x:v>净息差在1.7%—1.9%附近稳定，手续费增长可抵消部分利息收入压力。</x:v>
      </x:c>
      <x:c r="L28" s="294"/>
      <x:c r="M28" s="294"/>
      <x:c r="N28" s="294"/>
    </x:row>
    <x:row r="29" ht="30" customHeight="1">
      <x:c r="A29" s="89"/>
      <x:c r="B29" s="89"/>
      <x:c r="C29" s="24" t="str">
        <x:v>10.00—11.00元</x:v>
      </x:c>
      <x:c r="D29" s="24" t="str">
        <x:v>有一定防守空间</x:v>
      </x:c>
      <x:c r="E29" s="24" t="str">
        <x:v>小额分批</x:v>
      </x:c>
      <x:c r="F29" s="24" t="str">
        <x:v>ROE维持9%以上</x:v>
      </x:c>
      <x:c r="G29" s="24"/>
      <x:c r="H29" s="24"/>
      <x:c r="I29" s="89"/>
      <x:c r="J29" s="24" t="n">
        <x:v>3</x:v>
      </x:c>
      <x:c r="K29" s="294" t="str">
        <x:v>不良率维持1.0%—1.3%，拨备覆盖率不低于180%。</x:v>
      </x:c>
      <x:c r="L29" s="294"/>
      <x:c r="M29" s="294"/>
      <x:c r="N29" s="294"/>
    </x:row>
    <x:row r="30" ht="30" customHeight="1">
      <x:c r="A30" s="89"/>
      <x:c r="B30" s="89"/>
      <x:c r="C30" s="289" t="str">
        <x:v>11.00—13.00元</x:v>
      </x:c>
      <x:c r="D30" s="289" t="str">
        <x:v>接近股利模型价值</x:v>
      </x:c>
      <x:c r="E30" s="289" t="str">
        <x:v>小仓观察</x:v>
      </x:c>
      <x:c r="F30" s="289" t="str">
        <x:v>等待收入、零售风险与资本验证</x:v>
      </x:c>
      <x:c r="G30" s="289"/>
      <x:c r="H30" s="289"/>
      <x:c r="I30" s="89"/>
      <x:c r="J30" s="24" t="n">
        <x:v>4</x:v>
      </x:c>
      <x:c r="K30" s="294" t="str">
        <x:v>核心一级资本充足率保持8.8%以上，不需要明显摊薄普通股东。</x:v>
      </x:c>
      <x:c r="L30" s="294"/>
      <x:c r="M30" s="294"/>
      <x:c r="N30" s="294"/>
    </x:row>
    <x:row r="31" ht="30" customHeight="1">
      <x:c r="A31" s="89"/>
      <x:c r="B31" s="89"/>
      <x:c r="C31" s="24" t="str">
        <x:v>13.00—17.00元</x:v>
      </x:c>
      <x:c r="D31" s="24" t="str">
        <x:v>核心合理价值区间</x:v>
      </x:c>
      <x:c r="E31" s="24" t="str">
        <x:v>持有为主</x:v>
      </x:c>
      <x:c r="F31" s="24" t="str">
        <x:v>基本面符合基准情景</x:v>
      </x:c>
      <x:c r="G31" s="24"/>
      <x:c r="H31" s="24"/>
      <x:c r="I31" s="89"/>
      <x:c r="J31" s="25" t="n">
        <x:v>5</x:v>
      </x:c>
      <x:c r="K31" s="295" t="str">
        <x:v>常态分红支付率维持27%—30%；35%仅在CET1回到约10%且资产质量稳定时考虑。</x:v>
      </x:c>
      <x:c r="L31" s="295"/>
      <x:c r="M31" s="295"/>
      <x:c r="N31" s="295"/>
    </x:row>
    <x:row r="32">
      <x:c r="A32" s="89"/>
      <x:c r="B32" s="89"/>
      <x:c r="C32" s="25" t="str">
        <x:v>&gt;17.00元</x:v>
      </x:c>
      <x:c r="D32" s="25" t="str">
        <x:v>高于综合中枢附近</x:v>
      </x:c>
      <x:c r="E32" s="25" t="str">
        <x:v>重新评估</x:v>
      </x:c>
      <x:c r="F32" s="25" t="str">
        <x:v>需要ROE与资本显著改善</x:v>
      </x:c>
      <x:c r="G32" s="25"/>
      <x:c r="H32" s="25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 ht="23" customHeight="1">
      <x:c r="A35" s="89"/>
      <x:c r="B35" s="89"/>
      <x:c r="C35" s="68" t="str">
        <x:v>巴菲特式总评</x:v>
      </x:c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429" t="str">
        <x:v>这是一个估值不贵、质量尚可但仍存在价值陷阱条件的银行。2026年上半年营收与利润恢复正增长，且减值损失同比增加，说明最新增长并非继续依靠少提拨备；但消费贷不良率上升12bp，拨备覆盖率继续回落，核心一级资本缓冲不宽。结论调整为“接近防守价值，可小仓观察，不应只因低PB和近12个月高股息率重仓”。更有吸引力的价格在10—11元，或等待收入、零售风险和资本指标形成连续验证。</x:v>
      </x:c>
      <x:c r="D36" s="430"/>
      <x:c r="E36" s="430"/>
      <x:c r="F36" s="430"/>
      <x:c r="G36" s="430"/>
      <x:c r="H36" s="430"/>
      <x:c r="I36" s="430"/>
      <x:c r="J36" s="430"/>
      <x:c r="K36" s="430"/>
      <x:c r="L36" s="430"/>
      <x:c r="M36" s="430"/>
      <x:c r="N36" s="431"/>
    </x:row>
    <x:row r="37">
      <x:c r="A37" s="89"/>
      <x:c r="B37" s="89"/>
      <x:c r="C37" s="432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433"/>
    </x:row>
    <x:row r="38">
      <x:c r="A38" s="89"/>
      <x:c r="B38" s="89"/>
      <x:c r="C38" s="432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433"/>
    </x:row>
    <x:row r="39">
      <x:c r="A39" s="89"/>
      <x:c r="B39" s="89"/>
      <x:c r="C39" s="434"/>
      <x:c r="D39" s="435"/>
      <x:c r="E39" s="435"/>
      <x:c r="F39" s="435"/>
      <x:c r="G39" s="435"/>
      <x:c r="H39" s="435"/>
      <x:c r="I39" s="435"/>
      <x:c r="J39" s="435"/>
      <x:c r="K39" s="435"/>
      <x:c r="L39" s="435"/>
      <x:c r="M39" s="435"/>
      <x:c r="N39" s="436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</x:row>
  </x:sheetData>
  <x:mergeCells>
    <x:mergeCell ref="C2:N2"/>
    <x:mergeCell ref="C3:N3"/>
    <x:mergeCell ref="C4:N4"/>
    <x:mergeCell ref="C5:E5"/>
    <x:mergeCell ref="C6:E7"/>
    <x:mergeCell ref="F5:H5"/>
    <x:mergeCell ref="F6:F7"/>
    <x:mergeCell ref="I5:K5"/>
    <x:mergeCell ref="I6:K7"/>
    <x:mergeCell ref="L5:N5"/>
    <x:mergeCell ref="L6:N7"/>
    <x:mergeCell ref="G6:G7"/>
    <x:mergeCell ref="H6:H7"/>
    <x:mergeCell ref="C9:N9"/>
    <x:mergeCell ref="C10:N12"/>
    <x:mergeCell ref="C14:H14"/>
    <x:mergeCell ref="F15:H15"/>
    <x:mergeCell ref="F16:H16"/>
    <x:mergeCell ref="F17:H17"/>
    <x:mergeCell ref="F18:H18"/>
    <x:mergeCell ref="F19:H19"/>
    <x:mergeCell ref="F20:H20"/>
    <x:mergeCell ref="F21:H21"/>
    <x:mergeCell ref="F22:H22"/>
    <x:mergeCell ref="F23:H23"/>
    <x:mergeCell ref="J14:N14"/>
    <x:mergeCell ref="M15:N15"/>
    <x:mergeCell ref="M16:N16"/>
    <x:mergeCell ref="M17:N17"/>
    <x:mergeCell ref="M18:N18"/>
    <x:mergeCell ref="M19:N19"/>
    <x:mergeCell ref="M20:N20"/>
    <x:mergeCell ref="M21:N21"/>
    <x:mergeCell ref="M22:N22"/>
    <x:mergeCell ref="C26:H26"/>
    <x:mergeCell ref="F27:H27"/>
    <x:mergeCell ref="F28:H28"/>
    <x:mergeCell ref="F29:H29"/>
    <x:mergeCell ref="F30:H30"/>
    <x:mergeCell ref="F31:H31"/>
    <x:mergeCell ref="F32:H32"/>
    <x:mergeCell ref="J26:N26"/>
    <x:mergeCell ref="K27:N27"/>
    <x:mergeCell ref="K28:N28"/>
    <x:mergeCell ref="K29:N29"/>
    <x:mergeCell ref="K30:N30"/>
    <x:mergeCell ref="K31:N31"/>
    <x:mergeCell ref="C35:N35"/>
    <x:mergeCell ref="C36:N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3" hidden="0" customWidth="1"/>
    <x:col min="4" max="4" width="13" hidden="0" customWidth="1"/>
    <x:col min="5" max="5" width="13" hidden="0" customWidth="1"/>
    <x:col min="6" max="6" width="26" hidden="0" customWidth="1"/>
    <x:col min="7" max="7" width="11" hidden="0" customWidth="1"/>
    <x:col min="8" max="8" width="11" hidden="0" customWidth="1"/>
    <x:col min="9" max="9" width="13" hidden="0" customWidth="1"/>
    <x:col min="10" max="10" width="21" hidden="0" customWidth="1"/>
    <x:col min="11" max="11" width="11" hidden="0" customWidth="1"/>
    <x:col min="12" max="12" width="13" hidden="0" customWidth="1"/>
    <x:col min="13" max="13" width="13" hidden="0" customWidth="1"/>
    <x:col min="14" max="14" width="13" hidden="0" customWidth="1"/>
    <x:col min="15" max="15" width="11" hidden="0" customWidth="1"/>
    <x:col min="16" max="16" width="13" hidden="0" customWidth="1"/>
    <x:col min="17" max="17" width="21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8" hidden="0" customWidth="1"/>
    <x:col min="25" max="25" width="13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</x:row>
    <x:row r="2" ht="27" customHeight="1">
      <x:c r="A2" s="89"/>
      <x:c r="B2" s="89"/>
      <x:c r="C2" s="4" t="str">
        <x:v>平安银行多维估值系统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</x:row>
    <x:row r="3">
      <x:c r="A3" s="89"/>
      <x:c r="B3" s="89"/>
      <x:c r="C3" s="6" t="str">
        <x:v>降低历史均值权重，以可持续ROE、现金分红、同业和资本约束交叉验证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</x:row>
    <x:row r="4" ht="20" customHeight="1">
      <x:c r="A4" s="89"/>
      <x:c r="B4" s="89"/>
      <x:c r="C4" s="11" t="str">
        <x:v>阅读顺序：①先看六种方法与权重依据　②再看防守价值与综合中枢　③最后检查情景假设和模型明细</x:v>
      </x:c>
      <x:c r="D4" s="423"/>
      <x:c r="E4" s="423"/>
      <x:c r="F4" s="423"/>
      <x:c r="G4" s="423"/>
      <x:c r="H4" s="423"/>
      <x:c r="I4" s="423"/>
      <x:c r="J4" s="423"/>
      <x:c r="K4" s="423"/>
      <x:c r="L4" s="423"/>
      <x:c r="M4" s="423"/>
      <x:c r="N4" s="423"/>
      <x:c r="O4" s="423"/>
      <x:c r="P4" s="423"/>
      <x:c r="Q4" s="423"/>
      <x:c r="R4" s="423"/>
      <x:c r="S4" s="423"/>
      <x:c r="T4" s="423"/>
      <x:c r="U4" s="423"/>
      <x:c r="V4" s="423"/>
      <x:c r="W4" s="423"/>
      <x:c r="X4" s="423"/>
      <x:c r="Y4" s="423"/>
    </x:row>
    <x:row r="5">
      <x:c r="A5" s="89"/>
      <x:c r="B5" s="89"/>
      <x:c r="C5" s="17" t="str">
        <x:v>当前输入</x:v>
      </x:c>
      <x:c r="D5" s="18" t="str">
        <x:v>数值</x:v>
      </x:c>
      <x:c r="E5" s="18" t="str">
        <x:v>单位</x:v>
      </x:c>
      <x:c r="F5" s="19" t="str">
        <x:v>说明</x:v>
      </x:c>
      <x:c r="G5" s="89"/>
      <x:c r="H5" s="89"/>
      <x:c r="I5" s="89"/>
      <x:c r="J5" s="17" t="str">
        <x:v>估值方法</x:v>
      </x:c>
      <x:c r="K5" s="18" t="str">
        <x:v>权重</x:v>
      </x:c>
      <x:c r="L5" s="18" t="str">
        <x:v>偏低情景</x:v>
      </x:c>
      <x:c r="M5" s="18" t="str">
        <x:v>基准情景</x:v>
      </x:c>
      <x:c r="N5" s="19" t="str">
        <x:v>偏高情景</x:v>
      </x:c>
      <x:c r="O5" s="89"/>
      <x:c r="P5" s="89"/>
      <x:c r="Q5" s="89"/>
      <x:c r="R5" s="89"/>
      <x:c r="S5" s="89"/>
      <x:c r="T5" s="89"/>
      <x:c r="U5" s="89"/>
      <x:c r="V5" s="89"/>
      <x:c r="W5" s="89"/>
      <x:c r="X5" s="17" t="str">
        <x:v>方法</x:v>
      </x:c>
      <x:c r="Y5" s="19" t="str">
        <x:v>基准价值</x:v>
      </x:c>
    </x:row>
    <x:row r="6">
      <x:c r="A6" s="89"/>
      <x:c r="B6" s="89"/>
      <x:c r="C6" s="23" t="str">
        <x:v>当前股价</x:v>
      </x:c>
      <x:c r="D6" s="137" t="n">
        <x:v>11.57</x:v>
      </x:c>
      <x:c r="E6" s="23" t="str">
        <x:v>元</x:v>
      </x:c>
      <x:c r="F6" s="23" t="str">
        <x:v>2026-10-13收盘</x:v>
      </x:c>
      <x:c r="G6" s="89"/>
      <x:c r="H6" s="89"/>
      <x:c r="I6" s="89"/>
      <x:c r="J6" s="23" t="str">
        <x:v>剩余收益模型</x:v>
      </x:c>
      <x:c r="K6" s="143" t="n">
        <x:v>0.15</x:v>
      </x:c>
      <x:c r="L6" s="144" t="n">
        <x:f>$I$59</x:f>
        <x:v>14.434766117727733</x:v>
      </x:c>
      <x:c r="M6" s="144" t="n">
        <x:f>$P$59</x:f>
        <x:v>21.460878996366</x:v>
      </x:c>
      <x:c r="N6" s="144" t="n">
        <x:f>$W$59</x:f>
        <x:v>29.28005159598462</x:v>
      </x:c>
      <x:c r="O6" s="89"/>
      <x:c r="P6" s="89"/>
      <x:c r="Q6" s="89"/>
      <x:c r="R6" s="89"/>
      <x:c r="S6" s="89"/>
      <x:c r="T6" s="89"/>
      <x:c r="U6" s="89"/>
      <x:c r="V6" s="89"/>
      <x:c r="W6" s="89"/>
      <x:c r="X6" s="89" t="str">
        <x:f>J6</x:f>
        <x:v>剩余收益模型</x:v>
      </x:c>
      <x:c r="Y6" s="146" t="n">
        <x:f>M6</x:f>
        <x:v>21.460878996366</x:v>
      </x:c>
    </x:row>
    <x:row r="7">
      <x:c r="A7" s="89"/>
      <x:c r="B7" s="89"/>
      <x:c r="C7" s="24" t="str">
        <x:v>每股净资产</x:v>
      </x:c>
      <x:c r="D7" s="138" t="n">
        <x:v>24.13</x:v>
      </x:c>
      <x:c r="E7" s="24" t="str">
        <x:v>元</x:v>
      </x:c>
      <x:c r="F7" s="24" t="str">
        <x:v>2026年6月末</x:v>
      </x:c>
      <x:c r="G7" s="89"/>
      <x:c r="H7" s="89"/>
      <x:c r="I7" s="89"/>
      <x:c r="J7" s="24" t="str">
        <x:v>PB-ROE模型</x:v>
      </x:c>
      <x:c r="K7" s="39" t="n">
        <x:v>0.15</x:v>
      </x:c>
      <x:c r="L7" s="41" t="n">
        <x:f>$D$41</x:f>
        <x:v>16.1671</x:v>
      </x:c>
      <x:c r="M7" s="41" t="n">
        <x:f>$E$41</x:f>
        <x:v>22.710588235294118</x:v>
      </x:c>
      <x:c r="N7" s="41" t="n">
        <x:f>$F$41</x:f>
        <x:v>29.300714285714278</x:v>
      </x:c>
      <x:c r="O7" s="89"/>
      <x:c r="P7" s="89"/>
      <x:c r="Q7" s="89"/>
      <x:c r="R7" s="89"/>
      <x:c r="S7" s="89"/>
      <x:c r="T7" s="89"/>
      <x:c r="U7" s="89"/>
      <x:c r="V7" s="89"/>
      <x:c r="W7" s="89"/>
      <x:c r="X7" s="89" t="str">
        <x:f>J7</x:f>
        <x:v>PB-ROE模型</x:v>
      </x:c>
      <x:c r="Y7" s="146" t="n">
        <x:f>M7</x:f>
        <x:v>22.710588235294118</x:v>
      </x:c>
    </x:row>
    <x:row r="8">
      <x:c r="A8" s="89"/>
      <x:c r="B8" s="89"/>
      <x:c r="C8" s="24" t="str">
        <x:v>2025H1 EPS</x:v>
      </x:c>
      <x:c r="D8" s="138" t="n">
        <x:v>1.18</x:v>
      </x:c>
      <x:c r="E8" s="24" t="str">
        <x:v>元</x:v>
      </x:c>
      <x:c r="F8" s="24" t="str">
        <x:v>半年报</x:v>
      </x:c>
      <x:c r="G8" s="89"/>
      <x:c r="H8" s="89"/>
      <x:c r="I8" s="89"/>
      <x:c r="J8" s="24" t="str">
        <x:v>十年历史PB</x:v>
      </x:c>
      <x:c r="K8" s="39" t="n">
        <x:v>0.1</x:v>
      </x:c>
      <x:c r="L8" s="41" t="n">
        <x:f>$D$7*SMALL('财务十年'!D27:M27,3)</x:f>
        <x:v>12.897259022384649</x:v>
      </x:c>
      <x:c r="M8" s="41" t="n">
        <x:f>$D$7*MEDIAN('财务十年'!D27:M27)</x:f>
        <x:v>19.175516188036777</x:v>
      </x:c>
      <x:c r="N8" s="41" t="n">
        <x:f>$D$7*LARGE('财务十年'!D27:M27,3)</x:f>
        <x:v>27.26669498725574</x:v>
      </x:c>
      <x:c r="O8" s="89"/>
      <x:c r="P8" s="89"/>
      <x:c r="Q8" s="89"/>
      <x:c r="R8" s="89"/>
      <x:c r="S8" s="89"/>
      <x:c r="T8" s="89"/>
      <x:c r="U8" s="89"/>
      <x:c r="V8" s="89"/>
      <x:c r="W8" s="89"/>
      <x:c r="X8" s="89" t="str">
        <x:f>J8</x:f>
        <x:v>十年历史PB</x:v>
      </x:c>
      <x:c r="Y8" s="146" t="n">
        <x:f>M8</x:f>
        <x:v>19.175516188036777</x:v>
      </x:c>
    </x:row>
    <x:row r="9">
      <x:c r="A9" s="89"/>
      <x:c r="B9" s="89"/>
      <x:c r="C9" s="24" t="str">
        <x:v>2025A EPS</x:v>
      </x:c>
      <x:c r="D9" s="138" t="n">
        <x:v>2.07</x:v>
      </x:c>
      <x:c r="E9" s="24" t="str">
        <x:v>元</x:v>
      </x:c>
      <x:c r="F9" s="24" t="str">
        <x:v>年报</x:v>
      </x:c>
      <x:c r="G9" s="89"/>
      <x:c r="H9" s="89"/>
      <x:c r="I9" s="89"/>
      <x:c r="J9" s="24" t="str">
        <x:v>十年历史PE</x:v>
      </x:c>
      <x:c r="K9" s="39" t="n">
        <x:v>0.1</x:v>
      </x:c>
      <x:c r="L9" s="41" t="n">
        <x:f>$D$12*SMALL('财务十年'!D28:M28,3)</x:f>
        <x:v>11.832592592592595</x:v>
      </x:c>
      <x:c r="M9" s="41" t="n">
        <x:f>$D$12*MEDIAN('财务十年'!D28:M28)</x:f>
        <x:v>14.642564493859458</x:v>
      </x:c>
      <x:c r="N9" s="41" t="n">
        <x:f>$D$12*LARGE('财务十年'!D28:M28,3)</x:f>
        <x:v>21.962051282051288</x:v>
      </x:c>
      <x:c r="O9" s="89"/>
      <x:c r="P9" s="89"/>
      <x:c r="Q9" s="89"/>
      <x:c r="R9" s="89"/>
      <x:c r="S9" s="89"/>
      <x:c r="T9" s="89"/>
      <x:c r="U9" s="89"/>
      <x:c r="V9" s="89"/>
      <x:c r="W9" s="89"/>
      <x:c r="X9" s="89" t="str">
        <x:f>J9</x:f>
        <x:v>十年历史PE</x:v>
      </x:c>
      <x:c r="Y9" s="146" t="n">
        <x:f>M9</x:f>
        <x:v>14.642564493859458</x:v>
      </x:c>
    </x:row>
    <x:row r="10">
      <x:c r="A10" s="89"/>
      <x:c r="B10" s="89"/>
      <x:c r="C10" s="24" t="str">
        <x:v>2026H1 EPS</x:v>
      </x:c>
      <x:c r="D10" s="138" t="n">
        <x:v>1.24</x:v>
      </x:c>
      <x:c r="E10" s="24" t="str">
        <x:v>元</x:v>
      </x:c>
      <x:c r="F10" s="24" t="str">
        <x:v>半年报</x:v>
      </x:c>
      <x:c r="G10" s="89"/>
      <x:c r="H10" s="89"/>
      <x:c r="I10" s="89"/>
      <x:c r="J10" s="24" t="str">
        <x:v>同业ROE调整PB</x:v>
      </x:c>
      <x:c r="K10" s="39" t="n">
        <x:v>0.2</x:v>
      </x:c>
      <x:c r="L10" s="41" t="n">
        <x:f>'同业比较'!S22</x:f>
        <x:v>11.153869306930691</x:v>
      </x:c>
      <x:c r="M10" s="41" t="n">
        <x:f>'同业比较'!S23</x:f>
        <x:v>15.27017821782178</x:v>
      </x:c>
      <x:c r="N10" s="41" t="n">
        <x:f>'同业比较'!S24</x:f>
        <x:v>22.307738613861382</x:v>
      </x:c>
      <x:c r="O10" s="89"/>
      <x:c r="P10" s="89"/>
      <x:c r="Q10" s="89"/>
      <x:c r="R10" s="89"/>
      <x:c r="S10" s="89"/>
      <x:c r="T10" s="89"/>
      <x:c r="U10" s="89"/>
      <x:c r="V10" s="89"/>
      <x:c r="W10" s="89"/>
      <x:c r="X10" s="89" t="str">
        <x:f>J10</x:f>
        <x:v>同业ROE调整PB</x:v>
      </x:c>
      <x:c r="Y10" s="146" t="n">
        <x:f>M10</x:f>
        <x:v>15.27017821782178</x:v>
      </x:c>
    </x:row>
    <x:row r="11">
      <x:c r="A11" s="89"/>
      <x:c r="B11" s="89"/>
      <x:c r="C11" s="24" t="str">
        <x:v>TTM EPS</x:v>
      </x:c>
      <x:c r="D11" s="41" t="n">
        <x:f>D10+(D9-D8)</x:f>
        <x:v>2.13</x:v>
      </x:c>
      <x:c r="E11" s="24" t="str">
        <x:v>元</x:v>
      </x:c>
      <x:c r="F11" s="24" t="str">
        <x:v>滚动12个月</x:v>
      </x:c>
      <x:c r="G11" s="89"/>
      <x:c r="H11" s="89"/>
      <x:c r="I11" s="89"/>
      <x:c r="J11" s="24" t="str">
        <x:v>两阶段股利模型</x:v>
      </x:c>
      <x:c r="K11" s="39" t="n">
        <x:v>0.3</x:v>
      </x:c>
      <x:c r="L11" s="41" t="n">
        <x:f>$I$61</x:f>
        <x:v>6.279780298447584</x:v>
      </x:c>
      <x:c r="M11" s="41" t="n">
        <x:f>$P$61</x:f>
        <x:v>12.586766034247656</x:v>
      </x:c>
      <x:c r="N11" s="41" t="n">
        <x:f>$W$61</x:f>
        <x:v>19.31391504964977</x:v>
      </x:c>
      <x:c r="O11" s="89"/>
      <x:c r="P11" s="89"/>
      <x:c r="Q11" s="89"/>
      <x:c r="R11" s="89"/>
      <x:c r="S11" s="89"/>
      <x:c r="T11" s="89"/>
      <x:c r="U11" s="89"/>
      <x:c r="V11" s="89"/>
      <x:c r="W11" s="89"/>
      <x:c r="X11" s="89" t="str">
        <x:f>J11</x:f>
        <x:v>两阶段股利模型</x:v>
      </x:c>
      <x:c r="Y11" s="146" t="n">
        <x:f>M11</x:f>
        <x:v>12.586766034247656</x:v>
      </x:c>
    </x:row>
    <x:row r="12">
      <x:c r="A12" s="89"/>
      <x:c r="B12" s="89"/>
      <x:c r="C12" s="24" t="str">
        <x:v>标准化EPS</x:v>
      </x:c>
      <x:c r="D12" s="115" t="n">
        <x:f>AVERAGE('财务十年'!I10:M10,'财务十年'!N10*2)</x:f>
        <x:v>2.146666666666667</x:v>
      </x:c>
      <x:c r="E12" s="24" t="str">
        <x:v>元</x:v>
      </x:c>
      <x:c r="F12" s="24" t="str">
        <x:v>2021—2025与1H26年化均值</x:v>
      </x:c>
      <x:c r="G12" s="89"/>
      <x:c r="H12" s="89"/>
      <x:c r="I12" s="89"/>
      <x:c r="J12" s="141" t="str">
        <x:v>加权估值</x:v>
      </x:c>
      <x:c r="K12" s="141"/>
      <x:c r="L12" s="145" t="n">
        <x:f>SUMPRODUCT($K$6:$K$11,L6:L11)</x:f>
        <x:v>11.177973030077299</x:v>
      </x:c>
      <x:c r="M12" s="145" t="n">
        <x:f>SUMPRODUCT($K$6:$K$11,M6:M11)</x:f>
        <x:v>16.837593606777297</x:v>
      </x:c>
      <x:c r="N12" s="145" t="n">
        <x:f>SUMPRODUCT($K$6:$K$11,N6:N11)</x:f>
        <x:v>23.965711746852744</x:v>
      </x:c>
      <x:c r="O12" s="89"/>
      <x:c r="P12" s="89"/>
      <x:c r="Q12" s="89"/>
      <x:c r="R12" s="89"/>
      <x:c r="S12" s="89"/>
      <x:c r="T12" s="89"/>
      <x:c r="U12" s="89"/>
      <x:c r="V12" s="89"/>
      <x:c r="W12" s="89"/>
      <x:c r="X12" s="89" t="str">
        <x:v>当前股价</x:v>
      </x:c>
      <x:c r="Y12" s="146" t="n">
        <x:v>11.57</x:v>
      </x:c>
    </x:row>
    <x:row r="13" ht="22" customHeight="1">
      <x:c r="A13" s="89"/>
      <x:c r="B13" s="89"/>
      <x:c r="C13" s="24" t="str">
        <x:v>当前PB</x:v>
      </x:c>
      <x:c r="D13" s="113" t="n">
        <x:f>D6/D7</x:f>
        <x:v>0.4794861168669706</x:v>
      </x:c>
      <x:c r="E13" s="24" t="str">
        <x:v>倍</x:v>
      </x:c>
      <x:c r="F13" s="24" t="str">
        <x:v>股价/每股净资产</x:v>
      </x:c>
      <x:c r="G13" s="89"/>
      <x:c r="H13" s="89"/>
      <x:c r="I13" s="89"/>
      <x:c r="J13" s="136" t="str">
        <x:v>权重依据：ROE模型30%｜历史倍数20%｜同业20%｜股利模型30%。历史均值只作校验，不再主导中枢。</x:v>
      </x:c>
      <x:c r="K13" s="136"/>
      <x:c r="L13" s="136"/>
      <x:c r="M13" s="136"/>
      <x:c r="N13" s="136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</x:row>
    <x:row r="14">
      <x:c r="A14" s="89"/>
      <x:c r="B14" s="89"/>
      <x:c r="C14" s="24" t="str">
        <x:v>当前TTM PE</x:v>
      </x:c>
      <x:c r="D14" s="113" t="n">
        <x:f>D6/D11</x:f>
        <x:v>5.431924882629108</x:v>
      </x:c>
      <x:c r="E14" s="24" t="str">
        <x:v>倍</x:v>
      </x:c>
      <x:c r="F14" s="24" t="str">
        <x:v>股价/TTM EPS</x:v>
      </x:c>
      <x:c r="G14" s="89"/>
      <x:c r="H14" s="89"/>
      <x:c r="I14" s="89"/>
      <x:c r="J14" s="17" t="str">
        <x:v>核心输出</x:v>
      </x:c>
      <x:c r="K14" s="19" t="str">
        <x:v>数值</x:v>
      </x:c>
      <x:c r="L14" s="17" t="str">
        <x:v>买入折价线</x:v>
      </x:c>
      <x:c r="M14" s="18" t="str">
        <x:v>价格</x:v>
      </x:c>
      <x:c r="N14" s="19" t="str">
        <x:v>当前价判断</x:v>
      </x:c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</x:row>
    <x:row r="15">
      <x:c r="A15" s="89"/>
      <x:c r="B15" s="89"/>
      <x:c r="C15" s="24" t="str">
        <x:v>标准化年度DPS</x:v>
      </x:c>
      <x:c r="D15" s="139" t="n">
        <x:v>0.6</x:v>
      </x:c>
      <x:c r="E15" s="24" t="str">
        <x:v>元</x:v>
      </x:c>
      <x:c r="F15" s="24" t="str">
        <x:v>按2025年全年分红近似</x:v>
      </x:c>
      <x:c r="G15" s="89"/>
      <x:c r="H15" s="89"/>
      <x:c r="I15" s="89"/>
      <x:c r="J15" s="89" t="str">
        <x:v>合理价值下沿</x:v>
      </x:c>
      <x:c r="K15" s="146" t="n">
        <x:f>ROUND(M11,0)</x:f>
        <x:v>13</x:v>
      </x:c>
      <x:c r="L15" s="89" t="str">
        <x:v>20%安全边际</x:v>
      </x:c>
      <x:c r="M15" s="146" t="n">
        <x:f>$M$12*80%</x:f>
        <x:v>13.470074885421838</x:v>
      </x:c>
      <x:c r="N15" s="89" t="str">
        <x:f>IF($D$6&lt;=M15,"已达到","未达到")</x:f>
        <x:v>已达到</x:v>
      </x:c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</x:row>
    <x:row r="16">
      <x:c r="A16" s="89"/>
      <x:c r="B16" s="89"/>
      <x:c r="C16" s="24" t="str">
        <x:v>近12个月现金DPS</x:v>
      </x:c>
      <x:c r="D16" s="139" t="n">
        <x:v>0.845</x:v>
      </x:c>
      <x:c r="E16" s="24" t="str">
        <x:v>元</x:v>
      </x:c>
      <x:c r="F16" s="24" t="str">
        <x:v>2025中期+2025末期+2026中期</x:v>
      </x:c>
      <x:c r="G16" s="89"/>
      <x:c r="H16" s="89"/>
      <x:c r="I16" s="89"/>
      <x:c r="J16" s="89" t="str">
        <x:v>合理价值上沿</x:v>
      </x:c>
      <x:c r="K16" s="146" t="n">
        <x:f>ROUND(M12,0)</x:f>
        <x:v>17</x:v>
      </x:c>
      <x:c r="L16" s="89" t="str">
        <x:v>30%安全边际</x:v>
      </x:c>
      <x:c r="M16" s="146" t="n">
        <x:f>$M$12*70%</x:f>
        <x:v>11.786315524744108</x:v>
      </x:c>
      <x:c r="N16" s="89" t="str">
        <x:f>IF($D$6&lt;=M16,"已达到","未达到")</x:f>
        <x:v>已达到</x:v>
      </x:c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</x:row>
    <x:row r="17">
      <x:c r="A17" s="89"/>
      <x:c r="B17" s="89"/>
      <x:c r="C17" s="24" t="str">
        <x:v>标准化股息率</x:v>
      </x:c>
      <x:c r="D17" s="39" t="n">
        <x:f>D15/D6</x:f>
        <x:v>0.05185825410544511</x:v>
      </x:c>
      <x:c r="E17" s="24" t="str"/>
      <x:c r="F17" s="24" t="str">
        <x:v>标准化DPS/股价</x:v>
      </x:c>
      <x:c r="G17" s="89"/>
      <x:c r="H17" s="89"/>
      <x:c r="I17" s="89"/>
      <x:c r="J17" s="89"/>
      <x:c r="K17" s="89"/>
      <x:c r="L17" s="89" t="str">
        <x:v>40%安全边际</x:v>
      </x:c>
      <x:c r="M17" s="146" t="n">
        <x:f>$M$12*60%</x:f>
        <x:v>10.102556164066378</x:v>
      </x:c>
      <x:c r="N17" s="89" t="str">
        <x:f>IF($D$6&lt;=M17,"已达到","未达到")</x:f>
        <x:v>未达到</x:v>
      </x:c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</x:row>
    <x:row r="18">
      <x:c r="A18" s="89"/>
      <x:c r="B18" s="89"/>
      <x:c r="C18" s="24" t="str">
        <x:v>近12个月股息率</x:v>
      </x:c>
      <x:c r="D18" s="39" t="n">
        <x:f>D16/D6</x:f>
        <x:v>0.07303370786516854</x:v>
      </x:c>
      <x:c r="E18" s="24" t="str"/>
      <x:c r="F18" s="24" t="str">
        <x:v>近12个月DPS/股价</x:v>
      </x:c>
      <x:c r="G18" s="89"/>
      <x:c r="H18" s="89"/>
      <x:c r="I18" s="89"/>
      <x:c r="J18" s="89"/>
      <x:c r="K18" s="89"/>
      <x:c r="L18" s="89" t="str">
        <x:v>50%安全边际</x:v>
      </x:c>
      <x:c r="M18" s="146" t="n">
        <x:f>$M$12*50%</x:f>
        <x:v>8.418796803388648</x:v>
      </x:c>
      <x:c r="N18" s="89" t="str">
        <x:f>IF($D$6&lt;=M18,"已达到","未达到")</x:f>
        <x:v>未达到</x:v>
      </x:c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</x:row>
    <x:row r="19">
      <x:c r="A19" s="89"/>
      <x:c r="B19" s="89"/>
      <x:c r="C19" s="25" t="str">
        <x:v>市场隐含长期ROE</x:v>
      </x:c>
      <x:c r="D19" s="105" t="n">
        <x:f>D13*($E$23-$E$24)+$E$24</x:f>
        <x:v>0.0607563199336925</x:v>
      </x:c>
      <x:c r="E19" s="25" t="str"/>
      <x:c r="F19" s="25" t="str">
        <x:v>PB=(ROE-g)/(Ke-g)反推</x:v>
      </x:c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</x:row>
    <x:row r="21" ht="23" customHeight="1">
      <x:c r="A21" s="89"/>
      <x:c r="B21" s="89"/>
      <x:c r="C21" s="68" t="str">
        <x:v>情景假设与PB-ROE结果</x:v>
      </x:c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</x:row>
    <x:row r="22">
      <x:c r="A22" s="89"/>
      <x:c r="B22" s="89"/>
      <x:c r="C22" s="17" t="str">
        <x:v>假设</x:v>
      </x:c>
      <x:c r="D22" s="18" t="str">
        <x:v>偏低</x:v>
      </x:c>
      <x:c r="E22" s="18" t="str">
        <x:v>基准</x:v>
      </x:c>
      <x:c r="F22" s="19" t="str">
        <x:v>偏高</x:v>
      </x:c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</x:row>
    <x:row r="23">
      <x:c r="A23" s="89"/>
      <x:c r="B23" s="89"/>
      <x:c r="C23" s="23" t="str">
        <x:v>股权成本</x:v>
      </x:c>
      <x:c r="D23" s="152" t="n">
        <x:v>0.115</x:v>
      </x:c>
      <x:c r="E23" s="152" t="n">
        <x:v>0.105</x:v>
      </x:c>
      <x:c r="F23" s="152" t="n">
        <x:v>0.095</x:v>
      </x:c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</x:row>
    <x:row r="24">
      <x:c r="A24" s="89"/>
      <x:c r="B24" s="89"/>
      <x:c r="C24" s="24" t="str">
        <x:v>永续增长</x:v>
      </x:c>
      <x:c r="D24" s="153" t="n">
        <x:v>0.015</x:v>
      </x:c>
      <x:c r="E24" s="153" t="n">
        <x:v>0.02</x:v>
      </x:c>
      <x:c r="F24" s="153" t="n">
        <x:v>0.025</x:v>
      </x:c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</x:row>
    <x:row r="25">
      <x:c r="A25" s="89"/>
      <x:c r="B25" s="89"/>
      <x:c r="C25" s="24" t="str">
        <x:v>终值ROE</x:v>
      </x:c>
      <x:c r="D25" s="153" t="n">
        <x:v>0.08</x:v>
      </x:c>
      <x:c r="E25" s="153" t="n">
        <x:v>0.095</x:v>
      </x:c>
      <x:c r="F25" s="153" t="n">
        <x:v>0.105</x:v>
      </x:c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</x:row>
    <x:row r="26">
      <x:c r="A26" s="89"/>
      <x:c r="B26" s="89"/>
      <x:c r="C26" s="24" t="str">
        <x:v>终值分红率</x:v>
      </x:c>
      <x:c r="D26" s="153" t="n">
        <x:v>0.27</x:v>
      </x:c>
      <x:c r="E26" s="153" t="n">
        <x:v>0.4</x:v>
      </x:c>
      <x:c r="F26" s="153" t="n">
        <x:v>0.45</x:v>
      </x:c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</x:row>
    <x:row r="27">
      <x:c r="A27" s="89"/>
      <x:c r="B27" s="89"/>
      <x:c r="C27" s="24" t="str"/>
      <x:c r="D27" s="39"/>
      <x:c r="E27" s="39"/>
      <x:c r="F27" s="3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</x:row>
    <x:row r="28">
      <x:c r="A28" s="89"/>
      <x:c r="B28" s="89"/>
      <x:c r="C28" s="24" t="str">
        <x:v>第1年ROE</x:v>
      </x:c>
      <x:c r="D28" s="153" t="n">
        <x:v>0.085</x:v>
      </x:c>
      <x:c r="E28" s="153" t="n">
        <x:v>0.105</x:v>
      </x:c>
      <x:c r="F28" s="153" t="n">
        <x:v>0.115</x:v>
      </x:c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</x:row>
    <x:row r="29">
      <x:c r="A29" s="89"/>
      <x:c r="B29" s="89"/>
      <x:c r="C29" s="24" t="str">
        <x:v>第2年ROE</x:v>
      </x:c>
      <x:c r="D29" s="153" t="n">
        <x:v>0.085</x:v>
      </x:c>
      <x:c r="E29" s="153" t="n">
        <x:v>0.104</x:v>
      </x:c>
      <x:c r="F29" s="153" t="n">
        <x:v>0.116</x:v>
      </x:c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</x:row>
    <x:row r="30">
      <x:c r="A30" s="89"/>
      <x:c r="B30" s="89"/>
      <x:c r="C30" s="24" t="str">
        <x:v>第3年ROE</x:v>
      </x:c>
      <x:c r="D30" s="153" t="n">
        <x:v>0.084</x:v>
      </x:c>
      <x:c r="E30" s="153" t="n">
        <x:v>0.103</x:v>
      </x:c>
      <x:c r="F30" s="153" t="n">
        <x:v>0.115</x:v>
      </x:c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</x:row>
    <x:row r="31">
      <x:c r="A31" s="89"/>
      <x:c r="B31" s="89"/>
      <x:c r="C31" s="24" t="str">
        <x:v>第4年ROE</x:v>
      </x:c>
      <x:c r="D31" s="153" t="n">
        <x:v>0.083</x:v>
      </x:c>
      <x:c r="E31" s="153" t="n">
        <x:v>0.102</x:v>
      </x:c>
      <x:c r="F31" s="153" t="n">
        <x:v>0.112</x:v>
      </x:c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</x:row>
    <x:row r="32">
      <x:c r="A32" s="89"/>
      <x:c r="B32" s="89"/>
      <x:c r="C32" s="24" t="str">
        <x:v>第5年ROE</x:v>
      </x:c>
      <x:c r="D32" s="153" t="n">
        <x:v>0.082</x:v>
      </x:c>
      <x:c r="E32" s="153" t="n">
        <x:v>0.1</x:v>
      </x:c>
      <x:c r="F32" s="153" t="n">
        <x:v>0.11</x:v>
      </x:c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</x:row>
    <x:row r="33">
      <x:c r="A33" s="89"/>
      <x:c r="B33" s="89"/>
      <x:c r="C33" s="24" t="str"/>
      <x:c r="D33" s="39"/>
      <x:c r="E33" s="39"/>
      <x:c r="F33" s="3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</x:row>
    <x:row r="34">
      <x:c r="A34" s="89"/>
      <x:c r="B34" s="89"/>
      <x:c r="C34" s="24" t="str">
        <x:v>第1年分红率</x:v>
      </x:c>
      <x:c r="D34" s="153" t="n">
        <x:v>0.25</x:v>
      </x:c>
      <x:c r="E34" s="153" t="n">
        <x:v>0.27</x:v>
      </x:c>
      <x:c r="F34" s="153" t="n">
        <x:v>0.3</x:v>
      </x:c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</x:row>
    <x:row r="35">
      <x:c r="A35" s="89"/>
      <x:c r="B35" s="89"/>
      <x:c r="C35" s="24" t="str">
        <x:v>第2年分红率</x:v>
      </x:c>
      <x:c r="D35" s="153" t="n">
        <x:v>0.25</x:v>
      </x:c>
      <x:c r="E35" s="153" t="n">
        <x:v>0.28</x:v>
      </x:c>
      <x:c r="F35" s="153" t="n">
        <x:v>0.32</x:v>
      </x:c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</x:row>
    <x:row r="36">
      <x:c r="A36" s="89"/>
      <x:c r="B36" s="89"/>
      <x:c r="C36" s="24" t="str">
        <x:v>第3年分红率</x:v>
      </x:c>
      <x:c r="D36" s="153" t="n">
        <x:v>0.26</x:v>
      </x:c>
      <x:c r="E36" s="153" t="n">
        <x:v>0.29</x:v>
      </x:c>
      <x:c r="F36" s="153" t="n">
        <x:v>0.34</x:v>
      </x:c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</x:row>
    <x:row r="37">
      <x:c r="A37" s="89"/>
      <x:c r="B37" s="89"/>
      <x:c r="C37" s="24" t="str">
        <x:v>第4年分红率</x:v>
      </x:c>
      <x:c r="D37" s="153" t="n">
        <x:v>0.26</x:v>
      </x:c>
      <x:c r="E37" s="153" t="n">
        <x:v>0.3</x:v>
      </x:c>
      <x:c r="F37" s="153" t="n">
        <x:v>0.35</x:v>
      </x:c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</x:row>
    <x:row r="38">
      <x:c r="A38" s="89"/>
      <x:c r="B38" s="89"/>
      <x:c r="C38" s="24" t="str">
        <x:v>第5年分红率</x:v>
      </x:c>
      <x:c r="D38" s="153" t="n">
        <x:v>0.27</x:v>
      </x:c>
      <x:c r="E38" s="153" t="n">
        <x:v>0.32</x:v>
      </x:c>
      <x:c r="F38" s="153" t="n">
        <x:v>0.35</x:v>
      </x:c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</x:row>
    <x:row r="39">
      <x:c r="A39" s="89"/>
      <x:c r="B39" s="89"/>
      <x:c r="C39" s="24" t="str"/>
      <x:c r="D39" s="39"/>
      <x:c r="E39" s="39"/>
      <x:c r="F39" s="3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</x:row>
    <x:row r="40">
      <x:c r="A40" s="89"/>
      <x:c r="B40" s="89"/>
      <x:c r="C40" s="24" t="str">
        <x:v>合理PB</x:v>
      </x:c>
      <x:c r="D40" s="39" t="n">
        <x:f>(D32-D24)/(D23-D24)</x:f>
        <x:v>0.67</x:v>
      </x:c>
      <x:c r="E40" s="39" t="n">
        <x:f>(E32-E24)/(E23-E24)</x:f>
        <x:v>0.9411764705882354</x:v>
      </x:c>
      <x:c r="F40" s="39" t="n">
        <x:f>(F32-F24)/(F23-F24)</x:f>
        <x:v>1.214285714285714</x:v>
      </x:c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</x:row>
    <x:row r="41">
      <x:c r="A41" s="89"/>
      <x:c r="B41" s="89"/>
      <x:c r="C41" s="25" t="str">
        <x:v>PB-ROE每股价值</x:v>
      </x:c>
      <x:c r="D41" s="99" t="n">
        <x:f>D40*$D$7</x:f>
        <x:v>16.1671</x:v>
      </x:c>
      <x:c r="E41" s="99" t="n">
        <x:f>E40*$D$7</x:f>
        <x:v>22.710588235294118</x:v>
      </x:c>
      <x:c r="F41" s="99" t="n">
        <x:f>F40*$D$7</x:f>
        <x:v>29.300714285714278</x:v>
      </x:c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</x:row>
    <x:row r="45" ht="23" customHeight="1">
      <x:c r="A45" s="89"/>
      <x:c r="B45" s="89"/>
      <x:c r="C45" s="68" t="str">
        <x:v>偏低情景：剩余收益与股利模型</x:v>
      </x:c>
      <x:c r="D45" s="89"/>
      <x:c r="E45" s="89"/>
      <x:c r="F45" s="89"/>
      <x:c r="G45" s="89"/>
      <x:c r="H45" s="89"/>
      <x:c r="I45" s="89"/>
      <x:c r="J45" s="68" t="str">
        <x:v>基准情景：剩余收益与股利模型</x:v>
      </x:c>
      <x:c r="K45" s="89"/>
      <x:c r="L45" s="89"/>
      <x:c r="M45" s="89"/>
      <x:c r="N45" s="89"/>
      <x:c r="O45" s="89"/>
      <x:c r="P45" s="89"/>
      <x:c r="Q45" s="68" t="str">
        <x:v>偏高情景：剩余收益与股利模型</x:v>
      </x:c>
      <x:c r="R45" s="89"/>
      <x:c r="S45" s="89"/>
      <x:c r="T45" s="89"/>
      <x:c r="U45" s="89"/>
      <x:c r="V45" s="89"/>
      <x:c r="W45" s="89"/>
      <x:c r="X45" s="89"/>
      <x:c r="Y45" s="89"/>
    </x:row>
    <x:row r="46">
      <x:c r="A46" s="89"/>
      <x:c r="B46" s="89"/>
      <x:c r="C46" s="17" t="str">
        <x:v>项目</x:v>
      </x:c>
      <x:c r="D46" s="18" t="str">
        <x:v>第1年</x:v>
      </x:c>
      <x:c r="E46" s="18" t="str">
        <x:v>第2年</x:v>
      </x:c>
      <x:c r="F46" s="18" t="str">
        <x:v>第3年</x:v>
      </x:c>
      <x:c r="G46" s="18" t="str">
        <x:v>第4年</x:v>
      </x:c>
      <x:c r="H46" s="18" t="str">
        <x:v>第5年</x:v>
      </x:c>
      <x:c r="I46" s="19" t="str">
        <x:v>终值/合计</x:v>
      </x:c>
      <x:c r="J46" s="17" t="str">
        <x:v>项目</x:v>
      </x:c>
      <x:c r="K46" s="18" t="str">
        <x:v>第1年</x:v>
      </x:c>
      <x:c r="L46" s="18" t="str">
        <x:v>第2年</x:v>
      </x:c>
      <x:c r="M46" s="18" t="str">
        <x:v>第3年</x:v>
      </x:c>
      <x:c r="N46" s="18" t="str">
        <x:v>第4年</x:v>
      </x:c>
      <x:c r="O46" s="18" t="str">
        <x:v>第5年</x:v>
      </x:c>
      <x:c r="P46" s="19" t="str">
        <x:v>终值/合计</x:v>
      </x:c>
      <x:c r="Q46" s="17" t="str">
        <x:v>项目</x:v>
      </x:c>
      <x:c r="R46" s="18" t="str">
        <x:v>第1年</x:v>
      </x:c>
      <x:c r="S46" s="18" t="str">
        <x:v>第2年</x:v>
      </x:c>
      <x:c r="T46" s="18" t="str">
        <x:v>第3年</x:v>
      </x:c>
      <x:c r="U46" s="18" t="str">
        <x:v>第4年</x:v>
      </x:c>
      <x:c r="V46" s="18" t="str">
        <x:v>第5年</x:v>
      </x:c>
      <x:c r="W46" s="19" t="str">
        <x:v>终值/合计</x:v>
      </x:c>
      <x:c r="X46" s="89"/>
      <x:c r="Y46" s="89"/>
    </x:row>
    <x:row r="47">
      <x:c r="A47" s="89"/>
      <x:c r="B47" s="89"/>
      <x:c r="C47" s="23" t="str">
        <x:v>期初BVPS</x:v>
      </x:c>
      <x:c r="D47" s="144" t="n">
        <x:f>$D$7</x:f>
        <x:v>24.13</x:v>
      </x:c>
      <x:c r="E47" s="144" t="n">
        <x:f>D52</x:f>
        <x:v>25.668287499999998</x:v>
      </x:c>
      <x:c r="F47" s="144" t="n">
        <x:f>E52</x:f>
        <x:v>27.304640828124995</x:v>
      </x:c>
      <x:c r="G47" s="144" t="n">
        <x:f>F52</x:f>
        <x:v>29.001897302001243</x:v>
      </x:c>
      <x:c r="H47" s="144" t="n">
        <x:f>G52</x:f>
        <x:v>30.78319383429016</x:v>
      </x:c>
      <x:c r="I47" s="144"/>
      <x:c r="J47" s="23" t="str">
        <x:v>期初BVPS</x:v>
      </x:c>
      <x:c r="K47" s="144" t="n">
        <x:f>$D$7</x:f>
        <x:v>24.13</x:v>
      </x:c>
      <x:c r="L47" s="144" t="n">
        <x:f>K52</x:f>
        <x:v>25.9795645</x:v>
      </x:c>
      <x:c r="M47" s="144" t="n">
        <x:f>L52</x:f>
        <x:v>27.924914289759997</x:v>
      </x:c>
      <x:c r="N47" s="144" t="n">
        <x:f>M52</x:f>
        <x:v>29.967063271770147</x:v>
      </x:c>
      <x:c r="O47" s="144" t="n">
        <x:f>N52</x:f>
        <x:v>32.10671158937454</x:v>
      </x:c>
      <x:c r="P47" s="144"/>
      <x:c r="Q47" s="23" t="str">
        <x:v>期初BVPS</x:v>
      </x:c>
      <x:c r="R47" s="144" t="n">
        <x:f>$D$7</x:f>
        <x:v>24.13</x:v>
      </x:c>
      <x:c r="S47" s="144" t="n">
        <x:f>R52</x:f>
        <x:v>26.072465</x:v>
      </x:c>
      <x:c r="T47" s="144" t="n">
        <x:f>S52</x:f>
        <x:v>28.129061039200003</x:v>
      </x:c>
      <x:c r="U47" s="144" t="n">
        <x:f>T52</x:f>
        <x:v>30.264056772075286</x:v>
      </x:c>
      <x:c r="V47" s="144" t="n">
        <x:f>U52</x:f>
        <x:v>32.46728010508237</x:v>
      </x:c>
      <x:c r="W47" s="144"/>
      <x:c r="X47" s="89"/>
      <x:c r="Y47" s="89"/>
    </x:row>
    <x:row r="48">
      <x:c r="A48" s="89"/>
      <x:c r="B48" s="89"/>
      <x:c r="C48" s="24" t="str">
        <x:v>ROE</x:v>
      </x:c>
      <x:c r="D48" s="39" t="n">
        <x:f>$D$28</x:f>
        <x:v>0.085</x:v>
      </x:c>
      <x:c r="E48" s="39" t="n">
        <x:f>$D$29</x:f>
        <x:v>0.085</x:v>
      </x:c>
      <x:c r="F48" s="39" t="n">
        <x:f>$D$30</x:f>
        <x:v>0.084</x:v>
      </x:c>
      <x:c r="G48" s="39" t="n">
        <x:f>$D$31</x:f>
        <x:v>0.083</x:v>
      </x:c>
      <x:c r="H48" s="39" t="n">
        <x:f>$D$32</x:f>
        <x:v>0.082</x:v>
      </x:c>
      <x:c r="I48" s="41"/>
      <x:c r="J48" s="24" t="str">
        <x:v>ROE</x:v>
      </x:c>
      <x:c r="K48" s="39" t="n">
        <x:f>$E$28</x:f>
        <x:v>0.105</x:v>
      </x:c>
      <x:c r="L48" s="39" t="n">
        <x:f>$E$29</x:f>
        <x:v>0.104</x:v>
      </x:c>
      <x:c r="M48" s="39" t="n">
        <x:f>$E$30</x:f>
        <x:v>0.103</x:v>
      </x:c>
      <x:c r="N48" s="39" t="n">
        <x:f>$E$31</x:f>
        <x:v>0.102</x:v>
      </x:c>
      <x:c r="O48" s="39" t="n">
        <x:f>$E$32</x:f>
        <x:v>0.1</x:v>
      </x:c>
      <x:c r="P48" s="41"/>
      <x:c r="Q48" s="24" t="str">
        <x:v>ROE</x:v>
      </x:c>
      <x:c r="R48" s="39" t="n">
        <x:f>$F$28</x:f>
        <x:v>0.115</x:v>
      </x:c>
      <x:c r="S48" s="39" t="n">
        <x:f>$F$29</x:f>
        <x:v>0.116</x:v>
      </x:c>
      <x:c r="T48" s="39" t="n">
        <x:f>$F$30</x:f>
        <x:v>0.115</x:v>
      </x:c>
      <x:c r="U48" s="39" t="n">
        <x:f>$F$31</x:f>
        <x:v>0.112</x:v>
      </x:c>
      <x:c r="V48" s="39" t="n">
        <x:f>$F$32</x:f>
        <x:v>0.11</x:v>
      </x:c>
      <x:c r="W48" s="41"/>
      <x:c r="X48" s="89"/>
      <x:c r="Y48" s="89"/>
    </x:row>
    <x:row r="49">
      <x:c r="A49" s="89"/>
      <x:c r="B49" s="89"/>
      <x:c r="C49" s="24" t="str">
        <x:v>EPS</x:v>
      </x:c>
      <x:c r="D49" s="41" t="n">
        <x:f>D47*D48</x:f>
        <x:v>2.05105</x:v>
      </x:c>
      <x:c r="E49" s="41" t="n">
        <x:f>E47*E48</x:f>
        <x:v>2.1818044375</x:v>
      </x:c>
      <x:c r="F49" s="41" t="n">
        <x:f>F47*F48</x:f>
        <x:v>2.2935898295625</x:v>
      </x:c>
      <x:c r="G49" s="41" t="n">
        <x:f>G47*G48</x:f>
        <x:v>2.407157476066103</x:v>
      </x:c>
      <x:c r="H49" s="41" t="n">
        <x:f>H47*H48</x:f>
        <x:v>2.5242218944117933</x:v>
      </x:c>
      <x:c r="I49" s="41"/>
      <x:c r="J49" s="24" t="str">
        <x:v>EPS</x:v>
      </x:c>
      <x:c r="K49" s="41" t="n">
        <x:f>K47*K48</x:f>
        <x:v>2.5336499999999997</x:v>
      </x:c>
      <x:c r="L49" s="41" t="n">
        <x:f>L47*L48</x:f>
        <x:v>2.7018747079999996</x:v>
      </x:c>
      <x:c r="M49" s="41" t="n">
        <x:f>M47*M48</x:f>
        <x:v>2.8762661718452796</x:v>
      </x:c>
      <x:c r="N49" s="41" t="n">
        <x:f>N47*N48</x:f>
        <x:v>3.0566404537205547</x:v>
      </x:c>
      <x:c r="O49" s="41" t="n">
        <x:f>O47*O48</x:f>
        <x:v>3.2106711589374544</x:v>
      </x:c>
      <x:c r="P49" s="41"/>
      <x:c r="Q49" s="24" t="str">
        <x:v>EPS</x:v>
      </x:c>
      <x:c r="R49" s="41" t="n">
        <x:f>R47*R48</x:f>
        <x:v>2.77495</x:v>
      </x:c>
      <x:c r="S49" s="41" t="n">
        <x:f>S47*S48</x:f>
        <x:v>3.0244059400000003</x:v>
      </x:c>
      <x:c r="T49" s="41" t="n">
        <x:f>T47*T48</x:f>
        <x:v>3.2348420195080005</x:v>
      </x:c>
      <x:c r="U49" s="41" t="n">
        <x:f>U47*U48</x:f>
        <x:v>3.3895743584724323</x:v>
      </x:c>
      <x:c r="V49" s="41" t="n">
        <x:f>V47*V48</x:f>
        <x:v>3.5714008115590605</x:v>
      </x:c>
      <x:c r="W49" s="41"/>
      <x:c r="X49" s="89"/>
      <x:c r="Y49" s="89"/>
    </x:row>
    <x:row r="50">
      <x:c r="A50" s="89"/>
      <x:c r="B50" s="89"/>
      <x:c r="C50" s="24" t="str">
        <x:v>分红率</x:v>
      </x:c>
      <x:c r="D50" s="39" t="n">
        <x:f>$D$34</x:f>
        <x:v>0.25</x:v>
      </x:c>
      <x:c r="E50" s="39" t="n">
        <x:f>$D$35</x:f>
        <x:v>0.25</x:v>
      </x:c>
      <x:c r="F50" s="39" t="n">
        <x:f>$D$36</x:f>
        <x:v>0.26</x:v>
      </x:c>
      <x:c r="G50" s="39" t="n">
        <x:f>$D$37</x:f>
        <x:v>0.26</x:v>
      </x:c>
      <x:c r="H50" s="39" t="n">
        <x:f>$D$38</x:f>
        <x:v>0.27</x:v>
      </x:c>
      <x:c r="I50" s="41"/>
      <x:c r="J50" s="24" t="str">
        <x:v>分红率</x:v>
      </x:c>
      <x:c r="K50" s="39" t="n">
        <x:f>$E$34</x:f>
        <x:v>0.27</x:v>
      </x:c>
      <x:c r="L50" s="39" t="n">
        <x:f>$E$35</x:f>
        <x:v>0.28</x:v>
      </x:c>
      <x:c r="M50" s="39" t="n">
        <x:f>$E$36</x:f>
        <x:v>0.29</x:v>
      </x:c>
      <x:c r="N50" s="39" t="n">
        <x:f>$E$37</x:f>
        <x:v>0.3</x:v>
      </x:c>
      <x:c r="O50" s="39" t="n">
        <x:f>$E$38</x:f>
        <x:v>0.32</x:v>
      </x:c>
      <x:c r="P50" s="41"/>
      <x:c r="Q50" s="24" t="str">
        <x:v>分红率</x:v>
      </x:c>
      <x:c r="R50" s="39" t="n">
        <x:f>$F$34</x:f>
        <x:v>0.3</x:v>
      </x:c>
      <x:c r="S50" s="39" t="n">
        <x:f>$F$35</x:f>
        <x:v>0.32</x:v>
      </x:c>
      <x:c r="T50" s="39" t="n">
        <x:f>$F$36</x:f>
        <x:v>0.34</x:v>
      </x:c>
      <x:c r="U50" s="39" t="n">
        <x:f>$F$37</x:f>
        <x:v>0.35</x:v>
      </x:c>
      <x:c r="V50" s="39" t="n">
        <x:f>$F$38</x:f>
        <x:v>0.35</x:v>
      </x:c>
      <x:c r="W50" s="41"/>
      <x:c r="X50" s="89"/>
      <x:c r="Y50" s="89"/>
    </x:row>
    <x:row r="51">
      <x:c r="A51" s="89"/>
      <x:c r="B51" s="89"/>
      <x:c r="C51" s="24" t="str">
        <x:v>DPS</x:v>
      </x:c>
      <x:c r="D51" s="41" t="n">
        <x:f>D49*D50</x:f>
        <x:v>0.5127625</x:v>
      </x:c>
      <x:c r="E51" s="41" t="n">
        <x:f>E49*E50</x:f>
        <x:v>0.545451109375</x:v>
      </x:c>
      <x:c r="F51" s="41" t="n">
        <x:f>F49*F50</x:f>
        <x:v>0.59633335568625</x:v>
      </x:c>
      <x:c r="G51" s="41" t="n">
        <x:f>G49*G50</x:f>
        <x:v>0.6258609437771868</x:v>
      </x:c>
      <x:c r="H51" s="41" t="n">
        <x:f>H49*H50</x:f>
        <x:v>0.6815399114911842</x:v>
      </x:c>
      <x:c r="I51" s="41"/>
      <x:c r="J51" s="24" t="str">
        <x:v>DPS</x:v>
      </x:c>
      <x:c r="K51" s="41" t="n">
        <x:f>K49*K50</x:f>
        <x:v>0.6840855</x:v>
      </x:c>
      <x:c r="L51" s="41" t="n">
        <x:f>L49*L50</x:f>
        <x:v>0.75652491824</x:v>
      </x:c>
      <x:c r="M51" s="41" t="n">
        <x:f>M49*M50</x:f>
        <x:v>0.8341171898351311</x:v>
      </x:c>
      <x:c r="N51" s="41" t="n">
        <x:f>N49*N50</x:f>
        <x:v>0.9169921361161664</x:v>
      </x:c>
      <x:c r="O51" s="41" t="n">
        <x:f>O49*O50</x:f>
        <x:v>1.0274147708599854</x:v>
      </x:c>
      <x:c r="P51" s="41"/>
      <x:c r="Q51" s="24" t="str">
        <x:v>DPS</x:v>
      </x:c>
      <x:c r="R51" s="41" t="n">
        <x:f>R49*R50</x:f>
        <x:v>0.832485</x:v>
      </x:c>
      <x:c r="S51" s="41" t="n">
        <x:f>S49*S50</x:f>
        <x:v>0.9678099008000001</x:v>
      </x:c>
      <x:c r="T51" s="41" t="n">
        <x:f>T49*T50</x:f>
        <x:v>1.0998462866327203</x:v>
      </x:c>
      <x:c r="U51" s="41" t="n">
        <x:f>U49*U50</x:f>
        <x:v>1.1863510254653513</x:v>
      </x:c>
      <x:c r="V51" s="41" t="n">
        <x:f>V49*V50</x:f>
        <x:v>1.2499902840456711</x:v>
      </x:c>
      <x:c r="W51" s="41"/>
      <x:c r="X51" s="89"/>
      <x:c r="Y51" s="89"/>
    </x:row>
    <x:row r="52">
      <x:c r="A52" s="89"/>
      <x:c r="B52" s="89"/>
      <x:c r="C52" s="24" t="str">
        <x:v>期末BVPS</x:v>
      </x:c>
      <x:c r="D52" s="41" t="n">
        <x:f>D47+D49-D51</x:f>
        <x:v>25.668287499999998</x:v>
      </x:c>
      <x:c r="E52" s="41" t="n">
        <x:f>E47+E49-E51</x:f>
        <x:v>27.304640828124995</x:v>
      </x:c>
      <x:c r="F52" s="41" t="n">
        <x:f>F47+F49-F51</x:f>
        <x:v>29.001897302001243</x:v>
      </x:c>
      <x:c r="G52" s="41" t="n">
        <x:f>G47+G49-G51</x:f>
        <x:v>30.78319383429016</x:v>
      </x:c>
      <x:c r="H52" s="41" t="n">
        <x:f>H47+H49-H51</x:f>
        <x:v>32.62587581721077</x:v>
      </x:c>
      <x:c r="I52" s="41"/>
      <x:c r="J52" s="24" t="str">
        <x:v>期末BVPS</x:v>
      </x:c>
      <x:c r="K52" s="41" t="n">
        <x:f>K47+K49-K51</x:f>
        <x:v>25.9795645</x:v>
      </x:c>
      <x:c r="L52" s="41" t="n">
        <x:f>L47+L49-L51</x:f>
        <x:v>27.924914289759997</x:v>
      </x:c>
      <x:c r="M52" s="41" t="n">
        <x:f>M47+M49-M51</x:f>
        <x:v>29.967063271770147</x:v>
      </x:c>
      <x:c r="N52" s="41" t="n">
        <x:f>N47+N49-N51</x:f>
        <x:v>32.10671158937454</x:v>
      </x:c>
      <x:c r="O52" s="41" t="n">
        <x:f>O47+O49-O51</x:f>
        <x:v>34.28996797745201</x:v>
      </x:c>
      <x:c r="P52" s="41"/>
      <x:c r="Q52" s="24" t="str">
        <x:v>期末BVPS</x:v>
      </x:c>
      <x:c r="R52" s="41" t="n">
        <x:f>R47+R49-R51</x:f>
        <x:v>26.072465</x:v>
      </x:c>
      <x:c r="S52" s="41" t="n">
        <x:f>S47+S49-S51</x:f>
        <x:v>28.129061039200003</x:v>
      </x:c>
      <x:c r="T52" s="41" t="n">
        <x:f>T47+T49-T51</x:f>
        <x:v>30.264056772075286</x:v>
      </x:c>
      <x:c r="U52" s="41" t="n">
        <x:f>U47+U49-U51</x:f>
        <x:v>32.46728010508237</x:v>
      </x:c>
      <x:c r="V52" s="41" t="n">
        <x:f>V47+V49-V51</x:f>
        <x:v>34.78869063259575</x:v>
      </x:c>
      <x:c r="W52" s="41"/>
      <x:c r="X52" s="89"/>
      <x:c r="Y52" s="89"/>
    </x:row>
    <x:row r="53">
      <x:c r="A53" s="89"/>
      <x:c r="B53" s="89"/>
      <x:c r="C53" s="24" t="str">
        <x:v>剩余收益</x:v>
      </x:c>
      <x:c r="D53" s="41" t="n">
        <x:f>(D48-$D$23)*D47</x:f>
        <x:v>-0.7239</x:v>
      </x:c>
      <x:c r="E53" s="41" t="n">
        <x:f>(E48-$D$23)*E47</x:f>
        <x:v>-0.7700486249999999</x:v>
      </x:c>
      <x:c r="F53" s="41" t="n">
        <x:f>(F48-$D$23)*F47</x:f>
        <x:v>-0.8464438656718748</x:v>
      </x:c>
      <x:c r="G53" s="41" t="n">
        <x:f>(G48-$D$23)*G47</x:f>
        <x:v>-0.9280607136640397</x:v>
      </x:c>
      <x:c r="H53" s="41" t="n">
        <x:f>(H48-$D$23)*H47</x:f>
        <x:v>-1.0158453965315752</x:v>
      </x:c>
      <x:c r="I53" s="41"/>
      <x:c r="J53" s="24" t="str">
        <x:v>剩余收益</x:v>
      </x:c>
      <x:c r="K53" s="41" t="n">
        <x:f>(K48-$E$23)*K47</x:f>
        <x:v>0</x:v>
      </x:c>
      <x:c r="L53" s="41" t="n">
        <x:f>(L48-$E$23)*L47</x:f>
        <x:v>-0.02597956450000002</x:v>
      </x:c>
      <x:c r="M53" s="41" t="n">
        <x:f>(M48-$E$23)*M47</x:f>
        <x:v>-0.05584982857952004</x:v>
      </x:c>
      <x:c r="N53" s="41" t="n">
        <x:f>(N48-$E$23)*N47</x:f>
        <x:v>-0.08990118981531052</x:v>
      </x:c>
      <x:c r="O53" s="41" t="n">
        <x:f>(O48-$E$23)*O47</x:f>
        <x:v>-0.1605335579468724</x:v>
      </x:c>
      <x:c r="P53" s="41"/>
      <x:c r="Q53" s="24" t="str">
        <x:v>剩余收益</x:v>
      </x:c>
      <x:c r="R53" s="41" t="n">
        <x:f>(R48-$F$23)*R47</x:f>
        <x:v>0.4826000000000001</x:v>
      </x:c>
      <x:c r="S53" s="41" t="n">
        <x:f>(S48-$F$23)*S47</x:f>
        <x:v>0.5475217650000002</x:v>
      </x:c>
      <x:c r="T53" s="41" t="n">
        <x:f>(T48-$F$23)*T47</x:f>
        <x:v>0.5625812207840002</x:v>
      </x:c>
      <x:c r="U53" s="41" t="n">
        <x:f>(U48-$F$23)*U47</x:f>
        <x:v>0.5144889651252799</x:v>
      </x:c>
      <x:c r="V53" s="41" t="n">
        <x:f>(V48-$F$23)*V47</x:f>
        <x:v>0.4870092015762355</x:v>
      </x:c>
      <x:c r="W53" s="41"/>
      <x:c r="X53" s="89"/>
      <x:c r="Y53" s="89"/>
    </x:row>
    <x:row r="54">
      <x:c r="A54" s="89"/>
      <x:c r="B54" s="89"/>
      <x:c r="C54" s="24" t="str">
        <x:v>折现因子</x:v>
      </x:c>
      <x:c r="D54" s="41" t="n">
        <x:f>1/(1+$D$23)^1</x:f>
        <x:v>0.8968609865470852</x:v>
      </x:c>
      <x:c r="E54" s="41" t="n">
        <x:f>1/(1+$D$23)^2</x:f>
        <x:v>0.804359629190211</x:v>
      </x:c>
      <x:c r="F54" s="41" t="n">
        <x:f>1/(1+$D$23)^3</x:f>
        <x:v>0.7213987705741802</x:v>
      </x:c>
      <x:c r="G54" s="41" t="n">
        <x:f>1/(1+$D$23)^4</x:f>
        <x:v>0.6469944130710137</x:v>
      </x:c>
      <x:c r="H54" s="41" t="n">
        <x:f>1/(1+$D$23)^5</x:f>
        <x:v>0.5802640475973216</x:v>
      </x:c>
      <x:c r="I54" s="41"/>
      <x:c r="J54" s="24" t="str">
        <x:v>折现因子</x:v>
      </x:c>
      <x:c r="K54" s="41" t="n">
        <x:f>1/(1+$E$23)^1</x:f>
        <x:v>0.9049773755656109</x:v>
      </x:c>
      <x:c r="L54" s="41" t="n">
        <x:f>1/(1+$E$23)^2</x:f>
        <x:v>0.8189840502856207</x:v>
      </x:c>
      <x:c r="M54" s="41" t="n">
        <x:f>1/(1+$E$23)^3</x:f>
        <x:v>0.7411620364575753</x:v>
      </x:c>
      <x:c r="N54" s="41" t="n">
        <x:f>1/(1+$E$23)^4</x:f>
        <x:v>0.6707348746222401</x:v>
      </x:c>
      <x:c r="O54" s="41" t="n">
        <x:f>1/(1+$E$23)^5</x:f>
        <x:v>0.6069998865359639</x:v>
      </x:c>
      <x:c r="P54" s="41"/>
      <x:c r="Q54" s="24" t="str">
        <x:v>折现因子</x:v>
      </x:c>
      <x:c r="R54" s="41" t="n">
        <x:f>1/(1+$F$23)^1</x:f>
        <x:v>0.9132420091324202</x:v>
      </x:c>
      <x:c r="S54" s="41" t="n">
        <x:f>1/(1+$F$23)^2</x:f>
        <x:v>0.8340109672442193</x:v>
      </x:c>
      <x:c r="T54" s="41" t="n">
        <x:f>1/(1+$F$23)^3</x:f>
        <x:v>0.7616538513645839</x:v>
      </x:c>
      <x:c r="U54" s="41" t="n">
        <x:f>1/(1+$F$23)^4</x:f>
        <x:v>0.6955742934836383</x:v>
      </x:c>
      <x:c r="V54" s="41" t="n">
        <x:f>1/(1+$F$23)^5</x:f>
        <x:v>0.6352276652818615</x:v>
      </x:c>
      <x:c r="W54" s="41"/>
      <x:c r="X54" s="89"/>
      <x:c r="Y54" s="89"/>
    </x:row>
    <x:row r="55">
      <x:c r="A55" s="89"/>
      <x:c r="B55" s="89"/>
      <x:c r="C55" s="24" t="str">
        <x:v>剩余收益现值</x:v>
      </x:c>
      <x:c r="D55" s="41" t="n">
        <x:f>D53*D54</x:f>
        <x:v>-0.649237668161435</x:v>
      </x:c>
      <x:c r="E55" s="41" t="n">
        <x:f>E53*E54</x:f>
        <x:v>-0.6193960264634317</x:v>
      </x:c>
      <x:c r="F55" s="41" t="n">
        <x:f>F53*F54</x:f>
        <x:v>-0.610623564055747</x:v>
      </x:c>
      <x:c r="G55" s="41" t="n">
        <x:f>G53*G54</x:f>
        <x:v>-0.6004500967313315</x:v>
      </x:c>
      <x:c r="H55" s="41" t="n">
        <x:f>H53*H54</x:f>
        <x:v>-0.589458561524518</x:v>
      </x:c>
      <x:c r="I55" s="41"/>
      <x:c r="J55" s="24" t="str">
        <x:v>剩余收益现值</x:v>
      </x:c>
      <x:c r="K55" s="41" t="n">
        <x:f>K53*K54</x:f>
        <x:v>0</x:v>
      </x:c>
      <x:c r="L55" s="41" t="n">
        <x:f>L53*L54</x:f>
        <x:v>-0.021276848958866543</x:v>
      </x:c>
      <x:c r="M55" s="41" t="n">
        <x:f>M53*M54</x:f>
        <x:v>-0.04139377268580356</x:v>
      </x:c>
      <x:c r="N55" s="41" t="n">
        <x:f>N53*N54</x:f>
        <x:v>-0.060299863279162515</x:v>
      </x:c>
      <x:c r="O55" s="41" t="n">
        <x:f>O53*O54</x:f>
        <x:v>-0.09744385145896614</x:v>
      </x:c>
      <x:c r="P55" s="41"/>
      <x:c r="Q55" s="24" t="str">
        <x:v>剩余收益现值</x:v>
      </x:c>
      <x:c r="R55" s="41" t="n">
        <x:f>R53*R54</x:f>
        <x:v>0.44073059360730604</x:v>
      </x:c>
      <x:c r="S55" s="41" t="n">
        <x:f>S53*S54</x:f>
        <x:v>0.4566391568149123</x:v>
      </x:c>
      <x:c r="T55" s="41" t="n">
        <x:f>T53*T54</x:f>
        <x:v>0.428492153515523</x:v>
      </x:c>
      <x:c r="U55" s="41" t="n">
        <x:f>U53*U54</x:f>
        <x:v>0.35786529842214476</x:v>
      </x:c>
      <x:c r="V55" s="41" t="n">
        <x:f>V53*V54</x:f>
        <x:v>0.3093617180880555</x:v>
      </x:c>
      <x:c r="W55" s="41"/>
      <x:c r="X55" s="89"/>
      <x:c r="Y55" s="89"/>
    </x:row>
    <x:row r="56">
      <x:c r="A56" s="89"/>
      <x:c r="B56" s="89"/>
      <x:c r="C56" s="24" t="str">
        <x:v>股利现值</x:v>
      </x:c>
      <x:c r="D56" s="41" t="n">
        <x:f>D51*D54</x:f>
        <x:v>0.4598766816143498</x:v>
      </x:c>
      <x:c r="E56" s="41" t="n">
        <x:f>E51*E54</x:f>
        <x:v>0.4387388520782642</x:v>
      </x:c>
      <x:c r="F56" s="41" t="n">
        <x:f>F51*F54</x:f>
        <x:v>0.4301941496444361</x:v>
      </x:c>
      <x:c r="G56" s="41" t="n">
        <x:f>G51*G54</x:f>
        <x:v>0.4049285339831917</x:v>
      </x:c>
      <x:c r="H56" s="41" t="n">
        <x:f>H51*H54</x:f>
        <x:v>0.3954731076409949</x:v>
      </x:c>
      <x:c r="I56" s="41"/>
      <x:c r="J56" s="24" t="str">
        <x:v>股利现值</x:v>
      </x:c>
      <x:c r="K56" s="41" t="n">
        <x:f>K51*K54</x:f>
        <x:v>0.6190819004524887</x:v>
      </x:c>
      <x:c r="L56" s="41" t="n">
        <x:f>L51*L54</x:f>
        <x:v>0.6195818416821932</x:v>
      </x:c>
      <x:c r="M56" s="41" t="n">
        <x:f>M51*M54</x:f>
        <x:v>0.6182159950624756</x:v>
      </x:c>
      <x:c r="N56" s="41" t="n">
        <x:f>N51*N54</x:f>
        <x:v>0.615058605447457</x:v>
      </x:c>
      <x:c r="O56" s="41" t="n">
        <x:f>O51*O54</x:f>
        <x:v>0.6236406493373845</x:v>
      </x:c>
      <x:c r="P56" s="41"/>
      <x:c r="Q56" s="24" t="str">
        <x:v>股利现值</x:v>
      </x:c>
      <x:c r="R56" s="41" t="n">
        <x:f>R51*R54</x:f>
        <x:v>0.7602602739726028</x:v>
      </x:c>
      <x:c r="S56" s="41" t="n">
        <x:f>S51*S54</x:f>
        <x:v>0.80716407147474</x:v>
      </x:c>
      <x:c r="T56" s="41" t="n">
        <x:f>T51*T54</x:f>
        <x:v>0.8377021601228475</x:v>
      </x:c>
      <x:c r="U56" s="41" t="n">
        <x:f>U51*U54</x:f>
        <x:v>0.8251952763616516</x:v>
      </x:c>
      <x:c r="V56" s="41" t="n">
        <x:f>V51*V54</x:f>
        <x:v>0.7940284097593425</x:v>
      </x:c>
      <x:c r="W56" s="41"/>
      <x:c r="X56" s="89"/>
      <x:c r="Y56" s="89"/>
    </x:row>
    <x:row r="57">
      <x:c r="A57" s="89"/>
      <x:c r="B57" s="89"/>
      <x:c r="C57" s="24" t="str"/>
      <x:c r="D57" s="41"/>
      <x:c r="E57" s="41"/>
      <x:c r="F57" s="41"/>
      <x:c r="G57" s="41"/>
      <x:c r="H57" s="41"/>
      <x:c r="I57" s="41"/>
      <x:c r="J57" s="24" t="str"/>
      <x:c r="K57" s="41"/>
      <x:c r="L57" s="41"/>
      <x:c r="M57" s="41"/>
      <x:c r="N57" s="41"/>
      <x:c r="O57" s="41"/>
      <x:c r="P57" s="41"/>
      <x:c r="Q57" s="24" t="str"/>
      <x:c r="R57" s="41"/>
      <x:c r="S57" s="41"/>
      <x:c r="T57" s="41"/>
      <x:c r="U57" s="41"/>
      <x:c r="V57" s="41"/>
      <x:c r="W57" s="41"/>
      <x:c r="X57" s="89"/>
      <x:c r="Y57" s="89"/>
    </x:row>
    <x:row r="58">
      <x:c r="A58" s="89"/>
      <x:c r="B58" s="89"/>
      <x:c r="C58" s="24" t="str">
        <x:v>终值剩余收益</x:v>
      </x:c>
      <x:c r="D58" s="41"/>
      <x:c r="E58" s="41"/>
      <x:c r="F58" s="41"/>
      <x:c r="G58" s="41"/>
      <x:c r="H58" s="41"/>
      <x:c r="I58" s="158" t="n">
        <x:f>(($D$25-$D$23)*H52/($D$23-$D$24))/(1+$D$23)^5</x:f>
        <x:v>-6.626067965335804</x:v>
      </x:c>
      <x:c r="J58" s="24" t="str">
        <x:v>终值剩余收益</x:v>
      </x:c>
      <x:c r="K58" s="41"/>
      <x:c r="L58" s="41"/>
      <x:c r="M58" s="41"/>
      <x:c r="N58" s="41"/>
      <x:c r="O58" s="41"/>
      <x:c r="P58" s="158" t="n">
        <x:f>(($E$25-$E$23)*O52/($E$23-$E$24))/(1+$E$23)^5</x:f>
        <x:v>-2.4487066672511997</x:v>
      </x:c>
      <x:c r="Q58" s="24" t="str">
        <x:v>终值剩余收益</x:v>
      </x:c>
      <x:c r="R58" s="41"/>
      <x:c r="S58" s="41"/>
      <x:c r="T58" s="41"/>
      <x:c r="U58" s="41"/>
      <x:c r="V58" s="41"/>
      <x:c r="W58" s="158" t="n">
        <x:f>(($F$25-$F$23)*V52/($F$23-$F$24))/(1+$F$23)^5</x:f>
        <x:v>3.156962675536679</x:v>
      </x:c>
      <x:c r="X58" s="89"/>
      <x:c r="Y58" s="89"/>
    </x:row>
    <x:row r="59">
      <x:c r="A59" s="89"/>
      <x:c r="B59" s="89"/>
      <x:c r="C59" s="24" t="str">
        <x:v>RIM每股价值</x:v>
      </x:c>
      <x:c r="D59" s="41"/>
      <x:c r="E59" s="41"/>
      <x:c r="F59" s="41"/>
      <x:c r="G59" s="41"/>
      <x:c r="H59" s="41"/>
      <x:c r="I59" s="158" t="n">
        <x:f>$D$7+SUM(D55:H55)+I58</x:f>
        <x:v>14.434766117727733</x:v>
      </x:c>
      <x:c r="J59" s="24" t="str">
        <x:v>RIM每股价值</x:v>
      </x:c>
      <x:c r="K59" s="41"/>
      <x:c r="L59" s="41"/>
      <x:c r="M59" s="41"/>
      <x:c r="N59" s="41"/>
      <x:c r="O59" s="41"/>
      <x:c r="P59" s="158" t="n">
        <x:f>$D$7+SUM(K55:O55)+P58</x:f>
        <x:v>21.460878996366</x:v>
      </x:c>
      <x:c r="Q59" s="24" t="str">
        <x:v>RIM每股价值</x:v>
      </x:c>
      <x:c r="R59" s="41"/>
      <x:c r="S59" s="41"/>
      <x:c r="T59" s="41"/>
      <x:c r="U59" s="41"/>
      <x:c r="V59" s="41"/>
      <x:c r="W59" s="158" t="n">
        <x:f>$D$7+SUM(R55:V55)+W58</x:f>
        <x:v>29.28005159598462</x:v>
      </x:c>
      <x:c r="X59" s="89"/>
      <x:c r="Y59" s="89"/>
    </x:row>
    <x:row r="60">
      <x:c r="A60" s="89"/>
      <x:c r="B60" s="89"/>
      <x:c r="C60" s="24" t="str">
        <x:v>终值股利</x:v>
      </x:c>
      <x:c r="D60" s="41"/>
      <x:c r="E60" s="41"/>
      <x:c r="F60" s="41"/>
      <x:c r="G60" s="41"/>
      <x:c r="H60" s="41"/>
      <x:c r="I60" s="158" t="n">
        <x:f>(H52*$D$25*$D$26*(1+$D$24)/($D$23-$D$24))/(1+$D$23)^5</x:f>
        <x:v>4.150568973486347</x:v>
      </x:c>
      <x:c r="J60" s="24" t="str">
        <x:v>终值股利</x:v>
      </x:c>
      <x:c r="K60" s="41"/>
      <x:c r="L60" s="41"/>
      <x:c r="M60" s="41"/>
      <x:c r="N60" s="41"/>
      <x:c r="O60" s="41"/>
      <x:c r="P60" s="158" t="n">
        <x:f>(O52*$E$25*$E$26*(1+$E$24)/($E$23-$E$24))/(1+$E$23)^5</x:f>
        <x:v>9.491187042265656</x:v>
      </x:c>
      <x:c r="Q60" s="24" t="str">
        <x:v>终值股利</x:v>
      </x:c>
      <x:c r="R60" s="41"/>
      <x:c r="S60" s="41"/>
      <x:c r="T60" s="41"/>
      <x:c r="U60" s="41"/>
      <x:c r="V60" s="41"/>
      <x:c r="W60" s="158" t="n">
        <x:f>(V52*$F$25*$F$26*(1+$F$24)/($F$23-$F$24))/(1+$F$23)^5</x:f>
        <x:v>15.289564857958583</x:v>
      </x:c>
      <x:c r="X60" s="89"/>
      <x:c r="Y60" s="89"/>
    </x:row>
    <x:row r="61">
      <x:c r="A61" s="89"/>
      <x:c r="B61" s="89"/>
      <x:c r="C61" s="25" t="str">
        <x:v>DDM每股价值</x:v>
      </x:c>
      <x:c r="D61" s="99"/>
      <x:c r="E61" s="99"/>
      <x:c r="F61" s="99"/>
      <x:c r="G61" s="99"/>
      <x:c r="H61" s="99"/>
      <x:c r="I61" s="159" t="n">
        <x:f>SUM(D56:H56)+I60</x:f>
        <x:v>6.279780298447584</x:v>
      </x:c>
      <x:c r="J61" s="25" t="str">
        <x:v>DDM每股价值</x:v>
      </x:c>
      <x:c r="K61" s="99"/>
      <x:c r="L61" s="99"/>
      <x:c r="M61" s="99"/>
      <x:c r="N61" s="99"/>
      <x:c r="O61" s="99"/>
      <x:c r="P61" s="159" t="n">
        <x:f>SUM(K56:O56)+P60</x:f>
        <x:v>12.586766034247656</x:v>
      </x:c>
      <x:c r="Q61" s="25" t="str">
        <x:v>DDM每股价值</x:v>
      </x:c>
      <x:c r="R61" s="99"/>
      <x:c r="S61" s="99"/>
      <x:c r="T61" s="99"/>
      <x:c r="U61" s="99"/>
      <x:c r="V61" s="99"/>
      <x:c r="W61" s="159" t="n">
        <x:f>SUM(R56:V56)+W60</x:f>
        <x:v>19.31391504964977</x:v>
      </x:c>
      <x:c r="X61" s="89"/>
      <x:c r="Y61" s="89"/>
    </x:row>
    <x:row r="62">
      <x:c r="A62" s="89"/>
      <x:c r="B62" s="89"/>
      <x:c r="C62" s="89" t="str"/>
      <x:c r="D62" s="89"/>
      <x:c r="E62" s="89"/>
      <x:c r="F62" s="89"/>
      <x:c r="G62" s="89"/>
      <x:c r="H62" s="89"/>
      <x:c r="I62" s="89"/>
      <x:c r="J62" s="89" t="str"/>
      <x:c r="K62" s="89"/>
      <x:c r="L62" s="89"/>
      <x:c r="M62" s="89"/>
      <x:c r="N62" s="89"/>
      <x:c r="O62" s="89"/>
      <x:c r="P62" s="89"/>
      <x:c r="Q62" s="89" t="str"/>
      <x:c r="R62" s="89"/>
      <x:c r="S62" s="89"/>
      <x:c r="T62" s="89"/>
      <x:c r="U62" s="89"/>
      <x:c r="V62" s="89"/>
      <x:c r="W62" s="89"/>
      <x:c r="X62" s="89"/>
      <x:c r="Y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</x:row>
    <x:row r="65" ht="23" customHeight="1">
      <x:c r="A65" s="89"/>
      <x:c r="B65" s="89"/>
      <x:c r="C65" s="68" t="str">
        <x:v>PB-ROE敏感性：每股价值（元），永续增长率2%</x:v>
      </x:c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</x:row>
    <x:row r="66">
      <x:c r="A66" s="89"/>
      <x:c r="B66" s="89"/>
      <x:c r="C66" s="17" t="str">
        <x:v>长期ROE / 股权成本</x:v>
      </x:c>
      <x:c r="D66" s="162" t="n">
        <x:v>0.09</x:v>
      </x:c>
      <x:c r="E66" s="162" t="n">
        <x:v>0.1</x:v>
      </x:c>
      <x:c r="F66" s="162" t="n">
        <x:v>0.11</x:v>
      </x:c>
      <x:c r="G66" s="162" t="n">
        <x:v>0.12</x:v>
      </x:c>
      <x:c r="H66" s="163" t="n">
        <x:v>0.13</x:v>
      </x:c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</x:row>
    <x:row r="67">
      <x:c r="A67" s="89"/>
      <x:c r="B67" s="89"/>
      <x:c r="C67" s="437" t="n">
        <x:v>0.06</x:v>
      </x:c>
      <x:c r="D67" s="146" t="n">
        <x:f>$D$7*($C67-2%)/(D$66-2%)</x:f>
        <x:v>13.788571428571428</x:v>
      </x:c>
      <x:c r="E67" s="146" t="n">
        <x:f>$D$7*($C67-2%)/(E$66-2%)</x:f>
        <x:v>12.064999999999998</x:v>
      </x:c>
      <x:c r="F67" s="146" t="n">
        <x:f>$D$7*($C67-2%)/(F$66-2%)</x:f>
        <x:v>10.724444444444442</x:v>
      </x:c>
      <x:c r="G67" s="146" t="n">
        <x:f>$D$7*($C67-2%)/(G$66-2%)</x:f>
        <x:v>9.652</x:v>
      </x:c>
      <x:c r="H67" s="146" t="n">
        <x:f>$D$7*($C67-2%)/(H$66-2%)</x:f>
        <x:v>8.774545454545454</x:v>
      </x:c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</x:row>
    <x:row r="68">
      <x:c r="A68" s="89"/>
      <x:c r="B68" s="89"/>
      <x:c r="C68" s="437" t="n">
        <x:v>0.08</x:v>
      </x:c>
      <x:c r="D68" s="146" t="n">
        <x:f>$D$7*($C68-2%)/(D$66-2%)</x:f>
        <x:v>20.682857142857145</x:v>
      </x:c>
      <x:c r="E68" s="146" t="n">
        <x:f>$D$7*($C68-2%)/(E$66-2%)</x:f>
        <x:v>18.0975</x:v>
      </x:c>
      <x:c r="F68" s="146" t="n">
        <x:f>$D$7*($C68-2%)/(F$66-2%)</x:f>
        <x:v>16.086666666666666</x:v>
      </x:c>
      <x:c r="G68" s="146" t="n">
        <x:f>$D$7*($C68-2%)/(G$66-2%)</x:f>
        <x:v>14.478000000000002</x:v>
      </x:c>
      <x:c r="H68" s="146" t="n">
        <x:f>$D$7*($C68-2%)/(H$66-2%)</x:f>
        <x:v>13.161818181818182</x:v>
      </x:c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</x:row>
    <x:row r="69">
      <x:c r="A69" s="89"/>
      <x:c r="B69" s="89"/>
      <x:c r="C69" s="437" t="n">
        <x:v>0.1</x:v>
      </x:c>
      <x:c r="D69" s="146" t="n">
        <x:f>$D$7*($C69-2%)/(D$66-2%)</x:f>
        <x:v>27.57714285714286</x:v>
      </x:c>
      <x:c r="E69" s="146" t="n">
        <x:f>$D$7*($C69-2%)/(E$66-2%)</x:f>
        <x:v>24.13</x:v>
      </x:c>
      <x:c r="F69" s="146" t="n">
        <x:f>$D$7*($C69-2%)/(F$66-2%)</x:f>
        <x:v>21.448888888888888</x:v>
      </x:c>
      <x:c r="G69" s="146" t="n">
        <x:f>$D$7*($C69-2%)/(G$66-2%)</x:f>
        <x:v>19.304000000000002</x:v>
      </x:c>
      <x:c r="H69" s="146" t="n">
        <x:f>$D$7*($C69-2%)/(H$66-2%)</x:f>
        <x:v>17.549090909090907</x:v>
      </x:c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</x:row>
    <x:row r="70">
      <x:c r="A70" s="89"/>
      <x:c r="B70" s="89"/>
      <x:c r="C70" s="437" t="n">
        <x:v>0.12</x:v>
      </x:c>
      <x:c r="D70" s="146" t="n">
        <x:f>$D$7*($C70-2%)/(D$66-2%)</x:f>
        <x:v>34.471428571428575</x:v>
      </x:c>
      <x:c r="E70" s="146" t="n">
        <x:f>$D$7*($C70-2%)/(E$66-2%)</x:f>
        <x:v>30.162499999999998</x:v>
      </x:c>
      <x:c r="F70" s="146" t="n">
        <x:f>$D$7*($C70-2%)/(F$66-2%)</x:f>
        <x:v>26.81111111111111</x:v>
      </x:c>
      <x:c r="G70" s="146" t="n">
        <x:f>$D$7*($C70-2%)/(G$66-2%)</x:f>
        <x:v>24.13</x:v>
      </x:c>
      <x:c r="H70" s="146" t="n">
        <x:f>$D$7*($C70-2%)/(H$66-2%)</x:f>
        <x:v>21.936363636363634</x:v>
      </x:c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</x:row>
    <x:row r="71">
      <x:c r="A71" s="89"/>
      <x:c r="B71" s="89"/>
      <x:c r="C71" s="437" t="n">
        <x:v>0.14</x:v>
      </x:c>
      <x:c r="D71" s="146" t="n">
        <x:f>$D$7*($C71-2%)/(D$66-2%)</x:f>
        <x:v>41.36571428571429</x:v>
      </x:c>
      <x:c r="E71" s="146" t="n">
        <x:f>$D$7*($C71-2%)/(E$66-2%)</x:f>
        <x:v>36.195</x:v>
      </x:c>
      <x:c r="F71" s="146" t="n">
        <x:f>$D$7*($C71-2%)/(F$66-2%)</x:f>
        <x:v>32.17333333333333</x:v>
      </x:c>
      <x:c r="G71" s="146" t="n">
        <x:f>$D$7*($C71-2%)/(G$66-2%)</x:f>
        <x:v>28.956000000000003</x:v>
      </x:c>
      <x:c r="H71" s="146" t="n">
        <x:f>$D$7*($C71-2%)/(H$66-2%)</x:f>
        <x:v>26.323636363636364</x:v>
      </x:c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</x:row>
  </x:sheetData>
  <x:mergeCells>
    <x:mergeCell ref="C2:Y2"/>
    <x:mergeCell ref="C3:Y3"/>
    <x:mergeCell ref="C4:Y4"/>
    <x:mergeCell ref="J13:N13"/>
    <x:mergeCell ref="C21:F21"/>
    <x:mergeCell ref="C45:I45"/>
    <x:mergeCell ref="J45:P45"/>
    <x:mergeCell ref="Q45:W45"/>
    <x:mergeCell ref="C65:J65"/>
  </x:mergeCells>
  <x:conditionalFormatting sqref="N15:N18">
    <x:cfRule type="containsText" dxfId="0" priority="1" operator="containsText" text="已达到"/>
  </x:conditionalFormatting>
  <x:conditionalFormatting sqref="D67:H71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9756164feb264690"/>
</x:worksheet>
</file>

<file path=xl/worksheets/sheet4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0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3" hidden="0" customWidth="1"/>
    <x:col min="9" max="9" width="14" hidden="0" customWidth="1"/>
    <x:col min="10" max="10" width="15" hidden="0" customWidth="1"/>
    <x:col min="11" max="11" width="15" hidden="0" customWidth="1"/>
    <x:col min="12" max="12" width="16" hidden="0" customWidth="1"/>
    <x:col min="13" max="13" width="16" hidden="0" customWidth="1"/>
    <x:col min="14" max="14" width="15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</x:row>
    <x:row r="2" ht="27" customHeight="1">
      <x:c r="A2" s="89"/>
      <x:c r="B2" s="89"/>
      <x:c r="C2" s="4" t="str">
        <x:v>估值敏感性与安全边际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</x:row>
    <x:row r="3">
      <x:c r="A3" s="89"/>
      <x:c r="B3" s="89"/>
      <x:c r="C3" s="6" t="str">
        <x:v>经营数据截至2026-06-30；股价截至2026-10-13。情景用于检验结论，不代表盈利预测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</x:row>
    <x:row r="4" ht="20" customHeight="1">
      <x:c r="A4" s="89"/>
      <x:c r="B4" s="89"/>
      <x:c r="C4" s="11" t="str">
        <x:v>阅读顺序：①先看综合估值与股利模型的双口径折价　②再看净息差/ROE情景　③最后看ROE降至8%或9%的影响</x:v>
      </x:c>
      <x:c r="D4" s="423"/>
      <x:c r="E4" s="423"/>
      <x:c r="F4" s="423"/>
      <x:c r="G4" s="423"/>
      <x:c r="H4" s="423"/>
      <x:c r="I4" s="423"/>
      <x:c r="J4" s="423"/>
      <x:c r="K4" s="423"/>
      <x:c r="L4" s="423"/>
      <x:c r="M4" s="423"/>
      <x:c r="N4" s="423"/>
      <x:c r="O4" s="423"/>
      <x:c r="P4" s="423"/>
      <x:c r="Q4" s="423"/>
      <x:c r="R4" s="423"/>
    </x:row>
    <x:row r="5">
      <x:c r="A5" s="89"/>
      <x:c r="B5" s="89"/>
      <x:c r="C5" s="165" t="str">
        <x:v>当前股价</x:v>
      </x:c>
      <x:c r="D5" s="165"/>
      <x:c r="E5" s="165"/>
      <x:c r="F5" s="165"/>
      <x:c r="G5" s="165" t="str">
        <x:v>修订后综合中枢</x:v>
      </x:c>
      <x:c r="H5" s="165"/>
      <x:c r="I5" s="165"/>
      <x:c r="J5" s="165"/>
      <x:c r="K5" s="165" t="str">
        <x:v>股利模型基准</x:v>
      </x:c>
      <x:c r="L5" s="165"/>
      <x:c r="M5" s="165"/>
      <x:c r="N5" s="165"/>
      <x:c r="O5" s="165" t="str">
        <x:v>对综合中枢折价</x:v>
      </x:c>
      <x:c r="P5" s="165"/>
      <x:c r="Q5" s="165" t="str">
        <x:v>对股利模型折价</x:v>
      </x:c>
      <x:c r="R5" s="165"/>
    </x:row>
    <x:row r="6">
      <x:c r="A6" s="89"/>
      <x:c r="B6" s="89"/>
      <x:c r="C6" s="168" t="n">
        <x:f>'估值系统'!D6</x:f>
        <x:v>11.57</x:v>
      </x:c>
      <x:c r="D6" s="168"/>
      <x:c r="E6" s="168"/>
      <x:c r="F6" s="168"/>
      <x:c r="G6" s="171" t="n">
        <x:f>'估值系统'!M12</x:f>
        <x:v>16.837593606777297</x:v>
      </x:c>
      <x:c r="H6" s="171"/>
      <x:c r="I6" s="171"/>
      <x:c r="J6" s="171"/>
      <x:c r="K6" s="174" t="n">
        <x:f>'估值系统'!M11</x:f>
        <x:v>12.586766034247656</x:v>
      </x:c>
      <x:c r="L6" s="174"/>
      <x:c r="M6" s="174"/>
      <x:c r="N6" s="174"/>
      <x:c r="O6" s="177" t="n">
        <x:f>1-'估值系统'!D6/'估值系统'!M12</x:f>
        <x:v>0.31284717577795906</x:v>
      </x:c>
      <x:c r="P6" s="177"/>
      <x:c r="Q6" s="177" t="n">
        <x:f>1-'估值系统'!D6/'估值系统'!M11</x:f>
        <x:v>0.08078056201895789</x:v>
      </x:c>
      <x:c r="R6" s="177"/>
    </x:row>
    <x:row r="7">
      <x:c r="A7" s="89"/>
      <x:c r="B7" s="89"/>
      <x:c r="C7" s="168"/>
      <x:c r="D7" s="168"/>
      <x:c r="E7" s="168"/>
      <x:c r="F7" s="168"/>
      <x:c r="G7" s="171"/>
      <x:c r="H7" s="171"/>
      <x:c r="I7" s="171"/>
      <x:c r="J7" s="171"/>
      <x:c r="K7" s="174"/>
      <x:c r="L7" s="174"/>
      <x:c r="M7" s="174"/>
      <x:c r="N7" s="174"/>
      <x:c r="O7" s="177"/>
      <x:c r="P7" s="177"/>
      <x:c r="Q7" s="177"/>
      <x:c r="R7" s="177"/>
    </x:row>
    <x:row r="8">
      <x:c r="A8" s="89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</x:row>
    <x:row r="9">
      <x:c r="A9" s="89"/>
      <x:c r="B9" s="89"/>
      <x:c r="C9" s="89"/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</x:row>
    <x:row r="10" ht="23" customHeight="1">
      <x:c r="A10" s="89"/>
      <x:c r="B10" s="89"/>
      <x:c r="C10" s="68" t="str">
        <x:v>前瞻情景：不依赖历史均值的估值校验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</x:row>
    <x:row r="11">
      <x:c r="A11" s="89"/>
      <x:c r="B11" s="89"/>
      <x:c r="C11" s="17" t="str">
        <x:v>情景</x:v>
      </x:c>
      <x:c r="D11" s="18" t="str">
        <x:v>净息差</x:v>
      </x:c>
      <x:c r="E11" s="18" t="str">
        <x:v>可持续ROE</x:v>
      </x:c>
      <x:c r="F11" s="18" t="str">
        <x:v>股权成本</x:v>
      </x:c>
      <x:c r="G11" s="18" t="str">
        <x:v>长期增长</x:v>
      </x:c>
      <x:c r="H11" s="18" t="str">
        <x:v>支付率</x:v>
      </x:c>
      <x:c r="I11" s="18" t="str">
        <x:v>目标股息率</x:v>
      </x:c>
      <x:c r="J11" s="18" t="str">
        <x:v>PB-ROE价值</x:v>
      </x:c>
      <x:c r="K11" s="18" t="str">
        <x:v>股息率价值</x:v>
      </x:c>
      <x:c r="L11" s="18" t="str">
        <x:v>同业价值</x:v>
      </x:c>
      <x:c r="M11" s="18" t="str">
        <x:v>情景综合价值</x:v>
      </x:c>
      <x:c r="N11" s="19" t="str">
        <x:v>较现价折价</x:v>
      </x:c>
      <x:c r="O11" s="89"/>
      <x:c r="P11" s="89"/>
      <x:c r="Q11" s="89"/>
      <x:c r="R11" s="89"/>
    </x:row>
    <x:row r="12">
      <x:c r="A12" s="89"/>
      <x:c r="B12" s="89"/>
      <x:c r="C12" s="438" t="str">
        <x:v>下行</x:v>
      </x:c>
      <x:c r="D12" s="439" t="n">
        <x:v>0.016</x:v>
      </x:c>
      <x:c r="E12" s="439" t="n">
        <x:v>0.08</x:v>
      </x:c>
      <x:c r="F12" s="439" t="n">
        <x:v>0.115</x:v>
      </x:c>
      <x:c r="G12" s="439" t="n">
        <x:v>0.015</x:v>
      </x:c>
      <x:c r="H12" s="439" t="n">
        <x:v>0.27</x:v>
      </x:c>
      <x:c r="I12" s="439" t="n">
        <x:v>0.06</x:v>
      </x:c>
      <x:c r="J12" s="440" t="n">
        <x:f>'估值系统'!$D$7*(E12-G12)/(F12-G12)</x:f>
        <x:v>15.684499999999998</x:v>
      </x:c>
      <x:c r="K12" s="440" t="n">
        <x:f>'估值系统'!$D$12*H12/I12</x:f>
        <x:v>9.660000000000002</x:v>
      </x:c>
      <x:c r="L12" s="440" t="n">
        <x:f>'同业比较'!$R$17</x:f>
        <x:v>15.27017821782178</x:v>
      </x:c>
      <x:c r="M12" s="440" t="n">
        <x:f>J12*40%+K12*40%+L12*20%</x:f>
        <x:v>13.191835643564357</x:v>
      </x:c>
      <x:c r="N12" s="441" t="n">
        <x:f>1-'估值系统'!$D$6/M12</x:f>
        <x:v>0.12294237795143925</x:v>
      </x:c>
      <x:c r="O12" s="89"/>
      <x:c r="P12" s="89"/>
      <x:c r="Q12" s="89"/>
      <x:c r="R12" s="89"/>
    </x:row>
    <x:row r="13">
      <x:c r="A13" s="89"/>
      <x:c r="B13" s="89"/>
      <x:c r="C13" s="24" t="str">
        <x:v>保守</x:v>
      </x:c>
      <x:c r="D13" s="153" t="n">
        <x:v>0.017</x:v>
      </x:c>
      <x:c r="E13" s="153" t="n">
        <x:v>0.09</x:v>
      </x:c>
      <x:c r="F13" s="153" t="n">
        <x:v>0.11</x:v>
      </x:c>
      <x:c r="G13" s="153" t="n">
        <x:v>0.015</x:v>
      </x:c>
      <x:c r="H13" s="153" t="n">
        <x:v>0.28</x:v>
      </x:c>
      <x:c r="I13" s="153" t="n">
        <x:v>0.055</x:v>
      </x:c>
      <x:c r="J13" s="41" t="n">
        <x:f>'估值系统'!$D$7*(E13-G13)/(F13-G13)</x:f>
        <x:v>19.049999999999997</x:v>
      </x:c>
      <x:c r="K13" s="41" t="n">
        <x:f>'估值系统'!$D$12*H13/I13</x:f>
        <x:v>10.92848484848485</x:v>
      </x:c>
      <x:c r="L13" s="41" t="n">
        <x:f>'同业比较'!$R$17</x:f>
        <x:v>15.27017821782178</x:v>
      </x:c>
      <x:c r="M13" s="41" t="n">
        <x:f>J13*40%+K13*40%+L13*20%</x:f>
        <x:v>15.045429582958295</x:v>
      </x:c>
      <x:c r="N13" s="39" t="n">
        <x:f>1-'估值系统'!$D$6/M13</x:f>
        <x:v>0.23099570296715588</x:v>
      </x:c>
      <x:c r="O13" s="89"/>
      <x:c r="P13" s="89"/>
      <x:c r="Q13" s="89"/>
      <x:c r="R13" s="89"/>
    </x:row>
    <x:row r="14">
      <x:c r="A14" s="89"/>
      <x:c r="B14" s="89"/>
      <x:c r="C14" s="442" t="str">
        <x:v>基准</x:v>
      </x:c>
      <x:c r="D14" s="443" t="n">
        <x:v>0.018</x:v>
      </x:c>
      <x:c r="E14" s="443" t="n">
        <x:v>0.1</x:v>
      </x:c>
      <x:c r="F14" s="443" t="n">
        <x:v>0.105</x:v>
      </x:c>
      <x:c r="G14" s="443" t="n">
        <x:v>0.02</x:v>
      </x:c>
      <x:c r="H14" s="443" t="n">
        <x:v>0.3</x:v>
      </x:c>
      <x:c r="I14" s="443" t="n">
        <x:v>0.05</x:v>
      </x:c>
      <x:c r="J14" s="158" t="n">
        <x:f>'估值系统'!$D$7*(E14-G14)/(F14-G14)</x:f>
        <x:v>22.710588235294118</x:v>
      </x:c>
      <x:c r="K14" s="158" t="n">
        <x:f>'估值系统'!$D$12*H14/I14</x:f>
        <x:v>12.879999999999999</x:v>
      </x:c>
      <x:c r="L14" s="158" t="n">
        <x:f>'同业比较'!$R$17</x:f>
        <x:v>15.27017821782178</x:v>
      </x:c>
      <x:c r="M14" s="158" t="n">
        <x:f>J14*40%+K14*40%+L14*20%</x:f>
        <x:v>17.290270937682003</x:v>
      </x:c>
      <x:c r="N14" s="444" t="n">
        <x:f>1-'估值系统'!$D$6/M14</x:f>
        <x:v>0.33083755357559963</x:v>
      </x:c>
      <x:c r="O14" s="89"/>
      <x:c r="P14" s="89"/>
      <x:c r="Q14" s="89"/>
      <x:c r="R14" s="89"/>
    </x:row>
    <x:row r="15">
      <x:c r="A15" s="89"/>
      <x:c r="B15" s="89"/>
      <x:c r="C15" s="25" t="str">
        <x:v>修复</x:v>
      </x:c>
      <x:c r="D15" s="445" t="n">
        <x:v>0.019</x:v>
      </x:c>
      <x:c r="E15" s="445" t="n">
        <x:v>0.105</x:v>
      </x:c>
      <x:c r="F15" s="445" t="n">
        <x:v>0.1</x:v>
      </x:c>
      <x:c r="G15" s="445" t="n">
        <x:v>0.02</x:v>
      </x:c>
      <x:c r="H15" s="445" t="n">
        <x:v>0.3</x:v>
      </x:c>
      <x:c r="I15" s="445" t="n">
        <x:v>0.05</x:v>
      </x:c>
      <x:c r="J15" s="99" t="n">
        <x:f>'估值系统'!$D$7*(E15-G15)/(F15-G15)</x:f>
        <x:v>25.638124999999995</x:v>
      </x:c>
      <x:c r="K15" s="99" t="n">
        <x:f>'估值系统'!$D$12*H15/I15</x:f>
        <x:v>12.879999999999999</x:v>
      </x:c>
      <x:c r="L15" s="99" t="n">
        <x:f>'同业比较'!$R$17</x:f>
        <x:v>15.27017821782178</x:v>
      </x:c>
      <x:c r="M15" s="99" t="n">
        <x:f>J15*40%+K15*40%+L15*20%</x:f>
        <x:v>18.461285643564352</x:v>
      </x:c>
      <x:c r="N15" s="105" t="n">
        <x:f>1-'估值系统'!$D$6/M15</x:f>
        <x:v>0.37328308421286305</x:v>
      </x:c>
      <x:c r="O15" s="89"/>
      <x:c r="P15" s="89"/>
      <x:c r="Q15" s="89"/>
      <x:c r="R15" s="89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</x:row>
    <x:row r="17" ht="24" customHeight="1">
      <x:c r="A17" s="89"/>
      <x:c r="B17" s="89"/>
      <x:c r="C17" s="446" t="str">
        <x:v>净息差与ROE的配对是分析情景，不是机械换算。综合价值按可持续PB 40%、常态股息价值40%、同业价值20%计算，用于减少历史估值回归的影响。</x:v>
      </x:c>
      <x:c r="D17" s="446"/>
      <x:c r="E17" s="446"/>
      <x:c r="F17" s="446"/>
      <x:c r="G17" s="446"/>
      <x:c r="H17" s="446"/>
      <x:c r="I17" s="446"/>
      <x:c r="J17" s="446"/>
      <x:c r="K17" s="446"/>
      <x:c r="L17" s="446"/>
      <x:c r="M17" s="446"/>
      <x:c r="N17" s="446"/>
      <x:c r="O17" s="446"/>
      <x:c r="P17" s="446"/>
      <x:c r="Q17" s="446"/>
      <x:c r="R17" s="446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</x:row>
    <x:row r="19" ht="23" customHeight="1">
      <x:c r="A19" s="89"/>
      <x:c r="B19" s="89"/>
      <x:c r="C19" s="68" t="str">
        <x:v>ROE与股权成本敏感性</x:v>
      </x:c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</x:row>
    <x:row r="20">
      <x:c r="A20" s="89"/>
      <x:c r="B20" s="89"/>
      <x:c r="C20" s="17" t="str">
        <x:v>长期ROE / 股权成本</x:v>
      </x:c>
      <x:c r="D20" s="162" t="n">
        <x:v>0.095</x:v>
      </x:c>
      <x:c r="E20" s="162" t="n">
        <x:v>0.105</x:v>
      </x:c>
      <x:c r="F20" s="163" t="n">
        <x:v>0.115</x:v>
      </x:c>
      <x:c r="G20" s="89"/>
      <x:c r="H20" s="17" t="str">
        <x:v>ROE情景</x:v>
      </x:c>
      <x:c r="I20" s="18" t="str">
        <x:v>ROE对应价值</x:v>
      </x:c>
      <x:c r="J20" s="18" t="str">
        <x:v>综合估值中枢</x:v>
      </x:c>
      <x:c r="K20" s="18" t="str">
        <x:v>较现价折价</x:v>
      </x:c>
      <x:c r="L20" s="18" t="str">
        <x:v>判断</x:v>
      </x:c>
      <x:c r="M20" s="19"/>
      <x:c r="N20" s="89"/>
      <x:c r="O20" s="89"/>
      <x:c r="P20" s="89"/>
      <x:c r="Q20" s="89"/>
      <x:c r="R20" s="89"/>
    </x:row>
    <x:row r="21">
      <x:c r="A21" s="89"/>
      <x:c r="B21" s="89"/>
      <x:c r="C21" s="437" t="n">
        <x:v>0.06</x:v>
      </x:c>
      <x:c r="D21" s="146" t="n">
        <x:f>'估值系统'!$D$7*($C21-2%)/(D$20-2%)</x:f>
        <x:v>12.869333333333332</x:v>
      </x:c>
      <x:c r="E21" s="146" t="n">
        <x:f>'估值系统'!$D$7*($C21-2%)/(E$20-2%)</x:f>
        <x:v>11.355294117647057</x:v>
      </x:c>
      <x:c r="F21" s="146" t="n">
        <x:f>'估值系统'!$D$7*($C21-2%)/(F$20-2%)</x:f>
        <x:v>10.159999999999998</x:v>
      </x:c>
      <x:c r="G21" s="89"/>
      <x:c r="H21" s="143" t="n">
        <x:f>C21</x:f>
        <x:v>0.06</x:v>
      </x:c>
      <x:c r="I21" s="144" t="n">
        <x:f>E21</x:f>
        <x:v>11.355294117647057</x:v>
      </x:c>
      <x:c r="J21" s="144" t="n">
        <x:f>I21*30%+'估值系统'!$M$8*10%+'估值系统'!$M$9*10%+'估值系统'!$M$10*20%+'估值系统'!$M$11*30%</x:f>
        <x:v>13.618461757322395</x:v>
      </x:c>
      <x:c r="K21" s="143" t="n">
        <x:f>1-'估值系统'!$D$6/J21</x:f>
        <x:v>0.15041799828978297</x:v>
      </x:c>
      <x:c r="L21" s="23" t="str">
        <x:v>接近价值陷阱定价</x:v>
      </x:c>
      <x:c r="M21" s="23"/>
      <x:c r="N21" s="89"/>
      <x:c r="O21" s="89"/>
      <x:c r="P21" s="89"/>
      <x:c r="Q21" s="89"/>
      <x:c r="R21" s="89"/>
    </x:row>
    <x:row r="22">
      <x:c r="A22" s="89"/>
      <x:c r="B22" s="89"/>
      <x:c r="C22" s="437" t="n">
        <x:v>0.07</x:v>
      </x:c>
      <x:c r="D22" s="146" t="n">
        <x:f>'估值系统'!$D$7*($C22-2%)/(D$20-2%)</x:f>
        <x:v>16.08666666666667</x:v>
      </x:c>
      <x:c r="E22" s="146" t="n">
        <x:f>'估值系统'!$D$7*($C22-2%)/(E$20-2%)</x:f>
        <x:v>14.194117647058826</x:v>
      </x:c>
      <x:c r="F22" s="146" t="n">
        <x:f>'估值系统'!$D$7*($C22-2%)/(F$20-2%)</x:f>
        <x:v>12.700000000000001</x:v>
      </x:c>
      <x:c r="G22" s="89"/>
      <x:c r="H22" s="39" t="n">
        <x:f>C22</x:f>
        <x:v>0.07</x:v>
      </x:c>
      <x:c r="I22" s="41" t="n">
        <x:f>E22</x:f>
        <x:v>14.194117647058826</x:v>
      </x:c>
      <x:c r="J22" s="41" t="n">
        <x:f>I22*30%+'估值系统'!$M$8*10%+'估值系统'!$M$9*10%+'估值系统'!$M$10*20%+'估值系统'!$M$11*30%</x:f>
        <x:v>14.470108816145926</x:v>
      </x:c>
      <x:c r="K22" s="39" t="n">
        <x:f>1-'估值系统'!$D$6/J22</x:f>
        <x:v>0.20042066393515634</x:v>
      </x:c>
      <x:c r="L22" s="24" t="str">
        <x:v>折价有限</x:v>
      </x:c>
      <x:c r="M22" s="24"/>
      <x:c r="N22" s="89"/>
      <x:c r="O22" s="89"/>
      <x:c r="P22" s="89"/>
      <x:c r="Q22" s="89"/>
      <x:c r="R22" s="89"/>
    </x:row>
    <x:row r="23">
      <x:c r="A23" s="89"/>
      <x:c r="B23" s="89"/>
      <x:c r="C23" s="437" t="n">
        <x:v>0.08</x:v>
      </x:c>
      <x:c r="D23" s="146" t="n">
        <x:f>'估值系统'!$D$7*($C23-2%)/(D$20-2%)</x:f>
        <x:v>19.304000000000002</x:v>
      </x:c>
      <x:c r="E23" s="146" t="n">
        <x:f>'估值系统'!$D$7*($C23-2%)/(E$20-2%)</x:f>
        <x:v>17.03294117647059</x:v>
      </x:c>
      <x:c r="F23" s="146" t="n">
        <x:f>'估值系统'!$D$7*($C23-2%)/(F$20-2%)</x:f>
        <x:v>15.24</x:v>
      </x:c>
      <x:c r="G23" s="89"/>
      <x:c r="H23" s="52" t="n">
        <x:f>C23</x:f>
        <x:v>0.08</x:v>
      </x:c>
      <x:c r="I23" s="54" t="n">
        <x:f>E23</x:f>
        <x:v>17.03294117647059</x:v>
      </x:c>
      <x:c r="J23" s="54" t="n">
        <x:f>I23*30%+'估值系统'!$M$8*10%+'估值系统'!$M$9*10%+'估值系统'!$M$10*20%+'估值系统'!$M$11*30%</x:f>
        <x:v>15.321755874969455</x:v>
      </x:c>
      <x:c r="K23" s="52" t="n">
        <x:f>1-'估值系统'!$D$6/J23</x:f>
        <x:v>0.24486461640460866</x:v>
      </x:c>
      <x:c r="L23" s="289" t="str">
        <x:v>低估程度明显收窄</x:v>
      </x:c>
      <x:c r="M23" s="289"/>
      <x:c r="N23" s="89"/>
      <x:c r="O23" s="89"/>
      <x:c r="P23" s="89"/>
      <x:c r="Q23" s="89"/>
      <x:c r="R23" s="89"/>
    </x:row>
    <x:row r="24">
      <x:c r="A24" s="89"/>
      <x:c r="B24" s="89"/>
      <x:c r="C24" s="437" t="n">
        <x:v>0.09</x:v>
      </x:c>
      <x:c r="D24" s="146" t="n">
        <x:f>'估值系统'!$D$7*($C24-2%)/(D$20-2%)</x:f>
        <x:v>22.52133333333333</x:v>
      </x:c>
      <x:c r="E24" s="146" t="n">
        <x:f>'估值系统'!$D$7*($C24-2%)/(E$20-2%)</x:f>
        <x:v>19.871764705882352</x:v>
      </x:c>
      <x:c r="F24" s="146" t="n">
        <x:f>'估值系统'!$D$7*($C24-2%)/(F$20-2%)</x:f>
        <x:v>17.779999999999998</x:v>
      </x:c>
      <x:c r="G24" s="89"/>
      <x:c r="H24" s="52" t="n">
        <x:f>C24</x:f>
        <x:v>0.09</x:v>
      </x:c>
      <x:c r="I24" s="54" t="n">
        <x:f>E24</x:f>
        <x:v>19.871764705882352</x:v>
      </x:c>
      <x:c r="J24" s="54" t="n">
        <x:f>I24*30%+'估值系统'!$M$8*10%+'估值系统'!$M$9*10%+'估值系统'!$M$10*20%+'估值系统'!$M$11*30%</x:f>
        <x:v>16.173402933792982</x:v>
      </x:c>
      <x:c r="K24" s="52" t="n">
        <x:f>1-'估值系统'!$D$6/J24</x:f>
        <x:v>0.28462797548774066</x:v>
      </x:c>
      <x:c r="L24" s="289" t="str">
        <x:v>进入可验证低估区</x:v>
      </x:c>
      <x:c r="M24" s="289"/>
      <x:c r="N24" s="89"/>
      <x:c r="O24" s="89"/>
      <x:c r="P24" s="89"/>
      <x:c r="Q24" s="89"/>
      <x:c r="R24" s="89"/>
    </x:row>
    <x:row r="25">
      <x:c r="A25" s="89"/>
      <x:c r="B25" s="89"/>
      <x:c r="C25" s="437" t="n">
        <x:v>0.1</x:v>
      </x:c>
      <x:c r="D25" s="146" t="n">
        <x:f>'估值系统'!$D$7*($C25-2%)/(D$20-2%)</x:f>
        <x:v>25.738666666666667</x:v>
      </x:c>
      <x:c r="E25" s="146" t="n">
        <x:f>'估值系统'!$D$7*($C25-2%)/(E$20-2%)</x:f>
        <x:v>22.710588235294118</x:v>
      </x:c>
      <x:c r="F25" s="146" t="n">
        <x:f>'估值系统'!$D$7*($C25-2%)/(F$20-2%)</x:f>
        <x:v>20.32</x:v>
      </x:c>
      <x:c r="G25" s="89"/>
      <x:c r="H25" s="39" t="n">
        <x:f>C25</x:f>
        <x:v>0.1</x:v>
      </x:c>
      <x:c r="I25" s="41" t="n">
        <x:f>E25</x:f>
        <x:v>22.710588235294118</x:v>
      </x:c>
      <x:c r="J25" s="41" t="n">
        <x:f>I25*30%+'估值系统'!$M$8*10%+'估值系统'!$M$9*10%+'估值系统'!$M$10*20%+'估值系统'!$M$11*30%</x:f>
        <x:v>17.025049992616513</x:v>
      </x:c>
      <x:c r="K25" s="39" t="n">
        <x:f>1-'估值系统'!$D$6/J25</x:f>
        <x:v>0.3204131556137737</x:v>
      </x:c>
      <x:c r="L25" s="24" t="str">
        <x:v>接近基准经营能力</x:v>
      </x:c>
      <x:c r="M25" s="24"/>
      <x:c r="N25" s="89"/>
      <x:c r="O25" s="89"/>
      <x:c r="P25" s="89"/>
      <x:c r="Q25" s="89"/>
      <x:c r="R25" s="89"/>
    </x:row>
    <x:row r="26">
      <x:c r="A26" s="89"/>
      <x:c r="B26" s="89"/>
      <x:c r="C26" s="437" t="n">
        <x:v>0.105</x:v>
      </x:c>
      <x:c r="D26" s="146" t="n">
        <x:f>'估值系统'!$D$7*($C26-2%)/(D$20-2%)</x:f>
        <x:v>27.347333333333328</x:v>
      </x:c>
      <x:c r="E26" s="146" t="n">
        <x:f>'估值系统'!$D$7*($C26-2%)/(E$20-2%)</x:f>
        <x:v>24.13</x:v>
      </x:c>
      <x:c r="F26" s="146" t="n">
        <x:f>'估值系统'!$D$7*($C26-2%)/(F$20-2%)</x:f>
        <x:v>21.589999999999996</x:v>
      </x:c>
      <x:c r="G26" s="89"/>
      <x:c r="H26" s="105" t="n">
        <x:f>C26</x:f>
        <x:v>0.105</x:v>
      </x:c>
      <x:c r="I26" s="99" t="n">
        <x:f>E26</x:f>
        <x:v>24.13</x:v>
      </x:c>
      <x:c r="J26" s="99" t="n">
        <x:f>I26*30%+'估值系统'!$M$8*10%+'估值系统'!$M$9*10%+'估值系统'!$M$10*20%+'估值系统'!$M$11*30%</x:f>
        <x:v>17.450873522028274</x:v>
      </x:c>
      <x:c r="K26" s="105" t="n">
        <x:f>1-'估值系统'!$D$6/J26</x:f>
        <x:v>0.3369959397508001</x:v>
      </x:c>
      <x:c r="L26" s="25" t="str">
        <x:v>需要收入与资本共同支撑</x:v>
      </x:c>
      <x:c r="M26" s="25"/>
      <x:c r="N26" s="89"/>
      <x:c r="O26" s="89"/>
      <x:c r="P26" s="89"/>
      <x:c r="Q26" s="89"/>
      <x:c r="R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</x:row>
    <x:row r="30" ht="23" customHeight="1">
      <x:c r="A30" s="89"/>
      <x:c r="B30" s="89"/>
      <x:c r="C30" s="68" t="str">
        <x:v>双口径安全边际</x:v>
      </x:c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</x:row>
    <x:row r="31">
      <x:c r="A31" s="89"/>
      <x:c r="B31" s="89"/>
      <x:c r="C31" s="17" t="str">
        <x:v>口径</x:v>
      </x:c>
      <x:c r="D31" s="18" t="str">
        <x:v>价值下沿</x:v>
      </x:c>
      <x:c r="E31" s="18" t="str">
        <x:v>价值上沿</x:v>
      </x:c>
      <x:c r="F31" s="18" t="str">
        <x:v>相对现价折价下沿</x:v>
      </x:c>
      <x:c r="G31" s="19" t="str">
        <x:v>相对现价折价上沿</x:v>
      </x:c>
      <x:c r="H31" s="89"/>
      <x:c r="I31" s="447" t="str">
        <x:v>判断：当前价格相对修订后的综合中枢仍有约三成折价，但相对股利模型与常态股息价值只有个位数至约一成折价。因而结论从“明显低估、可积极分批”下调为“估值不贵、接近防守价值，小仓观察或等待更高安全边际”。若长期ROE降至8%，综合中枢会降至约15元，历史均值回归不能再作为主要买入理由。</x:v>
      </x:c>
      <x:c r="J31" s="448"/>
      <x:c r="K31" s="448"/>
      <x:c r="L31" s="448"/>
      <x:c r="M31" s="448"/>
      <x:c r="N31" s="448"/>
      <x:c r="O31" s="448"/>
      <x:c r="P31" s="448"/>
      <x:c r="Q31" s="448"/>
      <x:c r="R31" s="449"/>
    </x:row>
    <x:row r="32">
      <x:c r="A32" s="89"/>
      <x:c r="B32" s="89"/>
      <x:c r="C32" s="23" t="str">
        <x:v>六法修订加权</x:v>
      </x:c>
      <x:c r="D32" s="144" t="n">
        <x:f>'估值系统'!M12</x:f>
        <x:v>16.837593606777297</x:v>
      </x:c>
      <x:c r="E32" s="144" t="n">
        <x:f>'估值系统'!M12</x:f>
        <x:v>16.837593606777297</x:v>
      </x:c>
      <x:c r="F32" s="143" t="n">
        <x:f>1-'估值系统'!$D$6/D32</x:f>
        <x:v>0.31284717577795906</x:v>
      </x:c>
      <x:c r="G32" s="143" t="n">
        <x:f>1-'估值系统'!$D$6/E32</x:f>
        <x:v>0.31284717577795906</x:v>
      </x:c>
      <x:c r="H32" s="89"/>
      <x:c r="I32" s="450"/>
      <x:c r="J32" s="350"/>
      <x:c r="K32" s="350"/>
      <x:c r="L32" s="350"/>
      <x:c r="M32" s="350"/>
      <x:c r="N32" s="350"/>
      <x:c r="O32" s="350"/>
      <x:c r="P32" s="350"/>
      <x:c r="Q32" s="350"/>
      <x:c r="R32" s="451"/>
    </x:row>
    <x:row r="33">
      <x:c r="A33" s="89"/>
      <x:c r="B33" s="89"/>
      <x:c r="C33" s="24" t="str">
        <x:v>两阶段股利模型</x:v>
      </x:c>
      <x:c r="D33" s="41" t="n">
        <x:f>'估值系统'!M11</x:f>
        <x:v>12.586766034247656</x:v>
      </x:c>
      <x:c r="E33" s="41" t="n">
        <x:f>'估值系统'!M11</x:f>
        <x:v>12.586766034247656</x:v>
      </x:c>
      <x:c r="F33" s="39" t="n">
        <x:f>1-'估值系统'!$D$6/D33</x:f>
        <x:v>0.08078056201895789</x:v>
      </x:c>
      <x:c r="G33" s="39" t="n">
        <x:f>1-'估值系统'!$D$6/E33</x:f>
        <x:v>0.08078056201895789</x:v>
      </x:c>
      <x:c r="H33" s="89"/>
      <x:c r="I33" s="450"/>
      <x:c r="J33" s="350"/>
      <x:c r="K33" s="350"/>
      <x:c r="L33" s="350"/>
      <x:c r="M33" s="350"/>
      <x:c r="N33" s="350"/>
      <x:c r="O33" s="350"/>
      <x:c r="P33" s="350"/>
      <x:c r="Q33" s="350"/>
      <x:c r="R33" s="451"/>
    </x:row>
    <x:row r="34">
      <x:c r="A34" s="89"/>
      <x:c r="B34" s="89"/>
      <x:c r="C34" s="24" t="str">
        <x:v>常态股息率法</x:v>
      </x:c>
      <x:c r="D34" s="41" t="n">
        <x:f>'估值系统'!D12*27%/5%</x:f>
        <x:v>11.592000000000002</x:v>
      </x:c>
      <x:c r="E34" s="41" t="n">
        <x:f>'估值系统'!D12*30%/5%</x:f>
        <x:v>12.879999999999999</x:v>
      </x:c>
      <x:c r="F34" s="39" t="n">
        <x:f>1-'估值系统'!$D$6/D34</x:f>
        <x:v>0.0018978605935129345</x:v>
      </x:c>
      <x:c r="G34" s="39" t="n">
        <x:f>1-'估值系统'!$D$6/E34</x:f>
        <x:v>0.10170807453416142</x:v>
      </x:c>
      <x:c r="H34" s="89"/>
      <x:c r="I34" s="450"/>
      <x:c r="J34" s="350"/>
      <x:c r="K34" s="350"/>
      <x:c r="L34" s="350"/>
      <x:c r="M34" s="350"/>
      <x:c r="N34" s="350"/>
      <x:c r="O34" s="350"/>
      <x:c r="P34" s="350"/>
      <x:c r="Q34" s="350"/>
      <x:c r="R34" s="451"/>
    </x:row>
    <x:row r="35">
      <x:c r="A35" s="89"/>
      <x:c r="B35" s="89"/>
      <x:c r="C35" s="140" t="str">
        <x:v>核心合理价值区间</x:v>
      </x:c>
      <x:c r="D35" s="159" t="n">
        <x:f>'估值系统'!K15</x:f>
        <x:v>13</x:v>
      </x:c>
      <x:c r="E35" s="159" t="n">
        <x:f>'估值系统'!K16</x:f>
        <x:v>17</x:v>
      </x:c>
      <x:c r="F35" s="452" t="n">
        <x:f>1-'估值系统'!$D$6/D35</x:f>
        <x:v>0.10999999999999999</x:v>
      </x:c>
      <x:c r="G35" s="452" t="n">
        <x:f>1-'估值系统'!$D$6/E35</x:f>
        <x:v>0.3194117647058823</x:v>
      </x:c>
      <x:c r="H35" s="89"/>
      <x:c r="I35" s="453"/>
      <x:c r="J35" s="454"/>
      <x:c r="K35" s="454"/>
      <x:c r="L35" s="454"/>
      <x:c r="M35" s="454"/>
      <x:c r="N35" s="454"/>
      <x:c r="O35" s="454"/>
      <x:c r="P35" s="454"/>
      <x:c r="Q35" s="454"/>
      <x:c r="R35" s="45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</x:row>
  </x:sheetData>
  <x:mergeCells>
    <x:mergeCell ref="C2:R2"/>
    <x:mergeCell ref="C3:R3"/>
    <x:mergeCell ref="C4:R4"/>
    <x:mergeCell ref="C5:F5"/>
    <x:mergeCell ref="C6:F7"/>
    <x:mergeCell ref="G5:J5"/>
    <x:mergeCell ref="G6:J7"/>
    <x:mergeCell ref="K5:N5"/>
    <x:mergeCell ref="K6:N7"/>
    <x:mergeCell ref="O5:P5"/>
    <x:mergeCell ref="O6:P7"/>
    <x:mergeCell ref="Q5:R5"/>
    <x:mergeCell ref="Q6:R7"/>
    <x:mergeCell ref="C10:R10"/>
    <x:mergeCell ref="C17:R17"/>
    <x:mergeCell ref="C19:R19"/>
    <x:mergeCell ref="L20:M20"/>
    <x:mergeCell ref="L21:M21"/>
    <x:mergeCell ref="L22:M22"/>
    <x:mergeCell ref="L23:M23"/>
    <x:mergeCell ref="L24:M24"/>
    <x:mergeCell ref="L25:M25"/>
    <x:mergeCell ref="L26:M26"/>
    <x:mergeCell ref="C30:R30"/>
    <x:mergeCell ref="I31:R35"/>
  </x:mergeCells>
  <x:conditionalFormatting sqref="D21:F26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b60c7cdbf12c46d9"/>
</x:worksheet>
</file>

<file path=xl/worksheets/sheet5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7" hidden="0" customWidth="1"/>
    <x:col min="4" max="4" width="14" hidden="0" customWidth="1"/>
    <x:col min="5" max="5" width="13" hidden="0" customWidth="1"/>
    <x:col min="6" max="6" width="15" hidden="0" customWidth="1"/>
    <x:col min="7" max="7" width="16" hidden="0" customWidth="1"/>
    <x:col min="8" max="8" width="23" hidden="0" customWidth="1"/>
    <x:col min="9" max="9" width="4" hidden="0" customWidth="1"/>
    <x:col min="10" max="10" width="4" hidden="0" customWidth="1"/>
    <x:col min="11" max="11" width="23" hidden="0" customWidth="1"/>
    <x:col min="12" max="12" width="13" hidden="0" customWidth="1"/>
    <x:col min="13" max="13" width="13" hidden="0" customWidth="1"/>
    <x:col min="14" max="14" width="16" hidden="0" customWidth="1"/>
    <x:col min="15" max="15" width="13" hidden="0" customWidth="1"/>
    <x:col min="16" max="16" width="13" hidden="0" customWidth="1"/>
    <x:col min="17" max="17" width="13" hidden="0" customWidth="1"/>
    <x:col min="18" max="18" width="2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</x:row>
    <x:row r="2" ht="27" customHeight="1">
      <x:c r="A2" s="89"/>
      <x:c r="B2" s="89"/>
      <x:c r="C2" s="4" t="str">
        <x:v>平安银行股息率与分红能力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</x:row>
    <x:row r="3">
      <x:c r="A3" s="89"/>
      <x:c r="B3" s="89"/>
      <x:c r="C3" s="6" t="str">
        <x:v>实际分红、可持续支付率与股息率估值（股价截至2026-10-13）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</x:row>
    <x:row r="4" ht="20" customHeight="1">
      <x:c r="A4" s="89"/>
      <x:c r="B4" s="89"/>
      <x:c r="C4" s="11" t="str">
        <x:v>阅读顺序：①年度股息率口径　②历史支付率与资本约束　③分红情景　④股息率估值矩阵</x:v>
      </x:c>
      <x:c r="D4" s="423"/>
      <x:c r="E4" s="423"/>
      <x:c r="F4" s="423"/>
      <x:c r="G4" s="423"/>
      <x:c r="H4" s="423"/>
      <x:c r="I4" s="423"/>
      <x:c r="J4" s="423"/>
      <x:c r="K4" s="423"/>
      <x:c r="L4" s="423"/>
      <x:c r="M4" s="423"/>
      <x:c r="N4" s="423"/>
      <x:c r="O4" s="423"/>
      <x:c r="P4" s="423"/>
      <x:c r="Q4" s="423"/>
      <x:c r="R4" s="423"/>
    </x:row>
    <x:row r="5">
      <x:c r="A5" s="89"/>
      <x:c r="B5" s="89"/>
      <x:c r="C5" s="68" t="str">
        <x:v>当前股价</x:v>
      </x:c>
      <x:c r="D5" s="68"/>
      <x:c r="E5" s="68"/>
      <x:c r="F5" s="68"/>
      <x:c r="G5" s="68" t="str">
        <x:v>2025全年DPS</x:v>
      </x:c>
      <x:c r="H5" s="68"/>
      <x:c r="I5" s="68"/>
      <x:c r="J5" s="68"/>
      <x:c r="K5" s="68" t="str">
        <x:v>2025全年股息率</x:v>
      </x:c>
      <x:c r="L5" s="68"/>
      <x:c r="M5" s="68"/>
      <x:c r="N5" s="68"/>
      <x:c r="O5" s="68" t="str">
        <x:v>近12个月现金股息率</x:v>
      </x:c>
      <x:c r="P5" s="68"/>
      <x:c r="Q5" s="68"/>
      <x:c r="R5" s="68"/>
    </x:row>
    <x:row r="6">
      <x:c r="A6" s="89"/>
      <x:c r="B6" s="89"/>
      <x:c r="C6" s="168" t="n">
        <x:f>'估值系统'!D6</x:f>
        <x:v>11.57</x:v>
      </x:c>
      <x:c r="D6" s="168"/>
      <x:c r="E6" s="168"/>
      <x:c r="F6" s="168"/>
      <x:c r="G6" s="211" t="n">
        <x:f>'财务十年'!M24</x:f>
        <x:v>0.596</x:v>
      </x:c>
      <x:c r="H6" s="211"/>
      <x:c r="I6" s="211"/>
      <x:c r="J6" s="211"/>
      <x:c r="K6" s="213" t="n">
        <x:f>G6/C6</x:f>
        <x:v>0.05151253241140881</x:v>
      </x:c>
      <x:c r="L6" s="213"/>
      <x:c r="M6" s="213"/>
      <x:c r="N6" s="213"/>
      <x:c r="O6" s="215" t="n">
        <x:f>'估值系统'!D18</x:f>
        <x:v>0.07303370786516854</x:v>
      </x:c>
      <x:c r="P6" s="215"/>
      <x:c r="Q6" s="215"/>
      <x:c r="R6" s="215"/>
    </x:row>
    <x:row r="7">
      <x:c r="A7" s="89"/>
      <x:c r="B7" s="89"/>
      <x:c r="C7" s="168"/>
      <x:c r="D7" s="168"/>
      <x:c r="E7" s="168"/>
      <x:c r="F7" s="168"/>
      <x:c r="G7" s="211"/>
      <x:c r="H7" s="211"/>
      <x:c r="I7" s="211"/>
      <x:c r="J7" s="211"/>
      <x:c r="K7" s="213"/>
      <x:c r="L7" s="213"/>
      <x:c r="M7" s="213"/>
      <x:c r="N7" s="213"/>
      <x:c r="O7" s="215"/>
      <x:c r="P7" s="215"/>
      <x:c r="Q7" s="215"/>
      <x:c r="R7" s="215"/>
    </x:row>
    <x:row r="8" ht="27" customHeight="1">
      <x:c r="A8" s="89"/>
      <x:c r="B8" s="89"/>
      <x:c r="C8" s="218" t="str">
        <x:v>注意：27%—30%是当前常态分红支付率，不是股息率；35%仅作为核心一级资本明显改善后的条件情景。近12个月7.30%包含三次派息，不能外推。</x:v>
      </x:c>
      <x:c r="D8" s="218"/>
      <x:c r="E8" s="218"/>
      <x:c r="F8" s="218"/>
      <x:c r="G8" s="218"/>
      <x:c r="H8" s="218"/>
      <x:c r="I8" s="218"/>
      <x:c r="J8" s="218"/>
      <x:c r="K8" s="218"/>
      <x:c r="L8" s="218"/>
      <x:c r="M8" s="218"/>
      <x:c r="N8" s="218"/>
      <x:c r="O8" s="218"/>
      <x:c r="P8" s="218"/>
      <x:c r="Q8" s="218"/>
      <x:c r="R8" s="218"/>
    </x:row>
    <x:row r="9">
      <x:c r="A9" s="89"/>
      <x:c r="B9" s="89"/>
      <x:c r="C9" s="89"/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</x:row>
    <x:row r="10" ht="23" customHeight="1">
      <x:c r="A10" s="89"/>
      <x:c r="B10" s="89"/>
      <x:c r="C10" s="68" t="str">
        <x:v>历史分红与当前口径</x:v>
      </x:c>
      <x:c r="D10" s="89"/>
      <x:c r="E10" s="89"/>
      <x:c r="F10" s="89"/>
      <x:c r="G10" s="89"/>
      <x:c r="H10" s="89"/>
      <x:c r="I10" s="89"/>
      <x:c r="J10" s="89"/>
      <x:c r="K10" s="68" t="str">
        <x:v>资本约束</x:v>
      </x:c>
      <x:c r="L10" s="89"/>
      <x:c r="M10" s="89"/>
      <x:c r="N10" s="89"/>
      <x:c r="O10" s="89"/>
      <x:c r="P10" s="89"/>
      <x:c r="Q10" s="89"/>
      <x:c r="R10" s="89"/>
    </x:row>
    <x:row r="11">
      <x:c r="A11" s="89"/>
      <x:c r="B11" s="89"/>
      <x:c r="C11" s="17" t="str">
        <x:v>年度</x:v>
      </x:c>
      <x:c r="D11" s="18" t="str">
        <x:v>EPS</x:v>
      </x:c>
      <x:c r="E11" s="18" t="str">
        <x:v>DPS</x:v>
      </x:c>
      <x:c r="F11" s="18" t="str">
        <x:v>每股支付率</x:v>
      </x:c>
      <x:c r="G11" s="19" t="str">
        <x:v>按现价股息率</x:v>
      </x:c>
      <x:c r="H11" s="89"/>
      <x:c r="I11" s="89"/>
      <x:c r="J11" s="89"/>
      <x:c r="K11" s="17" t="str">
        <x:v>资本指标</x:v>
      </x:c>
      <x:c r="L11" s="18" t="str">
        <x:v>当前值</x:v>
      </x:c>
      <x:c r="M11" s="18" t="str">
        <x:v>含义</x:v>
      </x:c>
      <x:c r="N11" s="18"/>
      <x:c r="O11" s="18"/>
      <x:c r="P11" s="18"/>
      <x:c r="Q11" s="18"/>
      <x:c r="R11" s="19"/>
    </x:row>
    <x:row r="12">
      <x:c r="A12" s="89"/>
      <x:c r="B12" s="89"/>
      <x:c r="C12" s="23" t="str">
        <x:f>'财务十年'!I5</x:f>
        <x:v>2021</x:v>
      </x:c>
      <x:c r="D12" s="302" t="n">
        <x:f>'财务十年'!I10</x:f>
        <x:v>1.73</x:v>
      </x:c>
      <x:c r="E12" s="302" t="n">
        <x:f>'财务十年'!I24</x:f>
        <x:v>0.228</x:v>
      </x:c>
      <x:c r="F12" s="143" t="n">
        <x:f>'财务十年'!I25</x:f>
        <x:v>0.13179190751445088</x:v>
      </x:c>
      <x:c r="G12" s="143" t="n">
        <x:f>E12/'估值系统'!$D$6</x:f>
        <x:v>0.019706136560069143</x:v>
      </x:c>
      <x:c r="H12" s="89"/>
      <x:c r="I12" s="89"/>
      <x:c r="J12" s="89"/>
      <x:c r="K12" s="23" t="str">
        <x:v>核心一级资本充足率</x:v>
      </x:c>
      <x:c r="L12" s="238" t="n">
        <x:f>'财务十年'!N18</x:f>
        <x:v>0.0932</x:v>
      </x:c>
      <x:c r="M12" s="23" t="str">
        <x:v>2026年6月末</x:v>
      </x:c>
      <x:c r="N12" s="23"/>
      <x:c r="O12" s="23"/>
      <x:c r="P12" s="23"/>
      <x:c r="Q12" s="23"/>
      <x:c r="R12" s="23"/>
    </x:row>
    <x:row r="13">
      <x:c r="A13" s="89"/>
      <x:c r="B13" s="89"/>
      <x:c r="C13" s="24" t="str">
        <x:f>'财务十年'!J5</x:f>
        <x:v>2022</x:v>
      </x:c>
      <x:c r="D13" s="46" t="n">
        <x:f>'财务十年'!J10</x:f>
        <x:v>2.2</x:v>
      </x:c>
      <x:c r="E13" s="46" t="n">
        <x:f>'财务十年'!J24</x:f>
        <x:v>0.285</x:v>
      </x:c>
      <x:c r="F13" s="39" t="n">
        <x:f>'财务十年'!J25</x:f>
        <x:v>0.12954545454545452</x:v>
      </x:c>
      <x:c r="G13" s="39" t="n">
        <x:f>E13/'估值系统'!$D$6</x:f>
        <x:v>0.02463267070008643</x:v>
      </x:c>
      <x:c r="H13" s="89"/>
      <x:c r="I13" s="89"/>
      <x:c r="J13" s="89"/>
      <x:c r="K13" s="24" t="str">
        <x:v>监管最低要求</x:v>
      </x:c>
      <x:c r="L13" s="44" t="n">
        <x:f>7.75%</x:f>
        <x:v>0.0775</x:v>
      </x:c>
      <x:c r="M13" s="24" t="str">
        <x:v>含储备资本和系统重要性附加要求</x:v>
      </x:c>
      <x:c r="N13" s="24"/>
      <x:c r="O13" s="24"/>
      <x:c r="P13" s="24"/>
      <x:c r="Q13" s="24"/>
      <x:c r="R13" s="24"/>
    </x:row>
    <x:row r="14">
      <x:c r="A14" s="89"/>
      <x:c r="B14" s="89"/>
      <x:c r="C14" s="24" t="str">
        <x:f>'财务十年'!K5</x:f>
        <x:v>2023</x:v>
      </x:c>
      <x:c r="D14" s="46" t="n">
        <x:f>'财务十年'!K10</x:f>
        <x:v>2.25</x:v>
      </x:c>
      <x:c r="E14" s="46" t="n">
        <x:f>'财务十年'!K24</x:f>
        <x:v>0.719</x:v>
      </x:c>
      <x:c r="F14" s="39" t="n">
        <x:f>'财务十年'!K25</x:f>
        <x:v>0.31955555555555554</x:v>
      </x:c>
      <x:c r="G14" s="39" t="n">
        <x:f>E14/'估值系统'!$D$6</x:f>
        <x:v>0.06214347450302506</x:v>
      </x:c>
      <x:c r="H14" s="89"/>
      <x:c r="I14" s="89"/>
      <x:c r="J14" s="89"/>
      <x:c r="K14" s="24" t="str">
        <x:v>当前资本缓冲</x:v>
      </x:c>
      <x:c r="L14" s="44" t="n">
        <x:f>L12-L13</x:f>
        <x:v>0.015700000000000006</x:v>
      </x:c>
      <x:c r="M14" s="24" t="str">
        <x:v>仅高于监管线1.57个百分点</x:v>
      </x:c>
      <x:c r="N14" s="24"/>
      <x:c r="O14" s="24"/>
      <x:c r="P14" s="24"/>
      <x:c r="Q14" s="24"/>
      <x:c r="R14" s="24"/>
    </x:row>
    <x:row r="15">
      <x:c r="A15" s="89"/>
      <x:c r="B15" s="89"/>
      <x:c r="C15" s="24" t="str">
        <x:f>'财务十年'!L5</x:f>
        <x:v>2024</x:v>
      </x:c>
      <x:c r="D15" s="46" t="n">
        <x:f>'财务十年'!L10</x:f>
        <x:v>2.15</x:v>
      </x:c>
      <x:c r="E15" s="46" t="n">
        <x:f>'财务十年'!L24</x:f>
        <x:v>0.608</x:v>
      </x:c>
      <x:c r="F15" s="39" t="n">
        <x:f>'财务十年'!L25</x:f>
        <x:v>0.2827906976744186</x:v>
      </x:c>
      <x:c r="G15" s="39" t="n">
        <x:f>E15/'估值系统'!$D$6</x:f>
        <x:v>0.05254969749351771</x:v>
      </x:c>
      <x:c r="H15" s="89"/>
      <x:c r="I15" s="89"/>
      <x:c r="J15" s="89"/>
      <x:c r="K15" s="24" t="str">
        <x:v>2025现金分红率（归母）</x:v>
      </x:c>
      <x:c r="L15" s="44" t="n">
        <x:f>115.66/'财务十年'!M8</x:f>
        <x:v>0.2712921914948514</x:v>
      </x:c>
      <x:c r="M15" s="24" t="str">
        <x:v>归母口径27.13%；普通股利润口径28.83%</x:v>
      </x:c>
      <x:c r="N15" s="24"/>
      <x:c r="O15" s="24"/>
      <x:c r="P15" s="24"/>
      <x:c r="Q15" s="24"/>
      <x:c r="R15" s="24"/>
    </x:row>
    <x:row r="16">
      <x:c r="A16" s="89"/>
      <x:c r="B16" s="89"/>
      <x:c r="C16" s="442" t="str">
        <x:f>'财务十年'!M5</x:f>
        <x:v>2025</x:v>
      </x:c>
      <x:c r="D16" s="456" t="n">
        <x:f>'财务十年'!M10</x:f>
        <x:v>2.07</x:v>
      </x:c>
      <x:c r="E16" s="456" t="n">
        <x:f>'财务十年'!M24</x:f>
        <x:v>0.596</x:v>
      </x:c>
      <x:c r="F16" s="444" t="n">
        <x:f>'财务十年'!M25</x:f>
        <x:v>0.28792270531400965</x:v>
      </x:c>
      <x:c r="G16" s="444" t="n">
        <x:f>E16/'估值系统'!$D$6</x:f>
        <x:v>0.05151253241140881</x:v>
      </x:c>
      <x:c r="H16" s="89"/>
      <x:c r="I16" s="89"/>
      <x:c r="J16" s="89"/>
      <x:c r="K16" s="25" t="str">
        <x:v>1H26中期分红率（归母）</x:v>
      </x:c>
      <x:c r="L16" s="103" t="n">
        <x:f>48.32/'财务十年'!N8</x:f>
        <x:v>0.1880448318804483</x:v>
      </x:c>
      <x:c r="M16" s="25" t="str">
        <x:v>归母口径18.80%；普通股利润口径约20.0%</x:v>
      </x:c>
      <x:c r="N16" s="25"/>
      <x:c r="O16" s="25"/>
      <x:c r="P16" s="25"/>
      <x:c r="Q16" s="25"/>
      <x:c r="R16" s="25"/>
    </x:row>
    <x:row r="17">
      <x:c r="A17" s="89"/>
      <x:c r="B17" s="89"/>
      <x:c r="C17" s="457" t="str">
        <x:f>'财务十年'!N5</x:f>
        <x:v>1H26</x:v>
      </x:c>
      <x:c r="D17" s="458" t="n">
        <x:f>'财务十年'!N10</x:f>
        <x:v>1.24</x:v>
      </x:c>
      <x:c r="E17" s="458" t="n">
        <x:f>'财务十年'!N24</x:f>
        <x:v>0.249</x:v>
      </x:c>
      <x:c r="F17" s="459" t="n">
        <x:f>'财务十年'!N25</x:f>
        <x:v>0.20080645161290323</x:v>
      </x:c>
      <x:c r="G17" s="459" t="n">
        <x:f>E17/'估值系统'!$D$6</x:f>
        <x:v>0.021521175453759724</x:v>
      </x:c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</x:row>
    <x:row r="19" ht="23" customHeight="1">
      <x:c r="A19" s="89"/>
      <x:c r="B19" s="89"/>
      <x:c r="C19" s="68" t="str">
        <x:v>分红能力情景</x:v>
      </x:c>
      <x:c r="D19" s="89"/>
      <x:c r="E19" s="89"/>
      <x:c r="F19" s="89"/>
      <x:c r="G19" s="89"/>
      <x:c r="H19" s="89"/>
      <x:c r="I19" s="89"/>
      <x:c r="J19" s="89"/>
      <x:c r="K19" s="68" t="str">
        <x:v>不同支付率下的当前股息率</x:v>
      </x:c>
      <x:c r="L19" s="89"/>
      <x:c r="M19" s="89"/>
      <x:c r="N19" s="89"/>
      <x:c r="O19" s="89"/>
      <x:c r="P19" s="89"/>
      <x:c r="Q19" s="89"/>
      <x:c r="R19" s="89"/>
    </x:row>
    <x:row r="20">
      <x:c r="A20" s="89"/>
      <x:c r="B20" s="89"/>
      <x:c r="C20" s="17" t="str">
        <x:v>情景</x:v>
      </x:c>
      <x:c r="D20" s="18" t="str">
        <x:v>分红支付率</x:v>
      </x:c>
      <x:c r="E20" s="18" t="str">
        <x:v>参考EPS</x:v>
      </x:c>
      <x:c r="F20" s="18" t="str">
        <x:v>每股分红</x:v>
      </x:c>
      <x:c r="G20" s="18" t="str">
        <x:v>现价股息率</x:v>
      </x:c>
      <x:c r="H20" s="19" t="str">
        <x:v>判断</x:v>
      </x:c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</x:row>
    <x:row r="21">
      <x:c r="A21" s="89"/>
      <x:c r="B21" s="89"/>
      <x:c r="C21" s="23" t="str">
        <x:v>2025实际（普通股）</x:v>
      </x:c>
      <x:c r="D21" s="143" t="n">
        <x:f>'财务十年'!M25</x:f>
        <x:v>0.28792270531400965</x:v>
      </x:c>
      <x:c r="E21" s="302" t="n">
        <x:f>'财务十年'!M10</x:f>
        <x:v>2.07</x:v>
      </x:c>
      <x:c r="F21" s="302" t="n">
        <x:f>'财务十年'!M24</x:f>
        <x:v>0.596</x:v>
      </x:c>
      <x:c r="G21" s="143" t="n">
        <x:f>F21/'估值系统'!$D$6</x:f>
        <x:v>0.05151253241140881</x:v>
      </x:c>
      <x:c r="H21" s="23" t="str">
        <x:v>DPS/EPS口径约28.8%</x:v>
      </x:c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</x:row>
    <x:row r="22">
      <x:c r="A22" s="89"/>
      <x:c r="B22" s="89"/>
      <x:c r="C22" s="442" t="str">
        <x:v>保守延续</x:v>
      </x:c>
      <x:c r="D22" s="443" t="n">
        <x:v>0.27</x:v>
      </x:c>
      <x:c r="E22" s="456" t="n">
        <x:f>'估值系统'!D12</x:f>
        <x:v>2.146666666666667</x:v>
      </x:c>
      <x:c r="F22" s="456" t="n">
        <x:f>D22*E22</x:f>
        <x:v>0.5796000000000001</x:v>
      </x:c>
      <x:c r="G22" s="444" t="n">
        <x:f>F22/'估值系统'!$D$6</x:f>
        <x:v>0.05009507346585999</x:v>
      </x:c>
      <x:c r="H22" s="442" t="str">
        <x:v>对应归母口径实际水平</x:v>
      </x:c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</x:row>
    <x:row r="23">
      <x:c r="A23" s="89"/>
      <x:c r="B23" s="89"/>
      <x:c r="C23" s="442" t="str">
        <x:v>常态基准</x:v>
      </x:c>
      <x:c r="D23" s="443" t="n">
        <x:v>0.3</x:v>
      </x:c>
      <x:c r="E23" s="456" t="n">
        <x:f>'估值系统'!D12</x:f>
        <x:v>2.146666666666667</x:v>
      </x:c>
      <x:c r="F23" s="456" t="n">
        <x:f>D23*E23</x:f>
        <x:v>0.644</x:v>
      </x:c>
      <x:c r="G23" s="444" t="n">
        <x:f>F23/'估值系统'!$D$6</x:f>
        <x:v>0.05566119273984443</x:v>
      </x:c>
      <x:c r="H23" s="442" t="str">
        <x:v>资本缓冲不恶化时采用</x:v>
      </x:c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</x:row>
    <x:row r="24">
      <x:c r="A24" s="89"/>
      <x:c r="B24" s="89"/>
      <x:c r="C24" s="289" t="str">
        <x:v>条件上调</x:v>
      </x:c>
      <x:c r="D24" s="153" t="n">
        <x:v>0.35</x:v>
      </x:c>
      <x:c r="E24" s="56" t="n">
        <x:f>'估值系统'!D12</x:f>
        <x:v>2.146666666666667</x:v>
      </x:c>
      <x:c r="F24" s="56" t="n">
        <x:f>D24*E24</x:f>
        <x:v>0.7513333333333334</x:v>
      </x:c>
      <x:c r="G24" s="52" t="n">
        <x:f>F24/'估值系统'!$D$6</x:f>
        <x:v>0.06493805819648517</x:v>
      </x:c>
      <x:c r="H24" s="289" t="str">
        <x:v>需CET1回到10%左右</x:v>
      </x:c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</x:row>
    <x:row r="25">
      <x:c r="A25" s="89"/>
      <x:c r="B25" s="89"/>
      <x:c r="C25" s="460" t="str">
        <x:v>非基准情景</x:v>
      </x:c>
      <x:c r="D25" s="461" t="n">
        <x:v>0.4</x:v>
      </x:c>
      <x:c r="E25" s="462" t="n">
        <x:f>'估值系统'!D12</x:f>
        <x:v>2.146666666666667</x:v>
      </x:c>
      <x:c r="F25" s="462" t="n">
        <x:f>D25*E25</x:f>
        <x:v>0.8586666666666668</x:v>
      </x:c>
      <x:c r="G25" s="463" t="n">
        <x:f>F25/'估值系统'!$D$6</x:f>
        <x:v>0.07421492365312592</x:v>
      </x:c>
      <x:c r="H25" s="460" t="str">
        <x:v>不作为当前估值依据</x:v>
      </x:c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</x:row>
    <x:row r="29" ht="23" customHeight="1">
      <x:c r="A29" s="89"/>
      <x:c r="B29" s="89"/>
      <x:c r="C29" s="68" t="str">
        <x:v>股息率估值矩阵：每股价值（元）</x:v>
      </x:c>
      <x:c r="D29" s="89"/>
      <x:c r="E29" s="89"/>
      <x:c r="F29" s="89"/>
      <x:c r="G29" s="89"/>
      <x:c r="H29" s="89"/>
      <x:c r="I29" s="89"/>
      <x:c r="J29" s="89"/>
      <x:c r="K29" s="68" t="str">
        <x:v>结论与约束</x:v>
      </x:c>
      <x:c r="L29" s="89"/>
      <x:c r="M29" s="89"/>
      <x:c r="N29" s="89"/>
      <x:c r="O29" s="89"/>
      <x:c r="P29" s="89"/>
      <x:c r="Q29" s="89"/>
      <x:c r="R29" s="89"/>
    </x:row>
    <x:row r="30">
      <x:c r="A30" s="89"/>
      <x:c r="B30" s="89"/>
      <x:c r="C30" s="17" t="str">
        <x:v>支付率 / 目标股息率</x:v>
      </x:c>
      <x:c r="D30" s="162" t="n">
        <x:v>0.045</x:v>
      </x:c>
      <x:c r="E30" s="162" t="n">
        <x:v>0.05</x:v>
      </x:c>
      <x:c r="F30" s="162" t="n">
        <x:v>0.055</x:v>
      </x:c>
      <x:c r="G30" s="163" t="n">
        <x:v>0.06</x:v>
      </x:c>
      <x:c r="H30" s="89"/>
      <x:c r="I30" s="89"/>
      <x:c r="J30" s="89"/>
      <x:c r="K30" s="17" t="str">
        <x:v>指标</x:v>
      </x:c>
      <x:c r="L30" s="18" t="str">
        <x:v>下沿</x:v>
      </x:c>
      <x:c r="M30" s="18" t="str">
        <x:v>上沿</x:v>
      </x:c>
      <x:c r="N30" s="18" t="str">
        <x:v>判断</x:v>
      </x:c>
      <x:c r="O30" s="18"/>
      <x:c r="P30" s="18"/>
      <x:c r="Q30" s="18"/>
      <x:c r="R30" s="19"/>
    </x:row>
    <x:row r="31">
      <x:c r="A31" s="89"/>
      <x:c r="B31" s="89"/>
      <x:c r="C31" s="437" t="n">
        <x:v>0.25</x:v>
      </x:c>
      <x:c r="D31" s="146" t="n">
        <x:f>'估值系统'!$D$12*$C31/D$30</x:f>
        <x:v>11.925925925925927</x:v>
      </x:c>
      <x:c r="E31" s="146" t="n">
        <x:f>'估值系统'!$D$12*$C31/E$30</x:f>
        <x:v>10.733333333333334</x:v>
      </x:c>
      <x:c r="F31" s="146" t="n">
        <x:f>'估值系统'!$D$12*$C31/F$30</x:f>
        <x:v>9.75757575757576</x:v>
      </x:c>
      <x:c r="G31" s="146" t="n">
        <x:f>'估值系统'!$D$12*$C31/G$30</x:f>
        <x:v>8.944444444444446</x:v>
      </x:c>
      <x:c r="H31" s="89"/>
      <x:c r="I31" s="89"/>
      <x:c r="J31" s="89"/>
      <x:c r="K31" s="23" t="str">
        <x:v>常态分红支付率</x:v>
      </x:c>
      <x:c r="L31" s="143" t="n">
        <x:v>0.27</x:v>
      </x:c>
      <x:c r="M31" s="143" t="n">
        <x:v>0.3</x:v>
      </x:c>
      <x:c r="N31" s="23" t="str">
        <x:v>以2025归母口径27.13%为起点</x:v>
      </x:c>
      <x:c r="O31" s="23"/>
      <x:c r="P31" s="23"/>
      <x:c r="Q31" s="23"/>
      <x:c r="R31" s="23"/>
    </x:row>
    <x:row r="32">
      <x:c r="A32" s="89"/>
      <x:c r="B32" s="89"/>
      <x:c r="C32" s="437" t="n">
        <x:v>0.28</x:v>
      </x:c>
      <x:c r="D32" s="146" t="n">
        <x:f>'估值系统'!$D$12*$C32/D$30</x:f>
        <x:v>13.35703703703704</x:v>
      </x:c>
      <x:c r="E32" s="146" t="n">
        <x:f>'估值系统'!$D$12*$C32/E$30</x:f>
        <x:v>12.021333333333335</x:v>
      </x:c>
      <x:c r="F32" s="146" t="n">
        <x:f>'估值系统'!$D$12*$C32/F$30</x:f>
        <x:v>10.92848484848485</x:v>
      </x:c>
      <x:c r="G32" s="146" t="n">
        <x:f>'估值系统'!$D$12*$C32/G$30</x:f>
        <x:v>10.017777777777779</x:v>
      </x:c>
      <x:c r="H32" s="89"/>
      <x:c r="I32" s="89"/>
      <x:c r="J32" s="89"/>
      <x:c r="K32" s="24" t="str">
        <x:v>常态DPS</x:v>
      </x:c>
      <x:c r="L32" s="41" t="n">
        <x:f>'估值系统'!$D$12*L31</x:f>
        <x:v>0.5796000000000001</x:v>
      </x:c>
      <x:c r="M32" s="41" t="n">
        <x:f>'估值系统'!$D$12*M31</x:f>
        <x:v>0.644</x:v>
      </x:c>
      <x:c r="N32" s="24" t="str">
        <x:v>基于标准化EPS约2.15元</x:v>
      </x:c>
      <x:c r="O32" s="24"/>
      <x:c r="P32" s="24"/>
      <x:c r="Q32" s="24"/>
      <x:c r="R32" s="24"/>
    </x:row>
    <x:row r="33">
      <x:c r="A33" s="89"/>
      <x:c r="B33" s="89"/>
      <x:c r="C33" s="437" t="n">
        <x:v>0.3</x:v>
      </x:c>
      <x:c r="D33" s="146" t="n">
        <x:f>'估值系统'!$D$12*$C33/D$30</x:f>
        <x:v>14.311111111111112</x:v>
      </x:c>
      <x:c r="E33" s="146" t="n">
        <x:f>'估值系统'!$D$12*$C33/E$30</x:f>
        <x:v>12.879999999999999</x:v>
      </x:c>
      <x:c r="F33" s="146" t="n">
        <x:f>'估值系统'!$D$12*$C33/F$30</x:f>
        <x:v>11.709090909090909</x:v>
      </x:c>
      <x:c r="G33" s="146" t="n">
        <x:f>'估值系统'!$D$12*$C33/G$30</x:f>
        <x:v>10.733333333333334</x:v>
      </x:c>
      <x:c r="H33" s="89"/>
      <x:c r="I33" s="89"/>
      <x:c r="J33" s="89"/>
      <x:c r="K33" s="24" t="str">
        <x:v>按现价股息率</x:v>
      </x:c>
      <x:c r="L33" s="39" t="n">
        <x:f>L32/'估值系统'!$D$6</x:f>
        <x:v>0.05009507346585999</x:v>
      </x:c>
      <x:c r="M33" s="39" t="n">
        <x:f>M32/'估值系统'!$D$6</x:f>
        <x:v>0.05566119273984443</x:v>
      </x:c>
      <x:c r="N33" s="24" t="str">
        <x:v>当前价格对应的税前收益率</x:v>
      </x:c>
      <x:c r="O33" s="24"/>
      <x:c r="P33" s="24"/>
      <x:c r="Q33" s="24"/>
      <x:c r="R33" s="24"/>
    </x:row>
    <x:row r="34">
      <x:c r="A34" s="89"/>
      <x:c r="B34" s="89"/>
      <x:c r="C34" s="437" t="n">
        <x:v>0.35</x:v>
      </x:c>
      <x:c r="D34" s="146" t="n">
        <x:f>'估值系统'!$D$12*$C34/D$30</x:f>
        <x:v>16.6962962962963</x:v>
      </x:c>
      <x:c r="E34" s="146" t="n">
        <x:f>'估值系统'!$D$12*$C34/E$30</x:f>
        <x:v>15.026666666666667</x:v>
      </x:c>
      <x:c r="F34" s="146" t="n">
        <x:f>'估值系统'!$D$12*$C34/F$30</x:f>
        <x:v>13.660606060606062</x:v>
      </x:c>
      <x:c r="G34" s="146" t="n">
        <x:f>'估值系统'!$D$12*$C34/G$30</x:f>
        <x:v>12.522222222222224</x:v>
      </x:c>
      <x:c r="H34" s="89"/>
      <x:c r="I34" s="89"/>
      <x:c r="J34" s="89"/>
      <x:c r="K34" s="24" t="str">
        <x:v>5%股息率对应价值</x:v>
      </x:c>
      <x:c r="L34" s="41" t="n">
        <x:f>L32/5%</x:f>
        <x:v>11.592000000000002</x:v>
      </x:c>
      <x:c r="M34" s="41" t="n">
        <x:f>M32/5%</x:f>
        <x:v>12.879999999999999</x:v>
      </x:c>
      <x:c r="N34" s="24" t="str">
        <x:v>股息法单独给出的常态价值约11.6—12.9元</x:v>
      </x:c>
      <x:c r="O34" s="24"/>
      <x:c r="P34" s="24"/>
      <x:c r="Q34" s="24"/>
      <x:c r="R34" s="24"/>
    </x:row>
    <x:row r="35">
      <x:c r="A35" s="89"/>
      <x:c r="B35" s="89"/>
      <x:c r="C35" s="437" t="n">
        <x:v>0.4</x:v>
      </x:c>
      <x:c r="D35" s="146" t="n">
        <x:f>'估值系统'!$D$12*$C35/D$30</x:f>
        <x:v>19.081481481481486</x:v>
      </x:c>
      <x:c r="E35" s="146" t="n">
        <x:f>'估值系统'!$D$12*$C35/E$30</x:f>
        <x:v>17.173333333333336</x:v>
      </x:c>
      <x:c r="F35" s="146" t="n">
        <x:f>'估值系统'!$D$12*$C35/F$30</x:f>
        <x:v>15.612121212121215</x:v>
      </x:c>
      <x:c r="G35" s="146" t="n">
        <x:f>'估值系统'!$D$12*$C35/G$30</x:f>
        <x:v>14.311111111111114</x:v>
      </x:c>
      <x:c r="H35" s="89"/>
      <x:c r="I35" s="89"/>
      <x:c r="J35" s="89"/>
      <x:c r="K35" s="25" t="str">
        <x:v>条件/非基准支付率</x:v>
      </x:c>
      <x:c r="L35" s="105" t="n">
        <x:v>0.35</x:v>
      </x:c>
      <x:c r="M35" s="105" t="n">
        <x:v>0.4</x:v>
      </x:c>
      <x:c r="N35" s="25" t="str">
        <x:v>35%需CET1改善；40%不作基准</x:v>
      </x:c>
      <x:c r="O35" s="25"/>
      <x:c r="P35" s="25"/>
      <x:c r="Q35" s="25"/>
      <x:c r="R35" s="25"/>
    </x:row>
    <x:row r="36" ht="24" customHeight="1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446" t="str">
        <x:v>理论关系仅用于解释资本留存需求。银行分红仍受监管资本、风险加权资产增长和资产质量约束，不能把数学结果直接当作可执行支付率。</x:v>
      </x:c>
      <x:c r="L36" s="446"/>
      <x:c r="M36" s="446"/>
      <x:c r="N36" s="446"/>
      <x:c r="O36" s="446"/>
      <x:c r="P36" s="446"/>
      <x:c r="Q36" s="446"/>
      <x:c r="R36" s="446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</x:row>
    <x:row r="38" ht="23" customHeight="1">
      <x:c r="A38" s="89"/>
      <x:c r="B38" s="89"/>
      <x:c r="C38" s="68" t="str">
        <x:v>股息估值判断</x:v>
      </x:c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</x:row>
    <x:row r="39">
      <x:c r="A39" s="89"/>
      <x:c r="B39" s="89"/>
      <x:c r="C39" s="447" t="str">
        <x:v>这里必须区分两个概念：分红支付率=股息/利润，股息率=股息/股价。平安银行2025年归母净利润口径支付率约27.13%，普通股利润口径约28.83%，对应0.596元DPS和5.15%股息率。考虑核心一级资本充足率仅9.32%，常态支付率改用27%—30%，对应约0.58—0.64元DPS、5.0%—5.6%现价股息率；按5%目标股息率估值约11.59—12.88元。35%只在CET1回到约10%且资产质量稳定时考虑，40%不作为当前基准。</x:v>
      </x:c>
      <x:c r="D39" s="448"/>
      <x:c r="E39" s="448"/>
      <x:c r="F39" s="448"/>
      <x:c r="G39" s="448"/>
      <x:c r="H39" s="448"/>
      <x:c r="I39" s="448"/>
      <x:c r="J39" s="448"/>
      <x:c r="K39" s="448"/>
      <x:c r="L39" s="448"/>
      <x:c r="M39" s="448"/>
      <x:c r="N39" s="448"/>
      <x:c r="O39" s="448"/>
      <x:c r="P39" s="448"/>
      <x:c r="Q39" s="448"/>
      <x:c r="R39" s="449"/>
    </x:row>
    <x:row r="40">
      <x:c r="A40" s="89"/>
      <x:c r="B40" s="89"/>
      <x:c r="C40" s="450"/>
      <x:c r="D40" s="350"/>
      <x:c r="E40" s="350"/>
      <x:c r="F40" s="350"/>
      <x:c r="G40" s="350"/>
      <x:c r="H40" s="350"/>
      <x:c r="I40" s="350"/>
      <x:c r="J40" s="350"/>
      <x:c r="K40" s="350"/>
      <x:c r="L40" s="350"/>
      <x:c r="M40" s="350"/>
      <x:c r="N40" s="350"/>
      <x:c r="O40" s="350"/>
      <x:c r="P40" s="350"/>
      <x:c r="Q40" s="350"/>
      <x:c r="R40" s="451"/>
    </x:row>
    <x:row r="41">
      <x:c r="A41" s="89"/>
      <x:c r="B41" s="89"/>
      <x:c r="C41" s="450"/>
      <x:c r="D41" s="350"/>
      <x:c r="E41" s="350"/>
      <x:c r="F41" s="350"/>
      <x:c r="G41" s="350"/>
      <x:c r="H41" s="350"/>
      <x:c r="I41" s="350"/>
      <x:c r="J41" s="350"/>
      <x:c r="K41" s="350"/>
      <x:c r="L41" s="350"/>
      <x:c r="M41" s="350"/>
      <x:c r="N41" s="350"/>
      <x:c r="O41" s="350"/>
      <x:c r="P41" s="350"/>
      <x:c r="Q41" s="350"/>
      <x:c r="R41" s="451"/>
    </x:row>
    <x:row r="42">
      <x:c r="A42" s="89"/>
      <x:c r="B42" s="89"/>
      <x:c r="C42" s="453"/>
      <x:c r="D42" s="454"/>
      <x:c r="E42" s="454"/>
      <x:c r="F42" s="454"/>
      <x:c r="G42" s="454"/>
      <x:c r="H42" s="454"/>
      <x:c r="I42" s="454"/>
      <x:c r="J42" s="454"/>
      <x:c r="K42" s="454"/>
      <x:c r="L42" s="454"/>
      <x:c r="M42" s="454"/>
      <x:c r="N42" s="454"/>
      <x:c r="O42" s="454"/>
      <x:c r="P42" s="454"/>
      <x:c r="Q42" s="454"/>
      <x:c r="R42" s="455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</x:row>
    <x:row r="44" ht="20" customHeight="1">
      <x:c r="A44" s="89"/>
      <x:c r="B44" s="89"/>
      <x:c r="C44" s="136" t="str">
        <x:v>口径说明：官方现金分红率=普通股现金分红/归母净利润；每股支付率=DPS/EPS。两者因优先股与永续债收益扣除口径不同而略有差异。</x:v>
      </x:c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</x:row>
  </x:sheetData>
  <x:mergeCells>
    <x:mergeCell ref="C2:R2"/>
    <x:mergeCell ref="C3:R3"/>
    <x:mergeCell ref="C4:R4"/>
    <x:mergeCell ref="C5:F5"/>
    <x:mergeCell ref="C6:F7"/>
    <x:mergeCell ref="G5:J5"/>
    <x:mergeCell ref="G6:J7"/>
    <x:mergeCell ref="K5:N5"/>
    <x:mergeCell ref="K6:N7"/>
    <x:mergeCell ref="O5:R5"/>
    <x:mergeCell ref="O6:R7"/>
    <x:mergeCell ref="C8:R8"/>
    <x:mergeCell ref="C10:I10"/>
    <x:mergeCell ref="K10:R10"/>
    <x:mergeCell ref="M11:R11"/>
    <x:mergeCell ref="M12:R12"/>
    <x:mergeCell ref="M13:R13"/>
    <x:mergeCell ref="M14:R14"/>
    <x:mergeCell ref="M15:R15"/>
    <x:mergeCell ref="M16:R16"/>
    <x:mergeCell ref="C19:J19"/>
    <x:mergeCell ref="K19:R19"/>
    <x:mergeCell ref="C29:I29"/>
    <x:mergeCell ref="K29:R29"/>
    <x:mergeCell ref="N30:R30"/>
    <x:mergeCell ref="N31:R31"/>
    <x:mergeCell ref="N32:R32"/>
    <x:mergeCell ref="N33:R33"/>
    <x:mergeCell ref="N34:R34"/>
    <x:mergeCell ref="N35:R35"/>
    <x:mergeCell ref="K36:R36"/>
    <x:mergeCell ref="C38:R38"/>
    <x:mergeCell ref="C39:R42"/>
    <x:mergeCell ref="C44:R44"/>
  </x:mergeCells>
  <x:conditionalFormatting sqref="D31:G35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cb0d4f81ac124adf"/>
</x:worksheet>
</file>

<file path=xl/worksheets/sheet6.xml><?xml version="1.0" encoding="utf-8"?>
<x:worksheet xmlns:x="http://schemas.openxmlformats.org/spreadsheetml/2006/main">
  <x:sheetPr>
    <x:tabColor rgb="FFF4E7D3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3" hidden="0" customWidth="1"/>
    <x:col min="16" max="16" width="11" hidden="0" customWidth="1"/>
    <x:col min="17" max="17" width="12" hidden="0" customWidth="1"/>
    <x:col min="18" max="18" width="12" hidden="0" customWidth="1"/>
    <x:col min="19" max="19" width="11" hidden="0" customWidth="1"/>
    <x:col min="20" max="20" width="11" hidden="0" customWidth="1"/>
    <x:col min="21" max="21" width="10" hidden="0" customWidth="1"/>
    <x:col min="22" max="22" width="10" hidden="0" customWidth="1"/>
    <x:col min="23" max="23" width="10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</x:row>
    <x:row r="2" ht="27" customHeight="1">
      <x:c r="A2" s="89"/>
      <x:c r="B2" s="89"/>
      <x:c r="C2" s="4" t="str">
        <x:v>平安银行十年财务与估值历史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</x:row>
    <x:row r="3">
      <x:c r="A3" s="89"/>
      <x:c r="B3" s="89"/>
      <x:c r="C3" s="6" t="str">
        <x:v>2016—2025为完整会计年度；1H26为2026年上半年实际值，ROE/ROA/NIM为年化口径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</x:row>
    <x:row r="4" ht="20" customHeight="1">
      <x:c r="A4" s="89"/>
      <x:c r="B4" s="89"/>
      <x:c r="C4" s="11" t="str">
        <x:v>阅读顺序：①先看黄色1H26最新列　②再看右侧十年趋势图　③最后看底部历史PB与PE</x:v>
      </x:c>
      <x:c r="D4" s="423"/>
      <x:c r="E4" s="423"/>
      <x:c r="F4" s="423"/>
      <x:c r="G4" s="423"/>
      <x:c r="H4" s="423"/>
      <x:c r="I4" s="423"/>
      <x:c r="J4" s="423"/>
      <x:c r="K4" s="423"/>
      <x:c r="L4" s="423"/>
      <x:c r="M4" s="423"/>
      <x:c r="N4" s="423"/>
      <x:c r="O4" s="423"/>
      <x:c r="P4" s="423"/>
      <x:c r="Q4" s="423"/>
      <x:c r="R4" s="423"/>
      <x:c r="S4" s="423"/>
      <x:c r="T4" s="423"/>
      <x:c r="U4" s="423"/>
      <x:c r="V4" s="423"/>
      <x:c r="W4" s="423"/>
    </x:row>
    <x:row r="5">
      <x:c r="A5" s="89"/>
      <x:c r="B5" s="89"/>
      <x:c r="C5" s="17" t="str">
        <x:v>指标</x:v>
      </x:c>
      <x:c r="D5" s="18" t="str">
        <x:v>2016</x:v>
      </x:c>
      <x:c r="E5" s="18" t="str">
        <x:v>2017</x:v>
      </x:c>
      <x:c r="F5" s="18" t="str">
        <x:v>2018</x:v>
      </x:c>
      <x:c r="G5" s="18" t="str">
        <x:v>2019</x:v>
      </x:c>
      <x:c r="H5" s="18" t="str">
        <x:v>2020</x:v>
      </x:c>
      <x:c r="I5" s="18" t="str">
        <x:v>2021</x:v>
      </x:c>
      <x:c r="J5" s="18" t="str">
        <x:v>2022</x:v>
      </x:c>
      <x:c r="K5" s="18" t="str">
        <x:v>2023</x:v>
      </x:c>
      <x:c r="L5" s="18" t="str">
        <x:v>2024</x:v>
      </x:c>
      <x:c r="M5" s="18" t="str">
        <x:v>2025</x:v>
      </x:c>
      <x:c r="N5" s="58" t="str">
        <x:v>1H26</x:v>
      </x:c>
      <x:c r="O5" s="89"/>
      <x:c r="P5" s="17" t="str">
        <x:v>年份</x:v>
      </x:c>
      <x:c r="Q5" s="18" t="str">
        <x:v>营业收入</x:v>
      </x:c>
      <x:c r="R5" s="18" t="str">
        <x:v>净利润</x:v>
      </x:c>
      <x:c r="S5" s="18" t="str">
        <x:v>ROE</x:v>
      </x:c>
      <x:c r="T5" s="19" t="str">
        <x:v>净息差</x:v>
      </x:c>
      <x:c r="U5" s="89"/>
      <x:c r="V5" s="89"/>
      <x:c r="W5" s="89"/>
    </x:row>
    <x:row r="6">
      <x:c r="A6" s="89"/>
      <x:c r="B6" s="89"/>
      <x:c r="C6" s="464" t="str">
        <x:v>营业收入（亿元）</x:v>
      </x:c>
      <x:c r="D6" s="37" t="n">
        <x:v>1077.15</x:v>
      </x:c>
      <x:c r="E6" s="37" t="n">
        <x:v>1057.8600000000001</x:v>
      </x:c>
      <x:c r="F6" s="37" t="n">
        <x:v>1167.1599999999999</x:v>
      </x:c>
      <x:c r="G6" s="37" t="n">
        <x:v>1379.58</x:v>
      </x:c>
      <x:c r="H6" s="37" t="n">
        <x:v>1535.42</x:v>
      </x:c>
      <x:c r="I6" s="37" t="n">
        <x:v>1693.8300000000002</x:v>
      </x:c>
      <x:c r="J6" s="37" t="n">
        <x:v>1798.95</x:v>
      </x:c>
      <x:c r="K6" s="37" t="n">
        <x:v>1646.9900000000002</x:v>
      </x:c>
      <x:c r="L6" s="37" t="n">
        <x:v>1466.9499999999998</x:v>
      </x:c>
      <x:c r="M6" s="37" t="n">
        <x:v>1314.42</x:v>
      </x:c>
      <x:c r="N6" s="51" t="n">
        <x:v>706.1700000000001</x:v>
      </x:c>
      <x:c r="O6" s="89"/>
      <x:c r="P6" s="65" t="str">
        <x:f>D$5</x:f>
        <x:v>2016</x:v>
      </x:c>
      <x:c r="Q6" s="66" t="n">
        <x:f>D$6</x:f>
        <x:v>1077.15</x:v>
      </x:c>
      <x:c r="R6" s="66" t="n">
        <x:f>D$8</x:f>
        <x:v>225.99</x:v>
      </x:c>
      <x:c r="S6" s="67" t="n">
        <x:f>D$12</x:f>
        <x:v>0.1318</x:v>
      </x:c>
      <x:c r="T6" s="67" t="n">
        <x:f>D$14</x:f>
        <x:v>0.0275</x:v>
      </x:c>
      <x:c r="U6" s="89"/>
      <x:c r="V6" s="89"/>
      <x:c r="W6" s="89"/>
    </x:row>
    <x:row r="7">
      <x:c r="A7" s="89"/>
      <x:c r="B7" s="89"/>
      <x:c r="C7" s="465" t="str">
        <x:v>营业收入同比</x:v>
      </x:c>
      <x:c r="D7" s="39"/>
      <x:c r="E7" s="39" t="n">
        <x:v>-0.0179</x:v>
      </x:c>
      <x:c r="F7" s="39" t="n">
        <x:v>0.1033</x:v>
      </x:c>
      <x:c r="G7" s="39" t="n">
        <x:v>0.182</x:v>
      </x:c>
      <x:c r="H7" s="39" t="n">
        <x:v>0.113</x:v>
      </x:c>
      <x:c r="I7" s="39" t="n">
        <x:v>0.1032</x:v>
      </x:c>
      <x:c r="J7" s="39" t="n">
        <x:v>0.0621</x:v>
      </x:c>
      <x:c r="K7" s="39" t="n">
        <x:v>-0.0845</x:v>
      </x:c>
      <x:c r="L7" s="39" t="n">
        <x:v>-0.1093</x:v>
      </x:c>
      <x:c r="M7" s="39" t="n">
        <x:v>-0.104</x:v>
      </x:c>
      <x:c r="N7" s="52" t="n">
        <x:v>0.018</x:v>
      </x:c>
      <x:c r="O7" s="89"/>
      <x:c r="P7" s="65" t="str">
        <x:f>E$5</x:f>
        <x:v>2017</x:v>
      </x:c>
      <x:c r="Q7" s="66" t="n">
        <x:f>E$6</x:f>
        <x:v>1057.8600000000001</x:v>
      </x:c>
      <x:c r="R7" s="66" t="n">
        <x:f>E$8</x:f>
        <x:v>231.89</x:v>
      </x:c>
      <x:c r="S7" s="67" t="n">
        <x:f>E$12</x:f>
        <x:v>0.1162</x:v>
      </x:c>
      <x:c r="T7" s="67" t="n">
        <x:f>E$14</x:f>
        <x:v>0.0237</x:v>
      </x:c>
      <x:c r="U7" s="89"/>
      <x:c r="V7" s="89"/>
      <x:c r="W7" s="89"/>
    </x:row>
    <x:row r="8">
      <x:c r="A8" s="89"/>
      <x:c r="B8" s="89"/>
      <x:c r="C8" s="466" t="str">
        <x:v>归母净利润（亿元）</x:v>
      </x:c>
      <x:c r="D8" s="40" t="n">
        <x:v>225.99</x:v>
      </x:c>
      <x:c r="E8" s="40" t="n">
        <x:v>231.89</x:v>
      </x:c>
      <x:c r="F8" s="40" t="n">
        <x:v>248.18</x:v>
      </x:c>
      <x:c r="G8" s="40" t="n">
        <x:v>281.95</x:v>
      </x:c>
      <x:c r="H8" s="40" t="n">
        <x:v>289.28000000000003</x:v>
      </x:c>
      <x:c r="I8" s="40" t="n">
        <x:v>363.36</x:v>
      </x:c>
      <x:c r="J8" s="40" t="n">
        <x:v>455.15999999999997</x:v>
      </x:c>
      <x:c r="K8" s="40" t="n">
        <x:v>464.54999999999995</x:v>
      </x:c>
      <x:c r="L8" s="40" t="n">
        <x:v>445.08000000000004</x:v>
      </x:c>
      <x:c r="M8" s="40" t="n">
        <x:v>426.33000000000004</x:v>
      </x:c>
      <x:c r="N8" s="53" t="n">
        <x:v>256.96000000000004</x:v>
      </x:c>
      <x:c r="O8" s="89"/>
      <x:c r="P8" s="65" t="str">
        <x:f>F$5</x:f>
        <x:v>2018</x:v>
      </x:c>
      <x:c r="Q8" s="66" t="n">
        <x:f>F$6</x:f>
        <x:v>1167.1599999999999</x:v>
      </x:c>
      <x:c r="R8" s="66" t="n">
        <x:f>F$8</x:f>
        <x:v>248.18</x:v>
      </x:c>
      <x:c r="S8" s="67" t="n">
        <x:f>F$12</x:f>
        <x:v>0.1149</x:v>
      </x:c>
      <x:c r="T8" s="67" t="n">
        <x:f>F$14</x:f>
        <x:v>0.0235</x:v>
      </x:c>
      <x:c r="U8" s="89"/>
      <x:c r="V8" s="89"/>
      <x:c r="W8" s="89"/>
    </x:row>
    <x:row r="9">
      <x:c r="A9" s="89"/>
      <x:c r="B9" s="89"/>
      <x:c r="C9" s="465" t="str">
        <x:v>归母净利润同比</x:v>
      </x:c>
      <x:c r="D9" s="39"/>
      <x:c r="E9" s="39" t="n">
        <x:v>0.0261</x:v>
      </x:c>
      <x:c r="F9" s="39" t="n">
        <x:v>0.0702</x:v>
      </x:c>
      <x:c r="G9" s="39" t="n">
        <x:v>0.1361</x:v>
      </x:c>
      <x:c r="H9" s="39" t="n">
        <x:v>0.026</x:v>
      </x:c>
      <x:c r="I9" s="39" t="n">
        <x:v>0.2561</x:v>
      </x:c>
      <x:c r="J9" s="39" t="n">
        <x:v>0.2526</x:v>
      </x:c>
      <x:c r="K9" s="39" t="n">
        <x:v>0.0206</x:v>
      </x:c>
      <x:c r="L9" s="39" t="n">
        <x:v>-0.0419</x:v>
      </x:c>
      <x:c r="M9" s="39" t="n">
        <x:v>-0.0421</x:v>
      </x:c>
      <x:c r="N9" s="52" t="n">
        <x:v>0.033</x:v>
      </x:c>
      <x:c r="O9" s="89"/>
      <x:c r="P9" s="65" t="str">
        <x:f>G$5</x:f>
        <x:v>2019</x:v>
      </x:c>
      <x:c r="Q9" s="66" t="n">
        <x:f>G$6</x:f>
        <x:v>1379.58</x:v>
      </x:c>
      <x:c r="R9" s="66" t="n">
        <x:f>G$8</x:f>
        <x:v>281.95</x:v>
      </x:c>
      <x:c r="S9" s="67" t="n">
        <x:f>G$12</x:f>
        <x:v>0.113</x:v>
      </x:c>
      <x:c r="T9" s="67" t="n">
        <x:f>G$14</x:f>
        <x:v>0.0262</x:v>
      </x:c>
      <x:c r="U9" s="89"/>
      <x:c r="V9" s="89"/>
      <x:c r="W9" s="89"/>
    </x:row>
    <x:row r="10">
      <x:c r="A10" s="89"/>
      <x:c r="B10" s="89"/>
      <x:c r="C10" s="465" t="str">
        <x:v>每股收益（元）</x:v>
      </x:c>
      <x:c r="D10" s="41" t="n">
        <x:v>1.32</x:v>
      </x:c>
      <x:c r="E10" s="41" t="n">
        <x:v>1.3</x:v>
      </x:c>
      <x:c r="F10" s="41" t="n">
        <x:v>1.39</x:v>
      </x:c>
      <x:c r="G10" s="41" t="n">
        <x:v>1.54</x:v>
      </x:c>
      <x:c r="H10" s="41" t="n">
        <x:v>1.4</x:v>
      </x:c>
      <x:c r="I10" s="41" t="n">
        <x:v>1.73</x:v>
      </x:c>
      <x:c r="J10" s="41" t="n">
        <x:v>2.2</x:v>
      </x:c>
      <x:c r="K10" s="41" t="n">
        <x:v>2.25</x:v>
      </x:c>
      <x:c r="L10" s="41" t="n">
        <x:v>2.15</x:v>
      </x:c>
      <x:c r="M10" s="41" t="n">
        <x:v>2.07</x:v>
      </x:c>
      <x:c r="N10" s="54" t="n">
        <x:v>1.24</x:v>
      </x:c>
      <x:c r="O10" s="89"/>
      <x:c r="P10" s="65" t="str">
        <x:f>H$5</x:f>
        <x:v>2020</x:v>
      </x:c>
      <x:c r="Q10" s="66" t="n">
        <x:f>H$6</x:f>
        <x:v>1535.42</x:v>
      </x:c>
      <x:c r="R10" s="66" t="n">
        <x:f>H$8</x:f>
        <x:v>289.28000000000003</x:v>
      </x:c>
      <x:c r="S10" s="67" t="n">
        <x:f>H$12</x:f>
        <x:v>0.0958</x:v>
      </x:c>
      <x:c r="T10" s="67" t="n">
        <x:f>H$14</x:f>
        <x:v>0.0253</x:v>
      </x:c>
      <x:c r="U10" s="89"/>
      <x:c r="V10" s="89"/>
      <x:c r="W10" s="89"/>
    </x:row>
    <x:row r="11">
      <x:c r="A11" s="89"/>
      <x:c r="B11" s="89"/>
      <x:c r="C11" s="466" t="str">
        <x:v>每股净资产（元）</x:v>
      </x:c>
      <x:c r="D11" s="42" t="n">
        <x:v>10.61</x:v>
      </x:c>
      <x:c r="E11" s="42" t="n">
        <x:v>11.77</x:v>
      </x:c>
      <x:c r="F11" s="42" t="n">
        <x:v>12.82</x:v>
      </x:c>
      <x:c r="G11" s="42" t="n">
        <x:v>14.07</x:v>
      </x:c>
      <x:c r="H11" s="42" t="n">
        <x:v>15.16</x:v>
      </x:c>
      <x:c r="I11" s="42" t="n">
        <x:v>16.77</x:v>
      </x:c>
      <x:c r="J11" s="42" t="n">
        <x:v>18.8</x:v>
      </x:c>
      <x:c r="K11" s="42" t="n">
        <x:v>20.74</x:v>
      </x:c>
      <x:c r="L11" s="42" t="n">
        <x:v>21.89</x:v>
      </x:c>
      <x:c r="M11" s="42" t="n">
        <x:v>23.25</x:v>
      </x:c>
      <x:c r="N11" s="54" t="n">
        <x:v>24.13</x:v>
      </x:c>
      <x:c r="O11" s="89"/>
      <x:c r="P11" s="65" t="str">
        <x:f>I$5</x:f>
        <x:v>2021</x:v>
      </x:c>
      <x:c r="Q11" s="66" t="n">
        <x:f>I$6</x:f>
        <x:v>1693.8300000000002</x:v>
      </x:c>
      <x:c r="R11" s="66" t="n">
        <x:f>I$8</x:f>
        <x:v>363.36</x:v>
      </x:c>
      <x:c r="S11" s="67" t="n">
        <x:f>I$12</x:f>
        <x:v>0.1085</x:v>
      </x:c>
      <x:c r="T11" s="67" t="n">
        <x:f>I$14</x:f>
        <x:v>0.0279</x:v>
      </x:c>
      <x:c r="U11" s="89"/>
      <x:c r="V11" s="89"/>
      <x:c r="W11" s="89"/>
    </x:row>
    <x:row r="12">
      <x:c r="A12" s="89"/>
      <x:c r="B12" s="89"/>
      <x:c r="C12" s="465" t="str">
        <x:v>加权ROE</x:v>
      </x:c>
      <x:c r="D12" s="44" t="n">
        <x:v>0.1318</x:v>
      </x:c>
      <x:c r="E12" s="44" t="n">
        <x:v>0.1162</x:v>
      </x:c>
      <x:c r="F12" s="44" t="n">
        <x:v>0.1149</x:v>
      </x:c>
      <x:c r="G12" s="44" t="n">
        <x:v>0.113</x:v>
      </x:c>
      <x:c r="H12" s="44" t="n">
        <x:v>0.0958</x:v>
      </x:c>
      <x:c r="I12" s="44" t="n">
        <x:v>0.1085</x:v>
      </x:c>
      <x:c r="J12" s="44" t="n">
        <x:v>0.1236</x:v>
      </x:c>
      <x:c r="K12" s="44" t="n">
        <x:v>0.1138</x:v>
      </x:c>
      <x:c r="L12" s="44" t="n">
        <x:v>0.1008</x:v>
      </x:c>
      <x:c r="M12" s="44" t="n">
        <x:v>0.0915</x:v>
      </x:c>
      <x:c r="N12" s="55" t="n">
        <x:v>0.1056</x:v>
      </x:c>
      <x:c r="O12" s="89"/>
      <x:c r="P12" s="65" t="str">
        <x:f>J$5</x:f>
        <x:v>2022</x:v>
      </x:c>
      <x:c r="Q12" s="66" t="n">
        <x:f>J$6</x:f>
        <x:v>1798.95</x:v>
      </x:c>
      <x:c r="R12" s="66" t="n">
        <x:f>J$8</x:f>
        <x:v>455.15999999999997</x:v>
      </x:c>
      <x:c r="S12" s="67" t="n">
        <x:f>J$12</x:f>
        <x:v>0.1236</x:v>
      </x:c>
      <x:c r="T12" s="67" t="n">
        <x:f>J$14</x:f>
        <x:v>0.0275</x:v>
      </x:c>
      <x:c r="U12" s="89"/>
      <x:c r="V12" s="89"/>
      <x:c r="W12" s="89"/>
    </x:row>
    <x:row r="13">
      <x:c r="A13" s="89"/>
      <x:c r="B13" s="89"/>
      <x:c r="C13" s="465" t="str">
        <x:v>平均ROA</x:v>
      </x:c>
      <x:c r="D13" s="44" t="n">
        <x:v>0.00828</x:v>
      </x:c>
      <x:c r="E13" s="44" t="n">
        <x:v>0.00748</x:v>
      </x:c>
      <x:c r="F13" s="44" t="n">
        <x:v>0.00744</x:v>
      </x:c>
      <x:c r="G13" s="44" t="n">
        <x:v>0.00766</x:v>
      </x:c>
      <x:c r="H13" s="44" t="n">
        <x:v>0.00688</x:v>
      </x:c>
      <x:c r="I13" s="44" t="n">
        <x:v>0.00774</x:v>
      </x:c>
      <x:c r="J13" s="44" t="n">
        <x:v>0.00889</x:v>
      </x:c>
      <x:c r="K13" s="44" t="n">
        <x:v>0.00852</x:v>
      </x:c>
      <x:c r="L13" s="44" t="n">
        <x:v>0.00784</x:v>
      </x:c>
      <x:c r="M13" s="44" t="n">
        <x:v>0.00729</x:v>
      </x:c>
      <x:c r="N13" s="55" t="n">
        <x:v>0.0086</x:v>
      </x:c>
      <x:c r="O13" s="89"/>
      <x:c r="P13" s="65" t="str">
        <x:f>K$5</x:f>
        <x:v>2023</x:v>
      </x:c>
      <x:c r="Q13" s="66" t="n">
        <x:f>K$6</x:f>
        <x:v>1646.9900000000002</x:v>
      </x:c>
      <x:c r="R13" s="66" t="n">
        <x:f>K$8</x:f>
        <x:v>464.54999999999995</x:v>
      </x:c>
      <x:c r="S13" s="67" t="n">
        <x:f>K$12</x:f>
        <x:v>0.1138</x:v>
      </x:c>
      <x:c r="T13" s="67" t="n">
        <x:f>K$14</x:f>
        <x:v>0.0238</x:v>
      </x:c>
      <x:c r="U13" s="89"/>
      <x:c r="V13" s="89"/>
      <x:c r="W13" s="89"/>
    </x:row>
    <x:row r="14">
      <x:c r="A14" s="89"/>
      <x:c r="B14" s="89"/>
      <x:c r="C14" s="465" t="str">
        <x:v>净息差</x:v>
      </x:c>
      <x:c r="D14" s="44" t="n">
        <x:v>0.0275</x:v>
      </x:c>
      <x:c r="E14" s="44" t="n">
        <x:v>0.0237</x:v>
      </x:c>
      <x:c r="F14" s="44" t="n">
        <x:v>0.0235</x:v>
      </x:c>
      <x:c r="G14" s="44" t="n">
        <x:v>0.0262</x:v>
      </x:c>
      <x:c r="H14" s="44" t="n">
        <x:v>0.0253</x:v>
      </x:c>
      <x:c r="I14" s="44" t="n">
        <x:v>0.0279</x:v>
      </x:c>
      <x:c r="J14" s="44" t="n">
        <x:v>0.0275</x:v>
      </x:c>
      <x:c r="K14" s="44" t="n">
        <x:v>0.0238</x:v>
      </x:c>
      <x:c r="L14" s="44" t="n">
        <x:v>0.0187</x:v>
      </x:c>
      <x:c r="M14" s="44" t="n">
        <x:v>0.0178</x:v>
      </x:c>
      <x:c r="N14" s="55" t="n">
        <x:v>0.018</x:v>
      </x:c>
      <x:c r="O14" s="89"/>
      <x:c r="P14" s="65" t="str">
        <x:f>L$5</x:f>
        <x:v>2024</x:v>
      </x:c>
      <x:c r="Q14" s="66" t="n">
        <x:f>L$6</x:f>
        <x:v>1466.9499999999998</x:v>
      </x:c>
      <x:c r="R14" s="66" t="n">
        <x:f>L$8</x:f>
        <x:v>445.08000000000004</x:v>
      </x:c>
      <x:c r="S14" s="67" t="n">
        <x:f>L$12</x:f>
        <x:v>0.1008</x:v>
      </x:c>
      <x:c r="T14" s="67" t="n">
        <x:f>L$14</x:f>
        <x:v>0.0187</x:v>
      </x:c>
      <x:c r="U14" s="89"/>
      <x:c r="V14" s="89"/>
      <x:c r="W14" s="89"/>
    </x:row>
    <x:row r="15">
      <x:c r="A15" s="89"/>
      <x:c r="B15" s="89"/>
      <x:c r="C15" s="465" t="str">
        <x:v>成本收入比</x:v>
      </x:c>
      <x:c r="D15" s="44" t="n">
        <x:v>0.2597</x:v>
      </x:c>
      <x:c r="E15" s="44" t="n">
        <x:v>0.2989</x:v>
      </x:c>
      <x:c r="F15" s="44" t="n">
        <x:v>0.3032</x:v>
      </x:c>
      <x:c r="G15" s="44" t="n">
        <x:v>0.2961</x:v>
      </x:c>
      <x:c r="H15" s="44" t="n">
        <x:v>0.2911</x:v>
      </x:c>
      <x:c r="I15" s="44" t="n">
        <x:v>0.283</x:v>
      </x:c>
      <x:c r="J15" s="44" t="n">
        <x:v>0.2745</x:v>
      </x:c>
      <x:c r="K15" s="44" t="n">
        <x:v>0.279</x:v>
      </x:c>
      <x:c r="L15" s="44" t="n">
        <x:v>0.2766</x:v>
      </x:c>
      <x:c r="M15" s="44" t="n">
        <x:v>0.2906</x:v>
      </x:c>
      <x:c r="N15" s="55" t="n">
        <x:v>0.2706</x:v>
      </x:c>
      <x:c r="O15" s="89"/>
      <x:c r="P15" s="65" t="str">
        <x:f>M$5</x:f>
        <x:v>2025</x:v>
      </x:c>
      <x:c r="Q15" s="66" t="n">
        <x:f>M$6</x:f>
        <x:v>1314.42</x:v>
      </x:c>
      <x:c r="R15" s="66" t="n">
        <x:f>M$8</x:f>
        <x:v>426.33000000000004</x:v>
      </x:c>
      <x:c r="S15" s="67" t="n">
        <x:f>M$12</x:f>
        <x:v>0.0915</x:v>
      </x:c>
      <x:c r="T15" s="67" t="n">
        <x:f>M$14</x:f>
        <x:v>0.0178</x:v>
      </x:c>
      <x:c r="U15" s="89"/>
      <x:c r="V15" s="89"/>
      <x:c r="W15" s="89"/>
    </x:row>
    <x:row r="16">
      <x:c r="A16" s="89"/>
      <x:c r="B16" s="89"/>
      <x:c r="C16" s="465" t="str">
        <x:v>不良贷款率</x:v>
      </x:c>
      <x:c r="D16" s="44" t="n">
        <x:v>0.0174</x:v>
      </x:c>
      <x:c r="E16" s="44" t="n">
        <x:v>0.017</x:v>
      </x:c>
      <x:c r="F16" s="44" t="n">
        <x:v>0.0175</x:v>
      </x:c>
      <x:c r="G16" s="44" t="n">
        <x:v>0.0165</x:v>
      </x:c>
      <x:c r="H16" s="44" t="n">
        <x:v>0.0118</x:v>
      </x:c>
      <x:c r="I16" s="44" t="n">
        <x:v>0.0102</x:v>
      </x:c>
      <x:c r="J16" s="44" t="n">
        <x:v>0.0105</x:v>
      </x:c>
      <x:c r="K16" s="44" t="n">
        <x:v>0.0106</x:v>
      </x:c>
      <x:c r="L16" s="44" t="n">
        <x:v>0.0106</x:v>
      </x:c>
      <x:c r="M16" s="44" t="n">
        <x:v>0.0105</x:v>
      </x:c>
      <x:c r="N16" s="55" t="n">
        <x:v>0.0105</x:v>
      </x:c>
      <x:c r="O16" s="89"/>
      <x:c r="P16" s="89"/>
      <x:c r="Q16" s="89"/>
      <x:c r="R16" s="89"/>
      <x:c r="S16" s="89"/>
      <x:c r="T16" s="89"/>
      <x:c r="U16" s="89"/>
      <x:c r="V16" s="89"/>
      <x:c r="W16" s="89"/>
    </x:row>
    <x:row r="17">
      <x:c r="A17" s="89"/>
      <x:c r="B17" s="89"/>
      <x:c r="C17" s="465" t="str">
        <x:v>拨备覆盖率</x:v>
      </x:c>
      <x:c r="D17" s="44" t="n">
        <x:v>1.5537</x:v>
      </x:c>
      <x:c r="E17" s="44" t="n">
        <x:v>1.5108</x:v>
      </x:c>
      <x:c r="F17" s="44" t="n">
        <x:v>1.5524</x:v>
      </x:c>
      <x:c r="G17" s="44" t="n">
        <x:v>1.8312</x:v>
      </x:c>
      <x:c r="H17" s="44" t="n">
        <x:v>2.014</x:v>
      </x:c>
      <x:c r="I17" s="44" t="n">
        <x:v>2.8842</x:v>
      </x:c>
      <x:c r="J17" s="44" t="n">
        <x:v>2.9028</x:v>
      </x:c>
      <x:c r="K17" s="44" t="n">
        <x:v>2.7763</x:v>
      </x:c>
      <x:c r="L17" s="44" t="n">
        <x:v>2.5071</x:v>
      </x:c>
      <x:c r="M17" s="44" t="n">
        <x:v>2.2088</x:v>
      </x:c>
      <x:c r="N17" s="55" t="n">
        <x:v>2.1958</x:v>
      </x:c>
      <x:c r="O17" s="89"/>
      <x:c r="P17" s="89"/>
      <x:c r="Q17" s="89"/>
      <x:c r="R17" s="89"/>
      <x:c r="S17" s="89"/>
      <x:c r="T17" s="89"/>
      <x:c r="U17" s="89"/>
      <x:c r="V17" s="89"/>
      <x:c r="W17" s="89"/>
    </x:row>
    <x:row r="18">
      <x:c r="A18" s="89"/>
      <x:c r="B18" s="89"/>
      <x:c r="C18" s="465" t="str">
        <x:v>核心一级资本充足率</x:v>
      </x:c>
      <x:c r="D18" s="44" t="n">
        <x:v>0.0836</x:v>
      </x:c>
      <x:c r="E18" s="44" t="n">
        <x:v>0.0828</x:v>
      </x:c>
      <x:c r="F18" s="44" t="n">
        <x:v>0.0854</x:v>
      </x:c>
      <x:c r="G18" s="44" t="n">
        <x:v>0.0911</x:v>
      </x:c>
      <x:c r="H18" s="44" t="n">
        <x:v>0.0869</x:v>
      </x:c>
      <x:c r="I18" s="44" t="n">
        <x:v>0.086</x:v>
      </x:c>
      <x:c r="J18" s="44" t="n">
        <x:v>0.0864</x:v>
      </x:c>
      <x:c r="K18" s="44" t="n">
        <x:v>0.0922</x:v>
      </x:c>
      <x:c r="L18" s="44" t="n">
        <x:v>0.0912</x:v>
      </x:c>
      <x:c r="M18" s="44" t="n">
        <x:v>0.0936</x:v>
      </x:c>
      <x:c r="N18" s="55" t="n">
        <x:v>0.0932</x:v>
      </x:c>
      <x:c r="O18" s="89"/>
      <x:c r="P18" s="89"/>
      <x:c r="Q18" s="89"/>
      <x:c r="R18" s="89"/>
      <x:c r="S18" s="89"/>
      <x:c r="T18" s="89"/>
      <x:c r="U18" s="89"/>
      <x:c r="V18" s="89"/>
      <x:c r="W18" s="89"/>
    </x:row>
    <x:row r="19">
      <x:c r="A19" s="89"/>
      <x:c r="B19" s="89"/>
      <x:c r="C19" s="465" t="str">
        <x:v>一级资本充足率</x:v>
      </x:c>
      <x:c r="D19" s="44" t="n">
        <x:v>0.0934</x:v>
      </x:c>
      <x:c r="E19" s="44" t="n">
        <x:v>0.0918</x:v>
      </x:c>
      <x:c r="F19" s="44" t="n">
        <x:v>0.0939</x:v>
      </x:c>
      <x:c r="G19" s="44" t="n">
        <x:v>0.1054</x:v>
      </x:c>
      <x:c r="H19" s="44" t="n">
        <x:v>0.1091</x:v>
      </x:c>
      <x:c r="I19" s="44" t="n">
        <x:v>0.1056</x:v>
      </x:c>
      <x:c r="J19" s="44" t="n">
        <x:v>0.104</x:v>
      </x:c>
      <x:c r="K19" s="44" t="n">
        <x:v>0.109</x:v>
      </x:c>
      <x:c r="L19" s="44" t="n">
        <x:v>0.1069</x:v>
      </x:c>
      <x:c r="M19" s="44" t="n">
        <x:v>0.1149</x:v>
      </x:c>
      <x:c r="N19" s="55" t="n">
        <x:v>0.1095</x:v>
      </x:c>
      <x:c r="O19" s="89"/>
      <x:c r="P19" s="89"/>
      <x:c r="Q19" s="89"/>
      <x:c r="R19" s="89"/>
      <x:c r="S19" s="89"/>
      <x:c r="T19" s="89"/>
      <x:c r="U19" s="89"/>
      <x:c r="V19" s="89"/>
      <x:c r="W19" s="89"/>
    </x:row>
    <x:row r="20">
      <x:c r="A20" s="89"/>
      <x:c r="B20" s="89"/>
      <x:c r="C20" s="465" t="str">
        <x:v>资本充足率</x:v>
      </x:c>
      <x:c r="D20" s="44" t="n">
        <x:v>0.1153</x:v>
      </x:c>
      <x:c r="E20" s="44" t="n">
        <x:v>0.112</x:v>
      </x:c>
      <x:c r="F20" s="44" t="n">
        <x:v>0.115</x:v>
      </x:c>
      <x:c r="G20" s="44" t="n">
        <x:v>0.1322</x:v>
      </x:c>
      <x:c r="H20" s="44" t="n">
        <x:v>0.1329</x:v>
      </x:c>
      <x:c r="I20" s="44" t="n">
        <x:v>0.1334</x:v>
      </x:c>
      <x:c r="J20" s="44" t="n">
        <x:v>0.1301</x:v>
      </x:c>
      <x:c r="K20" s="44" t="n">
        <x:v>0.1343</x:v>
      </x:c>
      <x:c r="L20" s="44" t="n">
        <x:v>0.1311</x:v>
      </x:c>
      <x:c r="M20" s="44" t="n">
        <x:v>0.1377</x:v>
      </x:c>
      <x:c r="N20" s="55" t="n">
        <x:v>0.1314</x:v>
      </x:c>
      <x:c r="O20" s="89"/>
      <x:c r="P20" s="89"/>
      <x:c r="Q20" s="89"/>
      <x:c r="R20" s="89"/>
      <x:c r="S20" s="89"/>
      <x:c r="T20" s="89"/>
      <x:c r="U20" s="89"/>
      <x:c r="V20" s="89"/>
      <x:c r="W20" s="89"/>
    </x:row>
    <x:row r="21">
      <x:c r="A21" s="89"/>
      <x:c r="B21" s="89"/>
      <x:c r="C21" s="465" t="str">
        <x:v>总资产（亿元）</x:v>
      </x:c>
      <x:c r="D21" s="45" t="n">
        <x:v>29534.340000000004</x:v>
      </x:c>
      <x:c r="E21" s="45" t="n">
        <x:v>32484.74</x:v>
      </x:c>
      <x:c r="F21" s="45" t="n">
        <x:v>34185.92</x:v>
      </x:c>
      <x:c r="G21" s="45" t="n">
        <x:v>39390.700000000004</x:v>
      </x:c>
      <x:c r="H21" s="45" t="n">
        <x:v>44685.14</x:v>
      </x:c>
      <x:c r="I21" s="45" t="n">
        <x:v>49213.8</x:v>
      </x:c>
      <x:c r="J21" s="45" t="n">
        <x:v>53215.14</x:v>
      </x:c>
      <x:c r="K21" s="45" t="n">
        <x:v>55871.16</x:v>
      </x:c>
      <x:c r="L21" s="45" t="n">
        <x:v>57692.700000000004</x:v>
      </x:c>
      <x:c r="M21" s="45" t="n">
        <x:v>59257.770000000004</x:v>
      </x:c>
      <x:c r="N21" s="53" t="n">
        <x:v>60287.85</x:v>
      </x:c>
      <x:c r="O21" s="89"/>
      <x:c r="P21" s="89"/>
      <x:c r="Q21" s="89"/>
      <x:c r="R21" s="89"/>
      <x:c r="S21" s="89"/>
      <x:c r="T21" s="89"/>
      <x:c r="U21" s="89"/>
      <x:c r="V21" s="89"/>
      <x:c r="W21" s="89"/>
    </x:row>
    <x:row r="22">
      <x:c r="A22" s="89"/>
      <x:c r="B22" s="89"/>
      <x:c r="C22" s="465" t="str">
        <x:v>贷款本金（亿元）</x:v>
      </x:c>
      <x:c r="D22" s="45" t="n">
        <x:v>14758.009999999998</x:v>
      </x:c>
      <x:c r="E22" s="45" t="n">
        <x:v>17042.3</x:v>
      </x:c>
      <x:c r="F22" s="45" t="n">
        <x:v>20037.9</x:v>
      </x:c>
      <x:c r="G22" s="45" t="n">
        <x:v>23289.09</x:v>
      </x:c>
      <x:c r="H22" s="45" t="n">
        <x:v>26736.62</x:v>
      </x:c>
      <x:c r="I22" s="45" t="n">
        <x:v>30634.48</x:v>
      </x:c>
      <x:c r="J22" s="45" t="n">
        <x:v>33291.61</x:v>
      </x:c>
      <x:c r="K22" s="45" t="n">
        <x:v>34075.09</x:v>
      </x:c>
      <x:c r="L22" s="45" t="n">
        <x:v>33741.03</x:v>
      </x:c>
      <x:c r="M22" s="45" t="n">
        <x:v>33908.4</x:v>
      </x:c>
      <x:c r="N22" s="53" t="n">
        <x:v>34522.74</x:v>
      </x:c>
      <x:c r="O22" s="89"/>
      <x:c r="P22" s="89"/>
      <x:c r="Q22" s="89"/>
      <x:c r="R22" s="89"/>
      <x:c r="S22" s="89"/>
      <x:c r="T22" s="89"/>
      <x:c r="U22" s="89"/>
      <x:c r="V22" s="89"/>
      <x:c r="W22" s="89"/>
    </x:row>
    <x:row r="23">
      <x:c r="A23" s="89"/>
      <x:c r="B23" s="89"/>
      <x:c r="C23" s="465" t="str">
        <x:v>存款本金（亿元）</x:v>
      </x:c>
      <x:c r="D23" s="45" t="n">
        <x:v>19218.35</x:v>
      </x:c>
      <x:c r="E23" s="45" t="n">
        <x:v>20004.2</x:v>
      </x:c>
      <x:c r="F23" s="45" t="n">
        <x:v>21491.42</x:v>
      </x:c>
      <x:c r="G23" s="45" t="n">
        <x:v>24597.68</x:v>
      </x:c>
      <x:c r="H23" s="45" t="n">
        <x:v>26959.35</x:v>
      </x:c>
      <x:c r="I23" s="45" t="n">
        <x:v>29618.19</x:v>
      </x:c>
      <x:c r="J23" s="45" t="n">
        <x:v>33126.840000000004</x:v>
      </x:c>
      <x:c r="K23" s="45" t="n">
        <x:v>34072.95</x:v>
      </x:c>
      <x:c r="L23" s="45" t="n">
        <x:v>35336.78</x:v>
      </x:c>
      <x:c r="M23" s="45" t="n">
        <x:v>35827.55</x:v>
      </x:c>
      <x:c r="N23" s="53" t="n">
        <x:v>36605.87</x:v>
      </x:c>
      <x:c r="O23" s="89"/>
      <x:c r="P23" s="89"/>
      <x:c r="Q23" s="89"/>
      <x:c r="R23" s="89"/>
      <x:c r="S23" s="89"/>
      <x:c r="T23" s="89"/>
      <x:c r="U23" s="89"/>
      <x:c r="V23" s="89"/>
      <x:c r="W23" s="89"/>
    </x:row>
    <x:row r="24">
      <x:c r="A24" s="89"/>
      <x:c r="B24" s="89"/>
      <x:c r="C24" s="465" t="str">
        <x:v>每股现金分红（元）</x:v>
      </x:c>
      <x:c r="D24" s="46" t="n">
        <x:v>0.158</x:v>
      </x:c>
      <x:c r="E24" s="46" t="n">
        <x:v>0.136</x:v>
      </x:c>
      <x:c r="F24" s="46" t="n">
        <x:v>0.145</x:v>
      </x:c>
      <x:c r="G24" s="46" t="n">
        <x:v>0.218</x:v>
      </x:c>
      <x:c r="H24" s="46" t="n">
        <x:v>0.18</x:v>
      </x:c>
      <x:c r="I24" s="46" t="n">
        <x:v>0.228</x:v>
      </x:c>
      <x:c r="J24" s="46" t="n">
        <x:v>0.285</x:v>
      </x:c>
      <x:c r="K24" s="46" t="n">
        <x:v>0.719</x:v>
      </x:c>
      <x:c r="L24" s="46" t="n">
        <x:v>0.608</x:v>
      </x:c>
      <x:c r="M24" s="46" t="n">
        <x:v>0.596</x:v>
      </x:c>
      <x:c r="N24" s="56" t="n">
        <x:v>0.249</x:v>
      </x:c>
      <x:c r="O24" s="89"/>
      <x:c r="P24" s="89"/>
      <x:c r="Q24" s="89"/>
      <x:c r="R24" s="89"/>
      <x:c r="S24" s="89"/>
      <x:c r="T24" s="89"/>
      <x:c r="U24" s="89"/>
      <x:c r="V24" s="89"/>
      <x:c r="W24" s="89"/>
    </x:row>
    <x:row r="25">
      <x:c r="A25" s="89"/>
      <x:c r="B25" s="89"/>
      <x:c r="C25" s="465" t="str">
        <x:v>现金分红/每股收益</x:v>
      </x:c>
      <x:c r="D25" s="39" t="n">
        <x:f>IF(D10=0,"n.a.",D24/D10)</x:f>
        <x:v>0.11969696969696969</x:v>
      </x:c>
      <x:c r="E25" s="39" t="n">
        <x:f>IF(E10=0,"n.a.",E24/E10)</x:f>
        <x:v>0.10461538461538462</x:v>
      </x:c>
      <x:c r="F25" s="39" t="n">
        <x:f>IF(F10=0,"n.a.",F24/F10)</x:f>
        <x:v>0.10431654676258993</x:v>
      </x:c>
      <x:c r="G25" s="39" t="n">
        <x:f>IF(G10=0,"n.a.",G24/G10)</x:f>
        <x:v>0.14155844155844155</x:v>
      </x:c>
      <x:c r="H25" s="39" t="n">
        <x:f>IF(H10=0,"n.a.",H24/H10)</x:f>
        <x:v>0.1285714285714286</x:v>
      </x:c>
      <x:c r="I25" s="39" t="n">
        <x:f>IF(I10=0,"n.a.",I24/I10)</x:f>
        <x:v>0.13179190751445088</x:v>
      </x:c>
      <x:c r="J25" s="39" t="n">
        <x:f>IF(J10=0,"n.a.",J24/J10)</x:f>
        <x:v>0.12954545454545452</x:v>
      </x:c>
      <x:c r="K25" s="39" t="n">
        <x:f>IF(K10=0,"n.a.",K24/K10)</x:f>
        <x:v>0.31955555555555554</x:v>
      </x:c>
      <x:c r="L25" s="39" t="n">
        <x:f>IF(L10=0,"n.a.",L24/L10)</x:f>
        <x:v>0.2827906976744186</x:v>
      </x:c>
      <x:c r="M25" s="39" t="n">
        <x:f>IF(M10=0,"n.a.",M24/M10)</x:f>
        <x:v>0.28792270531400965</x:v>
      </x:c>
      <x:c r="N25" s="52" t="n">
        <x:f>IF(N10=0,"n.a.",N24/N10)</x:f>
        <x:v>0.20080645161290323</x:v>
      </x:c>
      <x:c r="O25" s="89"/>
      <x:c r="P25" s="89"/>
      <x:c r="Q25" s="89"/>
      <x:c r="R25" s="89"/>
      <x:c r="S25" s="89"/>
      <x:c r="T25" s="89"/>
      <x:c r="U25" s="89"/>
      <x:c r="V25" s="89"/>
      <x:c r="W25" s="89"/>
    </x:row>
    <x:row r="26">
      <x:c r="A26" s="89"/>
      <x:c r="B26" s="89"/>
      <x:c r="C26" s="467" t="str">
        <x:v>年末/当前股价（元）</x:v>
      </x:c>
      <x:c r="D26" s="47" t="n">
        <x:v>9.1</x:v>
      </x:c>
      <x:c r="E26" s="47" t="n">
        <x:v>13.3</x:v>
      </x:c>
      <x:c r="F26" s="47" t="n">
        <x:v>9.38</x:v>
      </x:c>
      <x:c r="G26" s="47" t="n">
        <x:v>16.45</x:v>
      </x:c>
      <x:c r="H26" s="47" t="n">
        <x:v>19.34</x:v>
      </x:c>
      <x:c r="I26" s="47" t="n">
        <x:v>16.48</x:v>
      </x:c>
      <x:c r="J26" s="47" t="n">
        <x:v>13.16</x:v>
      </x:c>
      <x:c r="K26" s="47" t="n">
        <x:v>9.39</x:v>
      </x:c>
      <x:c r="L26" s="47" t="n">
        <x:v>11.7</x:v>
      </x:c>
      <x:c r="M26" s="47" t="n">
        <x:v>11.41</x:v>
      </x:c>
      <x:c r="N26" s="54" t="n">
        <x:v>11.57</x:v>
      </x:c>
      <x:c r="O26" s="89"/>
      <x:c r="P26" s="89"/>
      <x:c r="Q26" s="89"/>
      <x:c r="R26" s="89"/>
      <x:c r="S26" s="89"/>
      <x:c r="T26" s="89"/>
      <x:c r="U26" s="89"/>
      <x:c r="V26" s="89"/>
      <x:c r="W26" s="89"/>
    </x:row>
    <x:row r="27">
      <x:c r="A27" s="89"/>
      <x:c r="B27" s="89"/>
      <x:c r="C27" s="467" t="str">
        <x:v>市净率（PB）</x:v>
      </x:c>
      <x:c r="D27" s="47" t="n">
        <x:f>D26/D11</x:f>
        <x:v>0.8576814326107446</x:v>
      </x:c>
      <x:c r="E27" s="47" t="n">
        <x:f>E26/E11</x:f>
        <x:v>1.1299915038232797</x:v>
      </x:c>
      <x:c r="F27" s="47" t="n">
        <x:f>F26/F11</x:f>
        <x:v>0.7316692667706709</x:v>
      </x:c>
      <x:c r="G27" s="47" t="n">
        <x:f>G26/G11</x:f>
        <x:v>1.1691542288557213</x:v>
      </x:c>
      <x:c r="H27" s="47" t="n">
        <x:f>H26/H11</x:f>
        <x:v>1.2757255936675462</x:v>
      </x:c>
      <x:c r="I27" s="47" t="n">
        <x:f>I26/I11</x:f>
        <x:v>0.9827072152653549</x:v>
      </x:c>
      <x:c r="J27" s="47" t="n">
        <x:f>J26/J11</x:f>
        <x:v>0.7</x:v>
      </x:c>
      <x:c r="K27" s="47" t="n">
        <x:f>K26/K11</x:f>
        <x:v>0.45274831243973007</x:v>
      </x:c>
      <x:c r="L27" s="47" t="n">
        <x:f>L26/L11</x:f>
        <x:v>0.5344906349931475</x:v>
      </x:c>
      <x:c r="M27" s="47" t="n">
        <x:f>M26/M11</x:f>
        <x:v>0.49075268817204304</x:v>
      </x:c>
      <x:c r="N27" s="54" t="n">
        <x:f>N26/N11</x:f>
        <x:v>0.4794861168669706</x:v>
      </x:c>
      <x:c r="O27" s="89"/>
      <x:c r="P27" s="89"/>
      <x:c r="Q27" s="89"/>
      <x:c r="R27" s="89"/>
      <x:c r="S27" s="89"/>
      <x:c r="T27" s="89"/>
      <x:c r="U27" s="89"/>
      <x:c r="V27" s="89"/>
      <x:c r="W27" s="89"/>
    </x:row>
    <x:row r="28">
      <x:c r="A28" s="89"/>
      <x:c r="B28" s="89"/>
      <x:c r="C28" s="468" t="str">
        <x:v>市盈率（PE）</x:v>
      </x:c>
      <x:c r="D28" s="48" t="n">
        <x:f>D26/D10</x:f>
        <x:v>6.893939393939394</x:v>
      </x:c>
      <x:c r="E28" s="48" t="n">
        <x:f>E26/E10</x:f>
        <x:v>10.230769230769232</x:v>
      </x:c>
      <x:c r="F28" s="48" t="n">
        <x:f>F26/F10</x:f>
        <x:v>6.7482014388489215</x:v>
      </x:c>
      <x:c r="G28" s="48" t="n">
        <x:f>G26/G10</x:f>
        <x:v>10.681818181818182</x:v>
      </x:c>
      <x:c r="H28" s="48" t="n">
        <x:f>H26/H10</x:f>
        <x:v>13.814285714285715</x:v>
      </x:c>
      <x:c r="I28" s="48" t="n">
        <x:f>I26/I10</x:f>
        <x:v>9.526011560693641</x:v>
      </x:c>
      <x:c r="J28" s="48" t="n">
        <x:f>J26/J10</x:f>
        <x:v>5.9818181818181815</x:v>
      </x:c>
      <x:c r="K28" s="48" t="n">
        <x:f>K26/K10</x:f>
        <x:v>4.173333333333334</x:v>
      </x:c>
      <x:c r="L28" s="48" t="n">
        <x:f>L26/L10</x:f>
        <x:v>5.441860465116279</x:v>
      </x:c>
      <x:c r="M28" s="48" t="n">
        <x:f>M26/M10</x:f>
        <x:v>5.512077294685991</x:v>
      </x:c>
      <x:c r="N28" s="57" t="n">
        <x:f>'估值系统'!D14</x:f>
        <x:v>5.431924882629108</x:v>
      </x:c>
      <x:c r="O28" s="89"/>
      <x:c r="P28" s="89"/>
      <x:c r="Q28" s="89"/>
      <x:c r="R28" s="89"/>
      <x:c r="S28" s="89"/>
      <x:c r="T28" s="89"/>
      <x:c r="U28" s="89"/>
      <x:c r="V28" s="89"/>
      <x:c r="W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</x:row>
  </x:sheetData>
  <x:mergeCells>
    <x:mergeCell ref="C2:W2"/>
    <x:mergeCell ref="C3:W3"/>
    <x:mergeCell ref="C4:W4"/>
  </x:mergeCells>
  <x:pageMargins left="0.7" right="0.7" top="0.75" bottom="0.75" header="0.3" footer="0.3"/>
  <x:drawing xmlns:r="http://schemas.openxmlformats.org/officeDocument/2006/relationships" r:id="R8676985d250f4e3f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34" hidden="0" customWidth="1"/>
    <x:col min="9" max="9" width="3" hidden="0" customWidth="1"/>
    <x:col min="10" max="10" width="24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7" customHeight="1">
      <x:c r="A2" s="89"/>
      <x:c r="B2" s="89"/>
      <x:c r="C2" s="4" t="str">
        <x:v>资产质量、资本与重点风险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89"/>
      <x:c r="B3" s="89"/>
      <x:c r="C3" s="6" t="str">
        <x:v>银行利润必须放在资产质量与资本约束下理解；金额单位除特别说明外均为亿元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</x:row>
    <x:row r="4" ht="20" customHeight="1">
      <x:c r="A4" s="89"/>
      <x:c r="B4" s="89"/>
      <x:c r="C4" s="11" t="str">
        <x:v>阅读顺序：①资产质量总表　②贷款和房地产结构　③核心一级资本模拟　④减值对利润的影响</x:v>
      </x:c>
      <x:c r="D4" s="423"/>
      <x:c r="E4" s="423"/>
      <x:c r="F4" s="423"/>
      <x:c r="G4" s="423"/>
      <x:c r="H4" s="423"/>
      <x:c r="I4" s="423"/>
      <x:c r="J4" s="423"/>
      <x:c r="K4" s="423"/>
      <x:c r="L4" s="423"/>
      <x:c r="M4" s="423"/>
      <x:c r="N4" s="423"/>
    </x:row>
    <x:row r="5">
      <x:c r="A5" s="89"/>
      <x:c r="B5" s="89"/>
      <x:c r="C5" s="17" t="str">
        <x:v>指标</x:v>
      </x:c>
      <x:c r="D5" s="18" t="str">
        <x:v>2024A</x:v>
      </x:c>
      <x:c r="E5" s="18" t="str">
        <x:v>2025A</x:v>
      </x:c>
      <x:c r="F5" s="18" t="str">
        <x:v>1H26</x:v>
      </x:c>
      <x:c r="G5" s="18" t="str">
        <x:v>监管/观察线</x:v>
      </x:c>
      <x:c r="H5" s="19" t="str">
        <x:v>判断</x:v>
      </x:c>
      <x:c r="I5" s="89"/>
      <x:c r="J5" s="89"/>
      <x:c r="K5" s="89"/>
      <x:c r="L5" s="89"/>
      <x:c r="M5" s="89"/>
      <x:c r="N5" s="89"/>
    </x:row>
    <x:row r="6" ht="30" customHeight="1">
      <x:c r="A6" s="89"/>
      <x:c r="B6" s="89"/>
      <x:c r="C6" s="23" t="str">
        <x:v>不良贷款率</x:v>
      </x:c>
      <x:c r="D6" s="238" t="n">
        <x:v>0.0106</x:v>
      </x:c>
      <x:c r="E6" s="238" t="n">
        <x:v>0.0105</x:v>
      </x:c>
      <x:c r="F6" s="238" t="n">
        <x:v>0.0105</x:v>
      </x:c>
      <x:c r="G6" s="23" t="str">
        <x:v>&lt;1%优；监管≤5%</x:v>
      </x:c>
      <x:c r="H6" s="293" t="str">
        <x:v>稳定，但未达到巴菲特式优质银行&lt;1%标准</x:v>
      </x:c>
      <x:c r="I6" s="89"/>
      <x:c r="J6" s="89"/>
      <x:c r="K6" s="89"/>
      <x:c r="L6" s="89"/>
      <x:c r="M6" s="89"/>
      <x:c r="N6" s="89"/>
    </x:row>
    <x:row r="7" ht="30" customHeight="1">
      <x:c r="A7" s="89"/>
      <x:c r="B7" s="89"/>
      <x:c r="C7" s="24" t="str">
        <x:v>关注类贷款率</x:v>
      </x:c>
      <x:c r="D7" s="44"/>
      <x:c r="E7" s="44" t="n">
        <x:v>0.0175</x:v>
      </x:c>
      <x:c r="F7" s="44" t="n">
        <x:v>0.0183</x:v>
      </x:c>
      <x:c r="G7" s="24" t="str">
        <x:v>&gt;2%需警惕</x:v>
      </x:c>
      <x:c r="H7" s="294" t="str">
        <x:v>1H26升至1.83%，需继续跟踪</x:v>
      </x:c>
      <x:c r="I7" s="89"/>
      <x:c r="J7" s="89"/>
      <x:c r="K7" s="89"/>
      <x:c r="L7" s="89"/>
      <x:c r="M7" s="89"/>
      <x:c r="N7" s="89"/>
    </x:row>
    <x:row r="8" ht="30" customHeight="1">
      <x:c r="A8" s="89"/>
      <x:c r="B8" s="89"/>
      <x:c r="C8" s="24" t="str">
        <x:v>拨备覆盖率</x:v>
      </x:c>
      <x:c r="D8" s="44" t="n">
        <x:v>2.5071</x:v>
      </x:c>
      <x:c r="E8" s="44" t="n">
        <x:v>2.2088</x:v>
      </x:c>
      <x:c r="F8" s="44" t="n">
        <x:v>2.1958</x:v>
      </x:c>
      <x:c r="G8" s="24" t="str">
        <x:v>&gt;200%较稳</x:v>
      </x:c>
      <x:c r="H8" s="294" t="str">
        <x:v>仍在较好水平，但自2022年290%持续回落</x:v>
      </x:c>
      <x:c r="I8" s="89"/>
      <x:c r="J8" s="89"/>
      <x:c r="K8" s="89"/>
      <x:c r="L8" s="89"/>
      <x:c r="M8" s="89"/>
      <x:c r="N8" s="89"/>
    </x:row>
    <x:row r="9" ht="30" customHeight="1">
      <x:c r="A9" s="89"/>
      <x:c r="B9" s="89"/>
      <x:c r="C9" s="24" t="str">
        <x:v>逾期60天以上偏离度</x:v>
      </x:c>
      <x:c r="D9" s="41"/>
      <x:c r="E9" s="41" t="n">
        <x:v>0.67</x:v>
      </x:c>
      <x:c r="F9" s="41" t="n">
        <x:v>0.84</x:v>
      </x:c>
      <x:c r="G9" s="24" t="str">
        <x:v>&gt;1.0需警惕</x:v>
      </x:c>
      <x:c r="H9" s="294" t="str">
        <x:v>0.84，较2025末0.67上升</x:v>
      </x:c>
      <x:c r="I9" s="89"/>
      <x:c r="J9" s="89"/>
      <x:c r="K9" s="89"/>
      <x:c r="L9" s="89"/>
      <x:c r="M9" s="89"/>
      <x:c r="N9" s="89"/>
    </x:row>
    <x:row r="10" ht="30" customHeight="1">
      <x:c r="A10" s="89"/>
      <x:c r="B10" s="89"/>
      <x:c r="C10" s="24" t="str">
        <x:v>核心一级资本充足率</x:v>
      </x:c>
      <x:c r="D10" s="44" t="n">
        <x:v>0.0912</x:v>
      </x:c>
      <x:c r="E10" s="44" t="n">
        <x:v>0.0936</x:v>
      </x:c>
      <x:c r="F10" s="44" t="n">
        <x:v>0.0932</x:v>
      </x:c>
      <x:c r="G10" s="24" t="str">
        <x:v>监管≥7.75%</x:v>
      </x:c>
      <x:c r="H10" s="294" t="str">
        <x:v>缓冲157bp；低于&gt;10%的优质标准</x:v>
      </x:c>
      <x:c r="I10" s="89"/>
      <x:c r="J10" s="89"/>
      <x:c r="K10" s="89"/>
      <x:c r="L10" s="89"/>
      <x:c r="M10" s="89"/>
      <x:c r="N10" s="89"/>
    </x:row>
    <x:row r="11" ht="30" customHeight="1">
      <x:c r="A11" s="89"/>
      <x:c r="B11" s="89"/>
      <x:c r="C11" s="24" t="str">
        <x:v>净息差</x:v>
      </x:c>
      <x:c r="D11" s="44" t="n">
        <x:v>0.0187</x:v>
      </x:c>
      <x:c r="E11" s="44" t="n">
        <x:v>0.0178</x:v>
      </x:c>
      <x:c r="F11" s="44" t="n">
        <x:v>0.018</x:v>
      </x:c>
      <x:c r="G11" s="24" t="str">
        <x:v>&lt;1.7%观察</x:v>
      </x:c>
      <x:c r="H11" s="294" t="str">
        <x:v>较2025略修复，管理层预计仍承压</x:v>
      </x:c>
      <x:c r="I11" s="89"/>
      <x:c r="J11" s="89"/>
      <x:c r="K11" s="89"/>
      <x:c r="L11" s="89"/>
      <x:c r="M11" s="89"/>
      <x:c r="N11" s="89"/>
    </x:row>
    <x:row r="12" ht="30" customHeight="1">
      <x:c r="A12" s="89"/>
      <x:c r="B12" s="89"/>
      <x:c r="C12" s="24" t="str">
        <x:v>流动性覆盖率</x:v>
      </x:c>
      <x:c r="D12" s="44"/>
      <x:c r="E12" s="44" t="n">
        <x:v>1.3287</x:v>
      </x:c>
      <x:c r="F12" s="44" t="n">
        <x:v>1.3225</x:v>
      </x:c>
      <x:c r="G12" s="24" t="str">
        <x:v>&gt;100%</x:v>
      </x:c>
      <x:c r="H12" s="294" t="str">
        <x:v>132.25%，流动性充足</x:v>
      </x:c>
      <x:c r="I12" s="89"/>
      <x:c r="J12" s="89"/>
      <x:c r="K12" s="89"/>
      <x:c r="L12" s="89"/>
      <x:c r="M12" s="89"/>
      <x:c r="N12" s="89"/>
    </x:row>
    <x:row r="13" ht="30" customHeight="1">
      <x:c r="A13" s="89"/>
      <x:c r="B13" s="89"/>
      <x:c r="C13" s="25" t="str">
        <x:v>净稳定资金比例</x:v>
      </x:c>
      <x:c r="D13" s="103"/>
      <x:c r="E13" s="103" t="n">
        <x:v>1.0695</x:v>
      </x:c>
      <x:c r="F13" s="103" t="n">
        <x:v>1.054</x:v>
      </x:c>
      <x:c r="G13" s="25" t="str">
        <x:v>&gt;100%</x:v>
      </x:c>
      <x:c r="H13" s="295" t="str">
        <x:v>105.40%，缓冲偏薄</x:v>
      </x:c>
      <x:c r="I13" s="89"/>
      <x:c r="J13" s="89"/>
      <x:c r="K13" s="89"/>
      <x:c r="L13" s="89"/>
      <x:c r="M13" s="89"/>
      <x:c r="N13" s="89"/>
    </x:row>
    <x:row r="14">
      <x:c r="A14" s="89"/>
      <x:c r="B14" s="89"/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</x:row>
    <x:row r="15" ht="23" customHeight="1">
      <x:c r="A15" s="89"/>
      <x:c r="B15" s="89"/>
      <x:c r="C15" s="68" t="str">
        <x:v>贷款结构与不良率</x:v>
      </x:c>
      <x:c r="D15" s="89"/>
      <x:c r="E15" s="89"/>
      <x:c r="F15" s="89"/>
      <x:c r="G15" s="89"/>
      <x:c r="H15" s="89"/>
      <x:c r="I15" s="89"/>
      <x:c r="J15" s="68" t="str">
        <x:v>房地产与重点行业</x:v>
      </x:c>
      <x:c r="K15" s="89"/>
      <x:c r="L15" s="89"/>
      <x:c r="M15" s="89"/>
      <x:c r="N15" s="89"/>
    </x:row>
    <x:row r="16">
      <x:c r="A16" s="89"/>
      <x:c r="B16" s="89"/>
      <x:c r="C16" s="17" t="str">
        <x:v>类别</x:v>
      </x:c>
      <x:c r="D16" s="18" t="str">
        <x:v>余额（亿元）</x:v>
      </x:c>
      <x:c r="E16" s="18" t="str">
        <x:v>占总贷款</x:v>
      </x:c>
      <x:c r="F16" s="18" t="str">
        <x:v>不良率</x:v>
      </x:c>
      <x:c r="G16" s="18" t="str">
        <x:v>上年末不良率</x:v>
      </x:c>
      <x:c r="H16" s="19" t="str">
        <x:v>变动（bp）</x:v>
      </x:c>
      <x:c r="I16" s="89"/>
      <x:c r="J16" s="17" t="str">
        <x:v>项目</x:v>
      </x:c>
      <x:c r="K16" s="18" t="str">
        <x:v>余额</x:v>
      </x:c>
      <x:c r="L16" s="18" t="str">
        <x:v>占贷款</x:v>
      </x:c>
      <x:c r="M16" s="18" t="str">
        <x:v>不良率</x:v>
      </x:c>
      <x:c r="N16" s="19" t="str">
        <x:v>结论</x:v>
      </x:c>
    </x:row>
    <x:row r="17">
      <x:c r="A17" s="89"/>
      <x:c r="B17" s="89"/>
      <x:c r="C17" s="23" t="str">
        <x:v>企业贷款</x:v>
      </x:c>
      <x:c r="D17" s="242" t="n">
        <x:v>17253.01</x:v>
      </x:c>
      <x:c r="E17" s="238" t="n">
        <x:v>0.5</x:v>
      </x:c>
      <x:c r="F17" s="238" t="n">
        <x:v>0.0087</x:v>
      </x:c>
      <x:c r="G17" s="238" t="n">
        <x:v>0.0087</x:v>
      </x:c>
      <x:c r="H17" s="244" t="n">
        <x:f>(F17-G17)*10000</x:f>
        <x:v>0</x:v>
      </x:c>
      <x:c r="I17" s="89"/>
      <x:c r="J17" s="23" t="str">
        <x:v>承担信用风险涉房业务</x:v>
      </x:c>
      <x:c r="K17" s="242" t="n">
        <x:v>2434.45</x:v>
      </x:c>
      <x:c r="L17" s="238" t="n">
        <x:v>0.0705</x:v>
      </x:c>
      <x:c r="M17" s="238"/>
      <x:c r="N17" s="293" t="str">
        <x:v>较2025末下降79.12亿元</x:v>
      </x:c>
    </x:row>
    <x:row r="18">
      <x:c r="A18" s="89"/>
      <x:c r="B18" s="89"/>
      <x:c r="C18" s="24" t="str">
        <x:v>  一般企业贷款</x:v>
      </x:c>
      <x:c r="D18" s="45" t="n">
        <x:v>16330.15</x:v>
      </x:c>
      <x:c r="E18" s="44" t="n">
        <x:v>0.473</x:v>
      </x:c>
      <x:c r="F18" s="44" t="n">
        <x:v>0.0092</x:v>
      </x:c>
      <x:c r="G18" s="44" t="n">
        <x:v>0.0094</x:v>
      </x:c>
      <x:c r="H18" s="245" t="n">
        <x:f>(F18-G18)*10000</x:f>
        <x:v>-2.0000000000000053</x:v>
      </x:c>
      <x:c r="I18" s="89"/>
      <x:c r="J18" s="24" t="str">
        <x:v>对公房地产贷款</x:v>
      </x:c>
      <x:c r="K18" s="45" t="n">
        <x:v>1983.86</x:v>
      </x:c>
      <x:c r="L18" s="44" t="n">
        <x:v>0.057</x:v>
      </x:c>
      <x:c r="M18" s="44" t="n">
        <x:v>0.0215</x:v>
      </x:c>
      <x:c r="N18" s="294" t="str">
        <x:v>余额下降，不良率下降7bp</x:v>
      </x:c>
    </x:row>
    <x:row r="19">
      <x:c r="A19" s="89"/>
      <x:c r="B19" s="89"/>
      <x:c r="C19" s="24" t="str">
        <x:v>个人贷款</x:v>
      </x:c>
      <x:c r="D19" s="45" t="n">
        <x:v>17269.73</x:v>
      </x:c>
      <x:c r="E19" s="44" t="n">
        <x:v>0.5</x:v>
      </x:c>
      <x:c r="F19" s="44" t="n">
        <x:v>0.0123</x:v>
      </x:c>
      <x:c r="G19" s="44" t="n">
        <x:v>0.0123</x:v>
      </x:c>
      <x:c r="H19" s="245" t="n">
        <x:f>(F19-G19)*10000</x:f>
        <x:v>0</x:v>
      </x:c>
      <x:c r="I19" s="89"/>
      <x:c r="J19" s="24" t="str">
        <x:v>房地产开发贷</x:v>
      </x:c>
      <x:c r="K19" s="45" t="n">
        <x:v>592.62</x:v>
      </x:c>
      <x:c r="L19" s="44" t="n">
        <x:v>0.017</x:v>
      </x:c>
      <x:c r="M19" s="44"/>
      <x:c r="N19" s="294" t="str">
        <x:v>全部有效抵押；平均抵押率45.4%</x:v>
      </x:c>
    </x:row>
    <x:row r="20">
      <x:c r="A20" s="89"/>
      <x:c r="B20" s="89"/>
      <x:c r="C20" s="24" t="str">
        <x:v>  住房按揭</x:v>
      </x:c>
      <x:c r="D20" s="45" t="n">
        <x:v>3636.3</x:v>
      </x:c>
      <x:c r="E20" s="44" t="n">
        <x:v>0.105</x:v>
      </x:c>
      <x:c r="F20" s="44" t="n">
        <x:v>0.0022</x:v>
      </x:c>
      <x:c r="G20" s="44" t="n">
        <x:v>0.0028</x:v>
      </x:c>
      <x:c r="H20" s="245" t="n">
        <x:f>(F20-G20)*10000</x:f>
        <x:v>-5.999999999999998</x:v>
      </x:c>
      <x:c r="I20" s="89"/>
      <x:c r="J20" s="24" t="str">
        <x:v>交通运输与邮电</x:v>
      </x:c>
      <x:c r="K20" s="45" t="n">
        <x:v>861.04</x:v>
      </x:c>
      <x:c r="L20" s="44" t="n">
        <x:v>0.025</x:v>
      </x:c>
      <x:c r="M20" s="44" t="n">
        <x:v>0.0277</x:v>
      </x:c>
      <x:c r="N20" s="294" t="str">
        <x:v>行业不良率较高且上升44bp</x:v>
      </x:c>
    </x:row>
    <x:row r="21">
      <x:c r="A21" s="89"/>
      <x:c r="B21" s="89"/>
      <x:c r="C21" s="24" t="str">
        <x:v>  信用卡</x:v>
      </x:c>
      <x:c r="D21" s="45" t="n">
        <x:v>4025.9</x:v>
      </x:c>
      <x:c r="E21" s="44" t="n">
        <x:v>0.117</x:v>
      </x:c>
      <x:c r="F21" s="44" t="n">
        <x:v>0.0223</x:v>
      </x:c>
      <x:c r="G21" s="44" t="n">
        <x:v>0.0224</x:v>
      </x:c>
      <x:c r="H21" s="245" t="n">
        <x:f>(F21-G21)*10000</x:f>
        <x:v>-0.999999999999994</x:v>
      </x:c>
      <x:c r="I21" s="89"/>
      <x:c r="J21" s="24" t="str">
        <x:v>制造业</x:v>
      </x:c>
      <x:c r="K21" s="45" t="n">
        <x:v>2454.48</x:v>
      </x:c>
      <x:c r="L21" s="44" t="n">
        <x:v>0.071</x:v>
      </x:c>
      <x:c r="M21" s="44" t="n">
        <x:v>0.0108</x:v>
      </x:c>
      <x:c r="N21" s="294" t="str">
        <x:v>规模增长，不良率小幅下降</x:v>
      </x:c>
    </x:row>
    <x:row r="22">
      <x:c r="A22" s="89"/>
      <x:c r="B22" s="89"/>
      <x:c r="C22" s="289" t="str">
        <x:v>  消费性贷款</x:v>
      </x:c>
      <x:c r="D22" s="53" t="n">
        <x:v>4609.02</x:v>
      </x:c>
      <x:c r="E22" s="55" t="n">
        <x:v>0.133</x:v>
      </x:c>
      <x:c r="F22" s="55" t="n">
        <x:v>0.0124</x:v>
      </x:c>
      <x:c r="G22" s="55" t="n">
        <x:v>0.0112</x:v>
      </x:c>
      <x:c r="H22" s="247" t="n">
        <x:f>(F22-G22)*10000</x:f>
        <x:v>11.999999999999996</x:v>
      </x:c>
      <x:c r="I22" s="89"/>
      <x:c r="J22" s="25" t="str">
        <x:v>批发零售</x:v>
      </x:c>
      <x:c r="K22" s="243" t="n">
        <x:v>1444.37</x:v>
      </x:c>
      <x:c r="L22" s="103" t="n">
        <x:v>0.042</x:v>
      </x:c>
      <x:c r="M22" s="103" t="n">
        <x:v>0.0104</x:v>
      </x:c>
      <x:c r="N22" s="295" t="str">
        <x:v>不良率上升20bp</x:v>
      </x:c>
    </x:row>
    <x:row r="23">
      <x:c r="A23" s="89"/>
      <x:c r="B23" s="89"/>
      <x:c r="C23" s="24" t="str">
        <x:v>  经营性贷款</x:v>
      </x:c>
      <x:c r="D23" s="45" t="n">
        <x:v>4998.51</x:v>
      </x:c>
      <x:c r="E23" s="44" t="n">
        <x:v>0.145</x:v>
      </x:c>
      <x:c r="F23" s="44" t="n">
        <x:v>0.0115</x:v>
      </x:c>
      <x:c r="G23" s="44" t="n">
        <x:v>0.0117</x:v>
      </x:c>
      <x:c r="H23" s="245" t="n">
        <x:f>(F23-G23)*10000</x:f>
        <x:v>-2.0000000000000053</x:v>
      </x:c>
      <x:c r="I23" s="89"/>
      <x:c r="J23" s="469" t="str">
        <x:v>口径说明：2,434.45亿元承担信用风险的涉房业务包含实有及或有信贷、自营债券投资和自营非标投资；1,983.86亿元对公房地产贷款仅是贷款部分。住房按揭不良率0.22%是期末时点值，全行同期存在转让、证券化等处置，不能仅凭下降6bp判断风险自然改善。</x:v>
      </x:c>
      <x:c r="K23" s="470"/>
      <x:c r="L23" s="470"/>
      <x:c r="M23" s="470"/>
      <x:c r="N23" s="471"/>
    </x:row>
    <x:row r="24">
      <x:c r="A24" s="89"/>
      <x:c r="B24" s="89"/>
      <x:c r="C24" s="472" t="str">
        <x:v>贷款合计</x:v>
      </x:c>
      <x:c r="D24" s="252" t="n">
        <x:v>34522.74</x:v>
      </x:c>
      <x:c r="E24" s="253" t="n">
        <x:v>1</x:v>
      </x:c>
      <x:c r="F24" s="253" t="n">
        <x:v>0.0105</x:v>
      </x:c>
      <x:c r="G24" s="253" t="n">
        <x:v>0.0105</x:v>
      </x:c>
      <x:c r="H24" s="254" t="n">
        <x:f>(F24-G24)*10000</x:f>
        <x:v>0</x:v>
      </x:c>
      <x:c r="I24" s="89"/>
      <x:c r="J24" s="473"/>
      <x:c r="K24" s="446"/>
      <x:c r="L24" s="446"/>
      <x:c r="M24" s="446"/>
      <x:c r="N24" s="474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475"/>
      <x:c r="K25" s="476"/>
      <x:c r="L25" s="476"/>
      <x:c r="M25" s="476"/>
      <x:c r="N25" s="477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</x:row>
    <x:row r="27" ht="23" customHeight="1">
      <x:c r="A27" s="89"/>
      <x:c r="B27" s="89"/>
      <x:c r="C27" s="68" t="str">
        <x:v>核心一级资本情景分析：额外信用损失超过现有拨备后的保守冲击</x:v>
      </x:c>
      <x:c r="D27" s="89"/>
      <x:c r="E27" s="89"/>
      <x:c r="F27" s="89"/>
      <x:c r="G27" s="89"/>
      <x:c r="H27" s="89"/>
      <x:c r="I27" s="89"/>
      <x:c r="J27" s="401" t="str">
        <x:v>解读：在风险加权资产不变、损失直接冲减核心一级资本的保守假设下，额外损失达到贷款本金约2.25%时，核心一级资本充足率接近监管线。现有拨备覆盖率仍高于200%，但资本安全垫并不宽。</x:v>
      </x:c>
      <x:c r="K27" s="89"/>
      <x:c r="L27" s="89"/>
      <x:c r="M27" s="89"/>
      <x:c r="N27" s="89"/>
    </x:row>
    <x:row r="28">
      <x:c r="A28" s="89"/>
      <x:c r="B28" s="89"/>
      <x:c r="C28" s="17" t="str">
        <x:v>额外损失/贷款</x:v>
      </x:c>
      <x:c r="D28" s="18" t="str">
        <x:v>额外损失</x:v>
      </x:c>
      <x:c r="E28" s="18" t="str">
        <x:v>压力后核心一级资本</x:v>
      </x:c>
      <x:c r="F28" s="18" t="str">
        <x:v>压力后CET1</x:v>
      </x:c>
      <x:c r="G28" s="19" t="str">
        <x:v>高于7.75%的缓冲</x:v>
      </x:c>
      <x:c r="H28" s="89"/>
      <x:c r="I28" s="89"/>
      <x:c r="J28" s="89"/>
      <x:c r="K28" s="89"/>
      <x:c r="L28" s="89"/>
      <x:c r="M28" s="89"/>
      <x:c r="N28" s="89"/>
    </x:row>
    <x:row r="29">
      <x:c r="A29" s="89"/>
      <x:c r="B29" s="89"/>
      <x:c r="C29" s="271" t="n">
        <x:v>0.005</x:v>
      </x:c>
      <x:c r="D29" s="272" t="n">
        <x:f>$F$37*C29</x:f>
        <x:v>172.6137</x:v>
      </x:c>
      <x:c r="E29" s="272" t="n">
        <x:f>$F$38-D29</x:f>
        <x:v>4388.1363</x:v>
      </x:c>
      <x:c r="F29" s="271" t="n">
        <x:f>E29/$F$39</x:f>
        <x:v>0.0896481521470658</x:v>
      </x:c>
      <x:c r="G29" s="271" t="n">
        <x:f>F29-7.75%</x:f>
        <x:v>0.0121481521470658</x:v>
      </x:c>
      <x:c r="H29" s="89"/>
      <x:c r="I29" s="89"/>
      <x:c r="J29" s="89"/>
      <x:c r="K29" s="89"/>
      <x:c r="L29" s="89"/>
      <x:c r="M29" s="89"/>
      <x:c r="N29" s="89"/>
    </x:row>
    <x:row r="30">
      <x:c r="A30" s="89"/>
      <x:c r="B30" s="89"/>
      <x:c r="C30" s="271" t="n">
        <x:v>0.01</x:v>
      </x:c>
      <x:c r="D30" s="272" t="n">
        <x:f>$F$37*C30</x:f>
        <x:v>345.2274</x:v>
      </x:c>
      <x:c r="E30" s="272" t="n">
        <x:f>$F$38-D30</x:f>
        <x:v>4215.5226</x:v>
      </x:c>
      <x:c r="F30" s="271" t="n">
        <x:f>E30/$F$39</x:f>
        <x:v>0.08612171217748966</x:v>
      </x:c>
      <x:c r="G30" s="271" t="n">
        <x:f>F30-7.75%</x:f>
        <x:v>0.008621712177489665</x:v>
      </x:c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271" t="n">
        <x:v>0.015</x:v>
      </x:c>
      <x:c r="D31" s="272" t="n">
        <x:f>$F$37*C31</x:f>
        <x:v>517.8411</x:v>
      </x:c>
      <x:c r="E31" s="272" t="n">
        <x:f>$F$38-D31</x:f>
        <x:v>4042.9089</x:v>
      </x:c>
      <x:c r="F31" s="271" t="n">
        <x:f>E31/$F$39</x:f>
        <x:v>0.0825952722079135</x:v>
      </x:c>
      <x:c r="G31" s="271" t="n">
        <x:f>F31-7.75%</x:f>
        <x:v>0.005095272207913504</x:v>
      </x:c>
      <x:c r="H31" s="89"/>
      <x:c r="I31" s="89"/>
      <x:c r="J31" s="89"/>
      <x:c r="K31" s="89"/>
      <x:c r="L31" s="89"/>
      <x:c r="M31" s="89"/>
      <x:c r="N31" s="89"/>
    </x:row>
    <x:row r="32">
      <x:c r="A32" s="89"/>
      <x:c r="B32" s="89"/>
      <x:c r="C32" s="271" t="n">
        <x:v>0.02</x:v>
      </x:c>
      <x:c r="D32" s="272" t="n">
        <x:f>$F$37*C32</x:f>
        <x:v>690.4548</x:v>
      </x:c>
      <x:c r="E32" s="272" t="n">
        <x:f>$F$38-D32</x:f>
        <x:v>3870.2952</x:v>
      </x:c>
      <x:c r="F32" s="271" t="n">
        <x:f>E32/$F$39</x:f>
        <x:v>0.07906883223833737</x:v>
      </x:c>
      <x:c r="G32" s="271" t="n">
        <x:f>F32-7.75%</x:f>
        <x:v>0.0015688322383373698</x:v>
      </x:c>
      <x:c r="H32" s="89"/>
      <x:c r="I32" s="89"/>
      <x:c r="J32" s="350" t="str">
        <x:v>当前最需跟踪的三件事：
1. 消费性贷款不良率已由1.12%升至1.24%（+12bp），零售风险尚未完全出清。
2. 关注类贷款率与逾期60天以上偏离度是否继续上升。
3. 核心一级资本能否回到9.5%以上，同时维持分红。</x:v>
      </x:c>
      <x:c r="K32" s="89"/>
      <x:c r="L32" s="89"/>
      <x:c r="M32" s="89"/>
      <x:c r="N32" s="89"/>
    </x:row>
    <x:row r="33">
      <x:c r="A33" s="89"/>
      <x:c r="B33" s="89"/>
      <x:c r="C33" s="271" t="n">
        <x:v>0.0225</x:v>
      </x:c>
      <x:c r="D33" s="272" t="n">
        <x:f>$F$37*C33</x:f>
        <x:v>776.7616499999999</x:v>
      </x:c>
      <x:c r="E33" s="272" t="n">
        <x:f>$F$38-D33</x:f>
        <x:v>3783.98835</x:v>
      </x:c>
      <x:c r="F33" s="271" t="n">
        <x:f>E33/$F$39</x:f>
        <x:v>0.0773056122535493</x:v>
      </x:c>
      <x:c r="G33" s="271" t="n">
        <x:f>F33-7.75%</x:f>
        <x:v>-0.00019438774645069712</x:v>
      </x:c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>
      <x:c r="A35" s="89"/>
      <x:c r="B35" s="89"/>
      <x:c r="C35" s="17" t="str">
        <x:v>情景分析输入</x:v>
      </x:c>
      <x:c r="D35" s="18" t="str">
        <x:v>数值</x:v>
      </x:c>
      <x:c r="E35" s="18" t="str">
        <x:v>单位</x:v>
      </x:c>
      <x:c r="F35" s="19" t="str">
        <x:v>来源/口径</x:v>
      </x:c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 t="str">
        <x:v>贷款本金</x:v>
      </x:c>
      <x:c r="D37" s="277" t="n">
        <x:f>F37</x:f>
        <x:v>34522.74</x:v>
      </x:c>
      <x:c r="E37" s="89" t="str">
        <x:v>亿元</x:v>
      </x:c>
      <x:c r="F37" s="89" t="n">
        <x:v>34522.74</x:v>
      </x:c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 t="str">
        <x:v>核心一级资本净额</x:v>
      </x:c>
      <x:c r="D38" s="277" t="n">
        <x:f>F38</x:f>
        <x:v>4560.75</x:v>
      </x:c>
      <x:c r="E38" s="89" t="str">
        <x:v>亿元</x:v>
      </x:c>
      <x:c r="F38" s="89" t="n">
        <x:v>4560.75</x:v>
      </x:c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 t="str">
        <x:v>风险加权资产</x:v>
      </x:c>
      <x:c r="D39" s="277" t="n">
        <x:f>F39</x:f>
        <x:v>48948.43</x:v>
      </x:c>
      <x:c r="E39" s="89" t="str">
        <x:v>亿元</x:v>
      </x:c>
      <x:c r="F39" s="89" t="n">
        <x:v>48948.43</x:v>
      </x:c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 t="str">
        <x:v>监管核心一级资本要求</x:v>
      </x:c>
      <x:c r="D40" s="278" t="n">
        <x:f>F40</x:f>
        <x:v>0.0775</x:v>
      </x:c>
      <x:c r="E40" s="89" t="str"/>
      <x:c r="F40" s="89" t="n">
        <x:v>0.0775</x:v>
      </x:c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 ht="23" customHeight="1">
      <x:c r="A43" s="89"/>
      <x:c r="B43" s="89"/>
      <x:c r="C43" s="68" t="str">
        <x:v>利润质量：减值对利润的影响</x:v>
      </x:c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17" t="str">
        <x:v>期间</x:v>
      </x:c>
      <x:c r="D44" s="18" t="str">
        <x:v>营业收入</x:v>
      </x:c>
      <x:c r="E44" s="18" t="str">
        <x:v>减值前营业利润</x:v>
      </x:c>
      <x:c r="F44" s="18" t="str">
        <x:v>信用及其他减值</x:v>
      </x:c>
      <x:c r="G44" s="19" t="str">
        <x:v>归母净利润</x:v>
      </x:c>
      <x:c r="H44" s="17" t="str">
        <x:v>解读</x:v>
      </x:c>
      <x:c r="I44" s="18"/>
      <x:c r="J44" s="18"/>
      <x:c r="K44" s="18"/>
      <x:c r="L44" s="18"/>
      <x:c r="M44" s="18"/>
      <x:c r="N44" s="19"/>
    </x:row>
    <x:row r="45">
      <x:c r="A45" s="89"/>
      <x:c r="B45" s="89"/>
      <x:c r="C45" s="23" t="str">
        <x:v>2024A</x:v>
      </x:c>
      <x:c r="D45" s="286" t="n">
        <x:v>1466.95</x:v>
      </x:c>
      <x:c r="E45" s="286" t="n">
        <x:v>1046.34</x:v>
      </x:c>
      <x:c r="F45" s="286" t="n">
        <x:v>494.28</x:v>
      </x:c>
      <x:c r="G45" s="286" t="n">
        <x:v>445.08</x:v>
      </x:c>
      <x:c r="H45" s="447" t="str">
        <x:v>2025年营业收入同比下降10.4%，减值前营业利润下降12.1%，但信用及其他资产减值损失减少88.61亿元（-17.9%），明显缓冲了净利润降幅，盈利质量需要打折观察。2026年上半年减值损失同比增加2.5%，营收、减值前利润和净利润分别增长1.8%、2.4%和3.3%，最新利润增长并非继续依靠少提减值。</x:v>
      </x:c>
      <x:c r="I45" s="448"/>
      <x:c r="J45" s="448"/>
      <x:c r="K45" s="448"/>
      <x:c r="L45" s="448"/>
      <x:c r="M45" s="448"/>
      <x:c r="N45" s="449"/>
    </x:row>
    <x:row r="46">
      <x:c r="A46" s="89"/>
      <x:c r="B46" s="89"/>
      <x:c r="C46" s="289" t="str">
        <x:v>2025A</x:v>
      </x:c>
      <x:c r="D46" s="290" t="n">
        <x:v>1314.42</x:v>
      </x:c>
      <x:c r="E46" s="290" t="n">
        <x:v>919.75</x:v>
      </x:c>
      <x:c r="F46" s="290" t="n">
        <x:v>405.67</x:v>
      </x:c>
      <x:c r="G46" s="290" t="n">
        <x:v>426.33</x:v>
      </x:c>
      <x:c r="H46" s="450"/>
      <x:c r="I46" s="350"/>
      <x:c r="J46" s="350"/>
      <x:c r="K46" s="350"/>
      <x:c r="L46" s="350"/>
      <x:c r="M46" s="350"/>
      <x:c r="N46" s="451"/>
    </x:row>
    <x:row r="47">
      <x:c r="A47" s="89"/>
      <x:c r="B47" s="89"/>
      <x:c r="C47" s="24" t="str">
        <x:v>1H25</x:v>
      </x:c>
      <x:c r="D47" s="287" t="n">
        <x:v>693.85</x:v>
      </x:c>
      <x:c r="E47" s="287" t="n">
        <x:v>495.52</x:v>
      </x:c>
      <x:c r="F47" s="287" t="n">
        <x:v>194.5</x:v>
      </x:c>
      <x:c r="G47" s="287" t="n">
        <x:v>248.7</x:v>
      </x:c>
      <x:c r="H47" s="450"/>
      <x:c r="I47" s="350"/>
      <x:c r="J47" s="350"/>
      <x:c r="K47" s="350"/>
      <x:c r="L47" s="350"/>
      <x:c r="M47" s="350"/>
      <x:c r="N47" s="451"/>
    </x:row>
    <x:row r="48">
      <x:c r="A48" s="89"/>
      <x:c r="B48" s="89"/>
      <x:c r="C48" s="140" t="str">
        <x:v>1H26</x:v>
      </x:c>
      <x:c r="D48" s="291" t="n">
        <x:v>706.17</x:v>
      </x:c>
      <x:c r="E48" s="291" t="n">
        <x:v>507.61</x:v>
      </x:c>
      <x:c r="F48" s="291" t="n">
        <x:v>199.33</x:v>
      </x:c>
      <x:c r="G48" s="291" t="n">
        <x:v>256.96</x:v>
      </x:c>
      <x:c r="H48" s="453"/>
      <x:c r="I48" s="454"/>
      <x:c r="J48" s="454"/>
      <x:c r="K48" s="454"/>
      <x:c r="L48" s="454"/>
      <x:c r="M48" s="454"/>
      <x:c r="N48" s="455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</x:row>
  </x:sheetData>
  <x:mergeCells>
    <x:mergeCell ref="C2:N2"/>
    <x:mergeCell ref="C3:N3"/>
    <x:mergeCell ref="C4:N4"/>
    <x:mergeCell ref="C15:H15"/>
    <x:mergeCell ref="J15:N15"/>
    <x:mergeCell ref="J23:N25"/>
    <x:mergeCell ref="C27:H27"/>
    <x:mergeCell ref="J27:N30"/>
    <x:mergeCell ref="J32:N36"/>
    <x:mergeCell ref="C43:N43"/>
    <x:mergeCell ref="H44:N44"/>
    <x:mergeCell ref="H45:N48"/>
  </x:mergeCells>
  <x:conditionalFormatting sqref="F17:F24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F29:G33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10" hidden="0" customWidth="1"/>
    <x:col min="4" max="4" width="12" hidden="0" customWidth="1"/>
    <x:col min="5" max="5" width="10" hidden="0" customWidth="1"/>
    <x:col min="6" max="6" width="9" hidden="0" customWidth="1"/>
    <x:col min="7" max="7" width="9" hidden="0" customWidth="1"/>
    <x:col min="8" max="8" width="11" hidden="0" customWidth="1"/>
    <x:col min="9" max="9" width="11" hidden="0" customWidth="1"/>
    <x:col min="10" max="10" width="10" hidden="0" customWidth="1"/>
    <x:col min="11" max="11" width="10" hidden="0" customWidth="1"/>
    <x:col min="12" max="12" width="13" hidden="0" customWidth="1"/>
    <x:col min="13" max="13" width="13" hidden="0" customWidth="1"/>
    <x:col min="14" max="14" width="13" hidden="0" customWidth="1"/>
    <x:col min="15" max="15" width="11" hidden="0" customWidth="1"/>
    <x:col min="16" max="16" width="11" hidden="0" customWidth="1"/>
    <x:col min="17" max="17" width="17" hidden="0" customWidth="1"/>
    <x:col min="18" max="18" width="12" hidden="0" customWidth="1"/>
    <x:col min="19" max="19" width="12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</x:row>
    <x:row r="2" ht="27" customHeight="1">
      <x:c r="A2" s="89"/>
      <x:c r="B2" s="89"/>
      <x:c r="C2" s="4" t="str">
        <x:v>股份行与优质银行同业比较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</x:row>
    <x:row r="3">
      <x:c r="A3" s="89"/>
      <x:c r="B3" s="89"/>
      <x:c r="C3" s="6" t="str">
        <x:v>股价截至2026-10-13；经营数据截至2026-06-30，存在时间口径差异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</x:row>
    <x:row r="4" ht="20" customHeight="1">
      <x:c r="A4" s="89"/>
      <x:c r="B4" s="89"/>
      <x:c r="C4" s="11" t="str">
        <x:v>阅读顺序：①顶部四个结论数字　②中部同业明细与定位　③底部PB对比图</x:v>
      </x:c>
      <x:c r="D4" s="423"/>
      <x:c r="E4" s="423"/>
      <x:c r="F4" s="423"/>
      <x:c r="G4" s="423"/>
      <x:c r="H4" s="423"/>
      <x:c r="I4" s="423"/>
      <x:c r="J4" s="423"/>
      <x:c r="K4" s="423"/>
      <x:c r="L4" s="423"/>
      <x:c r="M4" s="423"/>
      <x:c r="N4" s="423"/>
      <x:c r="O4" s="423"/>
      <x:c r="P4" s="423"/>
      <x:c r="Q4" s="423"/>
      <x:c r="R4" s="423"/>
      <x:c r="S4" s="423"/>
      <x:c r="T4" s="423"/>
      <x:c r="U4" s="423"/>
      <x:c r="V4" s="423"/>
      <x:c r="W4" s="423"/>
    </x:row>
    <x:row r="5">
      <x:c r="A5" s="89"/>
      <x:c r="B5" s="89"/>
      <x:c r="C5" s="68" t="str">
        <x:v>平安银行PB</x:v>
      </x:c>
      <x:c r="D5" s="68"/>
      <x:c r="E5" s="68"/>
      <x:c r="F5" s="68"/>
      <x:c r="G5" s="68"/>
      <x:c r="H5" s="68" t="str">
        <x:v>同业PB中位</x:v>
      </x:c>
      <x:c r="I5" s="68"/>
      <x:c r="J5" s="68"/>
      <x:c r="K5" s="68"/>
      <x:c r="L5" s="68"/>
      <x:c r="M5" s="68" t="str">
        <x:v>ROE调整价值</x:v>
      </x:c>
      <x:c r="N5" s="68"/>
      <x:c r="O5" s="68"/>
      <x:c r="P5" s="68"/>
      <x:c r="Q5" s="68"/>
      <x:c r="R5" s="68" t="str">
        <x:v>相对当前价空间</x:v>
      </x:c>
      <x:c r="S5" s="68"/>
      <x:c r="T5" s="68"/>
      <x:c r="U5" s="68"/>
      <x:c r="V5" s="68"/>
      <x:c r="W5" s="68"/>
    </x:row>
    <x:row r="6">
      <x:c r="A6" s="89"/>
      <x:c r="B6" s="89"/>
      <x:c r="C6" s="72" t="n">
        <x:f>G13</x:f>
        <x:v>0.48</x:v>
      </x:c>
      <x:c r="D6" s="72"/>
      <x:c r="E6" s="72"/>
      <x:c r="F6" s="72"/>
      <x:c r="G6" s="72"/>
      <x:c r="H6" s="76" t="n">
        <x:f>ROUND($R$13+0.000001,2)</x:f>
        <x:v>0.58</x:v>
      </x:c>
      <x:c r="I6" s="76"/>
      <x:c r="J6" s="76"/>
      <x:c r="K6" s="76"/>
      <x:c r="L6" s="76"/>
      <x:c r="M6" s="80" t="n">
        <x:f>$R$17</x:f>
        <x:v>15.27017821782178</x:v>
      </x:c>
      <x:c r="N6" s="80"/>
      <x:c r="O6" s="80"/>
      <x:c r="P6" s="80"/>
      <x:c r="Q6" s="80"/>
      <x:c r="R6" s="84" t="n">
        <x:f>$R$17/E13-1</x:f>
        <x:v>0.31980797042539155</x:v>
      </x:c>
      <x:c r="S6" s="84"/>
      <x:c r="T6" s="84"/>
      <x:c r="U6" s="84"/>
      <x:c r="V6" s="84"/>
      <x:c r="W6" s="84"/>
    </x:row>
    <x:row r="7">
      <x:c r="A7" s="89"/>
      <x:c r="B7" s="89"/>
      <x:c r="C7" s="72"/>
      <x:c r="D7" s="72"/>
      <x:c r="E7" s="72"/>
      <x:c r="F7" s="72"/>
      <x:c r="G7" s="72"/>
      <x:c r="H7" s="76"/>
      <x:c r="I7" s="76"/>
      <x:c r="J7" s="76"/>
      <x:c r="K7" s="76"/>
      <x:c r="L7" s="76"/>
      <x:c r="M7" s="80"/>
      <x:c r="N7" s="80"/>
      <x:c r="O7" s="80"/>
      <x:c r="P7" s="80"/>
      <x:c r="Q7" s="80"/>
      <x:c r="R7" s="84"/>
      <x:c r="S7" s="84"/>
      <x:c r="T7" s="84"/>
      <x:c r="U7" s="84"/>
      <x:c r="V7" s="84"/>
      <x:c r="W7" s="84"/>
    </x:row>
    <x:row r="8">
      <x:c r="A8" s="89"/>
      <x:c r="B8" s="89"/>
      <x:c r="C8" s="72"/>
      <x:c r="D8" s="72"/>
      <x:c r="E8" s="72"/>
      <x:c r="F8" s="72"/>
      <x:c r="G8" s="72"/>
      <x:c r="H8" s="76"/>
      <x:c r="I8" s="76"/>
      <x:c r="J8" s="76"/>
      <x:c r="K8" s="76"/>
      <x:c r="L8" s="76"/>
      <x:c r="M8" s="80"/>
      <x:c r="N8" s="80"/>
      <x:c r="O8" s="80"/>
      <x:c r="P8" s="80"/>
      <x:c r="Q8" s="80"/>
      <x:c r="R8" s="84"/>
      <x:c r="S8" s="84"/>
      <x:c r="T8" s="84"/>
      <x:c r="U8" s="84"/>
      <x:c r="V8" s="84"/>
      <x:c r="W8" s="84"/>
    </x:row>
    <x:row r="9" ht="24" customHeight="1">
      <x:c r="A9" s="89"/>
      <x:c r="B9" s="89"/>
      <x:c r="C9" s="86" t="str">
        <x:v>一句话定位：估值低于同业中位，盈利能力高于多数低PB股份行；折价的主要原因是资本缓冲不宽。</x:v>
      </x:c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</x:row>
    <x:row r="10">
      <x:c r="A10" s="89"/>
      <x:c r="B10" s="89"/>
      <x:c r="C10" s="89"/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</x:row>
    <x:row r="11">
      <x:c r="A11" s="89"/>
      <x:c r="B11" s="89"/>
      <x:c r="C11" s="89"/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</x:row>
    <x:row r="12" ht="23" customHeight="1">
      <x:c r="A12" s="89"/>
      <x:c r="B12" s="89"/>
      <x:c r="C12" s="17" t="str">
        <x:v>代码</x:v>
      </x:c>
      <x:c r="D12" s="18" t="str">
        <x:v>银行</x:v>
      </x:c>
      <x:c r="E12" s="18" t="str">
        <x:v>股价</x:v>
      </x:c>
      <x:c r="F12" s="18" t="str">
        <x:v>PE</x:v>
      </x:c>
      <x:c r="G12" s="18" t="str">
        <x:v>PB</x:v>
      </x:c>
      <x:c r="H12" s="18" t="str">
        <x:v>ROE年化</x:v>
      </x:c>
      <x:c r="I12" s="18" t="str">
        <x:v>ROA年化</x:v>
      </x:c>
      <x:c r="J12" s="18" t="str">
        <x:v>净息差</x:v>
      </x:c>
      <x:c r="K12" s="18" t="str">
        <x:v>不良率</x:v>
      </x:c>
      <x:c r="L12" s="18" t="str">
        <x:v>拨备覆盖率</x:v>
      </x:c>
      <x:c r="M12" s="18" t="str">
        <x:v>核心一级资本</x:v>
      </x:c>
      <x:c r="N12" s="18" t="str">
        <x:v>成本收入比</x:v>
      </x:c>
      <x:c r="O12" s="18" t="str">
        <x:v>营收同比</x:v>
      </x:c>
      <x:c r="P12" s="19" t="str">
        <x:v>净利同比</x:v>
      </x:c>
      <x:c r="Q12" s="68" t="str">
        <x:v>同业定位</x:v>
      </x:c>
      <x:c r="R12" s="89"/>
      <x:c r="S12" s="89"/>
      <x:c r="T12" s="89"/>
      <x:c r="U12" s="89"/>
      <x:c r="V12" s="89"/>
      <x:c r="W12" s="89"/>
    </x:row>
    <x:row r="13">
      <x:c r="A13" s="89"/>
      <x:c r="B13" s="89"/>
      <x:c r="C13" s="93" t="str">
        <x:v>000001</x:v>
      </x:c>
      <x:c r="D13" s="95" t="str">
        <x:v>平安银行</x:v>
      </x:c>
      <x:c r="E13" s="98" t="n">
        <x:v>11.57</x:v>
      </x:c>
      <x:c r="F13" s="98" t="n">
        <x:v>4.37</x:v>
      </x:c>
      <x:c r="G13" s="98" t="n">
        <x:v>0.48</x:v>
      </x:c>
      <x:c r="H13" s="102" t="n">
        <x:v>0.1056</x:v>
      </x:c>
      <x:c r="I13" s="102" t="n">
        <x:v>0.0086</x:v>
      </x:c>
      <x:c r="J13" s="102" t="n">
        <x:v>0.018</x:v>
      </x:c>
      <x:c r="K13" s="102" t="n">
        <x:v>0.0105</x:v>
      </x:c>
      <x:c r="L13" s="104" t="n">
        <x:v>2.1958</x:v>
      </x:c>
      <x:c r="M13" s="102" t="n">
        <x:v>0.0932</x:v>
      </x:c>
      <x:c r="N13" s="102" t="n">
        <x:v>0.2706</x:v>
      </x:c>
      <x:c r="O13" s="102" t="n">
        <x:v>0.0178</x:v>
      </x:c>
      <x:c r="P13" s="102" t="n">
        <x:v>0.0332</x:v>
      </x:c>
      <x:c r="Q13" s="480" t="str">
        <x:v>同业PB中位</x:v>
      </x:c>
      <x:c r="R13" s="112" t="n">
        <x:f>MEDIAN(G14:G21)</x:f>
        <x:v>0.575</x:v>
      </x:c>
      <x:c r="S13" s="23"/>
      <x:c r="T13" s="23" t="str">
        <x:v>样本为除平安外8家银行</x:v>
      </x:c>
      <x:c r="U13" s="23"/>
      <x:c r="V13" s="23"/>
      <x:c r="W13" s="23"/>
    </x:row>
    <x:row r="14">
      <x:c r="A14" s="89"/>
      <x:c r="B14" s="89"/>
      <x:c r="C14" s="91" t="str">
        <x:v>600036</x:v>
      </x:c>
      <x:c r="D14" s="96" t="str">
        <x:v>招商银行</x:v>
      </x:c>
      <x:c r="E14" s="41" t="n">
        <x:v>42.8</x:v>
      </x:c>
      <x:c r="F14" s="41" t="n">
        <x:v>7.06</x:v>
      </x:c>
      <x:c r="G14" s="41" t="n">
        <x:v>0.94</x:v>
      </x:c>
      <x:c r="H14" s="44" t="n">
        <x:v>0.1342</x:v>
      </x:c>
      <x:c r="I14" s="44" t="n">
        <x:v>0.0115</x:v>
      </x:c>
      <x:c r="J14" s="44" t="n">
        <x:v>0.0183</x:v>
      </x:c>
      <x:c r="K14" s="44" t="n">
        <x:v>0.0094</x:v>
      </x:c>
      <x:c r="L14" s="39" t="n">
        <x:v>3.851</x:v>
      </x:c>
      <x:c r="M14" s="44" t="n">
        <x:v>0.1407</x:v>
      </x:c>
      <x:c r="N14" s="44" t="n">
        <x:v>0.297</x:v>
      </x:c>
      <x:c r="O14" s="44" t="n">
        <x:v>0.0483</x:v>
      </x:c>
      <x:c r="P14" s="44" t="n">
        <x:v>0.0202</x:v>
      </x:c>
      <x:c r="Q14" s="481" t="str">
        <x:v>同业ROE中位</x:v>
      </x:c>
      <x:c r="R14" s="44" t="n">
        <x:f>MEDIAN(H14:H21)</x:f>
        <x:v>0.09595000000000001</x:v>
      </x:c>
      <x:c r="S14" s="24"/>
      <x:c r="T14" s="24" t="str">
        <x:v>中位ROE为9.60%</x:v>
      </x:c>
      <x:c r="U14" s="24"/>
      <x:c r="V14" s="24"/>
      <x:c r="W14" s="24"/>
    </x:row>
    <x:row r="15">
      <x:c r="A15" s="89"/>
      <x:c r="B15" s="89"/>
      <x:c r="C15" s="91" t="str">
        <x:v>601166</x:v>
      </x:c>
      <x:c r="D15" s="96" t="str">
        <x:v>兴业银行</x:v>
      </x:c>
      <x:c r="E15" s="41" t="n">
        <x:v>18.15</x:v>
      </x:c>
      <x:c r="F15" s="41" t="n">
        <x:v>4.67</x:v>
      </x:c>
      <x:c r="G15" s="41" t="n">
        <x:v>0.46</x:v>
      </x:c>
      <x:c r="H15" s="44" t="n">
        <x:v>0.0958</x:v>
      </x:c>
      <x:c r="I15" s="44" t="n">
        <x:v>0.0073</x:v>
      </x:c>
      <x:c r="J15" s="44" t="n">
        <x:v>0.016</x:v>
      </x:c>
      <x:c r="K15" s="44" t="n">
        <x:v>0.0108</x:v>
      </x:c>
      <x:c r="L15" s="39" t="n">
        <x:v>2.2567</x:v>
      </x:c>
      <x:c r="M15" s="44" t="n">
        <x:v>0.0943</x:v>
      </x:c>
      <x:c r="N15" s="44" t="n">
        <x:v>0.256</x:v>
      </x:c>
      <x:c r="O15" s="44" t="n">
        <x:v>-0.0025</x:v>
      </x:c>
      <x:c r="P15" s="44" t="n">
        <x:v>-0.0466</x:v>
      </x:c>
      <x:c r="Q15" s="481" t="str">
        <x:v>ROE调整倍数</x:v>
      </x:c>
      <x:c r="R15" s="113" t="n">
        <x:f>H13/R14</x:f>
        <x:v>1.1005732152162584</x:v>
      </x:c>
      <x:c r="S15" s="24"/>
      <x:c r="T15" s="24" t="str">
        <x:v>10.56%÷9.60%=1.10x</x:v>
      </x:c>
      <x:c r="U15" s="24"/>
      <x:c r="V15" s="24"/>
      <x:c r="W15" s="24"/>
    </x:row>
    <x:row r="16">
      <x:c r="A16" s="89"/>
      <x:c r="B16" s="89"/>
      <x:c r="C16" s="91" t="str">
        <x:v>002142</x:v>
      </x:c>
      <x:c r="D16" s="96" t="str">
        <x:v>宁波银行</x:v>
      </x:c>
      <x:c r="E16" s="41" t="n">
        <x:v>35.5</x:v>
      </x:c>
      <x:c r="F16" s="41" t="n">
        <x:v>7.08</x:v>
      </x:c>
      <x:c r="G16" s="41" t="n">
        <x:v>0.97</x:v>
      </x:c>
      <x:c r="H16" s="44" t="n">
        <x:v>0.1424</x:v>
      </x:c>
      <x:c r="I16" s="44" t="n">
        <x:v>0.0088</x:v>
      </x:c>
      <x:c r="J16" s="44" t="n">
        <x:v>0.017</x:v>
      </x:c>
      <x:c r="K16" s="44" t="n">
        <x:v>0.0076</x:v>
      </x:c>
      <x:c r="L16" s="39" t="n">
        <x:v>3.7335</x:v>
      </x:c>
      <x:c r="M16" s="44" t="n">
        <x:v>0.0953</x:v>
      </x:c>
      <x:c r="N16" s="44" t="n">
        <x:v>0.2717</x:v>
      </x:c>
      <x:c r="O16" s="44" t="n">
        <x:v>0.1154</x:v>
      </x:c>
      <x:c r="P16" s="44" t="n">
        <x:v>0.1212</x:v>
      </x:c>
      <x:c r="Q16" s="481" t="str">
        <x:v>调整后PB</x:v>
      </x:c>
      <x:c r="R16" s="113" t="n">
        <x:f>R13*MIN(1.2,MAX(0.8,R15))</x:f>
        <x:v>0.6328295987493485</x:v>
      </x:c>
      <x:c r="S16" s="24"/>
      <x:c r="T16" s="24" t="str">
        <x:v>0.575x×1.10=0.63x</x:v>
      </x:c>
      <x:c r="U16" s="24"/>
      <x:c r="V16" s="24"/>
      <x:c r="W16" s="24"/>
    </x:row>
    <x:row r="17">
      <x:c r="A17" s="89"/>
      <x:c r="B17" s="89"/>
      <x:c r="C17" s="91" t="str">
        <x:v>600000</x:v>
      </x:c>
      <x:c r="D17" s="96" t="str">
        <x:v>浦发银行</x:v>
      </x:c>
      <x:c r="E17" s="41" t="n">
        <x:v>9.59</x:v>
      </x:c>
      <x:c r="F17" s="41" t="n">
        <x:v>5.16</x:v>
      </x:c>
      <x:c r="G17" s="41" t="n">
        <x:v>0.42</x:v>
      </x:c>
      <x:c r="H17" s="44" t="n">
        <x:v>0.0792</x:v>
      </x:c>
      <x:c r="I17" s="44" t="n">
        <x:v>0.0061</x:v>
      </x:c>
      <x:c r="J17" s="44" t="n">
        <x:v>0.0143</x:v>
      </x:c>
      <x:c r="K17" s="44" t="n">
        <x:v>0.0125</x:v>
      </x:c>
      <x:c r="L17" s="39" t="n">
        <x:v>1.9781</x:v>
      </x:c>
      <x:c r="M17" s="44" t="n">
        <x:v>0.0905</x:v>
      </x:c>
      <x:c r="N17" s="44" t="n">
        <x:v>0.2252</x:v>
      </x:c>
      <x:c r="O17" s="44" t="n">
        <x:v>0.0355</x:v>
      </x:c>
      <x:c r="P17" s="44" t="n">
        <x:v>0.0408</x:v>
      </x:c>
      <x:c r="Q17" s="481" t="str">
        <x:v>隐含每股价值</x:v>
      </x:c>
      <x:c r="R17" s="115" t="n">
        <x:f>R16*'估值系统'!D7</x:f>
        <x:v>15.27017821782178</x:v>
      </x:c>
      <x:c r="S17" s="24"/>
      <x:c r="T17" s="24" t="str">
        <x:v>0.63x×24.13=约15.27元</x:v>
      </x:c>
      <x:c r="U17" s="24"/>
      <x:c r="V17" s="24"/>
      <x:c r="W17" s="24"/>
    </x:row>
    <x:row r="18">
      <x:c r="A18" s="89"/>
      <x:c r="B18" s="89"/>
      <x:c r="C18" s="91" t="str">
        <x:v>600016</x:v>
      </x:c>
      <x:c r="D18" s="96" t="str">
        <x:v>民生银行</x:v>
      </x:c>
      <x:c r="E18" s="41" t="n">
        <x:v>3.54</x:v>
      </x:c>
      <x:c r="F18" s="41" t="n">
        <x:v>3.97</x:v>
      </x:c>
      <x:c r="G18" s="41" t="n">
        <x:v>0.27</x:v>
      </x:c>
      <x:c r="H18" s="44" t="n">
        <x:v>0.0605</x:v>
      </x:c>
      <x:c r="I18" s="44" t="n">
        <x:v>0.0049</x:v>
      </x:c>
      <x:c r="J18" s="44" t="n">
        <x:v>0.0147</x:v>
      </x:c>
      <x:c r="K18" s="44" t="n">
        <x:v>0.0147</x:v>
      </x:c>
      <x:c r="L18" s="39" t="n">
        <x:v>1.4219</x:v>
      </x:c>
      <x:c r="M18" s="44" t="n">
        <x:v>0.0942</x:v>
      </x:c>
      <x:c r="N18" s="44" t="n">
        <x:v>0.2726</x:v>
      </x:c>
      <x:c r="O18" s="44" t="n">
        <x:v>0.0384</x:v>
      </x:c>
      <x:c r="P18" s="44" t="n">
        <x:v>-0.0862</x:v>
      </x:c>
      <x:c r="Q18" s="482" t="str">
        <x:v>平安PB折价</x:v>
      </x:c>
      <x:c r="R18" s="105" t="n">
        <x:f>1-G13/R16</x:f>
        <x:v>0.24150197628458492</x:v>
      </x:c>
      <x:c r="S18" s="25"/>
      <x:c r="T18" s="25" t="str">
        <x:v>仅作外部交叉验证</x:v>
      </x:c>
      <x:c r="U18" s="25"/>
      <x:c r="V18" s="25"/>
      <x:c r="W18" s="25"/>
    </x:row>
    <x:row r="19">
      <x:c r="A19" s="89"/>
      <x:c r="B19" s="89"/>
      <x:c r="C19" s="91" t="str">
        <x:v>601998</x:v>
      </x:c>
      <x:c r="D19" s="96" t="str">
        <x:v>中信银行</x:v>
      </x:c>
      <x:c r="E19" s="41" t="n">
        <x:v>9.2</x:v>
      </x:c>
      <x:c r="F19" s="41" t="n">
        <x:v>6.81</x:v>
      </x:c>
      <x:c r="G19" s="41" t="n">
        <x:v>0.69</x:v>
      </x:c>
      <x:c r="H19" s="44" t="n">
        <x:v>0.0961</x:v>
      </x:c>
      <x:c r="I19" s="44" t="n">
        <x:v>0.0074</x:v>
      </x:c>
      <x:c r="J19" s="44" t="n">
        <x:v>0.0162</x:v>
      </x:c>
      <x:c r="K19" s="44" t="n">
        <x:v>0.0115</x:v>
      </x:c>
      <x:c r="L19" s="39" t="n">
        <x:v>2.0312</x:v>
      </x:c>
      <x:c r="M19" s="44" t="n">
        <x:v>0.0937</x:v>
      </x:c>
      <x:c r="N19" s="44" t="n">
        <x:v>0.2546</x:v>
      </x:c>
      <x:c r="O19" s="44" t="n">
        <x:v>0.0305</x:v>
      </x:c>
      <x:c r="P19" s="44" t="n">
        <x:v>0.0308</x:v>
      </x:c>
      <x:c r="Q19" s="89"/>
      <x:c r="R19" s="89"/>
      <x:c r="S19" s="89"/>
      <x:c r="T19" s="89"/>
      <x:c r="U19" s="89"/>
      <x:c r="V19" s="89"/>
      <x:c r="W19" s="89"/>
    </x:row>
    <x:row r="20" ht="23" customHeight="1">
      <x:c r="A20" s="89"/>
      <x:c r="B20" s="89"/>
      <x:c r="C20" s="91" t="str">
        <x:v>601818</x:v>
      </x:c>
      <x:c r="D20" s="96" t="str">
        <x:v>光大银行</x:v>
      </x:c>
      <x:c r="E20" s="41" t="n">
        <x:v>3.08</x:v>
      </x:c>
      <x:c r="F20" s="41" t="n">
        <x:v>4.86</x:v>
      </x:c>
      <x:c r="G20" s="41" t="n">
        <x:v>0.36</x:v>
      </x:c>
      <x:c r="H20" s="44" t="n">
        <x:v>0.0656</x:v>
      </x:c>
      <x:c r="I20" s="44" t="n">
        <x:v>0.0052</x:v>
      </x:c>
      <x:c r="J20" s="44" t="n">
        <x:v>0.0142</x:v>
      </x:c>
      <x:c r="K20" s="44" t="n">
        <x:v>0.0144</x:v>
      </x:c>
      <x:c r="L20" s="39" t="n">
        <x:v>1.5002</x:v>
      </x:c>
      <x:c r="M20" s="44" t="n">
        <x:v>0.0967</x:v>
      </x:c>
      <x:c r="N20" s="44" t="n">
        <x:v>0.2592</x:v>
      </x:c>
      <x:c r="O20" s="44" t="n">
        <x:v>-0.0432</x:v>
      </x:c>
      <x:c r="P20" s="44" t="n">
        <x:v>-0.2401</x:v>
      </x:c>
      <x:c r="Q20" s="68" t="str">
        <x:v>ROE调整估值区间</x:v>
      </x:c>
      <x:c r="R20" s="89"/>
      <x:c r="S20" s="89"/>
      <x:c r="T20" s="68" t="str">
        <x:v>结论</x:v>
      </x:c>
      <x:c r="U20" s="89"/>
      <x:c r="V20" s="89"/>
      <x:c r="W20" s="89"/>
    </x:row>
    <x:row r="21">
      <x:c r="A21" s="89"/>
      <x:c r="B21" s="89"/>
      <x:c r="C21" s="92" t="str">
        <x:v>600919</x:v>
      </x:c>
      <x:c r="D21" s="97" t="str">
        <x:v>江苏银行</x:v>
      </x:c>
      <x:c r="E21" s="99" t="n">
        <x:v>12.4</x:v>
      </x:c>
      <x:c r="F21" s="99" t="n">
        <x:v>5.2</x:v>
      </x:c>
      <x:c r="G21" s="99" t="n">
        <x:v>0.84</x:v>
      </x:c>
      <x:c r="H21" s="103" t="n">
        <x:v>0.1572</x:v>
      </x:c>
      <x:c r="I21" s="103" t="n">
        <x:v>0.0087</x:v>
      </x:c>
      <x:c r="J21" s="103" t="n">
        <x:v>0.0164</x:v>
      </x:c>
      <x:c r="K21" s="103" t="n">
        <x:v>0.0081</x:v>
      </x:c>
      <x:c r="L21" s="105" t="n">
        <x:v>3.0483</x:v>
      </x:c>
      <x:c r="M21" s="103" t="n">
        <x:v>0.0867</x:v>
      </x:c>
      <x:c r="N21" s="103" t="n">
        <x:v>0.2043</x:v>
      </x:c>
      <x:c r="O21" s="103" t="n">
        <x:v>0.0911</x:v>
      </x:c>
      <x:c r="P21" s="103" t="n">
        <x:v>0.0809</x:v>
      </x:c>
      <x:c r="Q21" s="17" t="str">
        <x:v>估值口径</x:v>
      </x:c>
      <x:c r="R21" s="18" t="str">
        <x:v>PB</x:v>
      </x:c>
      <x:c r="S21" s="19" t="str">
        <x:v>每股价值</x:v>
      </x:c>
      <x:c r="T21" s="121" t="str">
        <x:v>同业法证明平安银行相对同组不贵，但它仍使用平安银行当前ROE进行修正，并非完全独立的外部锚。估值系统只给予20%权重，资本与资产质量仍是折价能否收敛的关键。</x:v>
      </x:c>
      <x:c r="U21" s="89"/>
      <x:c r="V21" s="89"/>
      <x:c r="W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 t="str">
        <x:v>偏低</x:v>
      </x:c>
      <x:c r="R22" s="483" t="n">
        <x:f>SMALL(G14:G21,3)*MIN(1.2,MAX(0.8,$R$15))</x:f>
        <x:v>0.4622407503908285</x:v>
      </x:c>
      <x:c r="S22" s="484" t="n">
        <x:f>R22*'估值系统'!$D$7</x:f>
        <x:v>11.153869306930691</x:v>
      </x:c>
      <x:c r="T22" s="89"/>
      <x:c r="U22" s="89"/>
      <x:c r="V22" s="89"/>
      <x:c r="W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 t="str">
        <x:v>中枢</x:v>
      </x:c>
      <x:c r="R23" s="483" t="n">
        <x:f>$R$16</x:f>
        <x:v>0.6328295987493485</x:v>
      </x:c>
      <x:c r="S23" s="484" t="n">
        <x:f>R23*'估值系统'!$D$7</x:f>
        <x:v>15.27017821782178</x:v>
      </x:c>
      <x:c r="T23" s="89"/>
      <x:c r="U23" s="89"/>
      <x:c r="V23" s="89"/>
      <x:c r="W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 t="str">
        <x:v>偏高</x:v>
      </x:c>
      <x:c r="R24" s="483" t="n">
        <x:f>LARGE(G14:G21,3)*MIN(1.2,MAX(0.8,$R$15))</x:f>
        <x:v>0.924481500781657</x:v>
      </x:c>
      <x:c r="S24" s="484" t="n">
        <x:f>R24*'估值系统'!$D$7</x:f>
        <x:v>22.307738613861382</x:v>
      </x:c>
      <x:c r="T24" s="89"/>
      <x:c r="U24" s="89"/>
      <x:c r="V24" s="89"/>
      <x:c r="W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</x:row>
  </x:sheetData>
  <x:mergeCells>
    <x:mergeCell ref="C2:W2"/>
    <x:mergeCell ref="C3:W3"/>
    <x:mergeCell ref="C4:W4"/>
    <x:mergeCell ref="C5:G5"/>
    <x:mergeCell ref="C6:G8"/>
    <x:mergeCell ref="H5:L5"/>
    <x:mergeCell ref="H6:L8"/>
    <x:mergeCell ref="M5:Q5"/>
    <x:mergeCell ref="M6:Q8"/>
    <x:mergeCell ref="R5:W5"/>
    <x:mergeCell ref="R6:W8"/>
    <x:mergeCell ref="C9:W9"/>
    <x:mergeCell ref="Q12:W12"/>
    <x:mergeCell ref="R13:S13"/>
    <x:mergeCell ref="R14:S14"/>
    <x:mergeCell ref="R15:S15"/>
    <x:mergeCell ref="R16:S16"/>
    <x:mergeCell ref="R17:S17"/>
    <x:mergeCell ref="R18:S18"/>
    <x:mergeCell ref="T13:W13"/>
    <x:mergeCell ref="T14:W14"/>
    <x:mergeCell ref="T15:W15"/>
    <x:mergeCell ref="T16:W16"/>
    <x:mergeCell ref="T17:W17"/>
    <x:mergeCell ref="T18:W18"/>
    <x:mergeCell ref="Q20:S20"/>
    <x:mergeCell ref="T20:W20"/>
    <x:mergeCell ref="T21:W24"/>
  </x:mergeCells>
  <x:conditionalFormatting sqref="G13:G21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H13:H21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K13:K21">
    <x:cfRule type="colorScale" priority="3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L13:L21">
    <x:cfRule type="colorScale" priority="4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4587baed873f47cd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1" hidden="0" customWidth="1"/>
    <x:col min="4" max="4" width="17" hidden="0" customWidth="1"/>
    <x:col min="5" max="5" width="15" hidden="0" customWidth="1"/>
    <x:col min="6" max="6" width="15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7" customHeight="1">
      <x:c r="A2" s="89"/>
      <x:c r="B2" s="89"/>
      <x:c r="C2" s="4" t="str">
        <x:v>巴菲特框架：生意、管理层、风险与卖出条件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89"/>
      <x:c r="B3" s="89"/>
      <x:c r="C3" s="6" t="str">
        <x:v>银行属于能力圈边界行业：商业模式易懂，但真实资产质量对外部投资者天然不透明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</x:row>
    <x:row r="4" ht="20" customHeight="1">
      <x:c r="A4" s="89"/>
      <x:c r="B4" s="89"/>
      <x:c r="C4" s="11" t="str">
        <x:v>阅读顺序：①八问快速过滤　②生意与管理层　③三条风险路径　④卖出条件与季度监控</x:v>
      </x:c>
      <x:c r="D4" s="423"/>
      <x:c r="E4" s="423"/>
      <x:c r="F4" s="423"/>
      <x:c r="G4" s="423"/>
      <x:c r="H4" s="423"/>
      <x:c r="I4" s="423"/>
      <x:c r="J4" s="423"/>
      <x:c r="K4" s="423"/>
      <x:c r="L4" s="423"/>
      <x:c r="M4" s="423"/>
      <x:c r="N4" s="423"/>
    </x:row>
    <x:row r="5" ht="23" customHeight="1">
      <x:c r="A5" s="89"/>
      <x:c r="B5" s="89"/>
      <x:c r="C5" s="68" t="str">
        <x:v>八问快速过滤</x:v>
      </x:c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</x:row>
    <x:row r="6">
      <x:c r="A6" s="89"/>
      <x:c r="B6" s="89"/>
      <x:c r="C6" s="17" t="str">
        <x:v>序号</x:v>
      </x:c>
      <x:c r="D6" s="18" t="str">
        <x:v>问题</x:v>
      </x:c>
      <x:c r="E6" s="18" t="str">
        <x:v>判断</x:v>
      </x:c>
      <x:c r="F6" s="18" t="str">
        <x:v>依据</x:v>
      </x:c>
      <x:c r="G6" s="18"/>
      <x:c r="H6" s="18"/>
      <x:c r="I6" s="18"/>
      <x:c r="J6" s="18" t="str">
        <x:v>后续验证</x:v>
      </x:c>
      <x:c r="K6" s="18"/>
      <x:c r="L6" s="18"/>
      <x:c r="M6" s="18"/>
      <x:c r="N6" s="19"/>
    </x:row>
    <x:row r="7" ht="42" customHeight="1">
      <x:c r="A7" s="89"/>
      <x:c r="B7" s="89"/>
      <x:c r="C7" s="23" t="n">
        <x:v>1</x:v>
      </x:c>
      <x:c r="D7" s="293" t="str">
        <x:v>能否一句话解释如何赚钱？</x:v>
      </x:c>
      <x:c r="E7" s="293"/>
      <x:c r="F7" s="293"/>
      <x:c r="G7" s="293" t="str">
        <x:v>是</x:v>
      </x:c>
      <x:c r="H7" s="293" t="str">
        <x:v>吸收低成本存款，配置贷款和投资资产，赚取息差与手续费；利润受信用成本约束。</x:v>
      </x:c>
      <x:c r="I7" s="293"/>
      <x:c r="J7" s="293"/>
      <x:c r="K7" s="293"/>
      <x:c r="L7" s="293" t="str">
        <x:v>每季度看净息差、存款成本、信用成本</x:v>
      </x:c>
      <x:c r="M7" s="293"/>
      <x:c r="N7" s="293"/>
    </x:row>
    <x:row r="8" ht="42" customHeight="1">
      <x:c r="A8" s="89"/>
      <x:c r="B8" s="89"/>
      <x:c r="C8" s="24" t="n">
        <x:v>2</x:v>
      </x:c>
      <x:c r="D8" s="294" t="str">
        <x:v>十年后仍会存在且更有竞争力？</x:v>
      </x:c>
      <x:c r="E8" s="294"/>
      <x:c r="F8" s="294"/>
      <x:c r="G8" s="294" t="str">
        <x:v>大概率是</x:v>
      </x:c>
      <x:c r="H8" s="294" t="str">
        <x:v>全国性股份行牌照、客户与风控体系仍有价值；竞争格局不会轻易消失。</x:v>
      </x:c>
      <x:c r="I8" s="294"/>
      <x:c r="J8" s="294"/>
      <x:c r="K8" s="294"/>
      <x:c r="L8" s="294" t="str">
        <x:v>客户与AUM增长、对公客户、存款份额</x:v>
      </x:c>
      <x:c r="M8" s="294"/>
      <x:c r="N8" s="294"/>
    </x:row>
    <x:row r="9" ht="42" customHeight="1">
      <x:c r="A9" s="89"/>
      <x:c r="B9" s="89"/>
      <x:c r="C9" s="24" t="n">
        <x:v>3</x:v>
      </x:c>
      <x:c r="D9" s="294" t="str">
        <x:v>核心优势难以复制？</x:v>
      </x:c>
      <x:c r="E9" s="294"/>
      <x:c r="F9" s="294"/>
      <x:c r="G9" s="294" t="str">
        <x:v>部分否</x:v>
      </x:c>
      <x:c r="H9" s="294" t="str">
        <x:v>平安集团协同、零售数据和品牌有优势，但招行、宁波等同业也具备强能力，护城河不宽。</x:v>
      </x:c>
      <x:c r="I9" s="294"/>
      <x:c r="J9" s="294"/>
      <x:c r="K9" s="294"/>
      <x:c r="L9" s="294" t="str">
        <x:v>AUM、财富客户、活期存款、手续费份额</x:v>
      </x:c>
      <x:c r="M9" s="294"/>
      <x:c r="N9" s="294"/>
    </x:row>
    <x:row r="10" ht="42" customHeight="1">
      <x:c r="A10" s="89"/>
      <x:c r="B10" s="89"/>
      <x:c r="C10" s="24" t="n">
        <x:v>4</x:v>
      </x:c>
      <x:c r="D10" s="294" t="str">
        <x:v>能否提价5%—10%而不流失客户？</x:v>
      </x:c>
      <x:c r="E10" s="294"/>
      <x:c r="F10" s="294"/>
      <x:c r="G10" s="294" t="str">
        <x:v>否</x:v>
      </x:c>
      <x:c r="H10" s="294" t="str">
        <x:v>贷款与存款定价受市场竞争和监管影响，缺乏消费品牌式定价权。</x:v>
      </x:c>
      <x:c r="I10" s="294"/>
      <x:c r="J10" s="294"/>
      <x:c r="K10" s="294"/>
      <x:c r="L10" s="294" t="str">
        <x:v>净息差与存款付息率</x:v>
      </x:c>
      <x:c r="M10" s="294"/>
      <x:c r="N10" s="294"/>
    </x:row>
    <x:row r="11" ht="42" customHeight="1">
      <x:c r="A11" s="89"/>
      <x:c r="B11" s="89"/>
      <x:c r="C11" s="24" t="n">
        <x:v>5</x:v>
      </x:c>
      <x:c r="D11" s="294" t="str">
        <x:v>利润质量可靠吗？</x:v>
      </x:c>
      <x:c r="E11" s="294"/>
      <x:c r="F11" s="294"/>
      <x:c r="G11" s="294" t="str">
        <x:v>有条件</x:v>
      </x:c>
      <x:c r="H11" s="294" t="str">
        <x:v>银行经营现金流不适合作为利润质量指标，需改看拨备、核销、资本和逾期数据。</x:v>
      </x:c>
      <x:c r="I11" s="294"/>
      <x:c r="J11" s="294"/>
      <x:c r="K11" s="294"/>
      <x:c r="L11" s="294" t="str">
        <x:v>不良生成率、核销、拨备覆盖率</x:v>
      </x:c>
      <x:c r="M11" s="294"/>
      <x:c r="N11" s="294"/>
    </x:row>
    <x:row r="12" ht="42" customHeight="1">
      <x:c r="A12" s="89"/>
      <x:c r="B12" s="89"/>
      <x:c r="C12" s="24" t="n">
        <x:v>6</x:v>
      </x:c>
      <x:c r="D12" s="294" t="str">
        <x:v>压力情景下能否存活？</x:v>
      </x:c>
      <x:c r="E12" s="294"/>
      <x:c r="F12" s="294"/>
      <x:c r="G12" s="294" t="str">
        <x:v>有条件</x:v>
      </x:c>
      <x:c r="H12" s="294" t="str">
        <x:v>资本满足监管要求，但核心一级资本仅比7.75%要求高157bp，缓冲不算宽。</x:v>
      </x:c>
      <x:c r="I12" s="294"/>
      <x:c r="J12" s="294"/>
      <x:c r="K12" s="294"/>
      <x:c r="L12" s="294" t="str">
        <x:v>CET1、RWA增长、资本补充</x:v>
      </x:c>
      <x:c r="M12" s="294"/>
      <x:c r="N12" s="294"/>
    </x:row>
    <x:row r="13" ht="42" customHeight="1">
      <x:c r="A13" s="89"/>
      <x:c r="B13" s="89"/>
      <x:c r="C13" s="24" t="n">
        <x:v>7</x:v>
      </x:c>
      <x:c r="D13" s="294" t="str">
        <x:v>管理层诚信是否存在一票否决？</x:v>
      </x:c>
      <x:c r="E13" s="294"/>
      <x:c r="F13" s="294"/>
      <x:c r="G13" s="294" t="str">
        <x:v>未发现</x:v>
      </x:c>
      <x:c r="H13" s="294" t="str">
        <x:v>2025年审计为标准无保留意见，披露了息差、拨备与房地产风险；仍需防范银行黑箱属性。</x:v>
      </x:c>
      <x:c r="I13" s="294"/>
      <x:c r="J13" s="294"/>
      <x:c r="K13" s="294"/>
      <x:c r="L13" s="294" t="str">
        <x:v>审计意见、监管处罚、关联交易与风险分类</x:v>
      </x:c>
      <x:c r="M13" s="294"/>
      <x:c r="N13" s="294"/>
    </x:row>
    <x:row r="14" ht="42" customHeight="1">
      <x:c r="A14" s="89"/>
      <x:c r="B14" s="89"/>
      <x:c r="C14" s="25" t="n">
        <x:v>8</x:v>
      </x:c>
      <x:c r="D14" s="295" t="str">
        <x:v>价格与内在价值差距足够大？</x:v>
      </x:c>
      <x:c r="E14" s="295"/>
      <x:c r="F14" s="295"/>
      <x:c r="G14" s="295" t="str">
        <x:v>有条件</x:v>
      </x:c>
      <x:c r="H14" s="295" t="str">
        <x:v>相对综合中枢约有三成折价，但相对股利模型只有个位数折价；是否低估取决于ROE能否稳定在9%以上。</x:v>
      </x:c>
      <x:c r="I14" s="295"/>
      <x:c r="J14" s="295"/>
      <x:c r="K14" s="295"/>
      <x:c r="L14" s="295" t="str">
        <x:v>ROE、收入、资本与零售风险连续验证</x:v>
      </x:c>
      <x:c r="M14" s="295"/>
      <x:c r="N14" s="295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</x:row>
    <x:row r="16" ht="23" customHeight="1">
      <x:c r="A16" s="89"/>
      <x:c r="B16" s="89"/>
      <x:c r="C16" s="68" t="str">
        <x:v>生意质量</x:v>
      </x:c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</x:row>
    <x:row r="17">
      <x:c r="A17" s="89"/>
      <x:c r="B17" s="89"/>
      <x:c r="C17" s="17" t="str">
        <x:v>维度</x:v>
      </x:c>
      <x:c r="D17" s="19" t="str">
        <x:v>结论</x:v>
      </x:c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</x:row>
    <x:row r="18" ht="32" customHeight="1">
      <x:c r="A18" s="89"/>
      <x:c r="B18" s="89"/>
      <x:c r="C18" s="89" t="str">
        <x:v>商业模式</x:v>
      </x:c>
      <x:c r="D18" s="485" t="str">
        <x:v>混合型：牌照与客户黏性提供一定特许经营属性，但价格与信用周期使其带有强同质化特征</x:v>
      </x:c>
      <x:c r="E18" s="485"/>
      <x:c r="F18" s="485"/>
      <x:c r="G18" s="485"/>
      <x:c r="H18" s="485"/>
      <x:c r="I18" s="485"/>
      <x:c r="J18" s="485"/>
      <x:c r="K18" s="485"/>
      <x:c r="L18" s="485"/>
      <x:c r="M18" s="485"/>
      <x:c r="N18" s="485"/>
    </x:row>
    <x:row r="19" ht="32" customHeight="1">
      <x:c r="A19" s="89"/>
      <x:c r="B19" s="89"/>
      <x:c r="C19" s="89" t="str">
        <x:v>护城河类型</x:v>
      </x:c>
      <x:c r="D19" s="485" t="str">
        <x:v>低成本资金、客户转换成本、平安集团综合金融协同、规模与数据能力</x:v>
      </x:c>
      <x:c r="E19" s="485"/>
      <x:c r="F19" s="485"/>
      <x:c r="G19" s="485"/>
      <x:c r="H19" s="485"/>
      <x:c r="I19" s="485"/>
      <x:c r="J19" s="485"/>
      <x:c r="K19" s="485"/>
      <x:c r="L19" s="485"/>
      <x:c r="M19" s="485"/>
      <x:c r="N19" s="485"/>
    </x:row>
    <x:row r="20" ht="32" customHeight="1">
      <x:c r="A20" s="89"/>
      <x:c r="B20" s="89"/>
      <x:c r="C20" s="89" t="str">
        <x:v>护城河强度</x:v>
      </x:c>
      <x:c r="D20" s="485" t="str">
        <x:v>中等偏弱，趋势暂时稳定；尚不足以支持招行式估值溢价</x:v>
      </x:c>
      <x:c r="E20" s="485"/>
      <x:c r="F20" s="485"/>
      <x:c r="G20" s="485"/>
      <x:c r="H20" s="485"/>
      <x:c r="I20" s="485"/>
      <x:c r="J20" s="485"/>
      <x:c r="K20" s="485"/>
      <x:c r="L20" s="485"/>
      <x:c r="M20" s="485"/>
      <x:c r="N20" s="485"/>
    </x:row>
    <x:row r="21" ht="32" customHeight="1">
      <x:c r="A21" s="89"/>
      <x:c r="B21" s="89"/>
      <x:c r="C21" s="89" t="str">
        <x:v>增长来源</x:v>
      </x:c>
      <x:c r="D21" s="485" t="str">
        <x:v>财富管理、对公客户、科技金融、供应链金融与手续费收入</x:v>
      </x:c>
      <x:c r="E21" s="485"/>
      <x:c r="F21" s="485"/>
      <x:c r="G21" s="485"/>
      <x:c r="H21" s="485"/>
      <x:c r="I21" s="485"/>
      <x:c r="J21" s="485"/>
      <x:c r="K21" s="485"/>
      <x:c r="L21" s="485"/>
      <x:c r="M21" s="485"/>
      <x:c r="N21" s="485"/>
    </x:row>
    <x:row r="22" ht="32" customHeight="1">
      <x:c r="A22" s="89"/>
      <x:c r="B22" s="89"/>
      <x:c r="C22" s="89" t="str">
        <x:v>主要限制</x:v>
      </x:c>
      <x:c r="D22" s="485" t="str">
        <x:v>净息差受压、零售风险成本、资本约束与同业竞争</x:v>
      </x:c>
      <x:c r="E22" s="485"/>
      <x:c r="F22" s="485"/>
      <x:c r="G22" s="485"/>
      <x:c r="H22" s="485"/>
      <x:c r="I22" s="485"/>
      <x:c r="J22" s="485"/>
      <x:c r="K22" s="485"/>
      <x:c r="L22" s="485"/>
      <x:c r="M22" s="485"/>
      <x:c r="N22" s="485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</x:row>
    <x:row r="24" ht="23" customHeight="1">
      <x:c r="A24" s="89"/>
      <x:c r="B24" s="89"/>
      <x:c r="C24" s="68" t="str">
        <x:v>管理层与资本配置</x:v>
      </x:c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17" t="str">
        <x:v>维度</x:v>
      </x:c>
      <x:c r="D25" s="18" t="str">
        <x:v>判断</x:v>
      </x:c>
      <x:c r="E25" s="18" t="str">
        <x:v>依据</x:v>
      </x:c>
      <x:c r="F25" s="18"/>
      <x:c r="G25" s="18"/>
      <x:c r="H25" s="18"/>
      <x:c r="I25" s="18"/>
      <x:c r="J25" s="18"/>
      <x:c r="K25" s="18"/>
      <x:c r="L25" s="18"/>
      <x:c r="M25" s="18"/>
      <x:c r="N25" s="19"/>
    </x:row>
    <x:row r="26" ht="38" customHeight="1">
      <x:c r="A26" s="89"/>
      <x:c r="B26" s="89"/>
      <x:c r="C26" s="89" t="str">
        <x:v>诚信</x:v>
      </x:c>
      <x:c r="D26" s="89" t="str">
        <x:v>通过但需持续验证</x:v>
      </x:c>
      <x:c r="E26" s="485" t="str">
        <x:v>年报审计意见干净，风险指标披露较完整；银行贷款分类仍需要长期结果验证。</x:v>
      </x:c>
      <x:c r="F26" s="485"/>
      <x:c r="G26" s="485"/>
      <x:c r="H26" s="485"/>
      <x:c r="I26" s="485"/>
      <x:c r="J26" s="485"/>
      <x:c r="K26" s="485"/>
      <x:c r="L26" s="485"/>
      <x:c r="M26" s="485"/>
      <x:c r="N26" s="485"/>
    </x:row>
    <x:row r="27" ht="38" customHeight="1">
      <x:c r="A27" s="89"/>
      <x:c r="B27" s="89"/>
      <x:c r="C27" s="89" t="str">
        <x:v>资本配置</x:v>
      </x:c>
      <x:c r="D27" s="89" t="str">
        <x:v>中等</x:v>
      </x:c>
      <x:c r="E27" s="485" t="str">
        <x:v>2024—2025分红节奏波动，2026年赎回200亿元优先股后一级资本缓冲下降；需平衡股东回报与资本安全。</x:v>
      </x:c>
      <x:c r="F27" s="485"/>
      <x:c r="G27" s="485"/>
      <x:c r="H27" s="485"/>
      <x:c r="I27" s="485"/>
      <x:c r="J27" s="485"/>
      <x:c r="K27" s="485"/>
      <x:c r="L27" s="485"/>
      <x:c r="M27" s="485"/>
      <x:c r="N27" s="485"/>
    </x:row>
    <x:row r="28" ht="38" customHeight="1">
      <x:c r="A28" s="89"/>
      <x:c r="B28" s="89"/>
      <x:c r="C28" s="89" t="str">
        <x:v>所有者意识</x:v>
      </x:c>
      <x:c r="D28" s="89" t="str">
        <x:v>中等</x:v>
      </x:c>
      <x:c r="E28" s="485" t="str">
        <x:v>平安集团及平安寿险合计持股58%，利益绑定较强；职业经理层个人持股与长期激励透明度一般。</x:v>
      </x:c>
      <x:c r="F28" s="485"/>
      <x:c r="G28" s="485"/>
      <x:c r="H28" s="485"/>
      <x:c r="I28" s="485"/>
      <x:c r="J28" s="485"/>
      <x:c r="K28" s="485"/>
      <x:c r="L28" s="485"/>
      <x:c r="M28" s="485"/>
      <x:c r="N28" s="485"/>
    </x:row>
    <x:row r="29" ht="38" customHeight="1">
      <x:c r="A29" s="89"/>
      <x:c r="B29" s="89"/>
      <x:c r="C29" s="89" t="str">
        <x:v>机构惯性</x:v>
      </x:c>
      <x:c r="D29" s="89" t="str">
        <x:v>中等风险</x:v>
      </x:c>
      <x:c r="E29" s="485" t="str">
        <x:v>长期零售转型与集团协同可能带来交叉销售和规模目标压力；当前策略已更重视量、价、险平衡。</x:v>
      </x:c>
      <x:c r="F29" s="485"/>
      <x:c r="G29" s="485"/>
      <x:c r="H29" s="485"/>
      <x:c r="I29" s="485"/>
      <x:c r="J29" s="485"/>
      <x:c r="K29" s="485"/>
      <x:c r="L29" s="485"/>
      <x:c r="M29" s="485"/>
      <x:c r="N29" s="485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 ht="23" customHeight="1">
      <x:c r="A32" s="89"/>
      <x:c r="B32" s="89"/>
      <x:c r="C32" s="68" t="str">
        <x:v>三条核心风险路径</x:v>
      </x:c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17" t="str">
        <x:v>风险</x:v>
      </x:c>
      <x:c r="D33" s="18" t="str">
        <x:v>触发路径</x:v>
      </x:c>
      <x:c r="E33" s="18"/>
      <x:c r="F33" s="18"/>
      <x:c r="G33" s="18"/>
      <x:c r="H33" s="18" t="str">
        <x:v>影响</x:v>
      </x:c>
      <x:c r="I33" s="18"/>
      <x:c r="J33" s="18"/>
      <x:c r="K33" s="18" t="str">
        <x:v>观察指标</x:v>
      </x:c>
      <x:c r="L33" s="18"/>
      <x:c r="M33" s="18"/>
      <x:c r="N33" s="19"/>
    </x:row>
    <x:row r="34" ht="43" customHeight="1">
      <x:c r="A34" s="89"/>
      <x:c r="B34" s="89"/>
      <x:c r="C34" s="485" t="str">
        <x:v>息差与收入</x:v>
      </x:c>
      <x:c r="D34" s="485" t="str">
        <x:v>资产收益率继续下降，而存款重定价收益放缓，营收再次转负。</x:v>
      </x:c>
      <x:c r="E34" s="485"/>
      <x:c r="F34" s="485"/>
      <x:c r="G34" s="485"/>
      <x:c r="H34" s="485" t="str">
        <x:v>ROE跌破8%，合理PB下修。</x:v>
      </x:c>
      <x:c r="I34" s="485"/>
      <x:c r="J34" s="485"/>
      <x:c r="K34" s="485" t="str">
        <x:v>净息差&lt;1.70%；营收同比连续两季为负</x:v>
      </x:c>
      <x:c r="L34" s="485"/>
      <x:c r="M34" s="485"/>
      <x:c r="N34" s="485"/>
    </x:row>
    <x:row r="35" ht="43" customHeight="1">
      <x:c r="A35" s="89"/>
      <x:c r="B35" s="89"/>
      <x:c r="C35" s="485" t="str">
        <x:v>零售信用</x:v>
      </x:c>
      <x:c r="D35" s="485" t="str">
        <x:v>消费贷、信用卡及经营贷风险上升，关注与逾期贷款迁徙为不良。</x:v>
      </x:c>
      <x:c r="E35" s="485"/>
      <x:c r="F35" s="485"/>
      <x:c r="G35" s="485"/>
      <x:c r="H35" s="485" t="str">
        <x:v>信用成本上升，利润和资本双受压。</x:v>
      </x:c>
      <x:c r="I35" s="485"/>
      <x:c r="J35" s="485"/>
      <x:c r="K35" s="485" t="str">
        <x:v>个人不良&gt;1.4%；信用卡&gt;2.5%；关注类&gt;2%</x:v>
      </x:c>
      <x:c r="L35" s="485"/>
      <x:c r="M35" s="485"/>
      <x:c r="N35" s="485"/>
    </x:row>
    <x:row r="36" ht="43" customHeight="1">
      <x:c r="A36" s="89"/>
      <x:c r="B36" s="89"/>
      <x:c r="C36" s="485" t="str">
        <x:v>资本与房地产</x:v>
      </x:c>
      <x:c r="D36" s="485" t="str">
        <x:v>房地产或表外风险暴露形成额外损失，资本补充需求限制分红。</x:v>
      </x:c>
      <x:c r="E36" s="485"/>
      <x:c r="F36" s="485"/>
      <x:c r="G36" s="485"/>
      <x:c r="H36" s="485" t="str">
        <x:v>PB折价长期化，分红能力下降。</x:v>
      </x:c>
      <x:c r="I36" s="485"/>
      <x:c r="J36" s="485"/>
      <x:c r="K36" s="485" t="str">
        <x:v>CET1&lt;8.8%；涉房不良&gt;3%；拨备&lt;180%</x:v>
      </x:c>
      <x:c r="L36" s="485"/>
      <x:c r="M36" s="485"/>
      <x:c r="N36" s="485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 ht="23" customHeight="1">
      <x:c r="A39" s="89"/>
      <x:c r="B39" s="89"/>
      <x:c r="C39" s="68" t="str">
        <x:v>卖出条件逐项检查</x:v>
      </x:c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17" t="str">
        <x:v>条件</x:v>
      </x:c>
      <x:c r="D40" s="18" t="str">
        <x:v>当前判断</x:v>
      </x:c>
      <x:c r="E40" s="18"/>
      <x:c r="F40" s="18" t="str">
        <x:v>依据</x:v>
      </x:c>
      <x:c r="G40" s="18"/>
      <x:c r="H40" s="18"/>
      <x:c r="I40" s="18"/>
      <x:c r="J40" s="18"/>
      <x:c r="K40" s="18"/>
      <x:c r="L40" s="18"/>
      <x:c r="M40" s="18"/>
      <x:c r="N40" s="19"/>
    </x:row>
    <x:row r="41" ht="34" customHeight="1">
      <x:c r="A41" s="89"/>
      <x:c r="B41" s="89"/>
      <x:c r="C41" s="89" t="str">
        <x:v>价格严重高估？</x:v>
      </x:c>
      <x:c r="D41" s="89" t="str">
        <x:v>否</x:v>
      </x:c>
      <x:c r="E41" s="89"/>
      <x:c r="F41" s="485" t="str">
        <x:v>当前0.48倍PB不贵；当股价高于17元而收入、ROE和资本没有同步改善时重新评估。</x:v>
      </x:c>
      <x:c r="G41" s="485"/>
      <x:c r="H41" s="485"/>
      <x:c r="I41" s="485"/>
      <x:c r="J41" s="485"/>
      <x:c r="K41" s="485"/>
      <x:c r="L41" s="485"/>
      <x:c r="M41" s="485"/>
      <x:c r="N41" s="485"/>
    </x:row>
    <x:row r="42" ht="34" customHeight="1">
      <x:c r="A42" s="89"/>
      <x:c r="B42" s="89"/>
      <x:c r="C42" s="89" t="str">
        <x:v>护城河被根本破坏？</x:v>
      </x:c>
      <x:c r="D42" s="89" t="str">
        <x:v>否</x:v>
      </x:c>
      <x:c r="E42" s="89"/>
      <x:c r="F42" s="485" t="str">
        <x:v>牌照、客户与集团协同仍在；若财富客户、AUM与低成本存款持续流失，则结论改变。</x:v>
      </x:c>
      <x:c r="G42" s="485"/>
      <x:c r="H42" s="485"/>
      <x:c r="I42" s="485"/>
      <x:c r="J42" s="485"/>
      <x:c r="K42" s="485"/>
      <x:c r="L42" s="485"/>
      <x:c r="M42" s="485"/>
      <x:c r="N42" s="485"/>
    </x:row>
    <x:row r="43" ht="34" customHeight="1">
      <x:c r="A43" s="89"/>
      <x:c r="B43" s="89"/>
      <x:c r="C43" s="89" t="str">
        <x:v>管理层诚信问题？</x:v>
      </x:c>
      <x:c r="D43" s="89" t="str">
        <x:v>未发现</x:v>
      </x:c>
      <x:c r="E43" s="89"/>
      <x:c r="F43" s="485" t="str">
        <x:v>若出现重大财务造假、风险分类失真或严重利益输送，应立即退出。</x:v>
      </x:c>
      <x:c r="G43" s="485"/>
      <x:c r="H43" s="485"/>
      <x:c r="I43" s="485"/>
      <x:c r="J43" s="485"/>
      <x:c r="K43" s="485"/>
      <x:c r="L43" s="485"/>
      <x:c r="M43" s="485"/>
      <x:c r="N43" s="485"/>
    </x:row>
    <x:row r="44" ht="34" customHeight="1">
      <x:c r="A44" s="89"/>
      <x:c r="B44" s="89"/>
      <x:c r="C44" s="89" t="str">
        <x:v>有明显更优机会？</x:v>
      </x:c>
      <x:c r="D44" s="89" t="str">
        <x:v>待组合比较</x:v>
      </x:c>
      <x:c r="E44" s="89"/>
      <x:c r="F44" s="485" t="str">
        <x:v>需要与持仓机会成本比较；不能仅因股价波动频繁切换。</x:v>
      </x:c>
      <x:c r="G44" s="485"/>
      <x:c r="H44" s="485"/>
      <x:c r="I44" s="485"/>
      <x:c r="J44" s="485"/>
      <x:c r="K44" s="485"/>
      <x:c r="L44" s="485"/>
      <x:c r="M44" s="485"/>
      <x:c r="N44" s="485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 ht="23" customHeight="1">
      <x:c r="A47" s="89"/>
      <x:c r="B47" s="89"/>
      <x:c r="C47" s="68" t="str">
        <x:v>季度监控清单</x:v>
      </x:c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17" t="str">
        <x:v>指标</x:v>
      </x:c>
      <x:c r="D48" s="18" t="str">
        <x:v>当前</x:v>
      </x:c>
      <x:c r="E48" s="18" t="str">
        <x:v>预警线</x:v>
      </x:c>
      <x:c r="F48" s="18" t="str">
        <x:v>动作</x:v>
      </x:c>
      <x:c r="G48" s="18"/>
      <x:c r="H48" s="18"/>
      <x:c r="I48" s="18"/>
      <x:c r="J48" s="18"/>
      <x:c r="K48" s="18"/>
      <x:c r="L48" s="18"/>
      <x:c r="M48" s="18"/>
      <x:c r="N48" s="19"/>
    </x:row>
    <x:row r="49">
      <x:c r="A49" s="89"/>
      <x:c r="B49" s="89"/>
      <x:c r="C49" s="23" t="str">
        <x:v>净息差</x:v>
      </x:c>
      <x:c r="D49" s="238" t="n">
        <x:v>0.018</x:v>
      </x:c>
      <x:c r="E49" s="23" t="str">
        <x:v>&lt;1.70%</x:v>
      </x:c>
      <x:c r="F49" s="23" t="str">
        <x:v>验证负债成本下降能否抵消资产重定价</x:v>
      </x:c>
      <x:c r="G49" s="23"/>
      <x:c r="H49" s="23"/>
      <x:c r="I49" s="23"/>
      <x:c r="J49" s="23"/>
      <x:c r="K49" s="23"/>
      <x:c r="L49" s="23"/>
      <x:c r="M49" s="23"/>
      <x:c r="N49" s="23"/>
    </x:row>
    <x:row r="50">
      <x:c r="A50" s="89"/>
      <x:c r="B50" s="89"/>
      <x:c r="C50" s="24" t="str">
        <x:v>关注类贷款率</x:v>
      </x:c>
      <x:c r="D50" s="44" t="n">
        <x:v>0.0183</x:v>
      </x:c>
      <x:c r="E50" s="24" t="str">
        <x:v>&gt;2.00%</x:v>
      </x:c>
      <x:c r="F50" s="24" t="str">
        <x:v>检查是否向不良迁徙</x:v>
      </x:c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89"/>
      <x:c r="B51" s="89"/>
      <x:c r="C51" s="24" t="str">
        <x:v>逾期60天以上偏离度</x:v>
      </x:c>
      <x:c r="D51" s="41" t="n">
        <x:v>0.84</x:v>
      </x:c>
      <x:c r="E51" s="24" t="str">
        <x:v>&gt;1.00</x:v>
      </x:c>
      <x:c r="F51" s="24" t="str">
        <x:v>关注风险确认是否滞后</x:v>
      </x:c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89"/>
      <x:c r="B52" s="89"/>
      <x:c r="C52" s="24" t="str">
        <x:v>拨备覆盖率</x:v>
      </x:c>
      <x:c r="D52" s="44" t="n">
        <x:v>2.1958</x:v>
      </x:c>
      <x:c r="E52" s="24" t="str">
        <x:v>&lt;180%</x:v>
      </x:c>
      <x:c r="F52" s="24" t="str">
        <x:v>重新评估账面价值可信度</x:v>
      </x:c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89"/>
      <x:c r="B53" s="89"/>
      <x:c r="C53" s="24" t="str">
        <x:v>核心一级资本充足率</x:v>
      </x:c>
      <x:c r="D53" s="44" t="n">
        <x:v>0.0932</x:v>
      </x:c>
      <x:c r="E53" s="24" t="str">
        <x:v>&lt;8.80%</x:v>
      </x:c>
      <x:c r="F53" s="24" t="str">
        <x:v>降低对高分红的假设</x:v>
      </x:c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89"/>
      <x:c r="B54" s="89"/>
      <x:c r="C54" s="25" t="str">
        <x:v>ROE</x:v>
      </x:c>
      <x:c r="D54" s="103" t="n">
        <x:v>0.1056</x:v>
      </x:c>
      <x:c r="E54" s="25" t="str">
        <x:v>&lt;8.00%</x:v>
      </x:c>
      <x:c r="F54" s="25" t="str">
        <x:v>下调合理PB和估值区间</x:v>
      </x:c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</x:row>
  </x:sheetData>
  <x:mergeCells>
    <x:mergeCell ref="C2:N2"/>
    <x:mergeCell ref="C3:N3"/>
    <x:mergeCell ref="C4:N4"/>
    <x:mergeCell ref="C5:N5"/>
    <x:mergeCell ref="D6:F6"/>
    <x:mergeCell ref="H6:K6"/>
    <x:mergeCell ref="L6:N6"/>
    <x:mergeCell ref="D7:F7"/>
    <x:mergeCell ref="H7:K7"/>
    <x:mergeCell ref="L7:N7"/>
    <x:mergeCell ref="D8:F8"/>
    <x:mergeCell ref="H8:K8"/>
    <x:mergeCell ref="L8:N8"/>
    <x:mergeCell ref="D9:F9"/>
    <x:mergeCell ref="H9:K9"/>
    <x:mergeCell ref="L9:N9"/>
    <x:mergeCell ref="D10:F10"/>
    <x:mergeCell ref="H10:K10"/>
    <x:mergeCell ref="L10:N10"/>
    <x:mergeCell ref="D11:F11"/>
    <x:mergeCell ref="H11:K11"/>
    <x:mergeCell ref="L11:N11"/>
    <x:mergeCell ref="D12:F12"/>
    <x:mergeCell ref="H12:K12"/>
    <x:mergeCell ref="L12:N12"/>
    <x:mergeCell ref="D13:F13"/>
    <x:mergeCell ref="H13:K13"/>
    <x:mergeCell ref="L13:N13"/>
    <x:mergeCell ref="D14:F14"/>
    <x:mergeCell ref="H14:K14"/>
    <x:mergeCell ref="L14:N14"/>
    <x:mergeCell ref="C16:N16"/>
    <x:mergeCell ref="D18:N18"/>
    <x:mergeCell ref="D19:N19"/>
    <x:mergeCell ref="D20:N20"/>
    <x:mergeCell ref="D21:N21"/>
    <x:mergeCell ref="D22:N22"/>
    <x:mergeCell ref="C24:N24"/>
    <x:mergeCell ref="E25:N25"/>
    <x:mergeCell ref="E26:N26"/>
    <x:mergeCell ref="E27:N27"/>
    <x:mergeCell ref="E28:N28"/>
    <x:mergeCell ref="E29:N29"/>
    <x:mergeCell ref="C32:N32"/>
    <x:mergeCell ref="D33:G33"/>
    <x:mergeCell ref="H33:J33"/>
    <x:mergeCell ref="K33:N33"/>
    <x:mergeCell ref="D34:G34"/>
    <x:mergeCell ref="H34:J34"/>
    <x:mergeCell ref="K34:N34"/>
    <x:mergeCell ref="D35:G35"/>
    <x:mergeCell ref="H35:J35"/>
    <x:mergeCell ref="K35:N35"/>
    <x:mergeCell ref="D36:G36"/>
    <x:mergeCell ref="H36:J36"/>
    <x:mergeCell ref="K36:N36"/>
    <x:mergeCell ref="C39:N39"/>
    <x:mergeCell ref="D40:E40"/>
    <x:mergeCell ref="F40:N40"/>
    <x:mergeCell ref="D41:E41"/>
    <x:mergeCell ref="F41:N41"/>
    <x:mergeCell ref="D42:E42"/>
    <x:mergeCell ref="F42:N42"/>
    <x:mergeCell ref="D43:E43"/>
    <x:mergeCell ref="F43:N43"/>
    <x:mergeCell ref="D44:E44"/>
    <x:mergeCell ref="F44:N44"/>
    <x:mergeCell ref="C47:N47"/>
    <x:mergeCell ref="F48:N48"/>
    <x:mergeCell ref="F49:N49"/>
    <x:mergeCell ref="F50:N50"/>
    <x:mergeCell ref="F51:N51"/>
    <x:mergeCell ref="F52:N52"/>
    <x:mergeCell ref="F53:N53"/>
    <x:mergeCell ref="F54:N54"/>
  </x:mergeCells>
  <x:conditionalFormatting sqref="G7:G14">
    <x:cfRule type="containsText" dxfId="1" priority="1" operator="containsText" text="否"/>
    <x:cfRule type="containsText" dxfId="2" priority="2" operator="containsText" text="是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11" hidden="0" customWidth="1"/>
    <x:col min="5" max="5" width="30" hidden="0" customWidth="1"/>
    <x:col min="6" max="6" width="15" hidden="0" customWidth="1"/>
    <x:col min="7" max="7" width="54" hidden="0" customWidth="1"/>
    <x:col min="8" max="8" width="24" hidden="0" customWidth="1"/>
    <x:col min="9" max="9" width="15" hidden="0" customWidth="1"/>
    <x:col min="10" max="10" width="18" hidden="0" customWidth="1"/>
    <x:col min="11" max="11" width="15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7" customHeight="1">
      <x:c r="A2" s="89"/>
      <x:c r="B2" s="89"/>
      <x:c r="C2" s="4" t="str">
        <x:v>数据口径与来源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89"/>
      <x:c r="B3" s="89"/>
      <x:c r="C3" s="6" t="str">
        <x:v>主结论优先使用公司正式披露；市场与历史序列使用公开行情接口，并在表内注明截止日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</x:row>
    <x:row r="4" ht="20" customHeight="1">
      <x:c r="A4" s="89"/>
      <x:c r="B4" s="89"/>
      <x:c r="C4" s="11" t="str">
        <x:v>阅读顺序：①官方披露来源　②价格与分红记录　③关键口径与限制</x:v>
      </x:c>
      <x:c r="D4" s="423"/>
      <x:c r="E4" s="423"/>
      <x:c r="F4" s="423"/>
      <x:c r="G4" s="423"/>
      <x:c r="H4" s="423"/>
      <x:c r="I4" s="423"/>
      <x:c r="J4" s="423"/>
      <x:c r="K4" s="423"/>
      <x:c r="L4" s="423"/>
      <x:c r="M4" s="423"/>
      <x:c r="N4" s="423"/>
    </x:row>
    <x:row r="5">
      <x:c r="A5" s="89"/>
      <x:c r="B5" s="89"/>
      <x:c r="C5" s="17" t="str">
        <x:v>来源</x:v>
      </x:c>
      <x:c r="D5" s="18" t="str">
        <x:v>性质</x:v>
      </x:c>
      <x:c r="E5" s="18" t="str">
        <x:v>覆盖内容</x:v>
      </x:c>
      <x:c r="F5" s="18" t="str">
        <x:v>截止/报告期</x:v>
      </x:c>
      <x:c r="G5" s="18" t="str">
        <x:v>链接</x:v>
      </x:c>
      <x:c r="H5" s="19" t="str">
        <x:v>使用说明</x:v>
      </x:c>
      <x:c r="I5" s="89"/>
      <x:c r="J5" s="89"/>
      <x:c r="K5" s="89"/>
      <x:c r="L5" s="89"/>
      <x:c r="M5" s="89"/>
      <x:c r="N5" s="89"/>
    </x:row>
    <x:row r="6" ht="30" customHeight="1">
      <x:c r="A6" s="89"/>
      <x:c r="B6" s="89"/>
      <x:c r="C6" s="23" t="str">
        <x:v>平安银行2026年半年度报告</x:v>
      </x:c>
      <x:c r="D6" s="23" t="str">
        <x:v>一手</x:v>
      </x:c>
      <x:c r="E6" s="23" t="str">
        <x:v>最新经营、资产质量、资本、业务数据</x:v>
      </x:c>
      <x:c r="F6" s="23" t="str">
        <x:v>2026-06-30</x:v>
      </x:c>
      <x:c r="G6" s="486" t="str">
        <x:v>https://static.cninfo.com.cn/finalpage/2026-08-15/1225475344.PDF</x:v>
      </x:c>
      <x:c r="H6" s="23" t="str">
        <x:v>主要财务锚点</x:v>
      </x:c>
      <x:c r="I6" s="89"/>
      <x:c r="J6" s="89"/>
      <x:c r="K6" s="89"/>
      <x:c r="L6" s="89"/>
      <x:c r="M6" s="89"/>
      <x:c r="N6" s="89"/>
    </x:row>
    <x:row r="7" ht="30" customHeight="1">
      <x:c r="A7" s="89"/>
      <x:c r="B7" s="89"/>
      <x:c r="C7" s="24" t="str">
        <x:v>平安银行2025年年度报告</x:v>
      </x:c>
      <x:c r="D7" s="24" t="str">
        <x:v>一手</x:v>
      </x:c>
      <x:c r="E7" s="24" t="str">
        <x:v>审计财务、股东、治理、历史口径</x:v>
      </x:c>
      <x:c r="F7" s="24" t="str">
        <x:v>2025-12-31</x:v>
      </x:c>
      <x:c r="G7" s="487" t="str">
        <x:v>https://static.cninfo.com.cn/finalpage/2026-03-21/1225022887.PDF</x:v>
      </x:c>
      <x:c r="H7" s="24" t="str">
        <x:v>经审计基期</x:v>
      </x:c>
      <x:c r="I7" s="89"/>
      <x:c r="J7" s="89"/>
      <x:c r="K7" s="89"/>
      <x:c r="L7" s="89"/>
      <x:c r="M7" s="89"/>
      <x:c r="N7" s="89"/>
    </x:row>
    <x:row r="8" ht="30" customHeight="1">
      <x:c r="A8" s="89"/>
      <x:c r="B8" s="89"/>
      <x:c r="C8" s="24" t="str">
        <x:v>平安银行投资者关系页面</x:v>
      </x:c>
      <x:c r="D8" s="24" t="str">
        <x:v>一手</x:v>
      </x:c>
      <x:c r="E8" s="24" t="str">
        <x:v>公告索引与公司信息</x:v>
      </x:c>
      <x:c r="F8" s="24" t="str">
        <x:v>2026-10-13</x:v>
      </x:c>
      <x:c r="G8" s="487" t="str">
        <x:v>https://ebank.pingan.com.cn/markets/bizss/index.html</x:v>
      </x:c>
      <x:c r="H8" s="24" t="str">
        <x:v>核对披露期</x:v>
      </x:c>
      <x:c r="I8" s="89"/>
      <x:c r="J8" s="89"/>
      <x:c r="K8" s="89"/>
      <x:c r="L8" s="89"/>
      <x:c r="M8" s="89"/>
      <x:c r="N8" s="89"/>
    </x:row>
    <x:row r="9" ht="30" customHeight="1">
      <x:c r="A9" s="89"/>
      <x:c r="B9" s="89"/>
      <x:c r="C9" s="24" t="str">
        <x:v>东方财富F10财务接口</x:v>
      </x:c>
      <x:c r="D9" s="24" t="str">
        <x:v>二手</x:v>
      </x:c>
      <x:c r="E9" s="24" t="str">
        <x:v>2016—2026关键财务指标与同业数据</x:v>
      </x:c>
      <x:c r="F9" s="24" t="str">
        <x:v>2026H1</x:v>
      </x:c>
      <x:c r="G9" s="487" t="str">
        <x:v>https://datacenter-web.eastmoney.com/api/data/v1/get</x:v>
      </x:c>
      <x:c r="H9" s="24" t="str">
        <x:v>已用公司报告交叉核对最新期</x:v>
      </x:c>
      <x:c r="I9" s="89"/>
      <x:c r="J9" s="89"/>
      <x:c r="K9" s="89"/>
      <x:c r="L9" s="89"/>
      <x:c r="M9" s="89"/>
      <x:c r="N9" s="89"/>
    </x:row>
    <x:row r="10" ht="30" customHeight="1">
      <x:c r="A10" s="89"/>
      <x:c r="B10" s="89"/>
      <x:c r="C10" s="24" t="str">
        <x:v>东方财富行情接口</x:v>
      </x:c>
      <x:c r="D10" s="24" t="str">
        <x:v>二手</x:v>
      </x:c>
      <x:c r="E10" s="24" t="str">
        <x:v>收盘价、PE、PB与历史价格</x:v>
      </x:c>
      <x:c r="F10" s="24" t="str">
        <x:v>2026-10-13</x:v>
      </x:c>
      <x:c r="G10" s="487" t="str">
        <x:v>https://push2.eastmoney.com/api/qt/stock/get</x:v>
      </x:c>
      <x:c r="H10" s="24" t="str">
        <x:v>当前估值与同业横比</x:v>
      </x:c>
      <x:c r="I10" s="89"/>
      <x:c r="J10" s="89"/>
      <x:c r="K10" s="89"/>
      <x:c r="L10" s="89"/>
      <x:c r="M10" s="89"/>
      <x:c r="N10" s="89"/>
    </x:row>
    <x:row r="11" ht="30" customHeight="1">
      <x:c r="A11" s="89"/>
      <x:c r="B11" s="89"/>
      <x:c r="C11" s="24" t="str">
        <x:v>东方财富历史K线接口</x:v>
      </x:c>
      <x:c r="D11" s="24" t="str">
        <x:v>二手</x:v>
      </x:c>
      <x:c r="E11" s="24" t="str">
        <x:v>2016—2026年末收盘价</x:v>
      </x:c>
      <x:c r="F11" s="24" t="str">
        <x:v>2026-10-13</x:v>
      </x:c>
      <x:c r="G11" s="487" t="str">
        <x:v>https://push2his.eastmoney.com/api/qt/stock/kline/get</x:v>
      </x:c>
      <x:c r="H11" s="24" t="str">
        <x:v>历史PB/PE</x:v>
      </x:c>
      <x:c r="I11" s="89"/>
      <x:c r="J11" s="89"/>
      <x:c r="K11" s="89"/>
      <x:c r="L11" s="89"/>
      <x:c r="M11" s="89"/>
      <x:c r="N11" s="89"/>
    </x:row>
    <x:row r="12" ht="30" customHeight="1">
      <x:c r="A12" s="89"/>
      <x:c r="B12" s="89"/>
      <x:c r="C12" s="24" t="str">
        <x:v>东方财富分红接口</x:v>
      </x:c>
      <x:c r="D12" s="24" t="str">
        <x:v>二手</x:v>
      </x:c>
      <x:c r="E12" s="24" t="str">
        <x:v>2016—2026现金分红</x:v>
      </x:c>
      <x:c r="F12" s="24" t="str">
        <x:v>2026-09-24</x:v>
      </x:c>
      <x:c r="G12" s="487" t="str">
        <x:v>https://datacenter-web.eastmoney.com/api/data/v1/get?reportName=RPT_SHAREBONUS_DET</x:v>
      </x:c>
      <x:c r="H12" s="24" t="str">
        <x:v>股息率与分红记录</x:v>
      </x:c>
      <x:c r="I12" s="89"/>
      <x:c r="J12" s="89"/>
      <x:c r="K12" s="89"/>
      <x:c r="L12" s="89"/>
      <x:c r="M12" s="89"/>
      <x:c r="N12" s="89"/>
    </x:row>
    <x:row r="13" ht="30" customHeight="1">
      <x:c r="A13" s="89"/>
      <x:c r="B13" s="89"/>
      <x:c r="C13" s="25" t="str">
        <x:v>Buffett Investment Thinking System</x:v>
      </x:c>
      <x:c r="D13" s="25" t="str">
        <x:v>方法</x:v>
      </x:c>
      <x:c r="E13" s="25" t="str">
        <x:v>护城河、管理层、资本配置、估值与风险框架</x:v>
      </x:c>
      <x:c r="F13" s="25" t="str">
        <x:v>用户提供</x:v>
      </x:c>
      <x:c r="G13" s="488" t="str"/>
      <x:c r="H13" s="25" t="str">
        <x:v>银行行业按资本与资产质量口径调整</x:v>
      </x:c>
      <x:c r="I13" s="89"/>
      <x:c r="J13" s="89"/>
      <x:c r="K13" s="89"/>
      <x:c r="L13" s="89"/>
      <x:c r="M13" s="89"/>
      <x:c r="N13" s="89"/>
    </x:row>
    <x:row r="14">
      <x:c r="A14" s="89"/>
      <x:c r="B14" s="89"/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</x:row>
    <x:row r="15" ht="23" customHeight="1">
      <x:c r="A15" s="89"/>
      <x:c r="B15" s="89"/>
      <x:c r="C15" s="68" t="str">
        <x:v>年末/当前价格序列</x:v>
      </x:c>
      <x:c r="D15" s="89"/>
      <x:c r="E15" s="89"/>
      <x:c r="F15" s="89"/>
      <x:c r="G15" s="89"/>
      <x:c r="H15" s="68" t="str">
        <x:v>现金分红事件</x:v>
      </x:c>
      <x:c r="I15" s="89"/>
      <x:c r="J15" s="89"/>
      <x:c r="K15" s="89"/>
      <x:c r="L15" s="89"/>
      <x:c r="M15" s="89"/>
      <x:c r="N15" s="89"/>
    </x:row>
    <x:row r="16">
      <x:c r="A16" s="89"/>
      <x:c r="B16" s="89"/>
      <x:c r="C16" s="17" t="str">
        <x:v>年份</x:v>
      </x:c>
      <x:c r="D16" s="18" t="str">
        <x:v>日期</x:v>
      </x:c>
      <x:c r="E16" s="19" t="str">
        <x:v>收盘价</x:v>
      </x:c>
      <x:c r="F16" s="89"/>
      <x:c r="G16" s="89"/>
      <x:c r="H16" s="17" t="str">
        <x:v>报告期</x:v>
      </x:c>
      <x:c r="I16" s="18" t="str">
        <x:v>每股现金分红</x:v>
      </x:c>
      <x:c r="J16" s="18" t="str">
        <x:v>方案</x:v>
      </x:c>
      <x:c r="K16" s="19" t="str">
        <x:v>除权日</x:v>
      </x:c>
      <x:c r="L16" s="89"/>
      <x:c r="M16" s="89"/>
      <x:c r="N16" s="89"/>
    </x:row>
    <x:row r="17">
      <x:c r="A17" s="89"/>
      <x:c r="B17" s="89"/>
      <x:c r="C17" s="23" t="n">
        <x:v>2016</x:v>
      </x:c>
      <x:c r="D17" s="23" t="str">
        <x:v>2016-12-30</x:v>
      </x:c>
      <x:c r="E17" s="144" t="n">
        <x:v>9.1</x:v>
      </x:c>
      <x:c r="F17" s="89"/>
      <x:c r="G17" s="89"/>
      <x:c r="H17" s="23" t="str">
        <x:v>2016-12-31</x:v>
      </x:c>
      <x:c r="I17" s="302" t="n">
        <x:v>0.158</x:v>
      </x:c>
      <x:c r="J17" s="23" t="str">
        <x:v>10派1.58元</x:v>
      </x:c>
      <x:c r="K17" s="23" t="str">
        <x:v>2017-07-21</x:v>
      </x:c>
      <x:c r="L17" s="89"/>
      <x:c r="M17" s="89"/>
      <x:c r="N17" s="89"/>
    </x:row>
    <x:row r="18">
      <x:c r="A18" s="89"/>
      <x:c r="B18" s="89"/>
      <x:c r="C18" s="24" t="n">
        <x:v>2017</x:v>
      </x:c>
      <x:c r="D18" s="24" t="str">
        <x:v>2017-12-29</x:v>
      </x:c>
      <x:c r="E18" s="41" t="n">
        <x:v>13.3</x:v>
      </x:c>
      <x:c r="F18" s="89"/>
      <x:c r="G18" s="89"/>
      <x:c r="H18" s="24" t="str">
        <x:v>2017-12-31</x:v>
      </x:c>
      <x:c r="I18" s="46" t="n">
        <x:v>0.136</x:v>
      </x:c>
      <x:c r="J18" s="24" t="str">
        <x:v>10派1.36元</x:v>
      </x:c>
      <x:c r="K18" s="24" t="str">
        <x:v>2018-07-12</x:v>
      </x:c>
      <x:c r="L18" s="89"/>
      <x:c r="M18" s="89"/>
      <x:c r="N18" s="89"/>
    </x:row>
    <x:row r="19">
      <x:c r="A19" s="89"/>
      <x:c r="B19" s="89"/>
      <x:c r="C19" s="24" t="n">
        <x:v>2018</x:v>
      </x:c>
      <x:c r="D19" s="24" t="str">
        <x:v>2018-12-28</x:v>
      </x:c>
      <x:c r="E19" s="41" t="n">
        <x:v>9.38</x:v>
      </x:c>
      <x:c r="F19" s="89"/>
      <x:c r="G19" s="89"/>
      <x:c r="H19" s="24" t="str">
        <x:v>2018-12-31</x:v>
      </x:c>
      <x:c r="I19" s="46" t="n">
        <x:v>0.145</x:v>
      </x:c>
      <x:c r="J19" s="24" t="str">
        <x:v>10派1.45元</x:v>
      </x:c>
      <x:c r="K19" s="24" t="str">
        <x:v>2019-06-26</x:v>
      </x:c>
      <x:c r="L19" s="89"/>
      <x:c r="M19" s="89"/>
      <x:c r="N19" s="89"/>
    </x:row>
    <x:row r="20">
      <x:c r="A20" s="89"/>
      <x:c r="B20" s="89"/>
      <x:c r="C20" s="24" t="n">
        <x:v>2019</x:v>
      </x:c>
      <x:c r="D20" s="24" t="str">
        <x:v>2019-12-31</x:v>
      </x:c>
      <x:c r="E20" s="41" t="n">
        <x:v>16.45</x:v>
      </x:c>
      <x:c r="F20" s="89"/>
      <x:c r="G20" s="89"/>
      <x:c r="H20" s="24" t="str">
        <x:v>2019-12-31</x:v>
      </x:c>
      <x:c r="I20" s="46" t="n">
        <x:v>0.218</x:v>
      </x:c>
      <x:c r="J20" s="24" t="str">
        <x:v>10派2.18元</x:v>
      </x:c>
      <x:c r="K20" s="24" t="str">
        <x:v>2020-05-28</x:v>
      </x:c>
      <x:c r="L20" s="89"/>
      <x:c r="M20" s="89"/>
      <x:c r="N20" s="89"/>
    </x:row>
    <x:row r="21">
      <x:c r="A21" s="89"/>
      <x:c r="B21" s="89"/>
      <x:c r="C21" s="24" t="n">
        <x:v>2020</x:v>
      </x:c>
      <x:c r="D21" s="24" t="str">
        <x:v>2020-12-31</x:v>
      </x:c>
      <x:c r="E21" s="41" t="n">
        <x:v>19.34</x:v>
      </x:c>
      <x:c r="F21" s="89"/>
      <x:c r="G21" s="89"/>
      <x:c r="H21" s="24" t="str">
        <x:v>2020-12-31</x:v>
      </x:c>
      <x:c r="I21" s="46" t="n">
        <x:v>0.18</x:v>
      </x:c>
      <x:c r="J21" s="24" t="str">
        <x:v>10派1.80元</x:v>
      </x:c>
      <x:c r="K21" s="24" t="str">
        <x:v>2021-05-14</x:v>
      </x:c>
      <x:c r="L21" s="89"/>
      <x:c r="M21" s="89"/>
      <x:c r="N21" s="89"/>
    </x:row>
    <x:row r="22">
      <x:c r="A22" s="89"/>
      <x:c r="B22" s="89"/>
      <x:c r="C22" s="24" t="n">
        <x:v>2021</x:v>
      </x:c>
      <x:c r="D22" s="24" t="str">
        <x:v>2021-12-31</x:v>
      </x:c>
      <x:c r="E22" s="41" t="n">
        <x:v>16.48</x:v>
      </x:c>
      <x:c r="F22" s="89"/>
      <x:c r="G22" s="89"/>
      <x:c r="H22" s="24" t="str">
        <x:v>2021-12-31</x:v>
      </x:c>
      <x:c r="I22" s="46" t="n">
        <x:v>0.228</x:v>
      </x:c>
      <x:c r="J22" s="24" t="str">
        <x:v>10派2.28元</x:v>
      </x:c>
      <x:c r="K22" s="24" t="str">
        <x:v>2022-07-22</x:v>
      </x:c>
      <x:c r="L22" s="89"/>
      <x:c r="M22" s="89"/>
      <x:c r="N22" s="89"/>
    </x:row>
    <x:row r="23">
      <x:c r="A23" s="89"/>
      <x:c r="B23" s="89"/>
      <x:c r="C23" s="24" t="n">
        <x:v>2022</x:v>
      </x:c>
      <x:c r="D23" s="24" t="str">
        <x:v>2022-12-30</x:v>
      </x:c>
      <x:c r="E23" s="41" t="n">
        <x:v>13.16</x:v>
      </x:c>
      <x:c r="F23" s="89"/>
      <x:c r="G23" s="89"/>
      <x:c r="H23" s="24" t="str">
        <x:v>2022-12-31</x:v>
      </x:c>
      <x:c r="I23" s="46" t="n">
        <x:v>0.285</x:v>
      </x:c>
      <x:c r="J23" s="24" t="str">
        <x:v>10派2.85元</x:v>
      </x:c>
      <x:c r="K23" s="24" t="str">
        <x:v>2023-06-14</x:v>
      </x:c>
      <x:c r="L23" s="89"/>
      <x:c r="M23" s="89"/>
      <x:c r="N23" s="89"/>
    </x:row>
    <x:row r="24">
      <x:c r="A24" s="89"/>
      <x:c r="B24" s="89"/>
      <x:c r="C24" s="24" t="n">
        <x:v>2023</x:v>
      </x:c>
      <x:c r="D24" s="24" t="str">
        <x:v>2023-12-29</x:v>
      </x:c>
      <x:c r="E24" s="41" t="n">
        <x:v>9.39</x:v>
      </x:c>
      <x:c r="F24" s="89"/>
      <x:c r="G24" s="89"/>
      <x:c r="H24" s="24" t="str">
        <x:v>2023-12-31</x:v>
      </x:c>
      <x:c r="I24" s="46" t="n">
        <x:v>0.719</x:v>
      </x:c>
      <x:c r="J24" s="24" t="str">
        <x:v>10派7.19元</x:v>
      </x:c>
      <x:c r="K24" s="24" t="str">
        <x:v>2024-06-14</x:v>
      </x:c>
      <x:c r="L24" s="89"/>
      <x:c r="M24" s="89"/>
      <x:c r="N24" s="89"/>
    </x:row>
    <x:row r="25">
      <x:c r="A25" s="89"/>
      <x:c r="B25" s="89"/>
      <x:c r="C25" s="24" t="n">
        <x:v>2024</x:v>
      </x:c>
      <x:c r="D25" s="24" t="str">
        <x:v>2024-12-31</x:v>
      </x:c>
      <x:c r="E25" s="41" t="n">
        <x:v>11.7</x:v>
      </x:c>
      <x:c r="F25" s="89"/>
      <x:c r="G25" s="89"/>
      <x:c r="H25" s="24" t="str">
        <x:v>2024-06-30</x:v>
      </x:c>
      <x:c r="I25" s="46" t="n">
        <x:v>0.246</x:v>
      </x:c>
      <x:c r="J25" s="24" t="str">
        <x:v>10派2.46元</x:v>
      </x:c>
      <x:c r="K25" s="24" t="str">
        <x:v>2024-10-10</x:v>
      </x:c>
      <x:c r="L25" s="89"/>
      <x:c r="M25" s="89"/>
      <x:c r="N25" s="89"/>
    </x:row>
    <x:row r="26">
      <x:c r="A26" s="89"/>
      <x:c r="B26" s="89"/>
      <x:c r="C26" s="24" t="n">
        <x:v>2025</x:v>
      </x:c>
      <x:c r="D26" s="24" t="str">
        <x:v>2025-12-31</x:v>
      </x:c>
      <x:c r="E26" s="41" t="n">
        <x:v>11.41</x:v>
      </x:c>
      <x:c r="F26" s="89"/>
      <x:c r="G26" s="89"/>
      <x:c r="H26" s="24" t="str">
        <x:v>2024-12-31</x:v>
      </x:c>
      <x:c r="I26" s="46" t="n">
        <x:v>0.362</x:v>
      </x:c>
      <x:c r="J26" s="24" t="str">
        <x:v>10派3.62元</x:v>
      </x:c>
      <x:c r="K26" s="24" t="str">
        <x:v>2025-06-12</x:v>
      </x:c>
      <x:c r="L26" s="89"/>
      <x:c r="M26" s="89"/>
      <x:c r="N26" s="89"/>
    </x:row>
    <x:row r="27">
      <x:c r="A27" s="89"/>
      <x:c r="B27" s="89"/>
      <x:c r="C27" s="25" t="n">
        <x:v>2026</x:v>
      </x:c>
      <x:c r="D27" s="25" t="str">
        <x:v>2026-10-13</x:v>
      </x:c>
      <x:c r="E27" s="99" t="n">
        <x:v>11.57</x:v>
      </x:c>
      <x:c r="F27" s="89"/>
      <x:c r="G27" s="89"/>
      <x:c r="H27" s="24" t="str">
        <x:v>2025-06-30</x:v>
      </x:c>
      <x:c r="I27" s="46" t="n">
        <x:v>0.236</x:v>
      </x:c>
      <x:c r="J27" s="24" t="str">
        <x:v>10派2.36元</x:v>
      </x:c>
      <x:c r="K27" s="24" t="str">
        <x:v>2025-10-15</x:v>
      </x:c>
      <x:c r="L27" s="89"/>
      <x:c r="M27" s="89"/>
      <x:c r="N27" s="89"/>
    </x:row>
    <x:row r="28">
      <x:c r="A28" s="89"/>
      <x:c r="B28" s="89"/>
      <x:c r="C28" s="89"/>
      <x:c r="D28" s="89"/>
      <x:c r="E28" s="89"/>
      <x:c r="F28" s="89"/>
      <x:c r="G28" s="89"/>
      <x:c r="H28" s="24" t="str">
        <x:v>2025-12-31</x:v>
      </x:c>
      <x:c r="I28" s="46" t="n">
        <x:v>0.36</x:v>
      </x:c>
      <x:c r="J28" s="24" t="str">
        <x:v>10派3.60元</x:v>
      </x:c>
      <x:c r="K28" s="24" t="str">
        <x:v>2026-06-12</x:v>
      </x:c>
      <x:c r="L28" s="89"/>
      <x:c r="M28" s="89"/>
      <x:c r="N28" s="89"/>
    </x:row>
    <x:row r="29">
      <x:c r="A29" s="89"/>
      <x:c r="B29" s="89"/>
      <x:c r="C29" s="89"/>
      <x:c r="D29" s="89"/>
      <x:c r="E29" s="89"/>
      <x:c r="F29" s="89"/>
      <x:c r="G29" s="89"/>
      <x:c r="H29" s="25" t="str">
        <x:v>2026-06-30</x:v>
      </x:c>
      <x:c r="I29" s="303" t="n">
        <x:v>0.249</x:v>
      </x:c>
      <x:c r="J29" s="25" t="str">
        <x:v>10派2.49元</x:v>
      </x:c>
      <x:c r="K29" s="25" t="str">
        <x:v>2026-09-24</x:v>
      </x:c>
      <x:c r="L29" s="89"/>
      <x:c r="M29" s="89"/>
      <x:c r="N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 ht="23" customHeight="1">
      <x:c r="A32" s="89"/>
      <x:c r="B32" s="89"/>
      <x:c r="C32" s="68" t="str">
        <x:v>关键口径与限制</x:v>
      </x:c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 ht="35" customHeight="1">
      <x:c r="A33" s="89"/>
      <x:c r="B33" s="89"/>
      <x:c r="C33" s="480" t="str">
        <x:v>银行所有者收益</x:v>
      </x:c>
      <x:c r="D33" s="293" t="str">
        <x:v>不使用普通企业“净利润+折旧-资本开支-营运资本”公式。改用可持续利润、分红能力、资本充足率和账面价值增长综合判断。</x:v>
      </x:c>
      <x:c r="E33" s="293"/>
      <x:c r="F33" s="293"/>
      <x:c r="G33" s="293"/>
      <x:c r="H33" s="293"/>
      <x:c r="I33" s="293"/>
      <x:c r="J33" s="293"/>
      <x:c r="K33" s="293"/>
      <x:c r="L33" s="293"/>
      <x:c r="M33" s="293"/>
      <x:c r="N33" s="293"/>
    </x:row>
    <x:row r="34" ht="35" customHeight="1">
      <x:c r="A34" s="89"/>
      <x:c r="B34" s="89"/>
      <x:c r="C34" s="481" t="str">
        <x:v>时间口径</x:v>
      </x:c>
      <x:c r="D34" s="294" t="str">
        <x:v>经营数据截至2026-06-30，股价截至2026-10-13。两者存在时间差，且尚未纳入2026年三季报，因此估值结论需要在下一份财报后刷新。</x:v>
      </x:c>
      <x:c r="E34" s="294"/>
      <x:c r="F34" s="294"/>
      <x:c r="G34" s="294"/>
      <x:c r="H34" s="294"/>
      <x:c r="I34" s="294"/>
      <x:c r="J34" s="294"/>
      <x:c r="K34" s="294"/>
      <x:c r="L34" s="294"/>
      <x:c r="M34" s="294"/>
      <x:c r="N34" s="294"/>
    </x:row>
    <x:row r="35" ht="35" customHeight="1">
      <x:c r="A35" s="89"/>
      <x:c r="B35" s="89"/>
      <x:c r="C35" s="481" t="str">
        <x:v>2026数据</x:v>
      </x:c>
      <x:c r="D35" s="294" t="str">
        <x:v>1H26收入、利润和EPS是半年实际值；ROE、ROA、净息差为公司披露年化口径。PE使用TTM EPS 2.13元。</x:v>
      </x:c>
      <x:c r="E35" s="294"/>
      <x:c r="F35" s="294"/>
      <x:c r="G35" s="294"/>
      <x:c r="H35" s="294"/>
      <x:c r="I35" s="294"/>
      <x:c r="J35" s="294"/>
      <x:c r="K35" s="294"/>
      <x:c r="L35" s="294"/>
      <x:c r="M35" s="294"/>
      <x:c r="N35" s="294"/>
    </x:row>
    <x:row r="36" ht="35" customHeight="1">
      <x:c r="A36" s="89"/>
      <x:c r="B36" s="89"/>
      <x:c r="C36" s="481" t="str">
        <x:v>当前股息率</x:v>
      </x:c>
      <x:c r="D36" s="294" t="str">
        <x:v>2025全年普通股DPS为0.596元，对应11.57元股价的税前股息率约5.15%；近12个月现金到账0.845元包含三次派息，对应7.30%，仅作现金流观察。</x:v>
      </x:c>
      <x:c r="E36" s="294"/>
      <x:c r="F36" s="294"/>
      <x:c r="G36" s="294"/>
      <x:c r="H36" s="294"/>
      <x:c r="I36" s="294"/>
      <x:c r="J36" s="294"/>
      <x:c r="K36" s="294"/>
      <x:c r="L36" s="294"/>
      <x:c r="M36" s="294"/>
      <x:c r="N36" s="294"/>
    </x:row>
    <x:row r="37" ht="35" customHeight="1">
      <x:c r="A37" s="89"/>
      <x:c r="B37" s="89"/>
      <x:c r="C37" s="481" t="str">
        <x:v>同业ROE</x:v>
      </x:c>
      <x:c r="D37" s="294" t="str">
        <x:v>同业表的ROE以半年加权ROE近似年化，适合横向比较，不等同各公司全年最终ROE。</x:v>
      </x:c>
      <x:c r="E37" s="294"/>
      <x:c r="F37" s="294"/>
      <x:c r="G37" s="294"/>
      <x:c r="H37" s="294"/>
      <x:c r="I37" s="294"/>
      <x:c r="J37" s="294"/>
      <x:c r="K37" s="294"/>
      <x:c r="L37" s="294"/>
      <x:c r="M37" s="294"/>
      <x:c r="N37" s="294"/>
    </x:row>
    <x:row r="38" ht="35" customHeight="1">
      <x:c r="A38" s="89"/>
      <x:c r="B38" s="89"/>
      <x:c r="C38" s="481" t="str">
        <x:v>情景分析</x:v>
      </x:c>
      <x:c r="D38" s="294" t="str">
        <x:v>额外信用损失假设为超过现有拨备后的损失，并保守地直接冲减核心一级资本；未考虑税盾、RWA变化与资本补充。</x:v>
      </x:c>
      <x:c r="E38" s="294"/>
      <x:c r="F38" s="294"/>
      <x:c r="G38" s="294"/>
      <x:c r="H38" s="294"/>
      <x:c r="I38" s="294"/>
      <x:c r="J38" s="294"/>
      <x:c r="K38" s="294"/>
      <x:c r="L38" s="294"/>
      <x:c r="M38" s="294"/>
      <x:c r="N38" s="294"/>
    </x:row>
    <x:row r="39" ht="35" customHeight="1">
      <x:c r="A39" s="89"/>
      <x:c r="B39" s="89"/>
      <x:c r="C39" s="481" t="str">
        <x:v>合理价值区间</x:v>
      </x:c>
      <x:c r="D39" s="294" t="str">
        <x:v>13—17元的下沿取修订后的股利模型基准，上沿取降低历史权重后的六法综合中枢。股利模型假设未来五年支付率由27%逐步升至32%、终值40%，终值并非当前常态支付率；19元以上仅作为ROE和资本均改善后的修复情景。</x:v>
      </x:c>
      <x:c r="E39" s="294"/>
      <x:c r="F39" s="294"/>
      <x:c r="G39" s="294"/>
      <x:c r="H39" s="294"/>
      <x:c r="I39" s="294"/>
      <x:c r="J39" s="294"/>
      <x:c r="K39" s="294"/>
      <x:c r="L39" s="294"/>
      <x:c r="M39" s="294"/>
      <x:c r="N39" s="294"/>
    </x:row>
    <x:row r="40" ht="35" customHeight="1">
      <x:c r="A40" s="89"/>
      <x:c r="B40" s="89"/>
      <x:c r="C40" s="481" t="str">
        <x:v>可持续分红</x:v>
      </x:c>
      <x:c r="D40" s="294" t="str">
        <x:v>27%—30%是当前常态分红支付率，不是股息率。2025年归母口径为27.13%，普通股利润口径约28.83%；35%需CET1回到约10%且资产质量稳定，40%不作基准。</x:v>
      </x:c>
      <x:c r="E40" s="294"/>
      <x:c r="F40" s="294"/>
      <x:c r="G40" s="294"/>
      <x:c r="H40" s="294"/>
      <x:c r="I40" s="294"/>
      <x:c r="J40" s="294"/>
      <x:c r="K40" s="294"/>
      <x:c r="L40" s="294"/>
      <x:c r="M40" s="294"/>
      <x:c r="N40" s="294"/>
    </x:row>
    <x:row r="41" ht="35" customHeight="1">
      <x:c r="A41" s="89"/>
      <x:c r="B41" s="89"/>
      <x:c r="C41" s="482" t="str">
        <x:v>金额单位</x:v>
      </x:c>
      <x:c r="D41" s="295" t="str">
        <x:v>财务十年、贷款结构、房地产敞口和资本压力测试统一使用亿元。涉房信用风险余额包含实有及或有信贷、自营债券和自营非标，不等同对公房地产贷款。</x:v>
      </x:c>
      <x:c r="E41" s="295"/>
      <x:c r="F41" s="295"/>
      <x:c r="G41" s="295"/>
      <x:c r="H41" s="295"/>
      <x:c r="I41" s="295"/>
      <x:c r="J41" s="295"/>
      <x:c r="K41" s="295"/>
      <x:c r="L41" s="295"/>
      <x:c r="M41" s="295"/>
      <x:c r="N41" s="295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C2:N2"/>
    <x:mergeCell ref="C3:N3"/>
    <x:mergeCell ref="C4:N4"/>
    <x:mergeCell ref="C15:F15"/>
    <x:mergeCell ref="H15:N15"/>
    <x:mergeCell ref="C32:N32"/>
    <x:mergeCell ref="D33:N33"/>
    <x:mergeCell ref="D34:N34"/>
    <x:mergeCell ref="D35:N35"/>
    <x:mergeCell ref="D36:N36"/>
    <x:mergeCell ref="D37:N37"/>
    <x:mergeCell ref="D38:N38"/>
    <x:mergeCell ref="D39:N39"/>
    <x:mergeCell ref="D40:N40"/>
    <x:mergeCell ref="D41:N41"/>
  </x:mergeCells>
  <x:pageMargins left="0.7" right="0.7" top="0.75" bottom="0.75" header="0.3" footer="0.3"/>
</x:worksheet>
</file>