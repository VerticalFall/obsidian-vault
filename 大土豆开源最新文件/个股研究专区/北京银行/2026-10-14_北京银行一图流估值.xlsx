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7.xml" ContentType="application/vnd.ms-office.chartcolorstyle+xml"/>
  <Override PartName="/xl/charts/style6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一图流" sheetId="1" state="visible" r:id="rId3"/>
    <sheet name="投资结论" sheetId="2" state="visible" r:id="rId4"/>
    <sheet name="估值系统" sheetId="3" state="visible" r:id="rId5"/>
    <sheet name="估值敏感性" sheetId="4" state="visible" r:id="rId6"/>
    <sheet name="股息估值" sheetId="5" state="visible" r:id="rId7"/>
    <sheet name="财务十年" sheetId="6" state="visible" r:id="rId8"/>
    <sheet name="资产质量" sheetId="7" state="visible" r:id="rId9"/>
    <sheet name="同业比较" sheetId="8" state="visible" r:id="rId10"/>
    <sheet name="巴菲特框架" sheetId="9" state="visible" r:id="rId11"/>
    <sheet name="数据与来源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<sst xmlns="http://schemas.openxmlformats.org/spreadsheetml/2006/main" count="1334" uniqueCount="683">
  <si>
    <t xml:space="preserve">北京银行一图流估值</t>
  </si>
  <si>
    <r>
      <rPr>
        <i val="true"/>
        <sz val="9"/>
        <color rgb="FF667085"/>
        <rFont val="Arial"/>
        <family val="0"/>
        <charset val="1"/>
      </rPr>
      <t xml:space="preserve">601169.SH</t>
    </r>
    <r>
      <rPr>
        <i val="true"/>
        <sz val="9"/>
        <color rgb="FF667085"/>
        <rFont val="思源黑体"/>
        <family val="2"/>
        <charset val="134"/>
      </rPr>
      <t xml:space="preserve">　经营数据截至 </t>
    </r>
    <r>
      <rPr>
        <i val="true"/>
        <sz val="9"/>
        <color rgb="FF667085"/>
        <rFont val="Arial"/>
        <family val="0"/>
        <charset val="1"/>
      </rPr>
      <t xml:space="preserve">2026-06-30</t>
    </r>
    <r>
      <rPr>
        <i val="true"/>
        <sz val="9"/>
        <color rgb="FF667085"/>
        <rFont val="思源黑体"/>
        <family val="2"/>
        <charset val="134"/>
      </rPr>
      <t xml:space="preserve">　股价快照 </t>
    </r>
    <r>
      <rPr>
        <i val="true"/>
        <sz val="9"/>
        <color rgb="FF667085"/>
        <rFont val="Arial"/>
        <family val="0"/>
        <charset val="1"/>
      </rPr>
      <t xml:space="preserve">2026-10-14 11:55</t>
    </r>
    <r>
      <rPr>
        <i val="true"/>
        <sz val="9"/>
        <color rgb="FF667085"/>
        <rFont val="思源黑体"/>
        <family val="2"/>
        <charset val="134"/>
      </rPr>
      <t xml:space="preserve">（盘中）</t>
    </r>
  </si>
  <si>
    <t xml:space="preserve">当前价（元）</t>
  </si>
  <si>
    <t xml:space="preserve">合理价值区间（元）</t>
  </si>
  <si>
    <t xml:space="preserve">组合安全边际</t>
  </si>
  <si>
    <t xml:space="preserve">保守安全边际</t>
  </si>
  <si>
    <r>
      <rPr>
        <b val="true"/>
        <sz val="10"/>
        <color rgb="FFFFFFFF"/>
        <rFont val="思源黑体"/>
        <family val="2"/>
        <charset val="134"/>
      </rPr>
      <t xml:space="preserve">经营与风险指标（</t>
    </r>
    <r>
      <rPr>
        <b val="true"/>
        <sz val="10"/>
        <color rgb="FFFFFFFF"/>
        <rFont val="Arial"/>
        <family val="0"/>
        <charset val="1"/>
      </rPr>
      <t xml:space="preserve">2026H1</t>
    </r>
    <r>
      <rPr>
        <b val="true"/>
        <sz val="10"/>
        <color rgb="FFFFFFFF"/>
        <rFont val="思源黑体"/>
        <family val="2"/>
        <charset val="134"/>
      </rPr>
      <t xml:space="preserve">）</t>
    </r>
  </si>
  <si>
    <t xml:space="preserve">营收增速</t>
  </si>
  <si>
    <t xml:space="preserve">归母净利润增速</t>
  </si>
  <si>
    <r>
      <rPr>
        <b val="true"/>
        <sz val="10"/>
        <color rgb="FF1F2937"/>
        <rFont val="思源黑体"/>
        <family val="2"/>
        <charset val="134"/>
      </rPr>
      <t xml:space="preserve">年化 </t>
    </r>
    <r>
      <rPr>
        <b val="true"/>
        <sz val="10"/>
        <color rgb="FF1F2937"/>
        <rFont val="Arial"/>
        <family val="0"/>
        <charset val="1"/>
      </rPr>
      <t xml:space="preserve">ROE</t>
    </r>
  </si>
  <si>
    <t xml:space="preserve">净息差</t>
  </si>
  <si>
    <t xml:space="preserve">不良率</t>
  </si>
  <si>
    <t xml:space="preserve">CET1</t>
  </si>
  <si>
    <t xml:space="preserve">同比</t>
  </si>
  <si>
    <t xml:space="preserve">公司披露口径</t>
  </si>
  <si>
    <r>
      <rPr>
        <sz val="9"/>
        <color rgb="FF667085"/>
        <rFont val="思源黑体"/>
        <family val="2"/>
        <charset val="134"/>
      </rPr>
      <t xml:space="preserve">同比 </t>
    </r>
    <r>
      <rPr>
        <sz val="9"/>
        <color rgb="FF667085"/>
        <rFont val="Arial"/>
        <family val="0"/>
        <charset val="1"/>
      </rPr>
      <t xml:space="preserve">-5bp</t>
    </r>
  </si>
  <si>
    <r>
      <rPr>
        <sz val="9"/>
        <color rgb="FF667085"/>
        <rFont val="思源黑体"/>
        <family val="2"/>
        <charset val="134"/>
      </rPr>
      <t xml:space="preserve">较年初 </t>
    </r>
    <r>
      <rPr>
        <sz val="9"/>
        <color rgb="FF667085"/>
        <rFont val="Arial"/>
        <family val="0"/>
        <charset val="1"/>
      </rPr>
      <t xml:space="preserve">+1bp</t>
    </r>
  </si>
  <si>
    <r>
      <rPr>
        <sz val="9"/>
        <color rgb="FF667085"/>
        <rFont val="思源黑体"/>
        <family val="2"/>
        <charset val="134"/>
      </rPr>
      <t xml:space="preserve">较年初 </t>
    </r>
    <r>
      <rPr>
        <sz val="9"/>
        <color rgb="FF667085"/>
        <rFont val="Arial"/>
        <family val="0"/>
        <charset val="1"/>
      </rPr>
      <t xml:space="preserve">+54bp</t>
    </r>
  </si>
  <si>
    <t xml:space="preserve">支持估值的因素</t>
  </si>
  <si>
    <t xml:space="preserve">需要继续验证</t>
  </si>
  <si>
    <t xml:space="preserve">盈利</t>
  </si>
  <si>
    <r>
      <rPr>
        <sz val="11"/>
        <color rgb="FF1F2937"/>
        <rFont val="思源黑体"/>
        <family val="2"/>
        <charset val="134"/>
      </rPr>
      <t xml:space="preserve">营收与归母净利润均增长约 </t>
    </r>
    <r>
      <rPr>
        <sz val="11"/>
        <color rgb="FF1F2937"/>
        <rFont val="Arial"/>
        <family val="0"/>
        <charset val="1"/>
      </rPr>
      <t xml:space="preserve">5.6%</t>
    </r>
    <r>
      <rPr>
        <sz val="11"/>
        <color rgb="FF1F2937"/>
        <rFont val="思源黑体"/>
        <family val="2"/>
        <charset val="134"/>
      </rPr>
      <t xml:space="preserve">，</t>
    </r>
    <r>
      <rPr>
        <sz val="11"/>
        <color rgb="FF1F2937"/>
        <rFont val="Arial"/>
        <family val="0"/>
        <charset val="1"/>
      </rPr>
      <t xml:space="preserve">PPOP </t>
    </r>
    <r>
      <rPr>
        <sz val="11"/>
        <color rgb="FF1F2937"/>
        <rFont val="思源黑体"/>
        <family val="2"/>
        <charset val="134"/>
      </rPr>
      <t xml:space="preserve">增长 </t>
    </r>
    <r>
      <rPr>
        <sz val="11"/>
        <color rgb="FF1F2937"/>
        <rFont val="Arial"/>
        <family val="0"/>
        <charset val="1"/>
      </rPr>
      <t xml:space="preserve">9.6%</t>
    </r>
    <r>
      <rPr>
        <sz val="11"/>
        <color rgb="FF1F2937"/>
        <rFont val="思源黑体"/>
        <family val="2"/>
        <charset val="134"/>
      </rPr>
      <t xml:space="preserve">。</t>
    </r>
  </si>
  <si>
    <t xml:space="preserve">资产质量</t>
  </si>
  <si>
    <r>
      <rPr>
        <sz val="11"/>
        <color rgb="FF1F2937"/>
        <rFont val="思源黑体"/>
        <family val="2"/>
        <charset val="134"/>
      </rPr>
      <t xml:space="preserve">信用成本升至 </t>
    </r>
    <r>
      <rPr>
        <sz val="11"/>
        <color rgb="FF1F2937"/>
        <rFont val="Arial"/>
        <family val="0"/>
        <charset val="1"/>
      </rPr>
      <t xml:space="preserve">0.89%</t>
    </r>
    <r>
      <rPr>
        <sz val="11"/>
        <color rgb="FF1F2937"/>
        <rFont val="思源黑体"/>
        <family val="2"/>
        <charset val="134"/>
      </rPr>
      <t xml:space="preserve">，关注贷款迁徙率升至 </t>
    </r>
    <r>
      <rPr>
        <sz val="11"/>
        <color rgb="FF1F2937"/>
        <rFont val="Arial"/>
        <family val="0"/>
        <charset val="1"/>
      </rPr>
      <t xml:space="preserve">50.72%</t>
    </r>
    <r>
      <rPr>
        <sz val="11"/>
        <color rgb="FF1F2937"/>
        <rFont val="思源黑体"/>
        <family val="2"/>
        <charset val="134"/>
      </rPr>
      <t xml:space="preserve">。</t>
    </r>
  </si>
  <si>
    <t xml:space="preserve">负债</t>
  </si>
  <si>
    <r>
      <rPr>
        <sz val="11"/>
        <color rgb="FF1F2937"/>
        <rFont val="思源黑体"/>
        <family val="2"/>
        <charset val="134"/>
      </rPr>
      <t xml:space="preserve">负债成本率降至 </t>
    </r>
    <r>
      <rPr>
        <sz val="11"/>
        <color rgb="FF1F2937"/>
        <rFont val="Arial"/>
        <family val="0"/>
        <charset val="1"/>
      </rPr>
      <t xml:space="preserve">1.45%</t>
    </r>
    <r>
      <rPr>
        <sz val="11"/>
        <color rgb="FF1F2937"/>
        <rFont val="思源黑体"/>
        <family val="2"/>
        <charset val="134"/>
      </rPr>
      <t xml:space="preserve">，企业活期存款增长 </t>
    </r>
    <r>
      <rPr>
        <sz val="11"/>
        <color rgb="FF1F2937"/>
        <rFont val="Arial"/>
        <family val="0"/>
        <charset val="1"/>
      </rPr>
      <t xml:space="preserve">8.0%</t>
    </r>
    <r>
      <rPr>
        <sz val="11"/>
        <color rgb="FF1F2937"/>
        <rFont val="思源黑体"/>
        <family val="2"/>
        <charset val="134"/>
      </rPr>
      <t xml:space="preserve">。</t>
    </r>
  </si>
  <si>
    <t xml:space="preserve">资本</t>
  </si>
  <si>
    <r>
      <rPr>
        <sz val="11"/>
        <color rgb="FF1F2937"/>
        <rFont val="Arial"/>
        <family val="0"/>
        <charset val="1"/>
      </rPr>
      <t xml:space="preserve">CET1 </t>
    </r>
    <r>
      <rPr>
        <sz val="11"/>
        <color rgb="FF1F2937"/>
        <rFont val="思源黑体"/>
        <family val="2"/>
        <charset val="134"/>
      </rPr>
      <t xml:space="preserve">为 </t>
    </r>
    <r>
      <rPr>
        <sz val="11"/>
        <color rgb="FF1F2937"/>
        <rFont val="Arial"/>
        <family val="0"/>
        <charset val="1"/>
      </rPr>
      <t xml:space="preserve">8.91%</t>
    </r>
    <r>
      <rPr>
        <sz val="11"/>
        <color rgb="FF1F2937"/>
        <rFont val="思源黑体"/>
        <family val="2"/>
        <charset val="134"/>
      </rPr>
      <t xml:space="preserve">，高增长与高支付率不能同时假设。</t>
    </r>
  </si>
  <si>
    <t xml:space="preserve">估值</t>
  </si>
  <si>
    <r>
      <rPr>
        <sz val="11"/>
        <color rgb="FF1F2937"/>
        <rFont val="Arial"/>
        <family val="0"/>
        <charset val="1"/>
      </rPr>
      <t xml:space="preserve">PB 0.42x</t>
    </r>
    <r>
      <rPr>
        <sz val="11"/>
        <color rgb="FF1F2937"/>
        <rFont val="思源黑体"/>
        <family val="2"/>
        <charset val="134"/>
      </rPr>
      <t xml:space="preserve">，低于可比城商行中位数 </t>
    </r>
    <r>
      <rPr>
        <sz val="11"/>
        <color rgb="FF1F2937"/>
        <rFont val="Arial"/>
        <family val="0"/>
        <charset val="1"/>
      </rPr>
      <t xml:space="preserve">0.86x</t>
    </r>
    <r>
      <rPr>
        <sz val="11"/>
        <color rgb="FF1F2937"/>
        <rFont val="思源黑体"/>
        <family val="2"/>
        <charset val="134"/>
      </rPr>
      <t xml:space="preserve">。</t>
    </r>
  </si>
  <si>
    <t xml:space="preserve">盈利持续性</t>
  </si>
  <si>
    <r>
      <rPr>
        <sz val="11"/>
        <color rgb="FF1F2937"/>
        <rFont val="Arial"/>
        <family val="0"/>
        <charset val="1"/>
      </rPr>
      <t xml:space="preserve">NIM 1.26%</t>
    </r>
    <r>
      <rPr>
        <sz val="11"/>
        <color rgb="FF1F2937"/>
        <rFont val="思源黑体"/>
        <family val="2"/>
        <charset val="134"/>
      </rPr>
      <t xml:space="preserve">，个人贷款下降 </t>
    </r>
    <r>
      <rPr>
        <sz val="11"/>
        <color rgb="FF1F2937"/>
        <rFont val="Arial"/>
        <family val="0"/>
        <charset val="1"/>
      </rPr>
      <t xml:space="preserve">4.0%</t>
    </r>
    <r>
      <rPr>
        <sz val="11"/>
        <color rgb="FF1F2937"/>
        <rFont val="思源黑体"/>
        <family val="2"/>
        <charset val="134"/>
      </rPr>
      <t xml:space="preserve">，修复仍需后续财报验证。</t>
    </r>
  </si>
  <si>
    <r>
      <rPr>
        <b val="true"/>
        <sz val="10"/>
        <color rgb="FFFFFFFF"/>
        <rFont val="思源黑体"/>
        <family val="2"/>
        <charset val="134"/>
      </rPr>
      <t xml:space="preserve">六法估值（元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思源黑体"/>
        <family val="2"/>
        <charset val="134"/>
      </rPr>
      <t xml:space="preserve">股）</t>
    </r>
  </si>
  <si>
    <t xml:space="preserve">关键监控</t>
  </si>
  <si>
    <t xml:space="preserve">方法</t>
  </si>
  <si>
    <t xml:space="preserve">价值</t>
  </si>
  <si>
    <t xml:space="preserve">权重</t>
  </si>
  <si>
    <t xml:space="preserve">指标</t>
  </si>
  <si>
    <t xml:space="preserve">当前</t>
  </si>
  <si>
    <t xml:space="preserve">警戒线</t>
  </si>
  <si>
    <t xml:space="preserve">下一节点</t>
  </si>
  <si>
    <t xml:space="preserve">RIM</t>
  </si>
  <si>
    <t xml:space="preserve">ROE</t>
  </si>
  <si>
    <t xml:space="preserve">10.6%</t>
  </si>
  <si>
    <t xml:space="preserve">&lt;8%</t>
  </si>
  <si>
    <t xml:space="preserve">2026Q3</t>
  </si>
  <si>
    <t xml:space="preserve">PB–ROE</t>
  </si>
  <si>
    <t xml:space="preserve">1.26%</t>
  </si>
  <si>
    <t xml:space="preserve">&lt;1.15%</t>
  </si>
  <si>
    <r>
      <rPr>
        <sz val="11"/>
        <rFont val="思源黑体"/>
        <family val="2"/>
        <charset val="134"/>
      </rPr>
      <t xml:space="preserve">中报</t>
    </r>
    <r>
      <rPr>
        <sz val="11"/>
        <rFont val="Arial"/>
        <family val="0"/>
        <charset val="1"/>
      </rPr>
      <t xml:space="preserve">/</t>
    </r>
    <r>
      <rPr>
        <sz val="11"/>
        <rFont val="思源黑体"/>
        <family val="2"/>
        <charset val="134"/>
      </rPr>
      <t xml:space="preserve">年报</t>
    </r>
  </si>
  <si>
    <r>
      <rPr>
        <sz val="11"/>
        <rFont val="思源黑体"/>
        <family val="2"/>
        <charset val="134"/>
      </rPr>
      <t xml:space="preserve">历史 </t>
    </r>
    <r>
      <rPr>
        <sz val="11"/>
        <rFont val="Arial"/>
        <family val="0"/>
        <charset val="1"/>
      </rPr>
      <t xml:space="preserve">PB</t>
    </r>
  </si>
  <si>
    <t xml:space="preserve">信用成本</t>
  </si>
  <si>
    <t xml:space="preserve">0.89%</t>
  </si>
  <si>
    <t xml:space="preserve">&gt;1.0%</t>
  </si>
  <si>
    <r>
      <rPr>
        <sz val="11"/>
        <rFont val="思源黑体"/>
        <family val="2"/>
        <charset val="134"/>
      </rPr>
      <t xml:space="preserve">历史 </t>
    </r>
    <r>
      <rPr>
        <sz val="11"/>
        <rFont val="Arial"/>
        <family val="0"/>
        <charset val="1"/>
      </rPr>
      <t xml:space="preserve">PE</t>
    </r>
  </si>
  <si>
    <t xml:space="preserve">1.30%</t>
  </si>
  <si>
    <t xml:space="preserve">&gt;1.40%</t>
  </si>
  <si>
    <r>
      <rPr>
        <sz val="11"/>
        <rFont val="思源黑体"/>
        <family val="2"/>
        <charset val="134"/>
      </rPr>
      <t xml:space="preserve">同业调整 </t>
    </r>
    <r>
      <rPr>
        <sz val="11"/>
        <rFont val="Arial"/>
        <family val="0"/>
        <charset val="1"/>
      </rPr>
      <t xml:space="preserve">PB</t>
    </r>
  </si>
  <si>
    <t xml:space="preserve">8.91%</t>
  </si>
  <si>
    <t xml:space="preserve">&lt;8.5%</t>
  </si>
  <si>
    <t xml:space="preserve">DDM</t>
  </si>
  <si>
    <t xml:space="preserve">拨备覆盖率</t>
  </si>
  <si>
    <t xml:space="preserve">199.59%</t>
  </si>
  <si>
    <t xml:space="preserve">&lt;180%</t>
  </si>
  <si>
    <t xml:space="preserve">判断</t>
  </si>
  <si>
    <t xml:space="preserve">当前估值提供一定缓冲，但保守分红价值没有明显安全垫。重点验证盈利延续、信用成本与资本。</t>
  </si>
  <si>
    <t xml:space="preserve">数据边界</t>
  </si>
  <si>
    <r>
      <rPr>
        <sz val="10"/>
        <color rgb="FF1F2937"/>
        <rFont val="Arial"/>
        <family val="0"/>
        <charset val="1"/>
      </rPr>
      <t xml:space="preserve">2026 </t>
    </r>
    <r>
      <rPr>
        <sz val="10"/>
        <color rgb="FF1F2937"/>
        <rFont val="思源黑体"/>
        <family val="2"/>
        <charset val="134"/>
      </rPr>
      <t xml:space="preserve">年三季报预约 </t>
    </r>
    <r>
      <rPr>
        <sz val="10"/>
        <color rgb="FF1F2937"/>
        <rFont val="Arial"/>
        <family val="0"/>
        <charset val="1"/>
      </rPr>
      <t xml:space="preserve">2026-10-31 </t>
    </r>
    <r>
      <rPr>
        <sz val="10"/>
        <color rgb="FF1F2937"/>
        <rFont val="思源黑体"/>
        <family val="2"/>
        <charset val="134"/>
      </rPr>
      <t xml:space="preserve">披露，尚未公开。当前价为盘中快照，非收盘价。</t>
    </r>
  </si>
  <si>
    <t xml:space="preserve">使用提示</t>
  </si>
  <si>
    <t xml:space="preserve">黄色单元格为可编辑假设。修改假设后，估值系统、一图流与敏感性结果联动。</t>
  </si>
  <si>
    <t xml:space="preserve">北京银行投资研究结论</t>
  </si>
  <si>
    <t xml:space="preserve">事实、分析假设与研究判断分色呈现；不构成个性化买卖建议</t>
  </si>
  <si>
    <t xml:space="preserve">结论概览</t>
  </si>
  <si>
    <t xml:space="preserve">当前价</t>
  </si>
  <si>
    <t xml:space="preserve">类型</t>
  </si>
  <si>
    <t xml:space="preserve">核心内容</t>
  </si>
  <si>
    <r>
      <rPr>
        <b val="true"/>
        <sz val="10"/>
        <color rgb="FFFFFFFF"/>
        <rFont val="思源黑体"/>
        <family val="2"/>
        <charset val="134"/>
      </rPr>
      <t xml:space="preserve">证据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思源黑体"/>
        <family val="2"/>
        <charset val="134"/>
      </rPr>
      <t xml:space="preserve">假设</t>
    </r>
  </si>
  <si>
    <t xml:space="preserve">影响</t>
  </si>
  <si>
    <t xml:space="preserve">监控</t>
  </si>
  <si>
    <t xml:space="preserve">触发线</t>
  </si>
  <si>
    <t xml:space="preserve">结论</t>
  </si>
  <si>
    <t xml:space="preserve">合理价值下沿</t>
  </si>
  <si>
    <t xml:space="preserve">事实</t>
  </si>
  <si>
    <r>
      <rPr>
        <sz val="11"/>
        <rFont val="Arial"/>
        <family val="0"/>
        <charset val="1"/>
      </rPr>
      <t xml:space="preserve">2026H1 </t>
    </r>
    <r>
      <rPr>
        <sz val="11"/>
        <rFont val="思源黑体"/>
        <family val="2"/>
        <charset val="134"/>
      </rPr>
      <t xml:space="preserve">营收和归母净利润分别增长 </t>
    </r>
    <r>
      <rPr>
        <sz val="11"/>
        <rFont val="Arial"/>
        <family val="0"/>
        <charset val="1"/>
      </rPr>
      <t xml:space="preserve">5.60% </t>
    </r>
    <r>
      <rPr>
        <sz val="11"/>
        <rFont val="思源黑体"/>
        <family val="2"/>
        <charset val="134"/>
      </rPr>
      <t xml:space="preserve">和 </t>
    </r>
    <r>
      <rPr>
        <sz val="11"/>
        <rFont val="Arial"/>
        <family val="0"/>
        <charset val="1"/>
      </rPr>
      <t xml:space="preserve">5.63%</t>
    </r>
    <r>
      <rPr>
        <sz val="11"/>
        <rFont val="思源黑体"/>
        <family val="2"/>
        <charset val="134"/>
      </rPr>
      <t xml:space="preserve">。</t>
    </r>
  </si>
  <si>
    <t xml:space="preserve">中报</t>
  </si>
  <si>
    <t xml:space="preserve">盈利恢复</t>
  </si>
  <si>
    <t xml:space="preserve">增速转负</t>
  </si>
  <si>
    <t xml:space="preserve">正面</t>
  </si>
  <si>
    <t xml:space="preserve">合理价值上沿</t>
  </si>
  <si>
    <r>
      <rPr>
        <sz val="11"/>
        <rFont val="Arial"/>
        <family val="0"/>
        <charset val="1"/>
      </rPr>
      <t xml:space="preserve">PPOP </t>
    </r>
    <r>
      <rPr>
        <sz val="11"/>
        <rFont val="思源黑体"/>
        <family val="2"/>
        <charset val="134"/>
      </rPr>
      <t xml:space="preserve">约 </t>
    </r>
    <r>
      <rPr>
        <sz val="11"/>
        <rFont val="Arial"/>
        <family val="0"/>
        <charset val="1"/>
      </rPr>
      <t xml:space="preserve">287.85 </t>
    </r>
    <r>
      <rPr>
        <sz val="11"/>
        <rFont val="思源黑体"/>
        <family val="2"/>
        <charset val="134"/>
      </rPr>
      <t xml:space="preserve">亿元，同比增长约 </t>
    </r>
    <r>
      <rPr>
        <sz val="11"/>
        <rFont val="Arial"/>
        <family val="0"/>
        <charset val="1"/>
      </rPr>
      <t xml:space="preserve">9.6%</t>
    </r>
    <r>
      <rPr>
        <sz val="11"/>
        <rFont val="思源黑体"/>
        <family val="2"/>
        <charset val="134"/>
      </rPr>
      <t xml:space="preserve">；但信用减值损失增至 </t>
    </r>
    <r>
      <rPr>
        <sz val="11"/>
        <rFont val="Arial"/>
        <family val="0"/>
        <charset val="1"/>
      </rPr>
      <t xml:space="preserve">100.05 </t>
    </r>
    <r>
      <rPr>
        <sz val="11"/>
        <rFont val="思源黑体"/>
        <family val="2"/>
        <charset val="134"/>
      </rPr>
      <t xml:space="preserve">亿元。</t>
    </r>
  </si>
  <si>
    <t xml:space="preserve">中报测算</t>
  </si>
  <si>
    <t xml:space="preserve">经营改善与风险成本并存</t>
  </si>
  <si>
    <r>
      <rPr>
        <sz val="11"/>
        <rFont val="思源黑体"/>
        <family val="2"/>
        <charset val="134"/>
      </rPr>
      <t xml:space="preserve">高于</t>
    </r>
    <r>
      <rPr>
        <sz val="11"/>
        <rFont val="Arial"/>
        <family val="0"/>
        <charset val="1"/>
      </rPr>
      <t xml:space="preserve">1%</t>
    </r>
  </si>
  <si>
    <t xml:space="preserve">中性</t>
  </si>
  <si>
    <t xml:space="preserve">组合中枢</t>
  </si>
  <si>
    <r>
      <rPr>
        <sz val="11"/>
        <rFont val="思源黑体"/>
        <family val="2"/>
        <charset val="134"/>
      </rPr>
      <t xml:space="preserve">不良率 </t>
    </r>
    <r>
      <rPr>
        <sz val="11"/>
        <rFont val="Arial"/>
        <family val="0"/>
        <charset val="1"/>
      </rPr>
      <t xml:space="preserve">1.30%</t>
    </r>
    <r>
      <rPr>
        <sz val="11"/>
        <rFont val="思源黑体"/>
        <family val="2"/>
        <charset val="134"/>
      </rPr>
      <t xml:space="preserve">，关注率 </t>
    </r>
    <r>
      <rPr>
        <sz val="11"/>
        <rFont val="Arial"/>
        <family val="0"/>
        <charset val="1"/>
      </rPr>
      <t xml:space="preserve">1.58%</t>
    </r>
    <r>
      <rPr>
        <sz val="11"/>
        <rFont val="思源黑体"/>
        <family val="2"/>
        <charset val="134"/>
      </rPr>
      <t xml:space="preserve">，逾期率 </t>
    </r>
    <r>
      <rPr>
        <sz val="11"/>
        <rFont val="Arial"/>
        <family val="0"/>
        <charset val="1"/>
      </rPr>
      <t xml:space="preserve">1.96%</t>
    </r>
    <r>
      <rPr>
        <sz val="11"/>
        <rFont val="思源黑体"/>
        <family val="2"/>
        <charset val="134"/>
      </rPr>
      <t xml:space="preserve">，</t>
    </r>
    <r>
      <rPr>
        <sz val="11"/>
        <rFont val="Arial"/>
        <family val="0"/>
        <charset val="1"/>
      </rPr>
      <t xml:space="preserve">CET1 8.91%</t>
    </r>
    <r>
      <rPr>
        <sz val="11"/>
        <rFont val="思源黑体"/>
        <family val="2"/>
        <charset val="134"/>
      </rPr>
      <t xml:space="preserve">。</t>
    </r>
  </si>
  <si>
    <t xml:space="preserve">资本和风险仍约束估值</t>
  </si>
  <si>
    <r>
      <rPr>
        <sz val="11"/>
        <rFont val="思源黑体"/>
        <family val="2"/>
        <charset val="134"/>
      </rPr>
      <t xml:space="preserve">不良</t>
    </r>
    <r>
      <rPr>
        <sz val="11"/>
        <rFont val="Arial"/>
        <family val="0"/>
        <charset val="1"/>
      </rPr>
      <t xml:space="preserve">/</t>
    </r>
    <r>
      <rPr>
        <sz val="11"/>
        <rFont val="思源黑体"/>
        <family val="2"/>
        <charset val="134"/>
      </rPr>
      <t xml:space="preserve">关注</t>
    </r>
    <r>
      <rPr>
        <sz val="11"/>
        <rFont val="Arial"/>
        <family val="0"/>
        <charset val="1"/>
      </rPr>
      <t xml:space="preserve">/CET1</t>
    </r>
  </si>
  <si>
    <t xml:space="preserve">同步恶化</t>
  </si>
  <si>
    <t xml:space="preserve">谨慎</t>
  </si>
  <si>
    <t xml:space="preserve">假设</t>
  </si>
  <si>
    <r>
      <rPr>
        <sz val="11"/>
        <rFont val="思源黑体"/>
        <family val="2"/>
        <charset val="134"/>
      </rPr>
      <t xml:space="preserve">归一化 </t>
    </r>
    <r>
      <rPr>
        <sz val="11"/>
        <rFont val="Arial"/>
        <family val="0"/>
        <charset val="1"/>
      </rPr>
      <t xml:space="preserve">ROE 8.5%</t>
    </r>
    <r>
      <rPr>
        <sz val="11"/>
        <rFont val="思源黑体"/>
        <family val="2"/>
        <charset val="134"/>
      </rPr>
      <t xml:space="preserve">，</t>
    </r>
    <r>
      <rPr>
        <sz val="11"/>
        <rFont val="Arial"/>
        <family val="0"/>
        <charset val="1"/>
      </rPr>
      <t xml:space="preserve">Ke 11.5%</t>
    </r>
    <r>
      <rPr>
        <sz val="11"/>
        <rFont val="思源黑体"/>
        <family val="2"/>
        <charset val="134"/>
      </rPr>
      <t xml:space="preserve">，长期增长率 </t>
    </r>
    <r>
      <rPr>
        <sz val="11"/>
        <rFont val="Arial"/>
        <family val="0"/>
        <charset val="1"/>
      </rPr>
      <t xml:space="preserve">2.5%</t>
    </r>
    <r>
      <rPr>
        <sz val="11"/>
        <rFont val="思源黑体"/>
        <family val="2"/>
        <charset val="134"/>
      </rPr>
      <t xml:space="preserve">，支付率 </t>
    </r>
    <r>
      <rPr>
        <sz val="11"/>
        <rFont val="Arial"/>
        <family val="0"/>
        <charset val="1"/>
      </rPr>
      <t xml:space="preserve">32%</t>
    </r>
    <r>
      <rPr>
        <sz val="11"/>
        <rFont val="思源黑体"/>
        <family val="2"/>
        <charset val="134"/>
      </rPr>
      <t xml:space="preserve">。</t>
    </r>
  </si>
  <si>
    <t xml:space="preserve">可编辑模型</t>
  </si>
  <si>
    <t xml:space="preserve">决定内生价值</t>
  </si>
  <si>
    <t xml:space="preserve">敏感性页</t>
  </si>
  <si>
    <r>
      <rPr>
        <sz val="11"/>
        <rFont val="Arial"/>
        <family val="0"/>
        <charset val="1"/>
      </rPr>
      <t xml:space="preserve">Ke-g </t>
    </r>
    <r>
      <rPr>
        <sz val="11"/>
        <rFont val="思源黑体"/>
        <family val="2"/>
        <charset val="134"/>
      </rPr>
      <t xml:space="preserve">收窄</t>
    </r>
  </si>
  <si>
    <t xml:space="preserve">基准</t>
  </si>
  <si>
    <r>
      <rPr>
        <sz val="11"/>
        <rFont val="思源黑体"/>
        <family val="2"/>
        <charset val="134"/>
      </rPr>
      <t xml:space="preserve">当前价低于组合中枢约 </t>
    </r>
    <r>
      <rPr>
        <sz val="11"/>
        <rFont val="Arial"/>
        <family val="0"/>
        <charset val="1"/>
      </rPr>
      <t xml:space="preserve">17.2%</t>
    </r>
    <r>
      <rPr>
        <sz val="11"/>
        <rFont val="思源黑体"/>
        <family val="2"/>
        <charset val="134"/>
      </rPr>
      <t xml:space="preserve">，但高于保守 </t>
    </r>
    <r>
      <rPr>
        <sz val="11"/>
        <rFont val="Arial"/>
        <family val="0"/>
        <charset val="1"/>
      </rPr>
      <t xml:space="preserve">DDM </t>
    </r>
    <r>
      <rPr>
        <sz val="11"/>
        <rFont val="思源黑体"/>
        <family val="2"/>
        <charset val="134"/>
      </rPr>
      <t xml:space="preserve">约 </t>
    </r>
    <r>
      <rPr>
        <sz val="11"/>
        <rFont val="Arial"/>
        <family val="0"/>
        <charset val="1"/>
      </rPr>
      <t xml:space="preserve">7.1%</t>
    </r>
    <r>
      <rPr>
        <sz val="11"/>
        <rFont val="思源黑体"/>
        <family val="2"/>
        <charset val="134"/>
      </rPr>
      <t xml:space="preserve">。</t>
    </r>
  </si>
  <si>
    <t xml:space="preserve">模型</t>
  </si>
  <si>
    <t xml:space="preserve">折价不等于深度安全边际</t>
  </si>
  <si>
    <t xml:space="preserve">股息与资本</t>
  </si>
  <si>
    <r>
      <rPr>
        <sz val="11"/>
        <rFont val="Arial"/>
        <family val="0"/>
        <charset val="1"/>
      </rPr>
      <t xml:space="preserve">DDM</t>
    </r>
    <r>
      <rPr>
        <sz val="11"/>
        <rFont val="思源黑体"/>
        <family val="2"/>
        <charset val="134"/>
      </rPr>
      <t xml:space="preserve">低于价</t>
    </r>
  </si>
  <si>
    <t xml:space="preserve">中性偏正面</t>
  </si>
  <si>
    <t xml:space="preserve">研究结论</t>
  </si>
  <si>
    <t xml:space="preserve">有折价、需验证</t>
  </si>
  <si>
    <r>
      <rPr>
        <sz val="11"/>
        <rFont val="思源黑体"/>
        <family val="2"/>
        <charset val="134"/>
      </rPr>
      <t xml:space="preserve">若 </t>
    </r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稳定在 </t>
    </r>
    <r>
      <rPr>
        <sz val="11"/>
        <rFont val="Arial"/>
        <family val="0"/>
        <charset val="1"/>
      </rPr>
      <t xml:space="preserve">9% </t>
    </r>
    <r>
      <rPr>
        <sz val="11"/>
        <rFont val="思源黑体"/>
        <family val="2"/>
        <charset val="134"/>
      </rPr>
      <t xml:space="preserve">以上且 </t>
    </r>
    <r>
      <rPr>
        <sz val="11"/>
        <rFont val="Arial"/>
        <family val="0"/>
        <charset val="1"/>
      </rPr>
      <t xml:space="preserve">CET1 </t>
    </r>
    <r>
      <rPr>
        <sz val="11"/>
        <rFont val="思源黑体"/>
        <family val="2"/>
        <charset val="134"/>
      </rPr>
      <t xml:space="preserve">不低于 </t>
    </r>
    <r>
      <rPr>
        <sz val="11"/>
        <rFont val="Arial"/>
        <family val="0"/>
        <charset val="1"/>
      </rPr>
      <t xml:space="preserve">8.8%</t>
    </r>
    <r>
      <rPr>
        <sz val="11"/>
        <rFont val="思源黑体"/>
        <family val="2"/>
        <charset val="134"/>
      </rPr>
      <t xml:space="preserve">，价值区间可向上沿靠拢。</t>
    </r>
  </si>
  <si>
    <t xml:space="preserve">情景</t>
  </si>
  <si>
    <t xml:space="preserve">需要经营兑现</t>
  </si>
  <si>
    <t xml:space="preserve">ROE/CET1</t>
  </si>
  <si>
    <t xml:space="preserve">连续两个报告期</t>
  </si>
  <si>
    <t xml:space="preserve">条件性</t>
  </si>
  <si>
    <t xml:space="preserve">三条核心结论</t>
  </si>
  <si>
    <t xml:space="preserve">三条核心风险</t>
  </si>
  <si>
    <t xml:space="preserve">1</t>
  </si>
  <si>
    <r>
      <rPr>
        <sz val="11"/>
        <rFont val="思源黑体"/>
        <family val="2"/>
        <charset val="134"/>
      </rPr>
      <t xml:space="preserve">盈利与费用端改善，</t>
    </r>
    <r>
      <rPr>
        <sz val="11"/>
        <rFont val="Arial"/>
        <family val="0"/>
        <charset val="1"/>
      </rPr>
      <t xml:space="preserve">NIM </t>
    </r>
    <r>
      <rPr>
        <sz val="11"/>
        <rFont val="思源黑体"/>
        <family val="2"/>
        <charset val="134"/>
      </rPr>
      <t xml:space="preserve">降幅收窄，负债成本管理有效。</t>
    </r>
  </si>
  <si>
    <t xml:space="preserve">信用成本与迁徙率上升，核销掩盖点时不良净增。</t>
  </si>
  <si>
    <t xml:space="preserve">2</t>
  </si>
  <si>
    <r>
      <rPr>
        <sz val="11"/>
        <rFont val="思源黑体"/>
        <family val="2"/>
        <charset val="134"/>
      </rPr>
      <t xml:space="preserve">低 </t>
    </r>
    <r>
      <rPr>
        <sz val="11"/>
        <rFont val="Arial"/>
        <family val="0"/>
        <charset val="1"/>
      </rPr>
      <t xml:space="preserve">PB </t>
    </r>
    <r>
      <rPr>
        <sz val="11"/>
        <rFont val="思源黑体"/>
        <family val="2"/>
        <charset val="134"/>
      </rPr>
      <t xml:space="preserve">有折价，但 </t>
    </r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与资本水平解释了部分折价。</t>
    </r>
  </si>
  <si>
    <r>
      <rPr>
        <sz val="11"/>
        <rFont val="Arial"/>
        <family val="0"/>
        <charset val="1"/>
      </rPr>
      <t xml:space="preserve">CET1 </t>
    </r>
    <r>
      <rPr>
        <sz val="11"/>
        <rFont val="思源黑体"/>
        <family val="2"/>
        <charset val="134"/>
      </rPr>
      <t xml:space="preserve">较薄，高增长和高支付率不能同时假设。</t>
    </r>
  </si>
  <si>
    <t xml:space="preserve">3</t>
  </si>
  <si>
    <r>
      <rPr>
        <sz val="11"/>
        <rFont val="思源黑体"/>
        <family val="2"/>
        <charset val="134"/>
      </rPr>
      <t xml:space="preserve">主要价值来自分红与温和 </t>
    </r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修复，而非历史估值全面回归。</t>
    </r>
  </si>
  <si>
    <r>
      <rPr>
        <sz val="11"/>
        <rFont val="Arial"/>
        <family val="0"/>
        <charset val="1"/>
      </rPr>
      <t xml:space="preserve">NIM </t>
    </r>
    <r>
      <rPr>
        <sz val="11"/>
        <rFont val="思源黑体"/>
        <family val="2"/>
        <charset val="134"/>
      </rPr>
      <t xml:space="preserve">仍处下行区间，个人贷款收缩，盈利修复可能反复。</t>
    </r>
  </si>
  <si>
    <t xml:space="preserve">季度监控与估值动作</t>
  </si>
  <si>
    <t xml:space="preserve">改善条件</t>
  </si>
  <si>
    <t xml:space="preserve">恶化条件</t>
  </si>
  <si>
    <t xml:space="preserve">改善时含义</t>
  </si>
  <si>
    <t xml:space="preserve">恶化时含义</t>
  </si>
  <si>
    <t xml:space="preserve">数据频率</t>
  </si>
  <si>
    <t xml:space="preserve">来源</t>
  </si>
  <si>
    <t xml:space="preserve">备注</t>
  </si>
  <si>
    <r>
      <rPr>
        <sz val="11"/>
        <rFont val="Arial"/>
        <family val="0"/>
        <charset val="1"/>
      </rPr>
      <t xml:space="preserve">≥9%</t>
    </r>
    <r>
      <rPr>
        <sz val="11"/>
        <rFont val="思源黑体"/>
        <family val="2"/>
        <charset val="134"/>
      </rPr>
      <t xml:space="preserve">可持续</t>
    </r>
  </si>
  <si>
    <t xml:space="preserve">上调内生估值</t>
  </si>
  <si>
    <r>
      <rPr>
        <sz val="11"/>
        <rFont val="思源黑体"/>
        <family val="2"/>
        <charset val="134"/>
      </rPr>
      <t xml:space="preserve">下调 </t>
    </r>
    <r>
      <rPr>
        <sz val="11"/>
        <rFont val="Arial"/>
        <family val="0"/>
        <charset val="1"/>
      </rPr>
      <t xml:space="preserve">PB–ROE/RIM</t>
    </r>
  </si>
  <si>
    <r>
      <rPr>
        <sz val="11"/>
        <rFont val="思源黑体"/>
        <family val="2"/>
        <charset val="134"/>
      </rPr>
      <t xml:space="preserve">季度</t>
    </r>
    <r>
      <rPr>
        <sz val="11"/>
        <rFont val="Arial"/>
        <family val="0"/>
        <charset val="1"/>
      </rPr>
      <t xml:space="preserve">/</t>
    </r>
    <r>
      <rPr>
        <sz val="11"/>
        <rFont val="思源黑体"/>
        <family val="2"/>
        <charset val="134"/>
      </rPr>
      <t xml:space="preserve">年度</t>
    </r>
  </si>
  <si>
    <t xml:space="preserve">定期报告</t>
  </si>
  <si>
    <r>
      <rPr>
        <sz val="11"/>
        <rFont val="Arial"/>
        <family val="0"/>
        <charset val="1"/>
      </rPr>
      <t xml:space="preserve">H1</t>
    </r>
    <r>
      <rPr>
        <sz val="11"/>
        <rFont val="思源黑体"/>
        <family val="2"/>
        <charset val="134"/>
      </rPr>
      <t xml:space="preserve">为年化</t>
    </r>
  </si>
  <si>
    <t xml:space="preserve">止跌或回升</t>
  </si>
  <si>
    <t xml:space="preserve">提高盈利确定性</t>
  </si>
  <si>
    <r>
      <rPr>
        <sz val="11"/>
        <rFont val="思源黑体"/>
        <family val="2"/>
        <charset val="134"/>
      </rPr>
      <t xml:space="preserve">下调 </t>
    </r>
    <r>
      <rPr>
        <sz val="11"/>
        <rFont val="Arial"/>
        <family val="0"/>
        <charset val="1"/>
      </rPr>
      <t xml:space="preserve">EPS/ROE</t>
    </r>
  </si>
  <si>
    <r>
      <rPr>
        <sz val="11"/>
        <rFont val="思源黑体"/>
        <family val="2"/>
        <charset val="134"/>
      </rPr>
      <t xml:space="preserve">半年</t>
    </r>
    <r>
      <rPr>
        <sz val="11"/>
        <rFont val="Arial"/>
        <family val="0"/>
        <charset val="1"/>
      </rPr>
      <t xml:space="preserve">/</t>
    </r>
    <r>
      <rPr>
        <sz val="11"/>
        <rFont val="思源黑体"/>
        <family val="2"/>
        <charset val="134"/>
      </rPr>
      <t xml:space="preserve">年度</t>
    </r>
  </si>
  <si>
    <r>
      <rPr>
        <sz val="11"/>
        <rFont val="Arial"/>
        <family val="0"/>
        <charset val="1"/>
      </rPr>
      <t xml:space="preserve">2026Q3</t>
    </r>
    <r>
      <rPr>
        <sz val="11"/>
        <rFont val="思源黑体"/>
        <family val="2"/>
        <charset val="134"/>
      </rPr>
      <t xml:space="preserve">辅助</t>
    </r>
  </si>
  <si>
    <t xml:space="preserve">季度未必披露</t>
  </si>
  <si>
    <t xml:space="preserve">≤0.8%</t>
  </si>
  <si>
    <t xml:space="preserve">风险成本正常化</t>
  </si>
  <si>
    <t xml:space="preserve">下调盈利与分红</t>
  </si>
  <si>
    <r>
      <rPr>
        <sz val="11"/>
        <rFont val="Arial"/>
        <family val="0"/>
        <charset val="1"/>
      </rPr>
      <t xml:space="preserve">H1</t>
    </r>
    <r>
      <rPr>
        <sz val="11"/>
        <rFont val="思源黑体"/>
        <family val="2"/>
        <charset val="134"/>
      </rPr>
      <t xml:space="preserve">年化</t>
    </r>
  </si>
  <si>
    <t xml:space="preserve">≤1.30%</t>
  </si>
  <si>
    <t xml:space="preserve">维持质量判断</t>
  </si>
  <si>
    <t xml:space="preserve">提高折价</t>
  </si>
  <si>
    <t xml:space="preserve">季度</t>
  </si>
  <si>
    <r>
      <rPr>
        <sz val="11"/>
        <rFont val="思源黑体"/>
        <family val="2"/>
        <charset val="134"/>
      </rPr>
      <t xml:space="preserve">结合关注</t>
    </r>
    <r>
      <rPr>
        <sz val="11"/>
        <rFont val="Arial"/>
        <family val="0"/>
        <charset val="1"/>
      </rPr>
      <t xml:space="preserve">/</t>
    </r>
    <r>
      <rPr>
        <sz val="11"/>
        <rFont val="思源黑体"/>
        <family val="2"/>
        <charset val="134"/>
      </rPr>
      <t xml:space="preserve">逾期</t>
    </r>
  </si>
  <si>
    <t xml:space="preserve">≥8.8%</t>
  </si>
  <si>
    <r>
      <rPr>
        <sz val="11"/>
        <rFont val="思源黑体"/>
        <family val="2"/>
        <charset val="134"/>
      </rPr>
      <t xml:space="preserve">支持</t>
    </r>
    <r>
      <rPr>
        <sz val="11"/>
        <rFont val="Arial"/>
        <family val="0"/>
        <charset val="1"/>
      </rPr>
      <t xml:space="preserve">32%</t>
    </r>
    <r>
      <rPr>
        <sz val="11"/>
        <rFont val="思源黑体"/>
        <family val="2"/>
        <charset val="134"/>
      </rPr>
      <t xml:space="preserve">支付率</t>
    </r>
  </si>
  <si>
    <t xml:space="preserve">下调支付率</t>
  </si>
  <si>
    <t xml:space="preserve">资本披露</t>
  </si>
  <si>
    <t xml:space="preserve">集团口径</t>
  </si>
  <si>
    <t xml:space="preserve">≥190%</t>
  </si>
  <si>
    <t xml:space="preserve">风险缓冲稳定</t>
  </si>
  <si>
    <t xml:space="preserve">估值下沿下移</t>
  </si>
  <si>
    <t xml:space="preserve">结合核销</t>
  </si>
  <si>
    <t xml:space="preserve">边界</t>
  </si>
  <si>
    <r>
      <rPr>
        <sz val="11"/>
        <rFont val="Arial"/>
        <family val="0"/>
        <charset val="1"/>
      </rPr>
      <t xml:space="preserve">2026 </t>
    </r>
    <r>
      <rPr>
        <sz val="11"/>
        <rFont val="思源黑体"/>
        <family val="2"/>
        <charset val="134"/>
      </rPr>
      <t xml:space="preserve">年三季报预约 </t>
    </r>
    <r>
      <rPr>
        <sz val="11"/>
        <rFont val="Arial"/>
        <family val="0"/>
        <charset val="1"/>
      </rPr>
      <t xml:space="preserve">2026-10-31 </t>
    </r>
    <r>
      <rPr>
        <sz val="11"/>
        <rFont val="思源黑体"/>
        <family val="2"/>
        <charset val="134"/>
      </rPr>
      <t xml:space="preserve">披露，本报告未纳入尚未公开的数据。</t>
    </r>
  </si>
  <si>
    <t xml:space="preserve">区间</t>
  </si>
  <si>
    <r>
      <rPr>
        <sz val="11"/>
        <rFont val="思源黑体"/>
        <family val="2"/>
        <charset val="134"/>
      </rPr>
      <t xml:space="preserve">主合理价值区间为防守 </t>
    </r>
    <r>
      <rPr>
        <sz val="11"/>
        <rFont val="Arial"/>
        <family val="0"/>
        <charset val="1"/>
      </rPr>
      <t xml:space="preserve">DDM </t>
    </r>
    <r>
      <rPr>
        <sz val="11"/>
        <rFont val="思源黑体"/>
        <family val="2"/>
        <charset val="134"/>
      </rPr>
      <t xml:space="preserve">至修正组合中枢；条件性上行不并入主区间。</t>
    </r>
  </si>
  <si>
    <t xml:space="preserve">使用</t>
  </si>
  <si>
    <t xml:space="preserve">修改黄色假设后，估值系统、一图流与敏感性结果联动。</t>
  </si>
  <si>
    <t xml:space="preserve">北京银行多模型估值系统</t>
  </si>
  <si>
    <r>
      <rPr>
        <i val="true"/>
        <sz val="9"/>
        <color rgb="FF667085"/>
        <rFont val="思源黑体"/>
        <family val="2"/>
        <charset val="134"/>
      </rPr>
      <t xml:space="preserve">价格为 </t>
    </r>
    <r>
      <rPr>
        <i val="true"/>
        <sz val="9"/>
        <color rgb="FF667085"/>
        <rFont val="Arial"/>
        <family val="0"/>
        <charset val="1"/>
      </rPr>
      <t xml:space="preserve">2026-10-14 11:55 </t>
    </r>
    <r>
      <rPr>
        <i val="true"/>
        <sz val="9"/>
        <color rgb="FF667085"/>
        <rFont val="思源黑体"/>
        <family val="2"/>
        <charset val="134"/>
      </rPr>
      <t xml:space="preserve">盘中快照；经营数据截至 </t>
    </r>
    <r>
      <rPr>
        <i val="true"/>
        <sz val="9"/>
        <color rgb="FF667085"/>
        <rFont val="Arial"/>
        <family val="0"/>
        <charset val="1"/>
      </rPr>
      <t xml:space="preserve">2026-06-30</t>
    </r>
  </si>
  <si>
    <t xml:space="preserve">关键输入</t>
  </si>
  <si>
    <t xml:space="preserve">公司</t>
  </si>
  <si>
    <t xml:space="preserve">北京银行</t>
  </si>
  <si>
    <t xml:space="preserve">经营数据截至</t>
  </si>
  <si>
    <t xml:space="preserve">代码</t>
  </si>
  <si>
    <t xml:space="preserve">601169.SH</t>
  </si>
  <si>
    <t xml:space="preserve">股价快照</t>
  </si>
  <si>
    <t xml:space="preserve">长期增长率</t>
  </si>
  <si>
    <r>
      <rPr>
        <sz val="11"/>
        <rFont val="Arial"/>
        <family val="0"/>
        <charset val="1"/>
      </rPr>
      <t xml:space="preserve">BPS</t>
    </r>
    <r>
      <rPr>
        <sz val="11"/>
        <rFont val="思源黑体"/>
        <family val="2"/>
        <charset val="134"/>
      </rPr>
      <t xml:space="preserve">（元）</t>
    </r>
  </si>
  <si>
    <t xml:space="preserve">基础支付率</t>
  </si>
  <si>
    <r>
      <rPr>
        <sz val="11"/>
        <rFont val="思源黑体"/>
        <family val="2"/>
        <charset val="134"/>
      </rPr>
      <t xml:space="preserve">归一化 </t>
    </r>
    <r>
      <rPr>
        <sz val="11"/>
        <rFont val="Arial"/>
        <family val="0"/>
        <charset val="1"/>
      </rPr>
      <t xml:space="preserve">EPS</t>
    </r>
    <r>
      <rPr>
        <sz val="11"/>
        <rFont val="思源黑体"/>
        <family val="2"/>
        <charset val="134"/>
      </rPr>
      <t xml:space="preserve">（元）</t>
    </r>
  </si>
  <si>
    <r>
      <rPr>
        <sz val="11"/>
        <rFont val="思源黑体"/>
        <family val="2"/>
        <charset val="134"/>
      </rPr>
      <t xml:space="preserve">同业 </t>
    </r>
    <r>
      <rPr>
        <sz val="11"/>
        <rFont val="Arial"/>
        <family val="0"/>
        <charset val="1"/>
      </rPr>
      <t xml:space="preserve">β</t>
    </r>
  </si>
  <si>
    <r>
      <rPr>
        <sz val="11"/>
        <rFont val="思源黑体"/>
        <family val="2"/>
        <charset val="134"/>
      </rPr>
      <t xml:space="preserve">归一化 </t>
    </r>
    <r>
      <rPr>
        <sz val="11"/>
        <rFont val="Arial"/>
        <family val="0"/>
        <charset val="1"/>
      </rPr>
      <t xml:space="preserve">ROE</t>
    </r>
  </si>
  <si>
    <t xml:space="preserve">同业额外折价</t>
  </si>
  <si>
    <r>
      <rPr>
        <sz val="11"/>
        <rFont val="思源黑体"/>
        <family val="2"/>
        <charset val="134"/>
      </rPr>
      <t xml:space="preserve">股权成本 </t>
    </r>
    <r>
      <rPr>
        <sz val="11"/>
        <rFont val="Arial"/>
        <family val="0"/>
        <charset val="1"/>
      </rPr>
      <t xml:space="preserve">Ke</t>
    </r>
  </si>
  <si>
    <t xml:space="preserve">历史区间</t>
  </si>
  <si>
    <r>
      <rPr>
        <sz val="11"/>
        <rFont val="Arial"/>
        <family val="0"/>
        <charset val="1"/>
      </rPr>
      <t xml:space="preserve">2020—2025 </t>
    </r>
    <r>
      <rPr>
        <sz val="11"/>
        <rFont val="思源黑体"/>
        <family val="2"/>
        <charset val="134"/>
      </rPr>
      <t xml:space="preserve">年末</t>
    </r>
  </si>
  <si>
    <r>
      <rPr>
        <sz val="11"/>
        <rFont val="Arial"/>
        <family val="0"/>
        <charset val="1"/>
      </rPr>
      <t xml:space="preserve">PB–ROE </t>
    </r>
    <r>
      <rPr>
        <sz val="11"/>
        <rFont val="思源黑体"/>
        <family val="2"/>
        <charset val="134"/>
      </rPr>
      <t xml:space="preserve">模型折价</t>
    </r>
  </si>
  <si>
    <t xml:space="preserve">报告制作日</t>
  </si>
  <si>
    <t xml:space="preserve">六种主估值方法</t>
  </si>
  <si>
    <t xml:space="preserve">每股价值</t>
  </si>
  <si>
    <t xml:space="preserve">加权贡献</t>
  </si>
  <si>
    <t xml:space="preserve">可靠性</t>
  </si>
  <si>
    <t xml:space="preserve">主要限制</t>
  </si>
  <si>
    <t xml:space="preserve">模型组</t>
  </si>
  <si>
    <t xml:space="preserve">当前价折价</t>
  </si>
  <si>
    <t xml:space="preserve">是否主锚</t>
  </si>
  <si>
    <r>
      <rPr>
        <sz val="11"/>
        <rFont val="思源黑体"/>
        <family val="2"/>
        <charset val="134"/>
      </rPr>
      <t xml:space="preserve">剩余收益模型 </t>
    </r>
    <r>
      <rPr>
        <sz val="11"/>
        <rFont val="Arial"/>
        <family val="0"/>
        <charset val="1"/>
      </rPr>
      <t xml:space="preserve">RIM</t>
    </r>
  </si>
  <si>
    <r>
      <rPr>
        <sz val="11"/>
        <rFont val="Arial"/>
        <family val="0"/>
        <charset val="1"/>
      </rPr>
      <t xml:space="preserve">5</t>
    </r>
    <r>
      <rPr>
        <sz val="11"/>
        <rFont val="思源黑体"/>
        <family val="2"/>
        <charset val="134"/>
      </rPr>
      <t xml:space="preserve">年 </t>
    </r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路径、</t>
    </r>
    <r>
      <rPr>
        <sz val="11"/>
        <rFont val="Arial"/>
        <family val="0"/>
        <charset val="1"/>
      </rPr>
      <t xml:space="preserve">Ke</t>
    </r>
    <r>
      <rPr>
        <sz val="11"/>
        <rFont val="思源黑体"/>
        <family val="2"/>
        <charset val="134"/>
      </rPr>
      <t xml:space="preserve">、终值</t>
    </r>
  </si>
  <si>
    <t xml:space="preserve">中</t>
  </si>
  <si>
    <r>
      <rPr>
        <sz val="11"/>
        <rFont val="思源黑体"/>
        <family val="2"/>
        <charset val="134"/>
      </rPr>
      <t xml:space="preserve">终值受长期 </t>
    </r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影响</t>
    </r>
  </si>
  <si>
    <r>
      <rPr>
        <sz val="11"/>
        <rFont val="Arial"/>
        <family val="0"/>
        <charset val="1"/>
      </rPr>
      <t xml:space="preserve">ROE</t>
    </r>
    <r>
      <rPr>
        <sz val="11"/>
        <rFont val="思源黑体"/>
        <family val="2"/>
        <charset val="134"/>
      </rPr>
      <t xml:space="preserve">内生</t>
    </r>
  </si>
  <si>
    <t xml:space="preserve">是</t>
  </si>
  <si>
    <r>
      <rPr>
        <sz val="11"/>
        <rFont val="Arial"/>
        <family val="0"/>
        <charset val="1"/>
      </rPr>
      <t xml:space="preserve">PB–ROE </t>
    </r>
    <r>
      <rPr>
        <sz val="11"/>
        <rFont val="思源黑体"/>
        <family val="2"/>
        <charset val="134"/>
      </rPr>
      <t xml:space="preserve">合理倍数</t>
    </r>
  </si>
  <si>
    <r>
      <rPr>
        <sz val="11"/>
        <rFont val="Arial"/>
        <family val="0"/>
        <charset val="1"/>
      </rPr>
      <t xml:space="preserve">ROE</t>
    </r>
    <r>
      <rPr>
        <sz val="11"/>
        <rFont val="思源黑体"/>
        <family val="2"/>
        <charset val="134"/>
      </rPr>
      <t xml:space="preserve">、</t>
    </r>
    <r>
      <rPr>
        <sz val="11"/>
        <rFont val="Arial"/>
        <family val="0"/>
        <charset val="1"/>
      </rPr>
      <t xml:space="preserve">Ke</t>
    </r>
    <r>
      <rPr>
        <sz val="11"/>
        <rFont val="思源黑体"/>
        <family val="2"/>
        <charset val="134"/>
      </rPr>
      <t xml:space="preserve">、</t>
    </r>
    <r>
      <rPr>
        <sz val="11"/>
        <rFont val="Arial"/>
        <family val="0"/>
        <charset val="1"/>
      </rPr>
      <t xml:space="preserve">g</t>
    </r>
    <r>
      <rPr>
        <sz val="11"/>
        <rFont val="思源黑体"/>
        <family val="2"/>
        <charset val="134"/>
      </rPr>
      <t xml:space="preserve">、模型折价</t>
    </r>
  </si>
  <si>
    <r>
      <rPr>
        <sz val="11"/>
        <rFont val="思源黑体"/>
        <family val="2"/>
        <charset val="134"/>
      </rPr>
      <t xml:space="preserve">稳定期公式对 </t>
    </r>
    <r>
      <rPr>
        <sz val="11"/>
        <rFont val="Arial"/>
        <family val="0"/>
        <charset val="1"/>
      </rPr>
      <t xml:space="preserve">Ke-g </t>
    </r>
    <r>
      <rPr>
        <sz val="11"/>
        <rFont val="思源黑体"/>
        <family val="2"/>
        <charset val="134"/>
      </rPr>
      <t xml:space="preserve">敏感</t>
    </r>
  </si>
  <si>
    <r>
      <rPr>
        <sz val="11"/>
        <rFont val="Arial"/>
        <family val="0"/>
        <charset val="1"/>
      </rPr>
      <t xml:space="preserve">2020—2025 </t>
    </r>
    <r>
      <rPr>
        <sz val="11"/>
        <rFont val="思源黑体"/>
        <family val="2"/>
        <charset val="134"/>
      </rPr>
      <t xml:space="preserve">年末 </t>
    </r>
    <r>
      <rPr>
        <sz val="11"/>
        <rFont val="Arial"/>
        <family val="0"/>
        <charset val="1"/>
      </rPr>
      <t xml:space="preserve">PB </t>
    </r>
    <r>
      <rPr>
        <sz val="11"/>
        <rFont val="思源黑体"/>
        <family val="2"/>
        <charset val="134"/>
      </rPr>
      <t xml:space="preserve">中位数</t>
    </r>
  </si>
  <si>
    <t xml:space="preserve">中低</t>
  </si>
  <si>
    <r>
      <rPr>
        <sz val="11"/>
        <rFont val="思源黑体"/>
        <family val="2"/>
        <charset val="134"/>
      </rPr>
      <t xml:space="preserve">历史 </t>
    </r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下移会压低可比性</t>
    </r>
  </si>
  <si>
    <t xml:space="preserve">历史倍数</t>
  </si>
  <si>
    <t xml:space="preserve">否</t>
  </si>
  <si>
    <r>
      <rPr>
        <sz val="11"/>
        <rFont val="Arial"/>
        <family val="0"/>
        <charset val="1"/>
      </rPr>
      <t xml:space="preserve">2020—2025 </t>
    </r>
    <r>
      <rPr>
        <sz val="11"/>
        <rFont val="思源黑体"/>
        <family val="2"/>
        <charset val="134"/>
      </rPr>
      <t xml:space="preserve">年末 </t>
    </r>
    <r>
      <rPr>
        <sz val="11"/>
        <rFont val="Arial"/>
        <family val="0"/>
        <charset val="1"/>
      </rPr>
      <t xml:space="preserve">PE </t>
    </r>
    <r>
      <rPr>
        <sz val="11"/>
        <rFont val="思源黑体"/>
        <family val="2"/>
        <charset val="134"/>
      </rPr>
      <t xml:space="preserve">中位数</t>
    </r>
    <r>
      <rPr>
        <sz val="11"/>
        <rFont val="Arial"/>
        <family val="0"/>
        <charset val="1"/>
      </rPr>
      <t xml:space="preserve">×</t>
    </r>
    <r>
      <rPr>
        <sz val="11"/>
        <rFont val="思源黑体"/>
        <family val="2"/>
        <charset val="134"/>
      </rPr>
      <t xml:space="preserve">归一化</t>
    </r>
    <r>
      <rPr>
        <sz val="11"/>
        <rFont val="Arial"/>
        <family val="0"/>
        <charset val="1"/>
      </rPr>
      <t xml:space="preserve">EPS</t>
    </r>
  </si>
  <si>
    <r>
      <rPr>
        <sz val="11"/>
        <rFont val="Arial"/>
        <family val="0"/>
        <charset val="1"/>
      </rPr>
      <t xml:space="preserve">2025 EPS </t>
    </r>
    <r>
      <rPr>
        <sz val="11"/>
        <rFont val="思源黑体"/>
        <family val="2"/>
        <charset val="134"/>
      </rPr>
      <t xml:space="preserve">受大额减值扰动</t>
    </r>
  </si>
  <si>
    <r>
      <rPr>
        <sz val="11"/>
        <rFont val="思源黑体"/>
        <family val="2"/>
        <charset val="134"/>
      </rPr>
      <t xml:space="preserve">同业 </t>
    </r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调整 </t>
    </r>
    <r>
      <rPr>
        <sz val="11"/>
        <rFont val="Arial"/>
        <family val="0"/>
        <charset val="1"/>
      </rPr>
      <t xml:space="preserve">PB</t>
    </r>
  </si>
  <si>
    <r>
      <rPr>
        <sz val="11"/>
        <rFont val="思源黑体"/>
        <family val="2"/>
        <charset val="134"/>
      </rPr>
      <t xml:space="preserve">同业 </t>
    </r>
    <r>
      <rPr>
        <sz val="11"/>
        <rFont val="Arial"/>
        <family val="0"/>
        <charset val="1"/>
      </rPr>
      <t xml:space="preserve">PB×ROE </t>
    </r>
    <r>
      <rPr>
        <sz val="11"/>
        <rFont val="思源黑体"/>
        <family val="2"/>
        <charset val="134"/>
      </rPr>
      <t xml:space="preserve">弹性</t>
    </r>
    <r>
      <rPr>
        <sz val="11"/>
        <rFont val="Arial"/>
        <family val="0"/>
        <charset val="1"/>
      </rPr>
      <t xml:space="preserve">×</t>
    </r>
    <r>
      <rPr>
        <sz val="11"/>
        <rFont val="思源黑体"/>
        <family val="2"/>
        <charset val="134"/>
      </rPr>
      <t xml:space="preserve">额外折价</t>
    </r>
  </si>
  <si>
    <t xml:space="preserve">同业结构和资本质量不同</t>
  </si>
  <si>
    <t xml:space="preserve">同业比较</t>
  </si>
  <si>
    <r>
      <rPr>
        <sz val="11"/>
        <rFont val="思源黑体"/>
        <family val="2"/>
        <charset val="134"/>
      </rPr>
      <t xml:space="preserve">两阶段 </t>
    </r>
    <r>
      <rPr>
        <sz val="11"/>
        <rFont val="Arial"/>
        <family val="0"/>
        <charset val="1"/>
      </rPr>
      <t xml:space="preserve">DDM</t>
    </r>
  </si>
  <si>
    <r>
      <rPr>
        <sz val="11"/>
        <rFont val="Arial"/>
        <family val="0"/>
        <charset val="1"/>
      </rPr>
      <t xml:space="preserve">5</t>
    </r>
    <r>
      <rPr>
        <sz val="11"/>
        <rFont val="思源黑体"/>
        <family val="2"/>
        <charset val="134"/>
      </rPr>
      <t xml:space="preserve">年股息</t>
    </r>
    <r>
      <rPr>
        <sz val="11"/>
        <rFont val="Arial"/>
        <family val="0"/>
        <charset val="1"/>
      </rPr>
      <t xml:space="preserve">+</t>
    </r>
    <r>
      <rPr>
        <sz val="11"/>
        <rFont val="思源黑体"/>
        <family val="2"/>
        <charset val="134"/>
      </rPr>
      <t xml:space="preserve">稳定增长终值</t>
    </r>
  </si>
  <si>
    <t xml:space="preserve">中高</t>
  </si>
  <si>
    <r>
      <rPr>
        <sz val="11"/>
        <rFont val="思源黑体"/>
        <family val="2"/>
        <charset val="134"/>
      </rPr>
      <t xml:space="preserve">对支付率与 </t>
    </r>
    <r>
      <rPr>
        <sz val="11"/>
        <rFont val="Arial"/>
        <family val="0"/>
        <charset val="1"/>
      </rPr>
      <t xml:space="preserve">Ke </t>
    </r>
    <r>
      <rPr>
        <sz val="11"/>
        <rFont val="思源黑体"/>
        <family val="2"/>
        <charset val="134"/>
      </rPr>
      <t xml:space="preserve">最敏感</t>
    </r>
  </si>
  <si>
    <t xml:space="preserve">分红模型</t>
  </si>
  <si>
    <t xml:space="preserve">组合估值</t>
  </si>
  <si>
    <r>
      <rPr>
        <sz val="11"/>
        <rFont val="思源黑体"/>
        <family val="2"/>
        <charset val="134"/>
      </rPr>
      <t xml:space="preserve">历史倍数权重仅 </t>
    </r>
    <r>
      <rPr>
        <sz val="11"/>
        <rFont val="Arial"/>
        <family val="0"/>
        <charset val="1"/>
      </rPr>
      <t xml:space="preserve">20%</t>
    </r>
    <r>
      <rPr>
        <sz val="11"/>
        <rFont val="思源黑体"/>
        <family val="2"/>
        <charset val="134"/>
      </rPr>
      <t xml:space="preserve">；</t>
    </r>
    <r>
      <rPr>
        <sz val="11"/>
        <rFont val="Arial"/>
        <family val="0"/>
        <charset val="1"/>
      </rPr>
      <t xml:space="preserve">DDM </t>
    </r>
    <r>
      <rPr>
        <sz val="11"/>
        <rFont val="思源黑体"/>
        <family val="2"/>
        <charset val="134"/>
      </rPr>
      <t xml:space="preserve">权重 </t>
    </r>
    <r>
      <rPr>
        <sz val="11"/>
        <rFont val="Arial"/>
        <family val="0"/>
        <charset val="1"/>
      </rPr>
      <t xml:space="preserve">30%</t>
    </r>
    <r>
      <rPr>
        <sz val="11"/>
        <rFont val="思源黑体"/>
        <family val="2"/>
        <charset val="134"/>
      </rPr>
      <t xml:space="preserve">，反映资本与分红约束</t>
    </r>
  </si>
  <si>
    <t xml:space="preserve">权重合计</t>
  </si>
  <si>
    <t xml:space="preserve">修正组合中枢</t>
  </si>
  <si>
    <t xml:space="preserve">元</t>
  </si>
  <si>
    <r>
      <rPr>
        <sz val="11"/>
        <rFont val="思源黑体"/>
        <family val="2"/>
        <charset val="134"/>
      </rPr>
      <t xml:space="preserve">相对 </t>
    </r>
    <r>
      <rPr>
        <sz val="11"/>
        <rFont val="Arial"/>
        <family val="0"/>
        <charset val="1"/>
      </rPr>
      <t xml:space="preserve">DDM</t>
    </r>
  </si>
  <si>
    <t xml:space="preserve">剩余收益模型明细</t>
  </si>
  <si>
    <t xml:space="preserve">年份</t>
  </si>
  <si>
    <r>
      <rPr>
        <b val="true"/>
        <sz val="10"/>
        <color rgb="FFFFFFFF"/>
        <rFont val="思源黑体"/>
        <family val="2"/>
        <charset val="134"/>
      </rPr>
      <t xml:space="preserve">期初 </t>
    </r>
    <r>
      <rPr>
        <b val="true"/>
        <sz val="10"/>
        <color rgb="FFFFFFFF"/>
        <rFont val="Arial"/>
        <family val="0"/>
        <charset val="1"/>
      </rPr>
      <t xml:space="preserve">BPS</t>
    </r>
  </si>
  <si>
    <t xml:space="preserve">EPS</t>
  </si>
  <si>
    <t xml:space="preserve">支付率</t>
  </si>
  <si>
    <t xml:space="preserve">DPS</t>
  </si>
  <si>
    <r>
      <rPr>
        <b val="true"/>
        <sz val="10"/>
        <color rgb="FFFFFFFF"/>
        <rFont val="思源黑体"/>
        <family val="2"/>
        <charset val="134"/>
      </rPr>
      <t xml:space="preserve">期末 </t>
    </r>
    <r>
      <rPr>
        <b val="true"/>
        <sz val="10"/>
        <color rgb="FFFFFFFF"/>
        <rFont val="Arial"/>
        <family val="0"/>
        <charset val="1"/>
      </rPr>
      <t xml:space="preserve">BPS</t>
    </r>
  </si>
  <si>
    <t xml:space="preserve">剩余收益</t>
  </si>
  <si>
    <t xml:space="preserve">现值</t>
  </si>
  <si>
    <t xml:space="preserve">终值现值</t>
  </si>
  <si>
    <t xml:space="preserve">残余收益现值合计</t>
  </si>
  <si>
    <r>
      <rPr>
        <sz val="11"/>
        <rFont val="思源黑体"/>
        <family val="2"/>
        <charset val="134"/>
      </rPr>
      <t xml:space="preserve">期初 </t>
    </r>
    <r>
      <rPr>
        <sz val="11"/>
        <rFont val="Arial"/>
        <family val="0"/>
        <charset val="1"/>
      </rPr>
      <t xml:space="preserve">BPS</t>
    </r>
  </si>
  <si>
    <r>
      <rPr>
        <b val="true"/>
        <sz val="11"/>
        <color rgb="FF1F2937"/>
        <rFont val="Arial"/>
        <family val="0"/>
        <charset val="1"/>
      </rPr>
      <t xml:space="preserve">RIM </t>
    </r>
    <r>
      <rPr>
        <b val="true"/>
        <sz val="11"/>
        <color rgb="FF1F2937"/>
        <rFont val="思源黑体"/>
        <family val="2"/>
        <charset val="134"/>
      </rPr>
      <t xml:space="preserve">每股价值</t>
    </r>
  </si>
  <si>
    <r>
      <rPr>
        <sz val="11"/>
        <rFont val="思源黑体"/>
        <family val="2"/>
        <charset val="134"/>
      </rPr>
      <t xml:space="preserve">当前价低于组合中枢，但高于保守 </t>
    </r>
    <r>
      <rPr>
        <sz val="11"/>
        <rFont val="Arial"/>
        <family val="0"/>
        <charset val="1"/>
      </rPr>
      <t xml:space="preserve">DDM</t>
    </r>
    <r>
      <rPr>
        <sz val="11"/>
        <rFont val="思源黑体"/>
        <family val="2"/>
        <charset val="134"/>
      </rPr>
      <t xml:space="preserve">；估值有一定折价，却不是无条件高安全边际。</t>
    </r>
  </si>
  <si>
    <t xml:space="preserve">解释</t>
  </si>
  <si>
    <r>
      <rPr>
        <sz val="11"/>
        <rFont val="Arial"/>
        <family val="0"/>
        <charset val="1"/>
      </rPr>
      <t xml:space="preserve">2026H1 </t>
    </r>
    <r>
      <rPr>
        <sz val="11"/>
        <rFont val="思源黑体"/>
        <family val="2"/>
        <charset val="134"/>
      </rPr>
      <t xml:space="preserve">盈利恢复、费用下降和负债成本改善支持 </t>
    </r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修复；信用成本、迁徙率和较低 </t>
    </r>
    <r>
      <rPr>
        <sz val="11"/>
        <rFont val="Arial"/>
        <family val="0"/>
        <charset val="1"/>
      </rPr>
      <t xml:space="preserve">CET1 </t>
    </r>
    <r>
      <rPr>
        <sz val="11"/>
        <rFont val="思源黑体"/>
        <family val="2"/>
        <charset val="134"/>
      </rPr>
      <t xml:space="preserve">限制估值上沿。</t>
    </r>
  </si>
  <si>
    <t xml:space="preserve">估值区间</t>
  </si>
  <si>
    <r>
      <rPr>
        <sz val="11"/>
        <rFont val="思源黑体"/>
        <family val="2"/>
        <charset val="134"/>
      </rPr>
      <t xml:space="preserve">以 </t>
    </r>
    <r>
      <rPr>
        <sz val="11"/>
        <rFont val="Arial"/>
        <family val="0"/>
        <charset val="1"/>
      </rPr>
      <t xml:space="preserve">DDM </t>
    </r>
    <r>
      <rPr>
        <sz val="11"/>
        <rFont val="思源黑体"/>
        <family val="2"/>
        <charset val="134"/>
      </rPr>
      <t xml:space="preserve">防守价值至修正组合中枢为主区间；历史高估值修复仅作为条件性上行。</t>
    </r>
  </si>
  <si>
    <t xml:space="preserve">失效条件</t>
  </si>
  <si>
    <r>
      <rPr>
        <sz val="11"/>
        <rFont val="Arial"/>
        <family val="0"/>
        <charset val="1"/>
      </rPr>
      <t xml:space="preserve">NIM </t>
    </r>
    <r>
      <rPr>
        <sz val="11"/>
        <rFont val="思源黑体"/>
        <family val="2"/>
        <charset val="134"/>
      </rPr>
      <t xml:space="preserve">再降、信用成本持续高于 </t>
    </r>
    <r>
      <rPr>
        <sz val="11"/>
        <rFont val="Arial"/>
        <family val="0"/>
        <charset val="1"/>
      </rPr>
      <t xml:space="preserve">1%</t>
    </r>
    <r>
      <rPr>
        <sz val="11"/>
        <rFont val="思源黑体"/>
        <family val="2"/>
        <charset val="134"/>
      </rPr>
      <t xml:space="preserve">、</t>
    </r>
    <r>
      <rPr>
        <sz val="11"/>
        <rFont val="Arial"/>
        <family val="0"/>
        <charset val="1"/>
      </rPr>
      <t xml:space="preserve">CET1 </t>
    </r>
    <r>
      <rPr>
        <sz val="11"/>
        <rFont val="思源黑体"/>
        <family val="2"/>
        <charset val="134"/>
      </rPr>
      <t xml:space="preserve">低于 </t>
    </r>
    <r>
      <rPr>
        <sz val="11"/>
        <rFont val="Arial"/>
        <family val="0"/>
        <charset val="1"/>
      </rPr>
      <t xml:space="preserve">8.5%</t>
    </r>
    <r>
      <rPr>
        <sz val="11"/>
        <rFont val="思源黑体"/>
        <family val="2"/>
        <charset val="134"/>
      </rPr>
      <t xml:space="preserve">、不良</t>
    </r>
    <r>
      <rPr>
        <sz val="11"/>
        <rFont val="Arial"/>
        <family val="0"/>
        <charset val="1"/>
      </rPr>
      <t xml:space="preserve">/</t>
    </r>
    <r>
      <rPr>
        <sz val="11"/>
        <rFont val="思源黑体"/>
        <family val="2"/>
        <charset val="134"/>
      </rPr>
      <t xml:space="preserve">关注</t>
    </r>
    <r>
      <rPr>
        <sz val="11"/>
        <rFont val="Arial"/>
        <family val="0"/>
        <charset val="1"/>
      </rPr>
      <t xml:space="preserve">/</t>
    </r>
    <r>
      <rPr>
        <sz val="11"/>
        <rFont val="思源黑体"/>
        <family val="2"/>
        <charset val="134"/>
      </rPr>
      <t xml:space="preserve">逾期同步恶化。</t>
    </r>
  </si>
  <si>
    <t xml:space="preserve">北京银行估值敏感性</t>
  </si>
  <si>
    <r>
      <rPr>
        <i val="true"/>
        <sz val="9"/>
        <color rgb="FF667085"/>
        <rFont val="Arial"/>
        <family val="0"/>
        <charset val="1"/>
      </rPr>
      <t xml:space="preserve">ROE </t>
    </r>
    <r>
      <rPr>
        <i val="true"/>
        <sz val="9"/>
        <color rgb="FF667085"/>
        <rFont val="思源黑体"/>
        <family val="2"/>
        <charset val="134"/>
      </rPr>
      <t xml:space="preserve">与股权成本为模型的权威可编辑输入；黄色单元格可调整</t>
    </r>
  </si>
  <si>
    <t xml:space="preserve">核心假设</t>
  </si>
  <si>
    <r>
      <rPr>
        <b val="true"/>
        <sz val="10"/>
        <color rgb="FFFFFFFF"/>
        <rFont val="Arial"/>
        <family val="0"/>
        <charset val="1"/>
      </rPr>
      <t xml:space="preserve">RIM</t>
    </r>
    <r>
      <rPr>
        <b val="true"/>
        <sz val="10"/>
        <color rgb="FFFFFFFF"/>
        <rFont val="思源黑体"/>
        <family val="2"/>
        <charset val="134"/>
      </rPr>
      <t xml:space="preserve">：</t>
    </r>
    <r>
      <rPr>
        <b val="true"/>
        <sz val="10"/>
        <color rgb="FFFFFFFF"/>
        <rFont val="Arial"/>
        <family val="0"/>
        <charset val="1"/>
      </rPr>
      <t xml:space="preserve">ROE × Ke</t>
    </r>
  </si>
  <si>
    <r>
      <rPr>
        <sz val="11"/>
        <rFont val="思源黑体"/>
        <family val="2"/>
        <charset val="134"/>
      </rPr>
      <t xml:space="preserve">归一化可持续 </t>
    </r>
    <r>
      <rPr>
        <sz val="11"/>
        <rFont val="Arial"/>
        <family val="0"/>
        <charset val="1"/>
      </rPr>
      <t xml:space="preserve">ROE</t>
    </r>
  </si>
  <si>
    <t xml:space="preserve">口径</t>
  </si>
  <si>
    <t xml:space="preserve">分析假设</t>
  </si>
  <si>
    <r>
      <rPr>
        <sz val="11"/>
        <rFont val="思源黑体"/>
        <family val="2"/>
        <charset val="134"/>
      </rPr>
      <t xml:space="preserve">长期增长率 </t>
    </r>
    <r>
      <rPr>
        <sz val="11"/>
        <rFont val="Arial"/>
        <family val="0"/>
        <charset val="1"/>
      </rPr>
      <t xml:space="preserve">g</t>
    </r>
  </si>
  <si>
    <r>
      <rPr>
        <sz val="11"/>
        <rFont val="Arial"/>
        <family val="0"/>
        <charset val="1"/>
      </rPr>
      <t xml:space="preserve">2026H1 </t>
    </r>
    <r>
      <rPr>
        <sz val="11"/>
        <rFont val="思源黑体"/>
        <family val="2"/>
        <charset val="134"/>
      </rPr>
      <t xml:space="preserve">年化后审慎下调</t>
    </r>
  </si>
  <si>
    <t xml:space="preserve">基础股利支付率</t>
  </si>
  <si>
    <t xml:space="preserve">参考历史与资本约束</t>
  </si>
  <si>
    <t xml:space="preserve">悲观</t>
  </si>
  <si>
    <t xml:space="preserve">乐观</t>
  </si>
  <si>
    <r>
      <rPr>
        <b val="true"/>
        <sz val="10"/>
        <color rgb="FFFFFFFF"/>
        <rFont val="Arial"/>
        <family val="0"/>
        <charset val="1"/>
      </rPr>
      <t xml:space="preserve">PB–ROE</t>
    </r>
    <r>
      <rPr>
        <b val="true"/>
        <sz val="10"/>
        <color rgb="FFFFFFFF"/>
        <rFont val="思源黑体"/>
        <family val="2"/>
        <charset val="134"/>
      </rPr>
      <t xml:space="preserve">：</t>
    </r>
    <r>
      <rPr>
        <b val="true"/>
        <sz val="10"/>
        <color rgb="FFFFFFFF"/>
        <rFont val="Arial"/>
        <family val="0"/>
        <charset val="1"/>
      </rPr>
      <t xml:space="preserve">ROE × Ke</t>
    </r>
  </si>
  <si>
    <t xml:space="preserve">Ke</t>
  </si>
  <si>
    <t xml:space="preserve">目标股息率</t>
  </si>
  <si>
    <t xml:space="preserve">经营情景估值</t>
  </si>
  <si>
    <t xml:space="preserve">说明</t>
  </si>
  <si>
    <r>
      <rPr>
        <sz val="11"/>
        <rFont val="思源黑体"/>
        <family val="2"/>
        <charset val="134"/>
      </rPr>
      <t xml:space="preserve">可持续 </t>
    </r>
    <r>
      <rPr>
        <sz val="11"/>
        <rFont val="Arial"/>
        <family val="0"/>
        <charset val="1"/>
      </rPr>
      <t xml:space="preserve">EPS</t>
    </r>
    <r>
      <rPr>
        <sz val="11"/>
        <rFont val="思源黑体"/>
        <family val="2"/>
        <charset val="134"/>
      </rPr>
      <t xml:space="preserve">（元）</t>
    </r>
  </si>
  <si>
    <t xml:space="preserve">归一化，不是盈利预测</t>
  </si>
  <si>
    <r>
      <rPr>
        <b val="true"/>
        <sz val="10"/>
        <color rgb="FFFFFFFF"/>
        <rFont val="思源黑体"/>
        <family val="2"/>
        <charset val="134"/>
      </rPr>
      <t xml:space="preserve">组合中枢：</t>
    </r>
    <r>
      <rPr>
        <b val="true"/>
        <sz val="10"/>
        <color rgb="FFFFFFFF"/>
        <rFont val="Arial"/>
        <family val="0"/>
        <charset val="1"/>
      </rPr>
      <t xml:space="preserve">ROE × Ke</t>
    </r>
  </si>
  <si>
    <r>
      <rPr>
        <sz val="11"/>
        <rFont val="思源黑体"/>
        <family val="2"/>
        <charset val="134"/>
      </rPr>
      <t xml:space="preserve">合理 </t>
    </r>
    <r>
      <rPr>
        <sz val="11"/>
        <rFont val="Arial"/>
        <family val="0"/>
        <charset val="1"/>
      </rPr>
      <t xml:space="preserve">PB</t>
    </r>
    <r>
      <rPr>
        <sz val="11"/>
        <rFont val="思源黑体"/>
        <family val="2"/>
        <charset val="134"/>
      </rPr>
      <t xml:space="preserve">（</t>
    </r>
    <r>
      <rPr>
        <sz val="11"/>
        <rFont val="Arial"/>
        <family val="0"/>
        <charset val="1"/>
      </rPr>
      <t xml:space="preserve">x</t>
    </r>
    <r>
      <rPr>
        <sz val="11"/>
        <rFont val="思源黑体"/>
        <family val="2"/>
        <charset val="134"/>
      </rPr>
      <t xml:space="preserve">）</t>
    </r>
  </si>
  <si>
    <t xml:space="preserve">稳定期公式</t>
  </si>
  <si>
    <r>
      <rPr>
        <sz val="11"/>
        <rFont val="Arial"/>
        <family val="0"/>
        <charset val="1"/>
      </rPr>
      <t xml:space="preserve">PB–ROE </t>
    </r>
    <r>
      <rPr>
        <sz val="11"/>
        <rFont val="思源黑体"/>
        <family val="2"/>
        <charset val="134"/>
      </rPr>
      <t xml:space="preserve">价值（元）</t>
    </r>
  </si>
  <si>
    <t xml:space="preserve">含模型折价</t>
  </si>
  <si>
    <t xml:space="preserve">股息率反推价值（元）</t>
  </si>
  <si>
    <r>
      <rPr>
        <sz val="11"/>
        <rFont val="Arial"/>
        <family val="0"/>
        <charset val="1"/>
      </rPr>
      <t xml:space="preserve">DPS/</t>
    </r>
    <r>
      <rPr>
        <sz val="11"/>
        <rFont val="思源黑体"/>
        <family val="2"/>
        <charset val="134"/>
      </rPr>
      <t xml:space="preserve">目标收益率</t>
    </r>
  </si>
  <si>
    <t xml:space="preserve">相对当前价安全边际</t>
  </si>
  <si>
    <t xml:space="preserve">正数表示折价</t>
  </si>
  <si>
    <t xml:space="preserve">解读</t>
  </si>
  <si>
    <r>
      <rPr>
        <sz val="11"/>
        <rFont val="Arial"/>
        <family val="0"/>
        <charset val="1"/>
      </rPr>
      <t xml:space="preserve">ROE 8% </t>
    </r>
    <r>
      <rPr>
        <sz val="11"/>
        <rFont val="思源黑体"/>
        <family val="2"/>
        <charset val="134"/>
      </rPr>
      <t xml:space="preserve">与 </t>
    </r>
    <r>
      <rPr>
        <sz val="11"/>
        <rFont val="Arial"/>
        <family val="0"/>
        <charset val="1"/>
      </rPr>
      <t xml:space="preserve">9% </t>
    </r>
    <r>
      <rPr>
        <sz val="11"/>
        <rFont val="思源黑体"/>
        <family val="2"/>
        <charset val="134"/>
      </rPr>
      <t xml:space="preserve">为重点观察行；</t>
    </r>
    <r>
      <rPr>
        <sz val="11"/>
        <rFont val="Arial"/>
        <family val="0"/>
        <charset val="1"/>
      </rPr>
      <t xml:space="preserve">Ke </t>
    </r>
    <r>
      <rPr>
        <sz val="11"/>
        <rFont val="思源黑体"/>
        <family val="2"/>
        <charset val="134"/>
      </rPr>
      <t xml:space="preserve">越高，</t>
    </r>
    <r>
      <rPr>
        <sz val="11"/>
        <rFont val="Arial"/>
        <family val="0"/>
        <charset val="1"/>
      </rPr>
      <t xml:space="preserve">RIM</t>
    </r>
    <r>
      <rPr>
        <sz val="11"/>
        <rFont val="思源黑体"/>
        <family val="2"/>
        <charset val="134"/>
      </rPr>
      <t xml:space="preserve">、</t>
    </r>
    <r>
      <rPr>
        <sz val="11"/>
        <rFont val="Arial"/>
        <family val="0"/>
        <charset val="1"/>
      </rPr>
      <t xml:space="preserve">PB–ROE </t>
    </r>
    <r>
      <rPr>
        <sz val="11"/>
        <rFont val="思源黑体"/>
        <family val="2"/>
        <charset val="134"/>
      </rPr>
      <t xml:space="preserve">与组合中枢均下降。</t>
    </r>
  </si>
  <si>
    <r>
      <rPr>
        <sz val="11"/>
        <rFont val="思源黑体"/>
        <family val="2"/>
        <charset val="134"/>
      </rPr>
      <t xml:space="preserve">所有测试 </t>
    </r>
    <r>
      <rPr>
        <sz val="11"/>
        <rFont val="Arial"/>
        <family val="0"/>
        <charset val="1"/>
      </rPr>
      <t xml:space="preserve">Ke </t>
    </r>
    <r>
      <rPr>
        <sz val="11"/>
        <rFont val="思源黑体"/>
        <family val="2"/>
        <charset val="134"/>
      </rPr>
      <t xml:space="preserve">均高于长期增长率 </t>
    </r>
    <r>
      <rPr>
        <sz val="11"/>
        <rFont val="Arial"/>
        <family val="0"/>
        <charset val="1"/>
      </rPr>
      <t xml:space="preserve">2.5%</t>
    </r>
    <r>
      <rPr>
        <sz val="11"/>
        <rFont val="思源黑体"/>
        <family val="2"/>
        <charset val="134"/>
      </rPr>
      <t xml:space="preserve">，避免公式奇点。</t>
    </r>
  </si>
  <si>
    <t xml:space="preserve">基准组合中枢</t>
  </si>
  <si>
    <t xml:space="preserve">基准组合安全边际</t>
  </si>
  <si>
    <t xml:space="preserve">北京银行股息估值</t>
  </si>
  <si>
    <r>
      <rPr>
        <i val="true"/>
        <sz val="9"/>
        <color rgb="FF667085"/>
        <rFont val="思源黑体"/>
        <family val="2"/>
        <charset val="134"/>
      </rPr>
      <t xml:space="preserve">区分已实施年度股息、</t>
    </r>
    <r>
      <rPr>
        <i val="true"/>
        <sz val="9"/>
        <color rgb="FF667085"/>
        <rFont val="Arial"/>
        <family val="0"/>
        <charset val="1"/>
      </rPr>
      <t xml:space="preserve">2026H1 </t>
    </r>
    <r>
      <rPr>
        <i val="true"/>
        <sz val="9"/>
        <color rgb="FF667085"/>
        <rFont val="思源黑体"/>
        <family val="2"/>
        <charset val="134"/>
      </rPr>
      <t xml:space="preserve">拟派中期股息与可持续情景股息</t>
    </r>
  </si>
  <si>
    <t xml:space="preserve">历史分红</t>
  </si>
  <si>
    <t xml:space="preserve">股息情景与收益率反推</t>
  </si>
  <si>
    <r>
      <rPr>
        <b val="true"/>
        <sz val="10"/>
        <color rgb="FFFFFFFF"/>
        <rFont val="思源黑体"/>
        <family val="2"/>
        <charset val="134"/>
      </rPr>
      <t xml:space="preserve">年度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思源黑体"/>
        <family val="2"/>
        <charset val="134"/>
      </rPr>
      <t xml:space="preserve">期间</t>
    </r>
  </si>
  <si>
    <t xml:space="preserve">当前价静态收益率</t>
  </si>
  <si>
    <t xml:space="preserve">状态</t>
  </si>
  <si>
    <r>
      <rPr>
        <b val="true"/>
        <sz val="10"/>
        <color rgb="FFFFFFFF"/>
        <rFont val="思源黑体"/>
        <family val="2"/>
        <charset val="134"/>
      </rPr>
      <t xml:space="preserve">归一化 </t>
    </r>
    <r>
      <rPr>
        <b val="true"/>
        <sz val="10"/>
        <color rgb="FFFFFFFF"/>
        <rFont val="Arial"/>
        <family val="0"/>
        <charset val="1"/>
      </rPr>
      <t xml:space="preserve">EPS</t>
    </r>
  </si>
  <si>
    <r>
      <rPr>
        <b val="true"/>
        <sz val="10"/>
        <color rgb="FFFFFFFF"/>
        <rFont val="思源黑体"/>
        <family val="2"/>
        <charset val="134"/>
      </rPr>
      <t xml:space="preserve">可持续 </t>
    </r>
    <r>
      <rPr>
        <b val="true"/>
        <sz val="10"/>
        <color rgb="FFFFFFFF"/>
        <rFont val="Arial"/>
        <family val="0"/>
        <charset val="1"/>
      </rPr>
      <t xml:space="preserve">DPS</t>
    </r>
  </si>
  <si>
    <t xml:space="preserve">当前股息率</t>
  </si>
  <si>
    <t xml:space="preserve">反推价格</t>
  </si>
  <si>
    <t xml:space="preserve">2016</t>
  </si>
  <si>
    <t xml:space="preserve">已实施</t>
  </si>
  <si>
    <t xml:space="preserve">保守</t>
  </si>
  <si>
    <t xml:space="preserve">2017</t>
  </si>
  <si>
    <t xml:space="preserve">2018</t>
  </si>
  <si>
    <t xml:space="preserve">条件上限</t>
  </si>
  <si>
    <t xml:space="preserve">2019</t>
  </si>
  <si>
    <t xml:space="preserve">2020</t>
  </si>
  <si>
    <t xml:space="preserve">2021</t>
  </si>
  <si>
    <r>
      <rPr>
        <sz val="11"/>
        <rFont val="Arial"/>
        <family val="0"/>
        <charset val="1"/>
      </rPr>
      <t xml:space="preserve">2025 </t>
    </r>
    <r>
      <rPr>
        <sz val="11"/>
        <rFont val="思源黑体"/>
        <family val="2"/>
        <charset val="134"/>
      </rPr>
      <t xml:space="preserve">年度 </t>
    </r>
    <r>
      <rPr>
        <sz val="11"/>
        <rFont val="Arial"/>
        <family val="0"/>
        <charset val="1"/>
      </rPr>
      <t xml:space="preserve">DPS</t>
    </r>
  </si>
  <si>
    <t xml:space="preserve">2022</t>
  </si>
  <si>
    <t xml:space="preserve">2026H1 DPS</t>
  </si>
  <si>
    <t xml:space="preserve">预案，未实施</t>
  </si>
  <si>
    <t xml:space="preserve">2023</t>
  </si>
  <si>
    <t xml:space="preserve">已实施静态股息率</t>
  </si>
  <si>
    <t xml:space="preserve">只含最近完整年度</t>
  </si>
  <si>
    <t xml:space="preserve">2024</t>
  </si>
  <si>
    <r>
      <rPr>
        <sz val="11"/>
        <rFont val="思源黑体"/>
        <family val="2"/>
        <charset val="134"/>
      </rPr>
      <t xml:space="preserve">年度</t>
    </r>
    <r>
      <rPr>
        <sz val="11"/>
        <rFont val="Arial"/>
        <family val="0"/>
        <charset val="1"/>
      </rPr>
      <t xml:space="preserve">+</t>
    </r>
    <r>
      <rPr>
        <sz val="11"/>
        <rFont val="思源黑体"/>
        <family val="2"/>
        <charset val="134"/>
      </rPr>
      <t xml:space="preserve">中期预案合计收益率</t>
    </r>
  </si>
  <si>
    <r>
      <rPr>
        <sz val="11"/>
        <rFont val="思源黑体"/>
        <family val="2"/>
        <charset val="134"/>
      </rPr>
      <t xml:space="preserve">并非已实现 </t>
    </r>
    <r>
      <rPr>
        <sz val="11"/>
        <rFont val="Arial"/>
        <family val="0"/>
        <charset val="1"/>
      </rPr>
      <t xml:space="preserve">LTM</t>
    </r>
  </si>
  <si>
    <t xml:space="preserve">2025</t>
  </si>
  <si>
    <t xml:space="preserve">2026H1</t>
  </si>
  <si>
    <t xml:space="preserve">董事会预案</t>
  </si>
  <si>
    <r>
      <rPr>
        <b val="true"/>
        <sz val="10"/>
        <color rgb="FFFFFFFF"/>
        <rFont val="思源黑体"/>
        <family val="2"/>
        <charset val="134"/>
      </rPr>
      <t xml:space="preserve">两阶段股利折现模型（</t>
    </r>
    <r>
      <rPr>
        <b val="true"/>
        <sz val="10"/>
        <color rgb="FFFFFFFF"/>
        <rFont val="Arial"/>
        <family val="0"/>
        <charset val="1"/>
      </rPr>
      <t xml:space="preserve">DDM</t>
    </r>
    <r>
      <rPr>
        <b val="true"/>
        <sz val="10"/>
        <color rgb="FFFFFFFF"/>
        <rFont val="思源黑体"/>
        <family val="2"/>
        <charset val="134"/>
      </rPr>
      <t xml:space="preserve">）</t>
    </r>
  </si>
  <si>
    <t xml:space="preserve">资本约束</t>
  </si>
  <si>
    <r>
      <rPr>
        <b val="true"/>
        <sz val="10"/>
        <color rgb="FFFFFFFF"/>
        <rFont val="思源黑体"/>
        <family val="2"/>
        <charset val="134"/>
      </rPr>
      <t xml:space="preserve">期初 </t>
    </r>
    <r>
      <rPr>
        <b val="true"/>
        <sz val="10"/>
        <color rgb="FFFFFFFF"/>
        <rFont val="Arial"/>
        <family val="0"/>
        <charset val="1"/>
      </rPr>
      <t xml:space="preserve">EPS</t>
    </r>
  </si>
  <si>
    <r>
      <rPr>
        <b val="true"/>
        <sz val="10"/>
        <color rgb="FFFFFFFF"/>
        <rFont val="Arial"/>
        <family val="0"/>
        <charset val="1"/>
      </rPr>
      <t xml:space="preserve">EPS </t>
    </r>
    <r>
      <rPr>
        <b val="true"/>
        <sz val="10"/>
        <color rgb="FFFFFFFF"/>
        <rFont val="思源黑体"/>
        <family val="2"/>
        <charset val="134"/>
      </rPr>
      <t xml:space="preserve">增速</t>
    </r>
  </si>
  <si>
    <r>
      <rPr>
        <b val="true"/>
        <sz val="10"/>
        <color rgb="FFFFFFFF"/>
        <rFont val="思源黑体"/>
        <family val="2"/>
        <charset val="134"/>
      </rPr>
      <t xml:space="preserve">期末 </t>
    </r>
    <r>
      <rPr>
        <b val="true"/>
        <sz val="10"/>
        <color rgb="FFFFFFFF"/>
        <rFont val="Arial"/>
        <family val="0"/>
        <charset val="1"/>
      </rPr>
      <t xml:space="preserve">EPS</t>
    </r>
  </si>
  <si>
    <t xml:space="preserve">折现因子</t>
  </si>
  <si>
    <r>
      <rPr>
        <b val="true"/>
        <sz val="10"/>
        <color rgb="FFFFFFFF"/>
        <rFont val="Arial"/>
        <family val="0"/>
        <charset val="1"/>
      </rPr>
      <t xml:space="preserve">DPS </t>
    </r>
    <r>
      <rPr>
        <b val="true"/>
        <sz val="10"/>
        <color rgb="FFFFFFFF"/>
        <rFont val="思源黑体"/>
        <family val="2"/>
        <charset val="134"/>
      </rPr>
      <t xml:space="preserve">现值</t>
    </r>
  </si>
  <si>
    <r>
      <rPr>
        <sz val="11"/>
        <rFont val="Arial"/>
        <family val="0"/>
        <charset val="1"/>
      </rPr>
      <t xml:space="preserve">CET1 8.91%</t>
    </r>
    <r>
      <rPr>
        <sz val="11"/>
        <rFont val="思源黑体"/>
        <family val="2"/>
        <charset val="134"/>
      </rPr>
      <t xml:space="preserve">，较年初回升 </t>
    </r>
    <r>
      <rPr>
        <sz val="11"/>
        <rFont val="Arial"/>
        <family val="0"/>
        <charset val="1"/>
      </rPr>
      <t xml:space="preserve">54bp</t>
    </r>
    <r>
      <rPr>
        <sz val="11"/>
        <rFont val="思源黑体"/>
        <family val="2"/>
        <charset val="134"/>
      </rPr>
      <t xml:space="preserve">，但仍低于多数可比城商行。</t>
    </r>
  </si>
  <si>
    <t xml:space="preserve">盈利修复</t>
  </si>
  <si>
    <r>
      <rPr>
        <sz val="11"/>
        <rFont val="Arial"/>
        <family val="0"/>
        <charset val="1"/>
      </rPr>
      <t xml:space="preserve">2026H1 </t>
    </r>
    <r>
      <rPr>
        <sz val="11"/>
        <rFont val="思源黑体"/>
        <family val="2"/>
        <charset val="134"/>
      </rPr>
      <t xml:space="preserve">已发行</t>
    </r>
    <r>
      <rPr>
        <sz val="11"/>
        <rFont val="Arial"/>
        <family val="0"/>
        <charset val="1"/>
      </rPr>
      <t xml:space="preserve">/</t>
    </r>
    <r>
      <rPr>
        <sz val="11"/>
        <rFont val="思源黑体"/>
        <family val="2"/>
        <charset val="134"/>
      </rPr>
      <t xml:space="preserve">计入其他一级资本，普通股分红仍要服从核心一级资本内生积累。</t>
    </r>
  </si>
  <si>
    <t xml:space="preserve">修复放缓</t>
  </si>
  <si>
    <r>
      <rPr>
        <sz val="11"/>
        <rFont val="思源黑体"/>
        <family val="2"/>
        <charset val="134"/>
      </rPr>
      <t xml:space="preserve">基准支付率 </t>
    </r>
    <r>
      <rPr>
        <sz val="11"/>
        <rFont val="Arial"/>
        <family val="0"/>
        <charset val="1"/>
      </rPr>
      <t xml:space="preserve">32%</t>
    </r>
    <r>
      <rPr>
        <sz val="11"/>
        <rFont val="思源黑体"/>
        <family val="2"/>
        <charset val="134"/>
      </rPr>
      <t xml:space="preserve">；</t>
    </r>
    <r>
      <rPr>
        <sz val="11"/>
        <rFont val="Arial"/>
        <family val="0"/>
        <charset val="1"/>
      </rPr>
      <t xml:space="preserve">36% </t>
    </r>
    <r>
      <rPr>
        <sz val="11"/>
        <rFont val="思源黑体"/>
        <family val="2"/>
        <charset val="134"/>
      </rPr>
      <t xml:space="preserve">仅在 </t>
    </r>
    <r>
      <rPr>
        <sz val="11"/>
        <rFont val="Arial"/>
        <family val="0"/>
        <charset val="1"/>
      </rPr>
      <t xml:space="preserve">CET1 </t>
    </r>
    <r>
      <rPr>
        <sz val="11"/>
        <rFont val="思源黑体"/>
        <family val="2"/>
        <charset val="134"/>
      </rPr>
      <t xml:space="preserve">不低于 </t>
    </r>
    <r>
      <rPr>
        <sz val="11"/>
        <rFont val="Arial"/>
        <family val="0"/>
        <charset val="1"/>
      </rPr>
      <t xml:space="preserve">8.8%</t>
    </r>
    <r>
      <rPr>
        <sz val="11"/>
        <rFont val="思源黑体"/>
        <family val="2"/>
        <charset val="134"/>
      </rPr>
      <t xml:space="preserve">、风险加权资产温和增长、资产质量不恶化时成立。</t>
    </r>
  </si>
  <si>
    <t xml:space="preserve">接近稳态</t>
  </si>
  <si>
    <t xml:space="preserve">风险</t>
  </si>
  <si>
    <r>
      <rPr>
        <sz val="11"/>
        <rFont val="思源黑体"/>
        <family val="2"/>
        <charset val="134"/>
      </rPr>
      <t xml:space="preserve">信用成本 </t>
    </r>
    <r>
      <rPr>
        <sz val="11"/>
        <rFont val="Arial"/>
        <family val="0"/>
        <charset val="1"/>
      </rPr>
      <t xml:space="preserve">0.89%</t>
    </r>
    <r>
      <rPr>
        <sz val="11"/>
        <rFont val="思源黑体"/>
        <family val="2"/>
        <charset val="134"/>
      </rPr>
      <t xml:space="preserve">，同比上升；若继续走高，分红提升空间受限。</t>
    </r>
  </si>
  <si>
    <t xml:space="preserve">资本约束仍在</t>
  </si>
  <si>
    <r>
      <rPr>
        <sz val="11"/>
        <rFont val="Arial"/>
        <family val="0"/>
        <charset val="1"/>
      </rPr>
      <t xml:space="preserve">CET1</t>
    </r>
    <r>
      <rPr>
        <sz val="11"/>
        <rFont val="思源黑体"/>
        <family val="2"/>
        <charset val="134"/>
      </rPr>
      <t xml:space="preserve">、</t>
    </r>
    <r>
      <rPr>
        <sz val="11"/>
        <rFont val="Arial"/>
        <family val="0"/>
        <charset val="1"/>
      </rPr>
      <t xml:space="preserve">RWA </t>
    </r>
    <r>
      <rPr>
        <sz val="11"/>
        <rFont val="思源黑体"/>
        <family val="2"/>
        <charset val="134"/>
      </rPr>
      <t xml:space="preserve">增速、不良生成、核销与拨备覆盖率。</t>
    </r>
  </si>
  <si>
    <t xml:space="preserve">稳态过渡</t>
  </si>
  <si>
    <t xml:space="preserve">高股息有支撑，但预案股息不能与已实施股息混为一谈。</t>
  </si>
  <si>
    <t xml:space="preserve">终值支付率</t>
  </si>
  <si>
    <r>
      <rPr>
        <sz val="11"/>
        <rFont val="思源黑体"/>
        <family val="2"/>
        <charset val="134"/>
      </rPr>
      <t xml:space="preserve">第</t>
    </r>
    <r>
      <rPr>
        <sz val="11"/>
        <rFont val="Arial"/>
        <family val="0"/>
        <charset val="1"/>
      </rPr>
      <t xml:space="preserve">6</t>
    </r>
    <r>
      <rPr>
        <sz val="11"/>
        <rFont val="思源黑体"/>
        <family val="2"/>
        <charset val="134"/>
      </rPr>
      <t xml:space="preserve">年 </t>
    </r>
    <r>
      <rPr>
        <sz val="11"/>
        <rFont val="Arial"/>
        <family val="0"/>
        <charset val="1"/>
      </rPr>
      <t xml:space="preserve">DPS</t>
    </r>
  </si>
  <si>
    <t xml:space="preserve">终值</t>
  </si>
  <si>
    <r>
      <rPr>
        <sz val="11"/>
        <rFont val="思源黑体"/>
        <family val="2"/>
        <charset val="134"/>
      </rPr>
      <t xml:space="preserve">前</t>
    </r>
    <r>
      <rPr>
        <sz val="11"/>
        <rFont val="Arial"/>
        <family val="0"/>
        <charset val="1"/>
      </rPr>
      <t xml:space="preserve">5</t>
    </r>
    <r>
      <rPr>
        <sz val="11"/>
        <rFont val="思源黑体"/>
        <family val="2"/>
        <charset val="134"/>
      </rPr>
      <t xml:space="preserve">年 </t>
    </r>
    <r>
      <rPr>
        <sz val="11"/>
        <rFont val="Arial"/>
        <family val="0"/>
        <charset val="1"/>
      </rPr>
      <t xml:space="preserve">DPS </t>
    </r>
    <r>
      <rPr>
        <sz val="11"/>
        <rFont val="思源黑体"/>
        <family val="2"/>
        <charset val="134"/>
      </rPr>
      <t xml:space="preserve">现值</t>
    </r>
  </si>
  <si>
    <r>
      <rPr>
        <b val="true"/>
        <sz val="11"/>
        <color rgb="FF1F2937"/>
        <rFont val="Arial"/>
        <family val="0"/>
        <charset val="1"/>
      </rPr>
      <t xml:space="preserve">DDM </t>
    </r>
    <r>
      <rPr>
        <b val="true"/>
        <sz val="11"/>
        <color rgb="FF1F2937"/>
        <rFont val="思源黑体"/>
        <family val="2"/>
        <charset val="134"/>
      </rPr>
      <t xml:space="preserve">每股价值</t>
    </r>
  </si>
  <si>
    <t xml:space="preserve">北京银行财务十年</t>
  </si>
  <si>
    <r>
      <rPr>
        <i val="true"/>
        <sz val="9"/>
        <color rgb="FF667085"/>
        <rFont val="思源黑体"/>
        <family val="2"/>
        <charset val="134"/>
      </rPr>
      <t xml:space="preserve">金额单位：亿元；</t>
    </r>
    <r>
      <rPr>
        <i val="true"/>
        <sz val="9"/>
        <color rgb="FF667085"/>
        <rFont val="Arial"/>
        <family val="0"/>
        <charset val="1"/>
      </rPr>
      <t xml:space="preserve">2026H1 </t>
    </r>
    <r>
      <rPr>
        <i val="true"/>
        <sz val="9"/>
        <color rgb="FF667085"/>
        <rFont val="思源黑体"/>
        <family val="2"/>
        <charset val="134"/>
      </rPr>
      <t xml:space="preserve">为半年度数据，</t>
    </r>
    <r>
      <rPr>
        <i val="true"/>
        <sz val="9"/>
        <color rgb="FF667085"/>
        <rFont val="Arial"/>
        <family val="0"/>
        <charset val="1"/>
      </rPr>
      <t xml:space="preserve">ROE/ROA </t>
    </r>
    <r>
      <rPr>
        <i val="true"/>
        <sz val="9"/>
        <color rgb="FF667085"/>
        <rFont val="思源黑体"/>
        <family val="2"/>
        <charset val="134"/>
      </rPr>
      <t xml:space="preserve">为公司披露年化口径</t>
    </r>
  </si>
  <si>
    <t xml:space="preserve">期间</t>
  </si>
  <si>
    <t xml:space="preserve">营业收入</t>
  </si>
  <si>
    <t xml:space="preserve">归母净利润</t>
  </si>
  <si>
    <t xml:space="preserve">BPS</t>
  </si>
  <si>
    <t xml:space="preserve">ROA</t>
  </si>
  <si>
    <t xml:space="preserve">成本收入比</t>
  </si>
  <si>
    <t xml:space="preserve">总资产</t>
  </si>
  <si>
    <t xml:space="preserve">贷款本金</t>
  </si>
  <si>
    <t xml:space="preserve">存款本金</t>
  </si>
  <si>
    <r>
      <rPr>
        <b val="true"/>
        <sz val="10"/>
        <color rgb="FFFFFFFF"/>
        <rFont val="思源黑体"/>
        <family val="2"/>
        <charset val="134"/>
      </rPr>
      <t xml:space="preserve">期末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思源黑体"/>
        <family val="2"/>
        <charset val="134"/>
      </rPr>
      <t xml:space="preserve">当前价</t>
    </r>
  </si>
  <si>
    <t xml:space="preserve">PB</t>
  </si>
  <si>
    <t xml:space="preserve">PE</t>
  </si>
  <si>
    <t xml:space="preserve">n.a.</t>
  </si>
  <si>
    <t xml:space="preserve">盈利与规模趋势</t>
  </si>
  <si>
    <t xml:space="preserve">收益率与息差趋势</t>
  </si>
  <si>
    <t xml:space="preserve">口径说明</t>
  </si>
  <si>
    <r>
      <rPr>
        <sz val="11"/>
        <rFont val="Arial"/>
        <family val="0"/>
        <charset val="1"/>
      </rPr>
      <t xml:space="preserve">2016—2025 </t>
    </r>
    <r>
      <rPr>
        <sz val="11"/>
        <rFont val="思源黑体"/>
        <family val="2"/>
        <charset val="134"/>
      </rPr>
      <t xml:space="preserve">为年度数据；</t>
    </r>
    <r>
      <rPr>
        <sz val="11"/>
        <rFont val="Arial"/>
        <family val="0"/>
        <charset val="1"/>
      </rPr>
      <t xml:space="preserve">2024 </t>
    </r>
    <r>
      <rPr>
        <sz val="11"/>
        <rFont val="思源黑体"/>
        <family val="2"/>
        <charset val="134"/>
      </rPr>
      <t xml:space="preserve">起保险合同准则导致比较数据有重述，采用最新披露口径。</t>
    </r>
    <r>
      <rPr>
        <sz val="11"/>
        <rFont val="Arial"/>
        <family val="0"/>
        <charset val="1"/>
      </rPr>
      <t xml:space="preserve">2026H1 </t>
    </r>
    <r>
      <rPr>
        <sz val="11"/>
        <rFont val="思源黑体"/>
        <family val="2"/>
        <charset val="134"/>
      </rPr>
      <t xml:space="preserve">不与全年金额直接相加或同比。</t>
    </r>
  </si>
  <si>
    <t xml:space="preserve">历史估值用途</t>
  </si>
  <si>
    <r>
      <rPr>
        <sz val="11"/>
        <rFont val="思源黑体"/>
        <family val="2"/>
        <charset val="134"/>
      </rPr>
      <t xml:space="preserve">历史 </t>
    </r>
    <r>
      <rPr>
        <sz val="11"/>
        <rFont val="Arial"/>
        <family val="0"/>
        <charset val="1"/>
      </rPr>
      <t xml:space="preserve">PB/PE </t>
    </r>
    <r>
      <rPr>
        <sz val="11"/>
        <rFont val="思源黑体"/>
        <family val="2"/>
        <charset val="134"/>
      </rPr>
      <t xml:space="preserve">主锚使用 </t>
    </r>
    <r>
      <rPr>
        <sz val="11"/>
        <rFont val="Arial"/>
        <family val="0"/>
        <charset val="1"/>
      </rPr>
      <t xml:space="preserve">2020—2025 </t>
    </r>
    <r>
      <rPr>
        <sz val="11"/>
        <rFont val="思源黑体"/>
        <family val="2"/>
        <charset val="134"/>
      </rPr>
      <t xml:space="preserve">六个年末快照，避免把更早股本变动直接混入中枢。</t>
    </r>
  </si>
  <si>
    <t xml:space="preserve">北京银行资产质量、资本与重点敞口</t>
  </si>
  <si>
    <r>
      <rPr>
        <i val="true"/>
        <sz val="9"/>
        <color rgb="FF667085"/>
        <rFont val="思源黑体"/>
        <family val="2"/>
        <charset val="134"/>
      </rPr>
      <t xml:space="preserve">经营数据截至 </t>
    </r>
    <r>
      <rPr>
        <i val="true"/>
        <sz val="9"/>
        <color rgb="FF667085"/>
        <rFont val="Arial"/>
        <family val="0"/>
        <charset val="1"/>
      </rPr>
      <t xml:space="preserve">2026-06-30</t>
    </r>
    <r>
      <rPr>
        <i val="true"/>
        <sz val="9"/>
        <color rgb="FF667085"/>
        <rFont val="思源黑体"/>
        <family val="2"/>
        <charset val="134"/>
      </rPr>
      <t xml:space="preserve">；金额单位：亿元</t>
    </r>
  </si>
  <si>
    <t xml:space="preserve">核心风险指标</t>
  </si>
  <si>
    <t xml:space="preserve">贷款结构与重点敞口</t>
  </si>
  <si>
    <t xml:space="preserve">2024A</t>
  </si>
  <si>
    <t xml:space="preserve">2025A</t>
  </si>
  <si>
    <r>
      <rPr>
        <b val="true"/>
        <sz val="10"/>
        <color rgb="FFFFFFFF"/>
        <rFont val="思源黑体"/>
        <family val="2"/>
        <charset val="134"/>
      </rPr>
      <t xml:space="preserve">变化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思源黑体"/>
        <family val="2"/>
        <charset val="134"/>
      </rPr>
      <t xml:space="preserve">判断</t>
    </r>
  </si>
  <si>
    <t xml:space="preserve">项目</t>
  </si>
  <si>
    <t xml:space="preserve">变动</t>
  </si>
  <si>
    <t xml:space="preserve">占贷款比</t>
  </si>
  <si>
    <t xml:space="preserve">风险含义</t>
  </si>
  <si>
    <r>
      <rPr>
        <sz val="11"/>
        <rFont val="思源黑体"/>
        <family val="2"/>
        <charset val="134"/>
      </rPr>
      <t xml:space="preserve">较年初 </t>
    </r>
    <r>
      <rPr>
        <sz val="11"/>
        <rFont val="Arial"/>
        <family val="0"/>
        <charset val="1"/>
      </rPr>
      <t xml:space="preserve">+1bp</t>
    </r>
  </si>
  <si>
    <t xml:space="preserve">公司贷款</t>
  </si>
  <si>
    <t xml:space="preserve">主体增长来源</t>
  </si>
  <si>
    <t xml:space="preserve">本金</t>
  </si>
  <si>
    <t xml:space="preserve">含一般贷款、贴现、福费廷</t>
  </si>
  <si>
    <t xml:space="preserve">关注率</t>
  </si>
  <si>
    <r>
      <rPr>
        <sz val="11"/>
        <rFont val="思源黑体"/>
        <family val="2"/>
        <charset val="134"/>
      </rPr>
      <t xml:space="preserve">较年初 </t>
    </r>
    <r>
      <rPr>
        <sz val="11"/>
        <rFont val="Arial"/>
        <family val="0"/>
        <charset val="1"/>
      </rPr>
      <t xml:space="preserve">-3bp</t>
    </r>
  </si>
  <si>
    <t xml:space="preserve">个人贷款</t>
  </si>
  <si>
    <t xml:space="preserve">零售收缩</t>
  </si>
  <si>
    <t xml:space="preserve">个人端需求与风险出清并存</t>
  </si>
  <si>
    <t xml:space="preserve">逾期率</t>
  </si>
  <si>
    <t xml:space="preserve">持平</t>
  </si>
  <si>
    <t xml:space="preserve">住房按揭</t>
  </si>
  <si>
    <t xml:space="preserve">抵押类零售</t>
  </si>
  <si>
    <t xml:space="preserve">不等同于全部涉房敞口</t>
  </si>
  <si>
    <r>
      <rPr>
        <sz val="11"/>
        <rFont val="Arial"/>
        <family val="0"/>
        <charset val="1"/>
      </rPr>
      <t xml:space="preserve">90</t>
    </r>
    <r>
      <rPr>
        <sz val="11"/>
        <rFont val="思源黑体"/>
        <family val="2"/>
        <charset val="134"/>
      </rPr>
      <t xml:space="preserve">天以上逾期</t>
    </r>
    <r>
      <rPr>
        <sz val="11"/>
        <rFont val="Arial"/>
        <family val="0"/>
        <charset val="1"/>
      </rPr>
      <t xml:space="preserve">/</t>
    </r>
    <r>
      <rPr>
        <sz val="11"/>
        <rFont val="思源黑体"/>
        <family val="2"/>
        <charset val="134"/>
      </rPr>
      <t xml:space="preserve">不良</t>
    </r>
  </si>
  <si>
    <r>
      <rPr>
        <sz val="11"/>
        <rFont val="思源黑体"/>
        <family val="2"/>
        <charset val="134"/>
      </rPr>
      <t xml:space="preserve">较年初 </t>
    </r>
    <r>
      <rPr>
        <sz val="11"/>
        <rFont val="Arial"/>
        <family val="0"/>
        <charset val="1"/>
      </rPr>
      <t xml:space="preserve">+218bp</t>
    </r>
  </si>
  <si>
    <t xml:space="preserve">个人经营贷</t>
  </si>
  <si>
    <t xml:space="preserve">下降较快</t>
  </si>
  <si>
    <t xml:space="preserve">需关注小微还款能力</t>
  </si>
  <si>
    <r>
      <rPr>
        <sz val="11"/>
        <rFont val="思源黑体"/>
        <family val="2"/>
        <charset val="134"/>
      </rPr>
      <t xml:space="preserve">较年初 </t>
    </r>
    <r>
      <rPr>
        <sz val="11"/>
        <rFont val="Arial"/>
        <family val="0"/>
        <charset val="1"/>
      </rPr>
      <t xml:space="preserve">-62bp</t>
    </r>
  </si>
  <si>
    <t xml:space="preserve">个人消费贷</t>
  </si>
  <si>
    <t xml:space="preserve">下降</t>
  </si>
  <si>
    <t xml:space="preserve">收益较高但信用风险敏感</t>
  </si>
  <si>
    <t xml:space="preserve">拨贷比</t>
  </si>
  <si>
    <t xml:space="preserve">信用卡</t>
  </si>
  <si>
    <t xml:space="preserve">规模较小</t>
  </si>
  <si>
    <t xml:space="preserve">同比口径未披露</t>
  </si>
  <si>
    <r>
      <rPr>
        <sz val="11"/>
        <rFont val="思源黑体"/>
        <family val="2"/>
        <charset val="134"/>
      </rPr>
      <t xml:space="preserve">较</t>
    </r>
    <r>
      <rPr>
        <sz val="11"/>
        <rFont val="Arial"/>
        <family val="0"/>
        <charset val="1"/>
      </rPr>
      <t xml:space="preserve">2025</t>
    </r>
    <r>
      <rPr>
        <sz val="11"/>
        <rFont val="思源黑体"/>
        <family val="2"/>
        <charset val="134"/>
      </rPr>
      <t xml:space="preserve">全年 </t>
    </r>
    <r>
      <rPr>
        <sz val="11"/>
        <rFont val="Arial"/>
        <family val="0"/>
        <charset val="1"/>
      </rPr>
      <t xml:space="preserve">+14bp</t>
    </r>
  </si>
  <si>
    <t xml:space="preserve">房地产业贷款</t>
  </si>
  <si>
    <t xml:space="preserve">对公口径下降</t>
  </si>
  <si>
    <t xml:space="preserve">行业分类</t>
  </si>
  <si>
    <t xml:space="preserve">不能代表承担信用风险涉房总敞口</t>
  </si>
  <si>
    <t xml:space="preserve">核心一级资本充足率</t>
  </si>
  <si>
    <r>
      <rPr>
        <sz val="11"/>
        <rFont val="思源黑体"/>
        <family val="2"/>
        <charset val="134"/>
      </rPr>
      <t xml:space="preserve">较年初 </t>
    </r>
    <r>
      <rPr>
        <sz val="11"/>
        <rFont val="Arial"/>
        <family val="0"/>
        <charset val="1"/>
      </rPr>
      <t xml:space="preserve">+54bp</t>
    </r>
  </si>
  <si>
    <t xml:space="preserve">关注贷款</t>
  </si>
  <si>
    <t xml:space="preserve">余额下降</t>
  </si>
  <si>
    <t xml:space="preserve">五级分类</t>
  </si>
  <si>
    <r>
      <rPr>
        <sz val="11"/>
        <rFont val="思源黑体"/>
        <family val="2"/>
        <charset val="134"/>
      </rPr>
      <t xml:space="preserve">迁徙率升至 </t>
    </r>
    <r>
      <rPr>
        <sz val="11"/>
        <rFont val="Arial"/>
        <family val="0"/>
        <charset val="1"/>
      </rPr>
      <t xml:space="preserve">50.72%</t>
    </r>
  </si>
  <si>
    <t xml:space="preserve">资本充足率</t>
  </si>
  <si>
    <r>
      <rPr>
        <sz val="11"/>
        <rFont val="思源黑体"/>
        <family val="2"/>
        <charset val="134"/>
      </rPr>
      <t xml:space="preserve">较年初 </t>
    </r>
    <r>
      <rPr>
        <sz val="11"/>
        <rFont val="Arial"/>
        <family val="0"/>
        <charset val="1"/>
      </rPr>
      <t xml:space="preserve">+122bp</t>
    </r>
  </si>
  <si>
    <t xml:space="preserve">逾期贷款</t>
  </si>
  <si>
    <t xml:space="preserve">总额基本持平</t>
  </si>
  <si>
    <t xml:space="preserve">本金逾期</t>
  </si>
  <si>
    <r>
      <rPr>
        <sz val="11"/>
        <rFont val="Arial"/>
        <family val="0"/>
        <charset val="1"/>
      </rPr>
      <t xml:space="preserve">90</t>
    </r>
    <r>
      <rPr>
        <sz val="11"/>
        <rFont val="思源黑体"/>
        <family val="2"/>
        <charset val="134"/>
      </rPr>
      <t xml:space="preserve">天以上偏离度上升</t>
    </r>
  </si>
  <si>
    <t xml:space="preserve">流动性覆盖率</t>
  </si>
  <si>
    <t xml:space="preserve">流动性充足</t>
  </si>
  <si>
    <t xml:space="preserve">不良、拨备与处置</t>
  </si>
  <si>
    <t xml:space="preserve">风险诊断</t>
  </si>
  <si>
    <t xml:space="preserve">变化</t>
  </si>
  <si>
    <t xml:space="preserve">单位</t>
  </si>
  <si>
    <r>
      <rPr>
        <sz val="11"/>
        <rFont val="Arial"/>
        <family val="0"/>
        <charset val="1"/>
      </rPr>
      <t xml:space="preserve">2026H1 </t>
    </r>
    <r>
      <rPr>
        <sz val="11"/>
        <rFont val="思源黑体"/>
        <family val="2"/>
        <charset val="134"/>
      </rPr>
      <t xml:space="preserve">信用减值损失 </t>
    </r>
    <r>
      <rPr>
        <sz val="11"/>
        <rFont val="Arial"/>
        <family val="0"/>
        <charset val="1"/>
      </rPr>
      <t xml:space="preserve">100.05 </t>
    </r>
    <r>
      <rPr>
        <sz val="11"/>
        <rFont val="思源黑体"/>
        <family val="2"/>
        <charset val="134"/>
      </rPr>
      <t xml:space="preserve">亿元，同比增加 </t>
    </r>
    <r>
      <rPr>
        <sz val="11"/>
        <rFont val="Arial"/>
        <family val="0"/>
        <charset val="1"/>
      </rPr>
      <t xml:space="preserve">11.49%</t>
    </r>
    <r>
      <rPr>
        <sz val="11"/>
        <rFont val="思源黑体"/>
        <family val="2"/>
        <charset val="134"/>
      </rPr>
      <t xml:space="preserve">。</t>
    </r>
  </si>
  <si>
    <t xml:space="preserve">正常类贷款</t>
  </si>
  <si>
    <t xml:space="preserve">亿元</t>
  </si>
  <si>
    <t xml:space="preserve">贷款总量近乎不变</t>
  </si>
  <si>
    <r>
      <rPr>
        <sz val="11"/>
        <rFont val="思源黑体"/>
        <family val="2"/>
        <charset val="134"/>
      </rPr>
      <t xml:space="preserve">关注率下降，但关注类迁徙率由 </t>
    </r>
    <r>
      <rPr>
        <sz val="11"/>
        <rFont val="Arial"/>
        <family val="0"/>
        <charset val="1"/>
      </rPr>
      <t xml:space="preserve">28.69% </t>
    </r>
    <r>
      <rPr>
        <sz val="11"/>
        <rFont val="思源黑体"/>
        <family val="2"/>
        <charset val="134"/>
      </rPr>
      <t xml:space="preserve">升至 </t>
    </r>
    <r>
      <rPr>
        <sz val="11"/>
        <rFont val="Arial"/>
        <family val="0"/>
        <charset val="1"/>
      </rPr>
      <t xml:space="preserve">50.72%</t>
    </r>
    <r>
      <rPr>
        <sz val="11"/>
        <rFont val="思源黑体"/>
        <family val="2"/>
        <charset val="134"/>
      </rPr>
      <t xml:space="preserve">。</t>
    </r>
  </si>
  <si>
    <t xml:space="preserve">关注类贷款</t>
  </si>
  <si>
    <r>
      <rPr>
        <sz val="11"/>
        <rFont val="思源黑体"/>
        <family val="2"/>
        <charset val="134"/>
      </rPr>
      <t xml:space="preserve">核销及转出 </t>
    </r>
    <r>
      <rPr>
        <sz val="11"/>
        <rFont val="Arial"/>
        <family val="0"/>
        <charset val="1"/>
      </rPr>
      <t xml:space="preserve">119.28 </t>
    </r>
    <r>
      <rPr>
        <sz val="11"/>
        <rFont val="思源黑体"/>
        <family val="2"/>
        <charset val="134"/>
      </rPr>
      <t xml:space="preserve">亿元，不良余额仅增加 </t>
    </r>
    <r>
      <rPr>
        <sz val="11"/>
        <rFont val="Arial"/>
        <family val="0"/>
        <charset val="1"/>
      </rPr>
      <t xml:space="preserve">1.91 </t>
    </r>
    <r>
      <rPr>
        <sz val="11"/>
        <rFont val="思源黑体"/>
        <family val="2"/>
        <charset val="134"/>
      </rPr>
      <t xml:space="preserve">亿元。</t>
    </r>
  </si>
  <si>
    <t xml:space="preserve">不良贷款</t>
  </si>
  <si>
    <t xml:space="preserve">余额小幅上升</t>
  </si>
  <si>
    <t xml:space="preserve">点时不良率稳定不能单独证明风险已彻底改善；处置与核销贡献较大。</t>
  </si>
  <si>
    <t xml:space="preserve">贷款减值准备期初</t>
  </si>
  <si>
    <t xml:space="preserve">本行口径</t>
  </si>
  <si>
    <r>
      <rPr>
        <sz val="11"/>
        <rFont val="思源黑体"/>
        <family val="2"/>
        <charset val="134"/>
      </rPr>
      <t xml:space="preserve">房地产业贷款占比 </t>
    </r>
    <r>
      <rPr>
        <sz val="11"/>
        <rFont val="Arial"/>
        <family val="0"/>
        <charset val="1"/>
      </rPr>
      <t xml:space="preserve">4.64%</t>
    </r>
    <r>
      <rPr>
        <sz val="11"/>
        <rFont val="思源黑体"/>
        <family val="2"/>
        <charset val="134"/>
      </rPr>
      <t xml:space="preserve">，但报告未完整拆分承担信用风险涉房业务总口径。</t>
    </r>
  </si>
  <si>
    <t xml:space="preserve">本期计提</t>
  </si>
  <si>
    <t xml:space="preserve">信用成本上行</t>
  </si>
  <si>
    <r>
      <rPr>
        <sz val="11"/>
        <rFont val="Arial"/>
        <family val="0"/>
        <charset val="1"/>
      </rPr>
      <t xml:space="preserve">CET1 </t>
    </r>
    <r>
      <rPr>
        <sz val="11"/>
        <rFont val="思源黑体"/>
        <family val="2"/>
        <charset val="134"/>
      </rPr>
      <t xml:space="preserve">回升至 </t>
    </r>
    <r>
      <rPr>
        <sz val="11"/>
        <rFont val="Arial"/>
        <family val="0"/>
        <charset val="1"/>
      </rPr>
      <t xml:space="preserve">8.91%</t>
    </r>
    <r>
      <rPr>
        <sz val="11"/>
        <rFont val="思源黑体"/>
        <family val="2"/>
        <charset val="134"/>
      </rPr>
      <t xml:space="preserve">，改善明显，但仍需约束增长和支付率假设。</t>
    </r>
  </si>
  <si>
    <t xml:space="preserve">收回已核销</t>
  </si>
  <si>
    <t xml:space="preserve">补充拨备</t>
  </si>
  <si>
    <r>
      <rPr>
        <sz val="11"/>
        <rFont val="思源黑体"/>
        <family val="2"/>
        <charset val="134"/>
      </rPr>
      <t xml:space="preserve">信用成本</t>
    </r>
    <r>
      <rPr>
        <sz val="11"/>
        <rFont val="Arial"/>
        <family val="0"/>
        <charset val="1"/>
      </rPr>
      <t xml:space="preserve">&gt;1%</t>
    </r>
    <r>
      <rPr>
        <sz val="11"/>
        <rFont val="思源黑体"/>
        <family val="2"/>
        <charset val="134"/>
      </rPr>
      <t xml:space="preserve">、关注率</t>
    </r>
    <r>
      <rPr>
        <sz val="11"/>
        <rFont val="Arial"/>
        <family val="0"/>
        <charset val="1"/>
      </rPr>
      <t xml:space="preserve">&gt;1.7%</t>
    </r>
    <r>
      <rPr>
        <sz val="11"/>
        <rFont val="思源黑体"/>
        <family val="2"/>
        <charset val="134"/>
      </rPr>
      <t xml:space="preserve">、逾期率</t>
    </r>
    <r>
      <rPr>
        <sz val="11"/>
        <rFont val="Arial"/>
        <family val="0"/>
        <charset val="1"/>
      </rPr>
      <t xml:space="preserve">&gt;2.1%</t>
    </r>
    <r>
      <rPr>
        <sz val="11"/>
        <rFont val="思源黑体"/>
        <family val="2"/>
        <charset val="134"/>
      </rPr>
      <t xml:space="preserve">、</t>
    </r>
    <r>
      <rPr>
        <sz val="11"/>
        <rFont val="Arial"/>
        <family val="0"/>
        <charset val="1"/>
      </rPr>
      <t xml:space="preserve">CET1&lt;8.5% </t>
    </r>
    <r>
      <rPr>
        <sz val="11"/>
        <rFont val="思源黑体"/>
        <family val="2"/>
        <charset val="134"/>
      </rPr>
      <t xml:space="preserve">为主要触发线。</t>
    </r>
  </si>
  <si>
    <t xml:space="preserve">本期核销及转出</t>
  </si>
  <si>
    <t xml:space="preserve">处置规模大于不良净增</t>
  </si>
  <si>
    <t xml:space="preserve">贷款减值准备期末</t>
  </si>
  <si>
    <t xml:space="preserve">北京银行同业比较</t>
  </si>
  <si>
    <r>
      <rPr>
        <i val="true"/>
        <sz val="9"/>
        <color rgb="FF667085"/>
        <rFont val="思源黑体"/>
        <family val="2"/>
        <charset val="134"/>
      </rPr>
      <t xml:space="preserve">市场快照：</t>
    </r>
    <r>
      <rPr>
        <i val="true"/>
        <sz val="9"/>
        <color rgb="FF667085"/>
        <rFont val="Arial"/>
        <family val="0"/>
        <charset val="1"/>
      </rPr>
      <t xml:space="preserve">2026-10-14 11:55</t>
    </r>
    <r>
      <rPr>
        <i val="true"/>
        <sz val="9"/>
        <color rgb="FF667085"/>
        <rFont val="思源黑体"/>
        <family val="2"/>
        <charset val="134"/>
      </rPr>
      <t xml:space="preserve">；财务数据：</t>
    </r>
    <r>
      <rPr>
        <i val="true"/>
        <sz val="9"/>
        <color rgb="FF667085"/>
        <rFont val="Arial"/>
        <family val="0"/>
        <charset val="1"/>
      </rPr>
      <t xml:space="preserve">2026H1</t>
    </r>
    <r>
      <rPr>
        <i val="true"/>
        <sz val="9"/>
        <color rgb="FF667085"/>
        <rFont val="思源黑体"/>
        <family val="2"/>
        <charset val="134"/>
      </rPr>
      <t xml:space="preserve">；</t>
    </r>
    <r>
      <rPr>
        <i val="true"/>
        <sz val="9"/>
        <color rgb="FF667085"/>
        <rFont val="Arial"/>
        <family val="0"/>
        <charset val="1"/>
      </rPr>
      <t xml:space="preserve">ROE </t>
    </r>
    <r>
      <rPr>
        <i val="true"/>
        <sz val="9"/>
        <color rgb="FF667085"/>
        <rFont val="思源黑体"/>
        <family val="2"/>
        <charset val="134"/>
      </rPr>
      <t xml:space="preserve">为半年值简单年化</t>
    </r>
  </si>
  <si>
    <t xml:space="preserve">银行</t>
  </si>
  <si>
    <t xml:space="preserve">股价</t>
  </si>
  <si>
    <t xml:space="preserve">PE TTM</t>
  </si>
  <si>
    <r>
      <rPr>
        <b val="true"/>
        <sz val="10"/>
        <color rgb="FFFFFFFF"/>
        <rFont val="Arial"/>
        <family val="0"/>
        <charset val="1"/>
      </rPr>
      <t xml:space="preserve">ROE(</t>
    </r>
    <r>
      <rPr>
        <b val="true"/>
        <sz val="10"/>
        <color rgb="FFFFFFFF"/>
        <rFont val="思源黑体"/>
        <family val="2"/>
        <charset val="134"/>
      </rPr>
      <t xml:space="preserve">年化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</si>
  <si>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净利增速</t>
  </si>
  <si>
    <t xml:space="preserve">上海银行</t>
  </si>
  <si>
    <t xml:space="preserve">601229.SH</t>
  </si>
  <si>
    <t xml:space="preserve">江苏银行</t>
  </si>
  <si>
    <t xml:space="preserve">600919.SH</t>
  </si>
  <si>
    <t xml:space="preserve">南京银行</t>
  </si>
  <si>
    <t xml:space="preserve">601009.SH</t>
  </si>
  <si>
    <t xml:space="preserve">宁波银行</t>
  </si>
  <si>
    <t xml:space="preserve">002142.SZ</t>
  </si>
  <si>
    <t xml:space="preserve">杭州银行</t>
  </si>
  <si>
    <t xml:space="preserve">600926.SH</t>
  </si>
  <si>
    <t xml:space="preserve">成都银行</t>
  </si>
  <si>
    <t xml:space="preserve">601838.SH</t>
  </si>
  <si>
    <t xml:space="preserve">同业中位数（不含北京银行）</t>
  </si>
  <si>
    <r>
      <rPr>
        <b val="true"/>
        <sz val="10"/>
        <color rgb="FFFFFFFF"/>
        <rFont val="思源黑体"/>
        <family val="2"/>
        <charset val="134"/>
      </rPr>
      <t xml:space="preserve">同业 </t>
    </r>
    <r>
      <rPr>
        <b val="true"/>
        <sz val="10"/>
        <color rgb="FFFFFFFF"/>
        <rFont val="Arial"/>
        <family val="0"/>
        <charset val="1"/>
      </rPr>
      <t xml:space="preserve">ROE </t>
    </r>
    <r>
      <rPr>
        <b val="true"/>
        <sz val="10"/>
        <color rgb="FFFFFFFF"/>
        <rFont val="思源黑体"/>
        <family val="2"/>
        <charset val="134"/>
      </rPr>
      <t xml:space="preserve">调整 </t>
    </r>
    <r>
      <rPr>
        <b val="true"/>
        <sz val="10"/>
        <color rgb="FFFFFFFF"/>
        <rFont val="Arial"/>
        <family val="0"/>
        <charset val="1"/>
      </rPr>
      <t xml:space="preserve">PB</t>
    </r>
  </si>
  <si>
    <r>
      <rPr>
        <b val="true"/>
        <sz val="10"/>
        <color rgb="FFFFFFFF"/>
        <rFont val="思源黑体"/>
        <family val="2"/>
        <charset val="134"/>
      </rPr>
      <t xml:space="preserve">当前 </t>
    </r>
    <r>
      <rPr>
        <b val="true"/>
        <sz val="10"/>
        <color rgb="FFFFFFFF"/>
        <rFont val="Arial"/>
        <family val="0"/>
        <charset val="1"/>
      </rPr>
      <t xml:space="preserve">PB </t>
    </r>
    <r>
      <rPr>
        <b val="true"/>
        <sz val="10"/>
        <color rgb="FFFFFFFF"/>
        <rFont val="思源黑体"/>
        <family val="2"/>
        <charset val="134"/>
      </rPr>
      <t xml:space="preserve">对比</t>
    </r>
  </si>
  <si>
    <r>
      <rPr>
        <sz val="11"/>
        <rFont val="思源黑体"/>
        <family val="2"/>
        <charset val="134"/>
      </rPr>
      <t xml:space="preserve">同业 </t>
    </r>
    <r>
      <rPr>
        <sz val="11"/>
        <rFont val="Arial"/>
        <family val="0"/>
        <charset val="1"/>
      </rPr>
      <t xml:space="preserve">PB </t>
    </r>
    <r>
      <rPr>
        <sz val="11"/>
        <rFont val="思源黑体"/>
        <family val="2"/>
        <charset val="134"/>
      </rPr>
      <t xml:space="preserve">中位数</t>
    </r>
  </si>
  <si>
    <t xml:space="preserve">计算说明</t>
  </si>
  <si>
    <r>
      <rPr>
        <sz val="11"/>
        <rFont val="思源黑体"/>
        <family val="2"/>
        <charset val="134"/>
      </rPr>
      <t xml:space="preserve">北京银行 </t>
    </r>
    <r>
      <rPr>
        <sz val="11"/>
        <rFont val="Arial"/>
        <family val="0"/>
        <charset val="1"/>
      </rPr>
      <t xml:space="preserve">ROE</t>
    </r>
  </si>
  <si>
    <t xml:space="preserve">可比组</t>
  </si>
  <si>
    <t xml:space="preserve">城商行同业</t>
  </si>
  <si>
    <r>
      <rPr>
        <sz val="11"/>
        <rFont val="思源黑体"/>
        <family val="2"/>
        <charset val="134"/>
      </rPr>
      <t xml:space="preserve">同业 </t>
    </r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中位数</t>
    </r>
  </si>
  <si>
    <t xml:space="preserve">β</t>
  </si>
  <si>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差异向 </t>
    </r>
    <r>
      <rPr>
        <sz val="11"/>
        <rFont val="Arial"/>
        <family val="0"/>
        <charset val="1"/>
      </rPr>
      <t xml:space="preserve">PB </t>
    </r>
    <r>
      <rPr>
        <sz val="11"/>
        <rFont val="思源黑体"/>
        <family val="2"/>
        <charset val="134"/>
      </rPr>
      <t xml:space="preserve">传导</t>
    </r>
  </si>
  <si>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弹性 </t>
    </r>
    <r>
      <rPr>
        <sz val="11"/>
        <rFont val="Arial"/>
        <family val="0"/>
        <charset val="1"/>
      </rPr>
      <t xml:space="preserve">β</t>
    </r>
  </si>
  <si>
    <t xml:space="preserve">额外折价</t>
  </si>
  <si>
    <r>
      <rPr>
        <sz val="11"/>
        <rFont val="思源黑体"/>
        <family val="2"/>
        <charset val="134"/>
      </rPr>
      <t xml:space="preserve">北京银行 </t>
    </r>
    <r>
      <rPr>
        <sz val="11"/>
        <rFont val="Arial"/>
        <family val="0"/>
        <charset val="1"/>
      </rPr>
      <t xml:space="preserve">CET1 </t>
    </r>
    <r>
      <rPr>
        <sz val="11"/>
        <rFont val="思源黑体"/>
        <family val="2"/>
        <charset val="134"/>
      </rPr>
      <t xml:space="preserve">较低且资产质量弱于优质同业</t>
    </r>
  </si>
  <si>
    <t xml:space="preserve">质量与资本折价</t>
  </si>
  <si>
    <t xml:space="preserve">目标每股价值</t>
  </si>
  <si>
    <r>
      <rPr>
        <sz val="11"/>
        <rFont val="思源黑体"/>
        <family val="2"/>
        <charset val="134"/>
      </rPr>
      <t xml:space="preserve">目标 </t>
    </r>
    <r>
      <rPr>
        <sz val="11"/>
        <rFont val="Arial"/>
        <family val="0"/>
        <charset val="1"/>
      </rPr>
      <t xml:space="preserve">PB</t>
    </r>
  </si>
  <si>
    <t xml:space="preserve">结果口径</t>
  </si>
  <si>
    <r>
      <rPr>
        <sz val="11"/>
        <rFont val="思源黑体"/>
        <family val="2"/>
        <charset val="134"/>
      </rPr>
      <t xml:space="preserve">目标 </t>
    </r>
    <r>
      <rPr>
        <sz val="11"/>
        <rFont val="Arial"/>
        <family val="0"/>
        <charset val="1"/>
      </rPr>
      <t xml:space="preserve">PB × </t>
    </r>
    <r>
      <rPr>
        <sz val="11"/>
        <rFont val="思源黑体"/>
        <family val="2"/>
        <charset val="134"/>
      </rPr>
      <t xml:space="preserve">北京银行 </t>
    </r>
    <r>
      <rPr>
        <sz val="11"/>
        <rFont val="Arial"/>
        <family val="0"/>
        <charset val="1"/>
      </rPr>
      <t xml:space="preserve">BPS</t>
    </r>
  </si>
  <si>
    <r>
      <rPr>
        <sz val="11"/>
        <rFont val="思源黑体"/>
        <family val="2"/>
        <charset val="134"/>
      </rPr>
      <t xml:space="preserve">北京银行 </t>
    </r>
    <r>
      <rPr>
        <sz val="11"/>
        <rFont val="Arial"/>
        <family val="0"/>
        <charset val="1"/>
      </rPr>
      <t xml:space="preserve">PB </t>
    </r>
    <r>
      <rPr>
        <sz val="11"/>
        <rFont val="思源黑体"/>
        <family val="2"/>
        <charset val="134"/>
      </rPr>
      <t xml:space="preserve">低于同业中位数，但 </t>
    </r>
    <r>
      <rPr>
        <sz val="11"/>
        <rFont val="Arial"/>
        <family val="0"/>
        <charset val="1"/>
      </rPr>
      <t xml:space="preserve">ROE</t>
    </r>
    <r>
      <rPr>
        <sz val="11"/>
        <rFont val="思源黑体"/>
        <family val="2"/>
        <charset val="134"/>
      </rPr>
      <t xml:space="preserve">、</t>
    </r>
    <r>
      <rPr>
        <sz val="11"/>
        <rFont val="Arial"/>
        <family val="0"/>
        <charset val="1"/>
      </rPr>
      <t xml:space="preserve">CET1 </t>
    </r>
    <r>
      <rPr>
        <sz val="11"/>
        <rFont val="思源黑体"/>
        <family val="2"/>
        <charset val="134"/>
      </rPr>
      <t xml:space="preserve">和不良率也弱于多数高质量城商行。折价并非全是误定价。</t>
    </r>
  </si>
  <si>
    <t xml:space="preserve">模型使用</t>
  </si>
  <si>
    <r>
      <rPr>
        <sz val="11"/>
        <rFont val="思源黑体"/>
        <family val="2"/>
        <charset val="134"/>
      </rPr>
      <t xml:space="preserve">以 </t>
    </r>
    <r>
      <rPr>
        <sz val="11"/>
        <rFont val="Arial"/>
        <family val="0"/>
        <charset val="1"/>
      </rPr>
      <t xml:space="preserve">β=0.8 </t>
    </r>
    <r>
      <rPr>
        <sz val="11"/>
        <rFont val="思源黑体"/>
        <family val="2"/>
        <charset val="134"/>
      </rPr>
      <t xml:space="preserve">调整 </t>
    </r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差异，再追加 </t>
    </r>
    <r>
      <rPr>
        <sz val="11"/>
        <rFont val="Arial"/>
        <family val="0"/>
        <charset val="1"/>
      </rPr>
      <t xml:space="preserve">15% </t>
    </r>
    <r>
      <rPr>
        <sz val="11"/>
        <rFont val="思源黑体"/>
        <family val="2"/>
        <charset val="134"/>
      </rPr>
      <t xml:space="preserve">质量与资本折价，结果进入组合估值。</t>
    </r>
  </si>
  <si>
    <t xml:space="preserve">局限</t>
  </si>
  <si>
    <t xml:space="preserve">市场数据来自同一时点第三方快照；各行会计和业务结构仍有差异。</t>
  </si>
  <si>
    <r>
      <rPr>
        <sz val="11"/>
        <rFont val="思源黑体"/>
        <family val="2"/>
        <charset val="134"/>
      </rPr>
      <t xml:space="preserve">若北京银行 </t>
    </r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提升且 </t>
    </r>
    <r>
      <rPr>
        <sz val="11"/>
        <rFont val="Arial"/>
        <family val="0"/>
        <charset val="1"/>
      </rPr>
      <t xml:space="preserve">CET1 </t>
    </r>
    <r>
      <rPr>
        <sz val="11"/>
        <rFont val="思源黑体"/>
        <family val="2"/>
        <charset val="134"/>
      </rPr>
      <t xml:space="preserve">保持 </t>
    </r>
    <r>
      <rPr>
        <sz val="11"/>
        <rFont val="Arial"/>
        <family val="0"/>
        <charset val="1"/>
      </rPr>
      <t xml:space="preserve">8.8%</t>
    </r>
    <r>
      <rPr>
        <sz val="11"/>
        <rFont val="思源黑体"/>
        <family val="2"/>
        <charset val="134"/>
      </rPr>
      <t xml:space="preserve">以上，额外折价可下调；反之应上调。</t>
    </r>
  </si>
  <si>
    <t xml:space="preserve">北京银行长期质量框架</t>
  </si>
  <si>
    <t xml:space="preserve">适用于银行的能力圈、负债优势、信贷文化、资本配置与价值陷阱检查</t>
  </si>
  <si>
    <t xml:space="preserve">维度</t>
  </si>
  <si>
    <t xml:space="preserve">客观证据</t>
  </si>
  <si>
    <t xml:space="preserve">支持因素</t>
  </si>
  <si>
    <r>
      <rPr>
        <b val="true"/>
        <sz val="10"/>
        <color rgb="FFFFFFFF"/>
        <rFont val="思源黑体"/>
        <family val="2"/>
        <charset val="134"/>
      </rPr>
      <t xml:space="preserve">反证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思源黑体"/>
        <family val="2"/>
        <charset val="134"/>
      </rPr>
      <t xml:space="preserve">风险</t>
    </r>
  </si>
  <si>
    <t xml:space="preserve">监控指标</t>
  </si>
  <si>
    <t xml:space="preserve">能力圈</t>
  </si>
  <si>
    <r>
      <rPr>
        <sz val="11"/>
        <rFont val="思源黑体"/>
        <family val="2"/>
        <charset val="134"/>
      </rPr>
      <t xml:space="preserve">扎根北京并覆盖京津冀、长三角等区域；北京贷款占 </t>
    </r>
    <r>
      <rPr>
        <sz val="11"/>
        <rFont val="Arial"/>
        <family val="0"/>
        <charset val="1"/>
      </rPr>
      <t xml:space="preserve">41.18%</t>
    </r>
    <r>
      <rPr>
        <sz val="11"/>
        <rFont val="思源黑体"/>
        <family val="2"/>
        <charset val="134"/>
      </rPr>
      <t xml:space="preserve">。</t>
    </r>
  </si>
  <si>
    <t xml:space="preserve">可理解</t>
  </si>
  <si>
    <t xml:space="preserve">区域客户基础清晰</t>
  </si>
  <si>
    <t xml:space="preserve">区域与大客户集中度</t>
  </si>
  <si>
    <t xml:space="preserve">北京贷款占比、前十大客户</t>
  </si>
  <si>
    <t xml:space="preserve">区域信用风险明显抬升</t>
  </si>
  <si>
    <t xml:space="preserve">商业模式</t>
  </si>
  <si>
    <r>
      <rPr>
        <sz val="11"/>
        <rFont val="思源黑体"/>
        <family val="2"/>
        <charset val="134"/>
      </rPr>
      <t xml:space="preserve">利息净收入占营收 </t>
    </r>
    <r>
      <rPr>
        <sz val="11"/>
        <rFont val="Arial"/>
        <family val="0"/>
        <charset val="1"/>
      </rPr>
      <t xml:space="preserve">71.86%</t>
    </r>
    <r>
      <rPr>
        <sz val="11"/>
        <rFont val="思源黑体"/>
        <family val="2"/>
        <charset val="134"/>
      </rPr>
      <t xml:space="preserve">，存款占负债 </t>
    </r>
    <r>
      <rPr>
        <sz val="11"/>
        <rFont val="Arial"/>
        <family val="0"/>
        <charset val="1"/>
      </rPr>
      <t xml:space="preserve">65.07%</t>
    </r>
    <r>
      <rPr>
        <sz val="11"/>
        <rFont val="思源黑体"/>
        <family val="2"/>
        <charset val="134"/>
      </rPr>
      <t xml:space="preserve">。</t>
    </r>
  </si>
  <si>
    <t xml:space="preserve">较稳定</t>
  </si>
  <si>
    <t xml:space="preserve">公司与政府客户基础</t>
  </si>
  <si>
    <t xml:space="preserve">息差仍处下行区间</t>
  </si>
  <si>
    <r>
      <rPr>
        <sz val="11"/>
        <rFont val="Arial"/>
        <family val="0"/>
        <charset val="1"/>
      </rPr>
      <t xml:space="preserve">NIM</t>
    </r>
    <r>
      <rPr>
        <sz val="11"/>
        <rFont val="思源黑体"/>
        <family val="2"/>
        <charset val="134"/>
      </rPr>
      <t xml:space="preserve">、存款成本</t>
    </r>
  </si>
  <si>
    <r>
      <rPr>
        <sz val="11"/>
        <rFont val="Arial"/>
        <family val="0"/>
        <charset val="1"/>
      </rPr>
      <t xml:space="preserve">NIM </t>
    </r>
    <r>
      <rPr>
        <sz val="11"/>
        <rFont val="思源黑体"/>
        <family val="2"/>
        <charset val="134"/>
      </rPr>
      <t xml:space="preserve">持续低于 </t>
    </r>
    <r>
      <rPr>
        <sz val="11"/>
        <rFont val="Arial"/>
        <family val="0"/>
        <charset val="1"/>
      </rPr>
      <t xml:space="preserve">1.15%</t>
    </r>
  </si>
  <si>
    <t xml:space="preserve">存款成本优势</t>
  </si>
  <si>
    <r>
      <rPr>
        <sz val="11"/>
        <rFont val="思源黑体"/>
        <family val="2"/>
        <charset val="134"/>
      </rPr>
      <t xml:space="preserve">负债成本率 </t>
    </r>
    <r>
      <rPr>
        <sz val="11"/>
        <rFont val="Arial"/>
        <family val="0"/>
        <charset val="1"/>
      </rPr>
      <t xml:space="preserve">1.45%</t>
    </r>
    <r>
      <rPr>
        <sz val="11"/>
        <rFont val="思源黑体"/>
        <family val="2"/>
        <charset val="134"/>
      </rPr>
      <t xml:space="preserve">，同比下降 </t>
    </r>
    <r>
      <rPr>
        <sz val="11"/>
        <rFont val="Arial"/>
        <family val="0"/>
        <charset val="1"/>
      </rPr>
      <t xml:space="preserve">27bp</t>
    </r>
    <r>
      <rPr>
        <sz val="11"/>
        <rFont val="思源黑体"/>
        <family val="2"/>
        <charset val="134"/>
      </rPr>
      <t xml:space="preserve">；企业活期存款增长 </t>
    </r>
    <r>
      <rPr>
        <sz val="11"/>
        <rFont val="Arial"/>
        <family val="0"/>
        <charset val="1"/>
      </rPr>
      <t xml:space="preserve">8.02%</t>
    </r>
    <r>
      <rPr>
        <sz val="11"/>
        <rFont val="思源黑体"/>
        <family val="2"/>
        <charset val="134"/>
      </rPr>
      <t xml:space="preserve">。</t>
    </r>
  </si>
  <si>
    <t xml:space="preserve">改善</t>
  </si>
  <si>
    <t xml:space="preserve">高成本负债压降</t>
  </si>
  <si>
    <t xml:space="preserve">个人活期存款略降</t>
  </si>
  <si>
    <t xml:space="preserve">活期占比、存款成本</t>
  </si>
  <si>
    <t xml:space="preserve">存款成本重新上升</t>
  </si>
  <si>
    <t xml:space="preserve">信贷文化</t>
  </si>
  <si>
    <r>
      <rPr>
        <sz val="11"/>
        <rFont val="思源黑体"/>
        <family val="2"/>
        <charset val="134"/>
      </rPr>
      <t xml:space="preserve">不良率 </t>
    </r>
    <r>
      <rPr>
        <sz val="11"/>
        <rFont val="Arial"/>
        <family val="0"/>
        <charset val="1"/>
      </rPr>
      <t xml:space="preserve">1.30%</t>
    </r>
    <r>
      <rPr>
        <sz val="11"/>
        <rFont val="思源黑体"/>
        <family val="2"/>
        <charset val="134"/>
      </rPr>
      <t xml:space="preserve">，拨备覆盖率 </t>
    </r>
    <r>
      <rPr>
        <sz val="11"/>
        <rFont val="Arial"/>
        <family val="0"/>
        <charset val="1"/>
      </rPr>
      <t xml:space="preserve">199.59%</t>
    </r>
    <r>
      <rPr>
        <sz val="11"/>
        <rFont val="思源黑体"/>
        <family val="2"/>
        <charset val="134"/>
      </rPr>
      <t xml:space="preserve">。</t>
    </r>
  </si>
  <si>
    <t xml:space="preserve">需验证</t>
  </si>
  <si>
    <r>
      <rPr>
        <sz val="11"/>
        <rFont val="思源黑体"/>
        <family val="2"/>
        <charset val="134"/>
      </rPr>
      <t xml:space="preserve">拨备仍接近 </t>
    </r>
    <r>
      <rPr>
        <sz val="11"/>
        <rFont val="Arial"/>
        <family val="0"/>
        <charset val="1"/>
      </rPr>
      <t xml:space="preserve">200%</t>
    </r>
  </si>
  <si>
    <t xml:space="preserve">迁徙率和信用成本上升，核销规模大</t>
  </si>
  <si>
    <t xml:space="preserve">新生成不良、核销、迁徙率</t>
  </si>
  <si>
    <t xml:space="preserve">关注与逾期同步恶化</t>
  </si>
  <si>
    <t xml:space="preserve">治理诚信</t>
  </si>
  <si>
    <r>
      <rPr>
        <sz val="11"/>
        <rFont val="思源黑体"/>
        <family val="2"/>
        <charset val="134"/>
      </rPr>
      <t xml:space="preserve">定期披露较完整，</t>
    </r>
    <r>
      <rPr>
        <sz val="11"/>
        <rFont val="Arial"/>
        <family val="0"/>
        <charset val="1"/>
      </rPr>
      <t xml:space="preserve">2026 </t>
    </r>
    <r>
      <rPr>
        <sz val="11"/>
        <rFont val="思源黑体"/>
        <family val="2"/>
        <charset val="134"/>
      </rPr>
      <t xml:space="preserve">中报经审阅。</t>
    </r>
  </si>
  <si>
    <t xml:space="preserve">可接受</t>
  </si>
  <si>
    <t xml:space="preserve">审计与监管披露</t>
  </si>
  <si>
    <t xml:space="preserve">政府股东与关联授信需持续观察</t>
  </si>
  <si>
    <t xml:space="preserve">关联交易、监管处罚</t>
  </si>
  <si>
    <t xml:space="preserve">重大内控或合规事件</t>
  </si>
  <si>
    <t xml:space="preserve">资本配置</t>
  </si>
  <si>
    <r>
      <rPr>
        <sz val="11"/>
        <rFont val="Arial"/>
        <family val="0"/>
        <charset val="1"/>
      </rPr>
      <t xml:space="preserve">CET1 8.91%</t>
    </r>
    <r>
      <rPr>
        <sz val="11"/>
        <rFont val="思源黑体"/>
        <family val="2"/>
        <charset val="134"/>
      </rPr>
      <t xml:space="preserve">，总资本充足率 </t>
    </r>
    <r>
      <rPr>
        <sz val="11"/>
        <rFont val="Arial"/>
        <family val="0"/>
        <charset val="1"/>
      </rPr>
      <t xml:space="preserve">14.10%</t>
    </r>
    <r>
      <rPr>
        <sz val="11"/>
        <rFont val="思源黑体"/>
        <family val="2"/>
        <charset val="134"/>
      </rPr>
      <t xml:space="preserve">；提出中期分红。</t>
    </r>
  </si>
  <si>
    <t xml:space="preserve">受约束</t>
  </si>
  <si>
    <t xml:space="preserve">资本指标回升</t>
  </si>
  <si>
    <t xml:space="preserve">核心一级资本低于优质同业</t>
  </si>
  <si>
    <r>
      <rPr>
        <sz val="11"/>
        <rFont val="Arial"/>
        <family val="0"/>
        <charset val="1"/>
      </rPr>
      <t xml:space="preserve">CET1</t>
    </r>
    <r>
      <rPr>
        <sz val="11"/>
        <rFont val="思源黑体"/>
        <family val="2"/>
        <charset val="134"/>
      </rPr>
      <t xml:space="preserve">、</t>
    </r>
    <r>
      <rPr>
        <sz val="11"/>
        <rFont val="Arial"/>
        <family val="0"/>
        <charset val="1"/>
      </rPr>
      <t xml:space="preserve">RWA</t>
    </r>
    <r>
      <rPr>
        <sz val="11"/>
        <rFont val="思源黑体"/>
        <family val="2"/>
        <charset val="134"/>
      </rPr>
      <t xml:space="preserve">、支付率</t>
    </r>
  </si>
  <si>
    <t xml:space="preserve">高增长与高分红同时出现</t>
  </si>
  <si>
    <t xml:space="preserve">股东回报</t>
  </si>
  <si>
    <r>
      <rPr>
        <sz val="11"/>
        <rFont val="Arial"/>
        <family val="0"/>
        <charset val="1"/>
      </rPr>
      <t xml:space="preserve">2025 DPS 0.278 </t>
    </r>
    <r>
      <rPr>
        <sz val="11"/>
        <rFont val="思源黑体"/>
        <family val="2"/>
        <charset val="134"/>
      </rPr>
      <t xml:space="preserve">元；</t>
    </r>
    <r>
      <rPr>
        <sz val="11"/>
        <rFont val="Arial"/>
        <family val="0"/>
        <charset val="1"/>
      </rPr>
      <t xml:space="preserve">2026H1 </t>
    </r>
    <r>
      <rPr>
        <sz val="11"/>
        <rFont val="思源黑体"/>
        <family val="2"/>
        <charset val="134"/>
      </rPr>
      <t xml:space="preserve">拟派 </t>
    </r>
    <r>
      <rPr>
        <sz val="11"/>
        <rFont val="Arial"/>
        <family val="0"/>
        <charset val="1"/>
      </rPr>
      <t xml:space="preserve">0.13 </t>
    </r>
    <r>
      <rPr>
        <sz val="11"/>
        <rFont val="思源黑体"/>
        <family val="2"/>
        <charset val="134"/>
      </rPr>
      <t xml:space="preserve">元。</t>
    </r>
  </si>
  <si>
    <t xml:space="preserve">稳定性提升</t>
  </si>
  <si>
    <t xml:space="preserve">连续分红并新增中期预案</t>
  </si>
  <si>
    <t xml:space="preserve">预案未实施，盈利需覆盖</t>
  </si>
  <si>
    <r>
      <rPr>
        <sz val="11"/>
        <rFont val="Arial"/>
        <family val="0"/>
        <charset val="1"/>
      </rPr>
      <t xml:space="preserve">DPS</t>
    </r>
    <r>
      <rPr>
        <sz val="11"/>
        <rFont val="思源黑体"/>
        <family val="2"/>
        <charset val="134"/>
      </rPr>
      <t xml:space="preserve">、普通股口径支付率</t>
    </r>
  </si>
  <si>
    <t xml:space="preserve">资本下降而支付率上升</t>
  </si>
  <si>
    <t xml:space="preserve">价值陷阱</t>
  </si>
  <si>
    <r>
      <rPr>
        <sz val="11"/>
        <rFont val="思源黑体"/>
        <family val="2"/>
        <charset val="134"/>
      </rPr>
      <t xml:space="preserve">当前 </t>
    </r>
    <r>
      <rPr>
        <sz val="11"/>
        <rFont val="Arial"/>
        <family val="0"/>
        <charset val="1"/>
      </rPr>
      <t xml:space="preserve">PB </t>
    </r>
    <r>
      <rPr>
        <sz val="11"/>
        <rFont val="思源黑体"/>
        <family val="2"/>
        <charset val="134"/>
      </rPr>
      <t xml:space="preserve">约 </t>
    </r>
    <r>
      <rPr>
        <sz val="11"/>
        <rFont val="Arial"/>
        <family val="0"/>
        <charset val="1"/>
      </rPr>
      <t xml:space="preserve">0.42x</t>
    </r>
    <r>
      <rPr>
        <sz val="11"/>
        <rFont val="思源黑体"/>
        <family val="2"/>
        <charset val="134"/>
      </rPr>
      <t xml:space="preserve">，明显低于同业中位数。</t>
    </r>
  </si>
  <si>
    <t xml:space="preserve">不能排除</t>
  </si>
  <si>
    <t xml:space="preserve">盈利修复可带来重估</t>
  </si>
  <si>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低、资本薄、信用成本上行</t>
    </r>
  </si>
  <si>
    <r>
      <rPr>
        <sz val="11"/>
        <rFont val="Arial"/>
        <family val="0"/>
        <charset val="1"/>
      </rPr>
      <t xml:space="preserve">ROE</t>
    </r>
    <r>
      <rPr>
        <sz val="11"/>
        <rFont val="思源黑体"/>
        <family val="2"/>
        <charset val="134"/>
      </rPr>
      <t xml:space="preserve">、</t>
    </r>
    <r>
      <rPr>
        <sz val="11"/>
        <rFont val="Arial"/>
        <family val="0"/>
        <charset val="1"/>
      </rPr>
      <t xml:space="preserve">CET1</t>
    </r>
    <r>
      <rPr>
        <sz val="11"/>
        <rFont val="思源黑体"/>
        <family val="2"/>
        <charset val="134"/>
      </rPr>
      <t xml:space="preserve">、信用成本</t>
    </r>
  </si>
  <si>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长期低于 </t>
    </r>
    <r>
      <rPr>
        <sz val="11"/>
        <rFont val="Arial"/>
        <family val="0"/>
        <charset val="1"/>
      </rPr>
      <t xml:space="preserve">8%</t>
    </r>
  </si>
  <si>
    <t xml:space="preserve">需持续验证</t>
  </si>
  <si>
    <t xml:space="preserve">总体判断</t>
  </si>
  <si>
    <t xml:space="preserve">质量</t>
  </si>
  <si>
    <r>
      <rPr>
        <sz val="11"/>
        <rFont val="思源黑体"/>
        <family val="2"/>
        <charset val="134"/>
      </rPr>
      <t xml:space="preserve">北京银行具备区域资源、存款基础和较强风险抵补，但 </t>
    </r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与核心一级资本仍弱于高质量城商行。</t>
    </r>
  </si>
  <si>
    <t xml:space="preserve">价格</t>
  </si>
  <si>
    <r>
      <rPr>
        <sz val="11"/>
        <rFont val="Arial"/>
        <family val="0"/>
        <charset val="1"/>
      </rPr>
      <t xml:space="preserve">0.42x PB </t>
    </r>
    <r>
      <rPr>
        <sz val="11"/>
        <rFont val="思源黑体"/>
        <family val="2"/>
        <charset val="134"/>
      </rPr>
      <t xml:space="preserve">提供估值缓冲；是否形成长期复利仍取决于 </t>
    </r>
    <r>
      <rPr>
        <sz val="11"/>
        <rFont val="Arial"/>
        <family val="0"/>
        <charset val="1"/>
      </rPr>
      <t xml:space="preserve">ROE </t>
    </r>
    <r>
      <rPr>
        <sz val="11"/>
        <rFont val="思源黑体"/>
        <family val="2"/>
        <charset val="134"/>
      </rPr>
      <t xml:space="preserve">能否稳定在 </t>
    </r>
    <r>
      <rPr>
        <sz val="11"/>
        <rFont val="Arial"/>
        <family val="0"/>
        <charset val="1"/>
      </rPr>
      <t xml:space="preserve">8.5% </t>
    </r>
    <r>
      <rPr>
        <sz val="11"/>
        <rFont val="思源黑体"/>
        <family val="2"/>
        <charset val="134"/>
      </rPr>
      <t xml:space="preserve">以上。</t>
    </r>
  </si>
  <si>
    <t xml:space="preserve">分红</t>
  </si>
  <si>
    <r>
      <rPr>
        <sz val="11"/>
        <rFont val="思源黑体"/>
        <family val="2"/>
        <charset val="134"/>
      </rPr>
      <t xml:space="preserve">股息吸引力提升，但中期预案未实施，且提高支付率不能脱离 </t>
    </r>
    <r>
      <rPr>
        <sz val="11"/>
        <rFont val="Arial"/>
        <family val="0"/>
        <charset val="1"/>
      </rPr>
      <t xml:space="preserve">CET1 </t>
    </r>
    <r>
      <rPr>
        <sz val="11"/>
        <rFont val="思源黑体"/>
        <family val="2"/>
        <charset val="134"/>
      </rPr>
      <t xml:space="preserve">与信用成本。</t>
    </r>
  </si>
  <si>
    <r>
      <rPr>
        <sz val="11"/>
        <rFont val="思源黑体"/>
        <family val="2"/>
        <charset val="134"/>
      </rPr>
      <t xml:space="preserve">属于“有折价、需验证”的银行股，而不是仅凭低 </t>
    </r>
    <r>
      <rPr>
        <sz val="11"/>
        <rFont val="Arial"/>
        <family val="0"/>
        <charset val="1"/>
      </rPr>
      <t xml:space="preserve">PB </t>
    </r>
    <r>
      <rPr>
        <sz val="11"/>
        <rFont val="思源黑体"/>
        <family val="2"/>
        <charset val="134"/>
      </rPr>
      <t xml:space="preserve">就能确认的深度价值。</t>
    </r>
  </si>
  <si>
    <t xml:space="preserve">北京银行估值数据与来源</t>
  </si>
  <si>
    <t xml:space="preserve">优先使用交易所定期报告；市场与同业快照使用同一时点第三方数据并交叉核验</t>
  </si>
  <si>
    <r>
      <rPr>
        <b val="true"/>
        <sz val="10"/>
        <color rgb="FFFFFFFF"/>
        <rFont val="思源黑体"/>
        <family val="2"/>
        <charset val="134"/>
      </rPr>
      <t xml:space="preserve">指标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思源黑体"/>
        <family val="2"/>
        <charset val="134"/>
      </rPr>
      <t xml:space="preserve">表格</t>
    </r>
  </si>
  <si>
    <r>
      <rPr>
        <b val="true"/>
        <sz val="10"/>
        <color rgb="FFFFFFFF"/>
        <rFont val="思源黑体"/>
        <family val="2"/>
        <charset val="134"/>
      </rPr>
      <t xml:space="preserve">数据值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思源黑体"/>
        <family val="2"/>
        <charset val="134"/>
      </rPr>
      <t xml:space="preserve">范围</t>
    </r>
  </si>
  <si>
    <t xml:space="preserve">口径与单位</t>
  </si>
  <si>
    <t xml:space="preserve">截至日期</t>
  </si>
  <si>
    <t xml:space="preserve">发布日期</t>
  </si>
  <si>
    <t xml:space="preserve">来源名称</t>
  </si>
  <si>
    <t xml:space="preserve">URL</t>
  </si>
  <si>
    <r>
      <rPr>
        <b val="true"/>
        <sz val="10"/>
        <color rgb="FFFFFFFF"/>
        <rFont val="思源黑体"/>
        <family val="2"/>
        <charset val="134"/>
      </rPr>
      <t xml:space="preserve">页码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思源黑体"/>
        <family val="2"/>
        <charset val="134"/>
      </rPr>
      <t xml:space="preserve">表名</t>
    </r>
  </si>
  <si>
    <r>
      <rPr>
        <sz val="11"/>
        <rFont val="Arial"/>
        <family val="0"/>
        <charset val="1"/>
      </rPr>
      <t xml:space="preserve">2026H1</t>
    </r>
    <r>
      <rPr>
        <sz val="11"/>
        <rFont val="思源黑体"/>
        <family val="2"/>
        <charset val="134"/>
      </rPr>
      <t xml:space="preserve">经营与风险</t>
    </r>
  </si>
  <si>
    <r>
      <rPr>
        <sz val="11"/>
        <rFont val="思源黑体"/>
        <family val="2"/>
        <charset val="134"/>
      </rPr>
      <t xml:space="preserve">营收、利润、</t>
    </r>
    <r>
      <rPr>
        <sz val="11"/>
        <rFont val="Arial"/>
        <family val="0"/>
        <charset val="1"/>
      </rPr>
      <t xml:space="preserve">ROE</t>
    </r>
    <r>
      <rPr>
        <sz val="11"/>
        <rFont val="思源黑体"/>
        <family val="2"/>
        <charset val="134"/>
      </rPr>
      <t xml:space="preserve">、</t>
    </r>
    <r>
      <rPr>
        <sz val="11"/>
        <rFont val="Arial"/>
        <family val="0"/>
        <charset val="1"/>
      </rPr>
      <t xml:space="preserve">NIM</t>
    </r>
    <r>
      <rPr>
        <sz val="11"/>
        <rFont val="思源黑体"/>
        <family val="2"/>
        <charset val="134"/>
      </rPr>
      <t xml:space="preserve">、资产质量、资本</t>
    </r>
  </si>
  <si>
    <r>
      <rPr>
        <sz val="11"/>
        <rFont val="思源黑体"/>
        <family val="2"/>
        <charset val="134"/>
      </rPr>
      <t xml:space="preserve">集团；百万元</t>
    </r>
    <r>
      <rPr>
        <sz val="11"/>
        <rFont val="Arial"/>
        <family val="0"/>
        <charset val="1"/>
      </rPr>
      <t xml:space="preserve">/</t>
    </r>
    <r>
      <rPr>
        <sz val="11"/>
        <rFont val="思源黑体"/>
        <family val="2"/>
        <charset val="134"/>
      </rPr>
      <t xml:space="preserve">比率</t>
    </r>
  </si>
  <si>
    <r>
      <rPr>
        <sz val="11"/>
        <rFont val="思源黑体"/>
        <family val="2"/>
        <charset val="134"/>
      </rPr>
      <t xml:space="preserve">北京银行</t>
    </r>
    <r>
      <rPr>
        <sz val="11"/>
        <rFont val="Arial"/>
        <family val="0"/>
        <charset val="1"/>
      </rPr>
      <t xml:space="preserve">2026</t>
    </r>
    <r>
      <rPr>
        <sz val="11"/>
        <rFont val="思源黑体"/>
        <family val="2"/>
        <charset val="134"/>
      </rPr>
      <t xml:space="preserve">年半年度报告</t>
    </r>
  </si>
  <si>
    <t xml:space="preserve">https://static.sse.com.cn/disclosure/listedinfo/announcement/c/new/2026-08-29/601169_20260829_PXP5.pdf</t>
  </si>
  <si>
    <r>
      <rPr>
        <sz val="11"/>
        <rFont val="思源黑体"/>
        <family val="2"/>
        <charset val="134"/>
      </rPr>
      <t xml:space="preserve">第</t>
    </r>
    <r>
      <rPr>
        <sz val="11"/>
        <rFont val="Arial"/>
        <family val="0"/>
        <charset val="1"/>
      </rPr>
      <t xml:space="preserve">12—17</t>
    </r>
    <r>
      <rPr>
        <sz val="11"/>
        <rFont val="思源黑体"/>
        <family val="2"/>
        <charset val="134"/>
      </rPr>
      <t xml:space="preserve">页、管理层讨论</t>
    </r>
  </si>
  <si>
    <t xml:space="preserve">关键事实主来源</t>
  </si>
  <si>
    <r>
      <rPr>
        <sz val="11"/>
        <rFont val="Arial"/>
        <family val="0"/>
        <charset val="1"/>
      </rPr>
      <t xml:space="preserve">2025A</t>
    </r>
    <r>
      <rPr>
        <sz val="11"/>
        <rFont val="思源黑体"/>
        <family val="2"/>
        <charset val="134"/>
      </rPr>
      <t xml:space="preserve">经营与资本</t>
    </r>
  </si>
  <si>
    <r>
      <rPr>
        <sz val="11"/>
        <rFont val="思源黑体"/>
        <family val="2"/>
        <charset val="134"/>
      </rPr>
      <t xml:space="preserve">年度利润、</t>
    </r>
    <r>
      <rPr>
        <sz val="11"/>
        <rFont val="Arial"/>
        <family val="0"/>
        <charset val="1"/>
      </rPr>
      <t xml:space="preserve">BPS</t>
    </r>
    <r>
      <rPr>
        <sz val="11"/>
        <rFont val="思源黑体"/>
        <family val="2"/>
        <charset val="134"/>
      </rPr>
      <t xml:space="preserve">、</t>
    </r>
    <r>
      <rPr>
        <sz val="11"/>
        <rFont val="Arial"/>
        <family val="0"/>
        <charset val="1"/>
      </rPr>
      <t xml:space="preserve">NIM</t>
    </r>
    <r>
      <rPr>
        <sz val="11"/>
        <rFont val="思源黑体"/>
        <family val="2"/>
        <charset val="134"/>
      </rPr>
      <t xml:space="preserve">、不良、资本</t>
    </r>
  </si>
  <si>
    <r>
      <rPr>
        <sz val="11"/>
        <rFont val="思源黑体"/>
        <family val="2"/>
        <charset val="134"/>
      </rPr>
      <t xml:space="preserve">北京银行</t>
    </r>
    <r>
      <rPr>
        <sz val="11"/>
        <rFont val="Arial"/>
        <family val="0"/>
        <charset val="1"/>
      </rPr>
      <t xml:space="preserve">2025</t>
    </r>
    <r>
      <rPr>
        <sz val="11"/>
        <rFont val="思源黑体"/>
        <family val="2"/>
        <charset val="134"/>
      </rPr>
      <t xml:space="preserve">年年度报告</t>
    </r>
  </si>
  <si>
    <t xml:space="preserve">https://file.finance.sina.com.cn/211.154.219.97%3A9494/MRGG/CNSESH_STOCK/2026/2026-4/2026-04-28/12226675.PDF</t>
  </si>
  <si>
    <r>
      <rPr>
        <sz val="11"/>
        <rFont val="思源黑体"/>
        <family val="2"/>
        <charset val="134"/>
      </rPr>
      <t xml:space="preserve">第</t>
    </r>
    <r>
      <rPr>
        <sz val="11"/>
        <rFont val="Arial"/>
        <family val="0"/>
        <charset val="1"/>
      </rPr>
      <t xml:space="preserve">23—31</t>
    </r>
    <r>
      <rPr>
        <sz val="11"/>
        <rFont val="思源黑体"/>
        <family val="2"/>
        <charset val="134"/>
      </rPr>
      <t xml:space="preserve">页</t>
    </r>
  </si>
  <si>
    <t xml:space="preserve">交易所披露文件镜像</t>
  </si>
  <si>
    <t xml:space="preserve">当前股价</t>
  </si>
  <si>
    <r>
      <rPr>
        <sz val="11"/>
        <rFont val="Arial"/>
        <family val="0"/>
        <charset val="1"/>
      </rPr>
      <t xml:space="preserve">5.62</t>
    </r>
    <r>
      <rPr>
        <sz val="11"/>
        <rFont val="思源黑体"/>
        <family val="2"/>
        <charset val="134"/>
      </rPr>
      <t xml:space="preserve">元</t>
    </r>
  </si>
  <si>
    <t xml:space="preserve">盘中延迟快照</t>
  </si>
  <si>
    <t xml:space="preserve">东方财富行情接口</t>
  </si>
  <si>
    <t xml:space="preserve">https://push2.eastmoney.com/api/qt/stock/get?secid=1.601169&amp;fields=f57,f58,f43,f60,f84,f116,f162,f164,f167,f86</t>
  </si>
  <si>
    <t xml:space="preserve">实时行情字段</t>
  </si>
  <si>
    <t xml:space="preserve">非收盘价</t>
  </si>
  <si>
    <t xml:space="preserve">历史价格</t>
  </si>
  <si>
    <r>
      <rPr>
        <sz val="11"/>
        <rFont val="Arial"/>
        <family val="0"/>
        <charset val="1"/>
      </rPr>
      <t xml:space="preserve">2016—2026</t>
    </r>
    <r>
      <rPr>
        <sz val="11"/>
        <rFont val="思源黑体"/>
        <family val="2"/>
        <charset val="134"/>
      </rPr>
      <t xml:space="preserve">日线</t>
    </r>
  </si>
  <si>
    <t xml:space="preserve">不复权收盘价</t>
  </si>
  <si>
    <t xml:space="preserve">东方财富历史行情接口</t>
  </si>
  <si>
    <t xml:space="preserve">https://push2his.eastmoney.com/api/qt/stock/kline/get?secid=1.601169&amp;klt=101&amp;fqt=0&amp;beg=20160101&amp;end=20261014&amp;lmt=5000&amp;fields1=f1,f2,f3,f4,f5,f6&amp;fields2=f51,f52,f53,f54,f55,f56,f57,f58,f59,f60,f61</t>
  </si>
  <si>
    <t xml:space="preserve">年末最后交易日</t>
  </si>
  <si>
    <r>
      <rPr>
        <sz val="11"/>
        <rFont val="思源黑体"/>
        <family val="2"/>
        <charset val="134"/>
      </rPr>
      <t xml:space="preserve">用于历史</t>
    </r>
    <r>
      <rPr>
        <sz val="11"/>
        <rFont val="Arial"/>
        <family val="0"/>
        <charset val="1"/>
      </rPr>
      <t xml:space="preserve">PB/PE</t>
    </r>
  </si>
  <si>
    <t xml:space="preserve">十年财务</t>
  </si>
  <si>
    <r>
      <rPr>
        <sz val="11"/>
        <rFont val="Arial"/>
        <family val="0"/>
        <charset val="1"/>
      </rPr>
      <t xml:space="preserve">2016—2025</t>
    </r>
    <r>
      <rPr>
        <sz val="11"/>
        <rFont val="思源黑体"/>
        <family val="2"/>
        <charset val="134"/>
      </rPr>
      <t xml:space="preserve">年度，</t>
    </r>
    <r>
      <rPr>
        <sz val="11"/>
        <rFont val="Arial"/>
        <family val="0"/>
        <charset val="1"/>
      </rPr>
      <t xml:space="preserve">2026H1</t>
    </r>
  </si>
  <si>
    <r>
      <rPr>
        <sz val="11"/>
        <rFont val="思源黑体"/>
        <family val="2"/>
        <charset val="134"/>
      </rPr>
      <t xml:space="preserve">亿元</t>
    </r>
    <r>
      <rPr>
        <sz val="11"/>
        <rFont val="Arial"/>
        <family val="0"/>
        <charset val="1"/>
      </rPr>
      <t xml:space="preserve">/</t>
    </r>
    <r>
      <rPr>
        <sz val="11"/>
        <rFont val="思源黑体"/>
        <family val="2"/>
        <charset val="134"/>
      </rPr>
      <t xml:space="preserve">元</t>
    </r>
    <r>
      <rPr>
        <sz val="11"/>
        <rFont val="Arial"/>
        <family val="0"/>
        <charset val="1"/>
      </rPr>
      <t xml:space="preserve">/</t>
    </r>
    <r>
      <rPr>
        <sz val="11"/>
        <rFont val="思源黑体"/>
        <family val="2"/>
        <charset val="134"/>
      </rPr>
      <t xml:space="preserve">比率</t>
    </r>
  </si>
  <si>
    <r>
      <rPr>
        <sz val="11"/>
        <rFont val="思源黑体"/>
        <family val="2"/>
        <charset val="134"/>
      </rPr>
      <t xml:space="preserve">东方财富</t>
    </r>
    <r>
      <rPr>
        <sz val="11"/>
        <rFont val="Arial"/>
        <family val="0"/>
        <charset val="1"/>
      </rPr>
      <t xml:space="preserve">F10</t>
    </r>
    <r>
      <rPr>
        <sz val="11"/>
        <rFont val="思源黑体"/>
        <family val="2"/>
        <charset val="134"/>
      </rPr>
      <t xml:space="preserve">主财务数据</t>
    </r>
  </si>
  <si>
    <t xml:space="preserve">https://datacenter-web.eastmoney.com/api/data/v1/get?reportName=RPT_F10_FINANCE_MAINFINADATA&amp;columns=ALL&amp;filter=(SECUCODE%3D%22601169.SH%22)&amp;sortColumns=REPORT_DATE&amp;sortTypes=-1&amp;pageSize=100&amp;pageNumber=1</t>
  </si>
  <si>
    <t xml:space="preserve">主财务指标</t>
  </si>
  <si>
    <t xml:space="preserve">年度关键数与公司报告核对</t>
  </si>
  <si>
    <t xml:space="preserve">分红历史</t>
  </si>
  <si>
    <t xml:space="preserve">2016—2026H1</t>
  </si>
  <si>
    <r>
      <rPr>
        <sz val="11"/>
        <rFont val="思源黑体"/>
        <family val="2"/>
        <charset val="134"/>
      </rPr>
      <t xml:space="preserve">每</t>
    </r>
    <r>
      <rPr>
        <sz val="11"/>
        <rFont val="Arial"/>
        <family val="0"/>
        <charset val="1"/>
      </rPr>
      <t xml:space="preserve">10</t>
    </r>
    <r>
      <rPr>
        <sz val="11"/>
        <rFont val="思源黑体"/>
        <family val="2"/>
        <charset val="134"/>
      </rPr>
      <t xml:space="preserve">股税前现金分红</t>
    </r>
  </si>
  <si>
    <t xml:space="preserve">东方财富分红数据</t>
  </si>
  <si>
    <t xml:space="preserve">https://datacenter-web.eastmoney.com/api/data/v1/get?reportName=RPT_SHAREBONUS_DET&amp;columns=ALL&amp;filter=(SECURITY_CODE%3D%22601169%22)&amp;sortColumns=REPORT_DATE&amp;sortTypes=-1&amp;pageSize=100&amp;pageNumber=1</t>
  </si>
  <si>
    <r>
      <rPr>
        <sz val="11"/>
        <rFont val="思源黑体"/>
        <family val="2"/>
        <charset val="134"/>
      </rPr>
      <t xml:space="preserve">分红实施</t>
    </r>
    <r>
      <rPr>
        <sz val="11"/>
        <rFont val="Arial"/>
        <family val="0"/>
        <charset val="1"/>
      </rPr>
      <t xml:space="preserve">/</t>
    </r>
    <r>
      <rPr>
        <sz val="11"/>
        <rFont val="思源黑体"/>
        <family val="2"/>
        <charset val="134"/>
      </rPr>
      <t xml:space="preserve">预案</t>
    </r>
  </si>
  <si>
    <r>
      <rPr>
        <sz val="11"/>
        <rFont val="Arial"/>
        <family val="0"/>
        <charset val="1"/>
      </rPr>
      <t xml:space="preserve">2026H1</t>
    </r>
    <r>
      <rPr>
        <sz val="11"/>
        <rFont val="思源黑体"/>
        <family val="2"/>
        <charset val="134"/>
      </rPr>
      <t xml:space="preserve">为董事会预案</t>
    </r>
  </si>
  <si>
    <t xml:space="preserve">同业快照</t>
  </si>
  <si>
    <r>
      <rPr>
        <sz val="11"/>
        <rFont val="Arial"/>
        <family val="0"/>
        <charset val="1"/>
      </rPr>
      <t xml:space="preserve">7</t>
    </r>
    <r>
      <rPr>
        <sz val="11"/>
        <rFont val="思源黑体"/>
        <family val="2"/>
        <charset val="134"/>
      </rPr>
      <t xml:space="preserve">家城商行</t>
    </r>
  </si>
  <si>
    <r>
      <rPr>
        <sz val="11"/>
        <rFont val="思源黑体"/>
        <family val="2"/>
        <charset val="134"/>
      </rPr>
      <t xml:space="preserve">股价、</t>
    </r>
    <r>
      <rPr>
        <sz val="11"/>
        <rFont val="Arial"/>
        <family val="0"/>
        <charset val="1"/>
      </rPr>
      <t xml:space="preserve">PE</t>
    </r>
    <r>
      <rPr>
        <sz val="11"/>
        <rFont val="思源黑体"/>
        <family val="2"/>
        <charset val="134"/>
      </rPr>
      <t xml:space="preserve">、</t>
    </r>
    <r>
      <rPr>
        <sz val="11"/>
        <rFont val="Arial"/>
        <family val="0"/>
        <charset val="1"/>
      </rPr>
      <t xml:space="preserve">PB</t>
    </r>
  </si>
  <si>
    <t xml:space="preserve">https://push2.eastmoney.com/api/qt/stock/get</t>
  </si>
  <si>
    <t xml:space="preserve">同一时点字段</t>
  </si>
  <si>
    <t xml:space="preserve">第三方便利数据</t>
  </si>
  <si>
    <t xml:space="preserve">同业财务</t>
  </si>
  <si>
    <r>
      <rPr>
        <sz val="11"/>
        <rFont val="Arial"/>
        <family val="0"/>
        <charset val="1"/>
      </rPr>
      <t xml:space="preserve">7</t>
    </r>
    <r>
      <rPr>
        <sz val="11"/>
        <rFont val="思源黑体"/>
        <family val="2"/>
        <charset val="134"/>
      </rPr>
      <t xml:space="preserve">家城商行</t>
    </r>
    <r>
      <rPr>
        <sz val="11"/>
        <rFont val="Arial"/>
        <family val="0"/>
        <charset val="1"/>
      </rPr>
      <t xml:space="preserve">2026H1</t>
    </r>
  </si>
  <si>
    <r>
      <rPr>
        <sz val="11"/>
        <rFont val="Arial"/>
        <family val="0"/>
        <charset val="1"/>
      </rPr>
      <t xml:space="preserve">ROE</t>
    </r>
    <r>
      <rPr>
        <sz val="11"/>
        <rFont val="思源黑体"/>
        <family val="2"/>
        <charset val="134"/>
      </rPr>
      <t xml:space="preserve">、</t>
    </r>
    <r>
      <rPr>
        <sz val="11"/>
        <rFont val="Arial"/>
        <family val="0"/>
        <charset val="1"/>
      </rPr>
      <t xml:space="preserve">NIM</t>
    </r>
    <r>
      <rPr>
        <sz val="11"/>
        <rFont val="思源黑体"/>
        <family val="2"/>
        <charset val="134"/>
      </rPr>
      <t xml:space="preserve">、不良、拨备、</t>
    </r>
    <r>
      <rPr>
        <sz val="11"/>
        <rFont val="Arial"/>
        <family val="0"/>
        <charset val="1"/>
      </rPr>
      <t xml:space="preserve">CET1</t>
    </r>
  </si>
  <si>
    <t xml:space="preserve">https://datacenter-web.eastmoney.com/api/data/v1/get?reportName=RPT_F10_FINANCE_MAINFINADATA&amp;columns=ALL</t>
  </si>
  <si>
    <r>
      <rPr>
        <sz val="11"/>
        <rFont val="Arial"/>
        <family val="0"/>
        <charset val="1"/>
      </rPr>
      <t xml:space="preserve">2026</t>
    </r>
    <r>
      <rPr>
        <sz val="11"/>
        <rFont val="思源黑体"/>
        <family val="2"/>
        <charset val="134"/>
      </rPr>
      <t xml:space="preserve">中报字段</t>
    </r>
  </si>
  <si>
    <t xml:space="preserve">关键北京银行数据以公司报告为准</t>
  </si>
  <si>
    <t xml:space="preserve">三季报边界</t>
  </si>
  <si>
    <r>
      <rPr>
        <sz val="11"/>
        <rFont val="思源黑体"/>
        <family val="2"/>
        <charset val="134"/>
      </rPr>
      <t xml:space="preserve">预约</t>
    </r>
    <r>
      <rPr>
        <sz val="11"/>
        <rFont val="Arial"/>
        <family val="0"/>
        <charset val="1"/>
      </rPr>
      <t xml:space="preserve">2026-10-31</t>
    </r>
    <r>
      <rPr>
        <sz val="11"/>
        <rFont val="思源黑体"/>
        <family val="2"/>
        <charset val="134"/>
      </rPr>
      <t xml:space="preserve">披露</t>
    </r>
  </si>
  <si>
    <t xml:space="preserve">上交所预约日期</t>
  </si>
  <si>
    <t xml:space="preserve">上交所定期报告预约情况</t>
  </si>
  <si>
    <t xml:space="preserve">https://www.sse.com.cn/disclosure/listedinfo/periodic/</t>
  </si>
  <si>
    <r>
      <rPr>
        <sz val="11"/>
        <rFont val="Arial"/>
        <family val="0"/>
        <charset val="1"/>
      </rPr>
      <t xml:space="preserve">2026</t>
    </r>
    <r>
      <rPr>
        <sz val="11"/>
        <rFont val="思源黑体"/>
        <family val="2"/>
        <charset val="134"/>
      </rPr>
      <t xml:space="preserve">年三季报</t>
    </r>
  </si>
  <si>
    <t xml:space="preserve">尚未披露，不纳入</t>
  </si>
  <si>
    <t xml:space="preserve">监管最低资本</t>
  </si>
  <si>
    <r>
      <rPr>
        <sz val="11"/>
        <rFont val="Arial"/>
        <family val="0"/>
        <charset val="1"/>
      </rPr>
      <t xml:space="preserve">CET1 5%</t>
    </r>
    <r>
      <rPr>
        <sz val="11"/>
        <rFont val="思源黑体"/>
        <family val="2"/>
        <charset val="134"/>
      </rPr>
      <t xml:space="preserve">、一级</t>
    </r>
    <r>
      <rPr>
        <sz val="11"/>
        <rFont val="Arial"/>
        <family val="0"/>
        <charset val="1"/>
      </rPr>
      <t xml:space="preserve">6%</t>
    </r>
    <r>
      <rPr>
        <sz val="11"/>
        <rFont val="思源黑体"/>
        <family val="2"/>
        <charset val="134"/>
      </rPr>
      <t xml:space="preserve">、总资本</t>
    </r>
    <r>
      <rPr>
        <sz val="11"/>
        <rFont val="Arial"/>
        <family val="0"/>
        <charset val="1"/>
      </rPr>
      <t xml:space="preserve">8%</t>
    </r>
    <r>
      <rPr>
        <sz val="11"/>
        <rFont val="思源黑体"/>
        <family val="2"/>
        <charset val="134"/>
      </rPr>
      <t xml:space="preserve">基础线</t>
    </r>
  </si>
  <si>
    <t xml:space="preserve">不含附加与缓冲</t>
  </si>
  <si>
    <t xml:space="preserve">商业银行资本管理办法</t>
  </si>
  <si>
    <t xml:space="preserve">https://www.gov.cn/zhengce/zhengceku/202311/content_6915944.htm</t>
  </si>
  <si>
    <t xml:space="preserve">资本要求</t>
  </si>
  <si>
    <t xml:space="preserve">实际监管要求还含储备与系统重要性附加</t>
  </si>
  <si>
    <t xml:space="preserve">关键模型假设</t>
  </si>
  <si>
    <t xml:space="preserve">数值</t>
  </si>
  <si>
    <t xml:space="preserve">理由</t>
  </si>
  <si>
    <t xml:space="preserve">可编辑位置</t>
  </si>
  <si>
    <t xml:space="preserve">版本</t>
  </si>
  <si>
    <r>
      <rPr>
        <sz val="11"/>
        <rFont val="思源黑体"/>
        <family val="2"/>
        <charset val="134"/>
      </rPr>
      <t xml:space="preserve">归一化</t>
    </r>
    <r>
      <rPr>
        <sz val="11"/>
        <rFont val="Arial"/>
        <family val="0"/>
        <charset val="1"/>
      </rPr>
      <t xml:space="preserve">EPS</t>
    </r>
  </si>
  <si>
    <r>
      <rPr>
        <sz val="11"/>
        <rFont val="Arial"/>
        <family val="0"/>
        <charset val="1"/>
      </rPr>
      <t xml:space="preserve">2026H1</t>
    </r>
    <r>
      <rPr>
        <sz val="11"/>
        <rFont val="思源黑体"/>
        <family val="2"/>
        <charset val="134"/>
      </rPr>
      <t xml:space="preserve">年化后考虑季节性与风险成本</t>
    </r>
  </si>
  <si>
    <r>
      <rPr>
        <sz val="11"/>
        <rFont val="思源黑体"/>
        <family val="2"/>
        <charset val="134"/>
      </rPr>
      <t xml:space="preserve">估值敏感性</t>
    </r>
    <r>
      <rPr>
        <sz val="11"/>
        <rFont val="Arial"/>
        <family val="0"/>
        <charset val="1"/>
      </rPr>
      <t xml:space="preserve">!B8</t>
    </r>
  </si>
  <si>
    <t xml:space="preserve">2026-10-14</t>
  </si>
  <si>
    <r>
      <rPr>
        <sz val="11"/>
        <rFont val="思源黑体"/>
        <family val="2"/>
        <charset val="134"/>
      </rPr>
      <t xml:space="preserve">归一化</t>
    </r>
    <r>
      <rPr>
        <sz val="11"/>
        <rFont val="Arial"/>
        <family val="0"/>
        <charset val="1"/>
      </rPr>
      <t xml:space="preserve">ROE</t>
    </r>
  </si>
  <si>
    <r>
      <rPr>
        <sz val="11"/>
        <rFont val="思源黑体"/>
        <family val="2"/>
        <charset val="134"/>
      </rPr>
      <t xml:space="preserve">低于</t>
    </r>
    <r>
      <rPr>
        <sz val="11"/>
        <rFont val="Arial"/>
        <family val="0"/>
        <charset val="1"/>
      </rPr>
      <t xml:space="preserve">2026H1</t>
    </r>
    <r>
      <rPr>
        <sz val="11"/>
        <rFont val="思源黑体"/>
        <family val="2"/>
        <charset val="134"/>
      </rPr>
      <t xml:space="preserve">年化</t>
    </r>
    <r>
      <rPr>
        <sz val="11"/>
        <rFont val="Arial"/>
        <family val="0"/>
        <charset val="1"/>
      </rPr>
      <t xml:space="preserve">ROE</t>
    </r>
    <r>
      <rPr>
        <sz val="11"/>
        <rFont val="思源黑体"/>
        <family val="2"/>
        <charset val="134"/>
      </rPr>
      <t xml:space="preserve">，接近资本约束下稳态</t>
    </r>
  </si>
  <si>
    <r>
      <rPr>
        <sz val="11"/>
        <rFont val="思源黑体"/>
        <family val="2"/>
        <charset val="134"/>
      </rPr>
      <t xml:space="preserve">估值敏感性</t>
    </r>
    <r>
      <rPr>
        <sz val="11"/>
        <rFont val="Arial"/>
        <family val="0"/>
        <charset val="1"/>
      </rPr>
      <t xml:space="preserve">!B5</t>
    </r>
  </si>
  <si>
    <r>
      <rPr>
        <sz val="11"/>
        <rFont val="思源黑体"/>
        <family val="2"/>
        <charset val="134"/>
      </rPr>
      <t xml:space="preserve">股权成本</t>
    </r>
    <r>
      <rPr>
        <sz val="11"/>
        <rFont val="Arial"/>
        <family val="0"/>
        <charset val="1"/>
      </rPr>
      <t xml:space="preserve">Ke</t>
    </r>
  </si>
  <si>
    <t xml:space="preserve">城商行风险、资本与资产质量溢价</t>
  </si>
  <si>
    <r>
      <rPr>
        <sz val="11"/>
        <rFont val="思源黑体"/>
        <family val="2"/>
        <charset val="134"/>
      </rPr>
      <t xml:space="preserve">估值敏感性</t>
    </r>
    <r>
      <rPr>
        <sz val="11"/>
        <rFont val="Arial"/>
        <family val="0"/>
        <charset val="1"/>
      </rPr>
      <t xml:space="preserve">!B6</t>
    </r>
  </si>
  <si>
    <t xml:space="preserve">低于长期名义经济增速的审慎取值</t>
  </si>
  <si>
    <r>
      <rPr>
        <sz val="11"/>
        <rFont val="思源黑体"/>
        <family val="2"/>
        <charset val="134"/>
      </rPr>
      <t xml:space="preserve">估值敏感性</t>
    </r>
    <r>
      <rPr>
        <sz val="11"/>
        <rFont val="Arial"/>
        <family val="0"/>
        <charset val="1"/>
      </rPr>
      <t xml:space="preserve">!B7</t>
    </r>
  </si>
  <si>
    <t xml:space="preserve">基准支付率</t>
  </si>
  <si>
    <r>
      <rPr>
        <sz val="11"/>
        <rFont val="思源黑体"/>
        <family val="2"/>
        <charset val="134"/>
      </rPr>
      <t xml:space="preserve">参考历史约</t>
    </r>
    <r>
      <rPr>
        <sz val="11"/>
        <rFont val="Arial"/>
        <family val="0"/>
        <charset val="1"/>
      </rPr>
      <t xml:space="preserve">30%</t>
    </r>
    <r>
      <rPr>
        <sz val="11"/>
        <rFont val="思源黑体"/>
        <family val="2"/>
        <charset val="134"/>
      </rPr>
      <t xml:space="preserve">并考虑中期分红</t>
    </r>
  </si>
  <si>
    <r>
      <rPr>
        <sz val="11"/>
        <rFont val="思源黑体"/>
        <family val="2"/>
        <charset val="134"/>
      </rPr>
      <t xml:space="preserve">估值敏感性</t>
    </r>
    <r>
      <rPr>
        <sz val="11"/>
        <rFont val="Arial"/>
        <family val="0"/>
        <charset val="1"/>
      </rPr>
      <t xml:space="preserve">!B9</t>
    </r>
  </si>
  <si>
    <r>
      <rPr>
        <sz val="11"/>
        <rFont val="Arial"/>
        <family val="0"/>
        <charset val="1"/>
      </rPr>
      <t xml:space="preserve">PB–ROE</t>
    </r>
    <r>
      <rPr>
        <sz val="11"/>
        <rFont val="思源黑体"/>
        <family val="2"/>
        <charset val="134"/>
      </rPr>
      <t xml:space="preserve">模型折价</t>
    </r>
  </si>
  <si>
    <t xml:space="preserve">公式稳定期假设偏强</t>
  </si>
  <si>
    <r>
      <rPr>
        <sz val="11"/>
        <rFont val="思源黑体"/>
        <family val="2"/>
        <charset val="134"/>
      </rPr>
      <t xml:space="preserve">估值系统</t>
    </r>
    <r>
      <rPr>
        <sz val="11"/>
        <rFont val="Arial"/>
        <family val="0"/>
        <charset val="1"/>
      </rPr>
      <t xml:space="preserve">!B12</t>
    </r>
  </si>
  <si>
    <r>
      <rPr>
        <sz val="11"/>
        <rFont val="思源黑体"/>
        <family val="2"/>
        <charset val="134"/>
      </rPr>
      <t xml:space="preserve">同业</t>
    </r>
    <r>
      <rPr>
        <sz val="11"/>
        <rFont val="Arial"/>
        <family val="0"/>
        <charset val="1"/>
      </rPr>
      <t xml:space="preserve">ROE</t>
    </r>
    <r>
      <rPr>
        <sz val="11"/>
        <rFont val="思源黑体"/>
        <family val="2"/>
        <charset val="134"/>
      </rPr>
      <t xml:space="preserve">弹性</t>
    </r>
    <r>
      <rPr>
        <sz val="11"/>
        <rFont val="Arial"/>
        <family val="0"/>
        <charset val="1"/>
      </rPr>
      <t xml:space="preserve">β</t>
    </r>
  </si>
  <si>
    <r>
      <rPr>
        <sz val="11"/>
        <rFont val="Arial"/>
        <family val="0"/>
        <charset val="1"/>
      </rPr>
      <t xml:space="preserve">PB</t>
    </r>
    <r>
      <rPr>
        <sz val="11"/>
        <rFont val="思源黑体"/>
        <family val="2"/>
        <charset val="134"/>
      </rPr>
      <t xml:space="preserve">对</t>
    </r>
    <r>
      <rPr>
        <sz val="11"/>
        <rFont val="Arial"/>
        <family val="0"/>
        <charset val="1"/>
      </rPr>
      <t xml:space="preserve">ROE</t>
    </r>
    <r>
      <rPr>
        <sz val="11"/>
        <rFont val="思源黑体"/>
        <family val="2"/>
        <charset val="134"/>
      </rPr>
      <t xml:space="preserve">差异非线性传导</t>
    </r>
  </si>
  <si>
    <r>
      <rPr>
        <sz val="11"/>
        <rFont val="思源黑体"/>
        <family val="2"/>
        <charset val="134"/>
      </rPr>
      <t xml:space="preserve">同业比较</t>
    </r>
    <r>
      <rPr>
        <sz val="11"/>
        <rFont val="Arial"/>
        <family val="0"/>
        <charset val="1"/>
      </rPr>
      <t xml:space="preserve">!B19</t>
    </r>
  </si>
  <si>
    <r>
      <rPr>
        <sz val="11"/>
        <rFont val="Arial"/>
        <family val="0"/>
        <charset val="1"/>
      </rPr>
      <t xml:space="preserve">CET1</t>
    </r>
    <r>
      <rPr>
        <sz val="11"/>
        <rFont val="思源黑体"/>
        <family val="2"/>
        <charset val="134"/>
      </rPr>
      <t xml:space="preserve">、</t>
    </r>
    <r>
      <rPr>
        <sz val="11"/>
        <rFont val="Arial"/>
        <family val="0"/>
        <charset val="1"/>
      </rPr>
      <t xml:space="preserve">NPL</t>
    </r>
    <r>
      <rPr>
        <sz val="11"/>
        <rFont val="思源黑体"/>
        <family val="2"/>
        <charset val="134"/>
      </rPr>
      <t xml:space="preserve">与业务结构差异</t>
    </r>
  </si>
  <si>
    <r>
      <rPr>
        <sz val="11"/>
        <rFont val="思源黑体"/>
        <family val="2"/>
        <charset val="134"/>
      </rPr>
      <t xml:space="preserve">同业比较</t>
    </r>
    <r>
      <rPr>
        <sz val="11"/>
        <rFont val="Arial"/>
        <family val="0"/>
        <charset val="1"/>
      </rPr>
      <t xml:space="preserve">!B20</t>
    </r>
  </si>
  <si>
    <t xml:space="preserve">估值权重</t>
  </si>
  <si>
    <t xml:space="preserve">15/15/10/10/20/30%</t>
  </si>
  <si>
    <r>
      <rPr>
        <sz val="11"/>
        <rFont val="思源黑体"/>
        <family val="2"/>
        <charset val="134"/>
      </rPr>
      <t xml:space="preserve">提高</t>
    </r>
    <r>
      <rPr>
        <sz val="11"/>
        <rFont val="Arial"/>
        <family val="0"/>
        <charset val="1"/>
      </rPr>
      <t xml:space="preserve">DDM</t>
    </r>
    <r>
      <rPr>
        <sz val="11"/>
        <rFont val="思源黑体"/>
        <family val="2"/>
        <charset val="134"/>
      </rPr>
      <t xml:space="preserve">权重，降低历史倍数权重</t>
    </r>
  </si>
  <si>
    <r>
      <rPr>
        <sz val="11"/>
        <rFont val="思源黑体"/>
        <family val="2"/>
        <charset val="134"/>
      </rPr>
      <t xml:space="preserve">估值系统</t>
    </r>
    <r>
      <rPr>
        <sz val="11"/>
        <rFont val="Arial"/>
        <family val="0"/>
        <charset val="1"/>
      </rPr>
      <t xml:space="preserve">!D17:D22</t>
    </r>
  </si>
  <si>
    <t xml:space="preserve">限制</t>
  </si>
  <si>
    <t xml:space="preserve">股价为盘中延迟快照，后续交易会改变安全边际。</t>
  </si>
  <si>
    <r>
      <rPr>
        <sz val="11"/>
        <rFont val="Arial"/>
        <family val="0"/>
        <charset val="1"/>
      </rPr>
      <t xml:space="preserve">2026Q3 </t>
    </r>
    <r>
      <rPr>
        <sz val="11"/>
        <rFont val="思源黑体"/>
        <family val="2"/>
        <charset val="134"/>
      </rPr>
      <t xml:space="preserve">未披露；截至报告制作日，最新经营数据仍为 </t>
    </r>
    <r>
      <rPr>
        <sz val="11"/>
        <rFont val="Arial"/>
        <family val="0"/>
        <charset val="1"/>
      </rPr>
      <t xml:space="preserve">2026H1</t>
    </r>
    <r>
      <rPr>
        <sz val="11"/>
        <rFont val="思源黑体"/>
        <family val="2"/>
        <charset val="134"/>
      </rPr>
      <t xml:space="preserve">。</t>
    </r>
  </si>
  <si>
    <t xml:space="preserve">半年度报告未完整拆分承担信用风险的涉房业务总口径，不能用对公房地产贷款代替。</t>
  </si>
  <si>
    <t xml:space="preserve">同业数据采用统一第三方字段，仍可能存在会计与业务结构差异。</t>
  </si>
  <si>
    <t xml:space="preserve">本工作簿用于研究与信息整理，不构成个性化投资建议。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</si>
</sst>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@"/>
    <numFmt numFmtId="167" formatCode="0.0%"/>
    <numFmt numFmtId="168" formatCode="0.00%"/>
    <numFmt numFmtId="169" formatCode="yyyy\-mm\-dd"/>
    <numFmt numFmtId="170" formatCode=";;;"/>
    <numFmt numFmtId="171" formatCode="0.00\x"/>
    <numFmt numFmtId="172" formatCode="0.000"/>
    <numFmt numFmtId="173" formatCode="#,##0.00"/>
    <numFmt numFmtId="174" formatCode="#,##0"/>
    <numFmt numFmtId="175" formatCode="#,##0.00;\(#,##0.00\);\-"/>
  </numFmts>
  <fonts count="35">
    <font>
      <sz val="10"/>
      <name val="思源黑体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name val="Calibri"/>
      <family val="0"/>
      <charset val="1"/>
    </font>
    <font>
      <sz val="11"/>
      <name val="思源黑体"/>
      <family val="2"/>
      <charset val="134"/>
    </font>
    <font>
      <b val="true"/>
      <sz val="16"/>
      <color rgb="FF17365D"/>
      <name val="思源黑体"/>
      <family val="2"/>
      <charset val="134"/>
    </font>
    <font>
      <i val="true"/>
      <sz val="9"/>
      <color rgb="FF667085"/>
      <name val="Arial"/>
      <family val="0"/>
      <charset val="1"/>
    </font>
    <font>
      <i val="true"/>
      <sz val="9"/>
      <color rgb="FF667085"/>
      <name val="思源黑体"/>
      <family val="2"/>
      <charset val="134"/>
    </font>
    <font>
      <b val="true"/>
      <sz val="11"/>
      <color rgb="FFFFFFFF"/>
      <name val="思源黑体"/>
      <family val="2"/>
      <charset val="134"/>
    </font>
    <font>
      <b val="true"/>
      <sz val="20"/>
      <color rgb="FF17365D"/>
      <name val="Arial"/>
      <family val="0"/>
      <charset val="1"/>
    </font>
    <font>
      <b val="true"/>
      <sz val="20"/>
      <color rgb="FF006100"/>
      <name val="Arial"/>
      <family val="0"/>
      <charset val="1"/>
    </font>
    <font>
      <b val="true"/>
      <sz val="20"/>
      <color rgb="FFC00000"/>
      <name val="Arial"/>
      <family val="0"/>
      <charset val="1"/>
    </font>
    <font>
      <b val="true"/>
      <sz val="14"/>
      <color rgb="FF1F2937"/>
      <name val="思源黑体"/>
      <family val="2"/>
      <charset val="134"/>
    </font>
    <font>
      <b val="true"/>
      <sz val="10"/>
      <color rgb="FFFFFFFF"/>
      <name val="思源黑体"/>
      <family val="2"/>
      <charset val="134"/>
    </font>
    <font>
      <b val="true"/>
      <sz val="10"/>
      <color rgb="FFFFFFFF"/>
      <name val="Arial"/>
      <family val="0"/>
      <charset val="1"/>
    </font>
    <font>
      <b val="true"/>
      <sz val="10"/>
      <color rgb="FF1F2937"/>
      <name val="思源黑体"/>
      <family val="2"/>
      <charset val="134"/>
    </font>
    <font>
      <b val="true"/>
      <sz val="10"/>
      <color rgb="FF1F2937"/>
      <name val="Arial"/>
      <family val="0"/>
      <charset val="1"/>
    </font>
    <font>
      <b val="true"/>
      <sz val="16"/>
      <color rgb="FF17365D"/>
      <name val="Arial"/>
      <family val="0"/>
      <charset val="1"/>
    </font>
    <font>
      <sz val="9"/>
      <color rgb="FF667085"/>
      <name val="思源黑体"/>
      <family val="2"/>
      <charset val="134"/>
    </font>
    <font>
      <sz val="9"/>
      <color rgb="FF667085"/>
      <name val="Arial"/>
      <family val="0"/>
      <charset val="1"/>
    </font>
    <font>
      <b val="true"/>
      <sz val="11"/>
      <color rgb="FF006100"/>
      <name val="思源黑体"/>
      <family val="2"/>
      <charset val="134"/>
    </font>
    <font>
      <sz val="11"/>
      <color rgb="FF1F2937"/>
      <name val="思源黑体"/>
      <family val="2"/>
      <charset val="134"/>
    </font>
    <font>
      <sz val="11"/>
      <color rgb="FF1F2937"/>
      <name val="Arial"/>
      <family val="0"/>
      <charset val="1"/>
    </font>
    <font>
      <b val="true"/>
      <sz val="11"/>
      <color rgb="FFC00000"/>
      <name val="思源黑体"/>
      <family val="2"/>
      <charset val="134"/>
    </font>
    <font>
      <sz val="11"/>
      <name val="Arial"/>
      <family val="0"/>
      <charset val="1"/>
    </font>
    <font>
      <sz val="10"/>
      <color rgb="FF1F2937"/>
      <name val="思源黑体"/>
      <family val="2"/>
      <charset val="134"/>
    </font>
    <font>
      <sz val="10"/>
      <color rgb="FF1F2937"/>
      <name val="Arial"/>
      <family val="0"/>
      <charset val="1"/>
    </font>
    <font>
      <b val="true"/>
      <sz val="9"/>
      <color rgb="FF000000"/>
      <name val="Arial"/>
      <family val="2"/>
    </font>
    <font>
      <sz val="6.75"/>
      <color rgb="FF000000"/>
      <name val="Arial"/>
      <family val="2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F2937"/>
      <name val="思源黑体"/>
      <family val="2"/>
      <charset val="134"/>
    </font>
    <font>
      <b val="true"/>
      <sz val="11"/>
      <color rgb="FF1F2937"/>
      <name val="Arial"/>
      <family val="0"/>
      <charset val="1"/>
    </font>
    <font>
      <sz val="7.5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EDF4FB"/>
        <bgColor rgb="FFF2F2F2"/>
      </patternFill>
    </fill>
    <fill>
      <patternFill patternType="solid">
        <fgColor rgb="FFE2F0D9"/>
        <bgColor rgb="FFDDE3E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DF4FB"/>
      </patternFill>
    </fill>
    <fill>
      <patternFill patternType="solid">
        <fgColor rgb="FFFFFFFF"/>
        <bgColor rgb="FFF2F2F2"/>
      </patternFill>
    </fill>
    <fill>
      <patternFill patternType="solid">
        <fgColor rgb="FF70AD47"/>
        <bgColor rgb="FF7F8C8D"/>
      </patternFill>
    </fill>
    <fill>
      <patternFill patternType="solid">
        <fgColor rgb="FFC00000"/>
        <bgColor rgb="FF800000"/>
      </patternFill>
    </fill>
    <fill>
      <patternFill patternType="solid">
        <fgColor rgb="FF2F75B5"/>
        <bgColor rgb="FF0066CC"/>
      </patternFill>
    </fill>
    <fill>
      <patternFill patternType="solid">
        <fgColor rgb="FFD9EAF7"/>
        <bgColor rgb="FFDDE3EA"/>
      </patternFill>
    </fill>
  </fills>
  <borders count="41">
    <border diagonalUp="false" diagonalDown="false">
      <left/>
      <right/>
      <top/>
      <bottom/>
      <diagonal/>
    </border>
    <border diagonalUp="false" diagonalDown="false">
      <left style="thin">
        <color rgb="FF17365D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 diagonalUp="false" diagonalDown="false"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 diagonalUp="false" diagonalDown="false"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 diagonalUp="false" diagonalDown="false"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 diagonalUp="false" diagonalDown="false"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4C6E7"/>
      </left>
      <right/>
      <top/>
      <bottom style="thin">
        <color rgb="FFDDE3EA"/>
      </bottom>
      <diagonal/>
    </border>
    <border diagonalUp="false" diagonalDown="false">
      <left/>
      <right/>
      <top/>
      <bottom style="thin">
        <color rgb="FFDDE3EA"/>
      </bottom>
      <diagonal/>
    </border>
    <border diagonalUp="false" diagonalDown="false">
      <left/>
      <right style="thin">
        <color rgb="FFB4C6E7"/>
      </right>
      <top/>
      <bottom style="thin">
        <color rgb="FFDDE3EA"/>
      </bottom>
      <diagonal/>
    </border>
    <border diagonalUp="false" diagonalDown="false">
      <left style="thin">
        <color rgb="FFB4C6E7"/>
      </left>
      <right/>
      <top style="thin">
        <color rgb="FFDDE3EA"/>
      </top>
      <bottom style="thin">
        <color rgb="FFDDE3EA"/>
      </bottom>
      <diagonal/>
    </border>
    <border diagonalUp="false" diagonalDown="false">
      <left/>
      <right/>
      <top style="thin">
        <color rgb="FFDDE3EA"/>
      </top>
      <bottom style="thin">
        <color rgb="FFDDE3EA"/>
      </bottom>
      <diagonal/>
    </border>
    <border diagonalUp="false" diagonalDown="false">
      <left/>
      <right style="thin">
        <color rgb="FFB4C6E7"/>
      </right>
      <top style="thin">
        <color rgb="FFDDE3EA"/>
      </top>
      <bottom style="thin">
        <color rgb="FFDDE3EA"/>
      </bottom>
      <diagonal/>
    </border>
    <border diagonalUp="false" diagonalDown="false">
      <left style="thin">
        <color rgb="FFB4C6E7"/>
      </left>
      <right/>
      <top style="thin">
        <color rgb="FFDDE3EA"/>
      </top>
      <bottom style="thin">
        <color rgb="FFB4C6E7"/>
      </bottom>
      <diagonal/>
    </border>
    <border diagonalUp="false" diagonalDown="false">
      <left/>
      <right/>
      <top style="thin">
        <color rgb="FFDDE3EA"/>
      </top>
      <bottom style="thin">
        <color rgb="FFB4C6E7"/>
      </bottom>
      <diagonal/>
    </border>
    <border diagonalUp="false" diagonalDown="false">
      <left/>
      <right style="thin">
        <color rgb="FFB4C6E7"/>
      </right>
      <top style="thin">
        <color rgb="FFDDE3EA"/>
      </top>
      <bottom style="thin">
        <color rgb="FFB4C6E7"/>
      </bottom>
      <diagonal/>
    </border>
    <border diagonalUp="false" diagonalDown="false">
      <left style="thin">
        <color rgb="FFFFC000"/>
      </left>
      <right style="thin">
        <color rgb="FFB4C6E7"/>
      </right>
      <top style="thin">
        <color rgb="FFDDE3EA"/>
      </top>
      <bottom style="thin">
        <color rgb="FFDDE3EA"/>
      </bottom>
      <diagonal/>
    </border>
    <border diagonalUp="false" diagonalDown="false">
      <left style="thin">
        <color rgb="FFFFC000"/>
      </left>
      <right style="thin">
        <color rgb="FFB4C6E7"/>
      </right>
      <top style="thin">
        <color rgb="FFDDE3EA"/>
      </top>
      <bottom style="thin">
        <color rgb="FFB4C6E7"/>
      </bottom>
      <diagonal/>
    </border>
    <border diagonalUp="false" diagonalDown="false">
      <left style="thin">
        <color rgb="FFFFC000"/>
      </left>
      <right style="thin">
        <color rgb="FFFFC000"/>
      </right>
      <top style="thin">
        <color rgb="FFFFC000"/>
      </top>
      <bottom style="thin">
        <color rgb="FFDDE3EA"/>
      </bottom>
      <diagonal/>
    </border>
    <border diagonalUp="false" diagonalDown="false">
      <left style="thin">
        <color rgb="FFFFC000"/>
      </left>
      <right style="thin">
        <color rgb="FFFFC000"/>
      </right>
      <top style="thin">
        <color rgb="FFDDE3EA"/>
      </top>
      <bottom style="thin">
        <color rgb="FFDDE3EA"/>
      </bottom>
      <diagonal/>
    </border>
    <border diagonalUp="false" diagonalDown="false">
      <left style="thin">
        <color rgb="FFFFC000"/>
      </left>
      <right style="thin">
        <color rgb="FFFFC000"/>
      </right>
      <top style="thin">
        <color rgb="FFDDE3EA"/>
      </top>
      <bottom style="thin">
        <color rgb="FFFFC000"/>
      </bottom>
      <diagonal/>
    </border>
    <border diagonalUp="false" diagonalDown="false"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 diagonalUp="false" diagonalDown="false"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 diagonalUp="false" diagonalDown="false">
      <left style="thin">
        <color rgb="FFFFC000"/>
      </left>
      <right style="thin">
        <color rgb="FFFFC000"/>
      </right>
      <top style="thin">
        <color rgb="FFFFC000"/>
      </top>
      <bottom/>
      <diagonal/>
    </border>
    <border diagonalUp="false" diagonalDown="false">
      <left style="thin">
        <color rgb="FFFFC000"/>
      </left>
      <right style="thin">
        <color rgb="FFFFC000"/>
      </right>
      <top/>
      <bottom/>
      <diagonal/>
    </border>
    <border diagonalUp="false" diagonalDown="false"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 diagonalUp="false" diagonalDown="false">
      <left style="thin">
        <color rgb="FFFFC000"/>
      </left>
      <right/>
      <top style="thin">
        <color rgb="FFFFC000"/>
      </top>
      <bottom style="thin">
        <color rgb="FFDDE3EA"/>
      </bottom>
      <diagonal/>
    </border>
    <border diagonalUp="false" diagonalDown="false">
      <left/>
      <right/>
      <top style="thin">
        <color rgb="FFFFC000"/>
      </top>
      <bottom style="thin">
        <color rgb="FFDDE3EA"/>
      </bottom>
      <diagonal/>
    </border>
    <border diagonalUp="false" diagonalDown="false">
      <left/>
      <right style="thin">
        <color rgb="FFB4C6E7"/>
      </right>
      <top style="thin">
        <color rgb="FFFFC000"/>
      </top>
      <bottom style="thin">
        <color rgb="FFDDE3EA"/>
      </bottom>
      <diagonal/>
    </border>
    <border diagonalUp="false" diagonalDown="false">
      <left style="thin">
        <color rgb="FFFFC000"/>
      </left>
      <right/>
      <top style="thin">
        <color rgb="FFDDE3EA"/>
      </top>
      <bottom style="thin">
        <color rgb="FFDDE3EA"/>
      </bottom>
      <diagonal/>
    </border>
    <border diagonalUp="false" diagonalDown="false">
      <left style="thin">
        <color rgb="FFFFC000"/>
      </left>
      <right/>
      <top style="thin">
        <color rgb="FFDDE3EA"/>
      </top>
      <bottom style="thin">
        <color rgb="FFB4C6E7"/>
      </bottom>
      <diagonal/>
    </border>
    <border diagonalUp="false" diagonalDown="false">
      <left/>
      <right style="thin">
        <color rgb="FFFFC000"/>
      </right>
      <top style="thin">
        <color rgb="FFFFC000"/>
      </top>
      <bottom style="thin">
        <color rgb="FFDDE3EA"/>
      </bottom>
      <diagonal/>
    </border>
    <border diagonalUp="false" diagonalDown="false">
      <left/>
      <right style="thin">
        <color rgb="FFFFC000"/>
      </right>
      <top style="thin">
        <color rgb="FFDDE3EA"/>
      </top>
      <bottom style="thin">
        <color rgb="FFDDE3EA"/>
      </bottom>
      <diagonal/>
    </border>
    <border diagonalUp="false" diagonalDown="false">
      <left/>
      <right style="thin">
        <color rgb="FFFFC000"/>
      </right>
      <top style="thin">
        <color rgb="FFDDE3EA"/>
      </top>
      <bottom style="thin">
        <color rgb="FFB4C6E7"/>
      </bottom>
      <diagonal/>
    </border>
    <border diagonalUp="false" diagonalDown="false">
      <left style="thin">
        <color rgb="FFFFC000"/>
      </left>
      <right style="thin">
        <color rgb="FFFFC000"/>
      </right>
      <top style="thin">
        <color rgb="FFDDE3EA"/>
      </top>
      <bottom style="thin">
        <color rgb="FFB4C6E7"/>
      </bottom>
      <diagonal/>
    </border>
    <border diagonalUp="false" diagonalDown="false"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 diagonalUp="false" diagonalDown="false">
      <left style="thin">
        <color rgb="FFB4C6E7"/>
      </left>
      <right/>
      <top style="thin">
        <color rgb="FFB4C6E7"/>
      </top>
      <bottom style="thin">
        <color rgb="FFB4C6E7"/>
      </bottom>
      <diagonal/>
    </border>
    <border diagonalUp="false" diagonalDown="false">
      <left/>
      <right/>
      <top style="thin">
        <color rgb="FFB4C6E7"/>
      </top>
      <bottom style="thin">
        <color rgb="FFB4C6E7"/>
      </bottom>
      <diagonal/>
    </border>
    <border diagonalUp="false" diagonalDown="false"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5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8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8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6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7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7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6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1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1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4" borderId="1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4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4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0" borderId="1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6" borderId="1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1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1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0" borderId="1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3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3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2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1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2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0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2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1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2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3" fillId="4" borderId="2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2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2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5" fillId="0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7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7" borderId="1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7" borderId="1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3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3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6" borderId="2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2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7" borderId="1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3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3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2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2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3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7" borderId="1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3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3" borderId="1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3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3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1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3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3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3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5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6" borderId="2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3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5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6" borderId="3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3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6" borderId="3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3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5" fillId="0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3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5" fillId="6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6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1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6" borderId="3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5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0" borderId="1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5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1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5" fillId="12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12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12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5" fillId="12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12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12" borderId="1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5" fillId="0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0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5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5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5" fillId="0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12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12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12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12" borderId="1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0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3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3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3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7" fillId="7" borderId="3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7" borderId="3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4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1" fillId="0" borderId="1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0" borderId="1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0" borderId="1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0" borderId="1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0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ont>
        <b val="1"/>
        <color rgb="FFC00000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color rgb="FF006100"/>
      </font>
      <fill>
        <patternFill>
          <bgColor rgb="FFE2F0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8C8D"/>
      <rgbColor rgb="FFA5A5A5"/>
      <rgbColor rgb="FF993366"/>
      <rgbColor rgb="FFFFF2CC"/>
      <rgbColor rgb="FFD9EAF7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B"/>
      <rgbColor rgb="FFE2F0D9"/>
      <rgbColor rgb="FFFCE4D6"/>
      <rgbColor rgb="FFA9D18E"/>
      <rgbColor rgb="FFDDE3EA"/>
      <rgbColor rgb="FFD9D9D9"/>
      <rgbColor rgb="FFF4B183"/>
      <rgbColor rgb="FF2F75B5"/>
      <rgbColor rgb="FF5B9BD5"/>
      <rgbColor rgb="FF99CC00"/>
      <rgbColor rgb="FFFFC000"/>
      <rgbColor rgb="FFFF9900"/>
      <rgbColor rgb="FFFF6600"/>
      <rgbColor rgb="FF667085"/>
      <rgbColor rgb="FF8B8B8B"/>
      <rgbColor rgb="FF17365D"/>
      <rgbColor rgb="FF70AD47"/>
      <rgbColor rgb="FF0061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估值结果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"价值"</c:f>
              <c:strCache>
                <c:ptCount val="1"/>
                <c:pt idx="0">
                  <c:v>价值</c:v>
                </c:pt>
              </c:strCache>
            </c:strRef>
          </c:tx>
          <c:spPr>
            <a:solidFill>
              <a:srgbClr val="2F75B5"/>
            </a:solidFill>
            <a:ln w="19080">
              <a:solidFill>
                <a:srgbClr val="2F75B5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2F75B5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一图流!$A$29:$A$34</c:f>
              <c:strCache>
                <c:ptCount val="6"/>
                <c:pt idx="0">
                  <c:v>RIM</c:v>
                </c:pt>
                <c:pt idx="1">
                  <c:v>PB–ROE</c:v>
                </c:pt>
                <c:pt idx="2">
                  <c:v>历史 PB</c:v>
                </c:pt>
                <c:pt idx="3">
                  <c:v>历史 PE</c:v>
                </c:pt>
                <c:pt idx="4">
                  <c:v>同业调整 PB</c:v>
                </c:pt>
                <c:pt idx="5">
                  <c:v>DDM</c:v>
                </c:pt>
              </c:strCache>
            </c:strRef>
          </c:cat>
          <c:val>
            <c:numRef>
              <c:f>一图流!$B$29:$B$34</c:f>
              <c:numCache>
                <c:formatCode>0.00</c:formatCode>
                <c:ptCount val="6"/>
                <c:pt idx="0">
                  <c:v>8.59064394612284</c:v>
                </c:pt>
                <c:pt idx="1">
                  <c:v>8.53733333333334</c:v>
                </c:pt>
                <c:pt idx="2">
                  <c:v>5.76162604287176</c:v>
                </c:pt>
                <c:pt idx="3">
                  <c:v>5.5750300120048</c:v>
                </c:pt>
                <c:pt idx="4">
                  <c:v>7.56926960811769</c:v>
                </c:pt>
                <c:pt idx="5">
                  <c:v>5.24849684358384</c:v>
                </c:pt>
              </c:numCache>
            </c:numRef>
          </c:val>
        </c:ser>
        <c:gapWidth val="150"/>
        <c:overlap val="0"/>
        <c:axId val="34740489"/>
        <c:axId val="41972106"/>
      </c:barChart>
      <c:catAx>
        <c:axId val="3474048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1972106"/>
        <c:crosses val="autoZero"/>
        <c:auto val="1"/>
        <c:lblAlgn val="ctr"/>
        <c:lblOffset val="100"/>
        <c:noMultiLvlLbl val="0"/>
      </c:catAx>
      <c:valAx>
        <c:axId val="4197210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47404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每股现金股息（元）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"DPS"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rgbClr val="2F75B5"/>
            </a:solidFill>
            <a:ln w="19080">
              <a:solidFill>
                <a:srgbClr val="2F75B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股息估值!$A$6:$A$16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2026H1</c:v>
                </c:pt>
              </c:strCache>
            </c:strRef>
          </c:cat>
          <c:val>
            <c:numRef>
              <c:f>股息估值!$C$6:$C$16</c:f>
              <c:numCache>
                <c:formatCode>0.000</c:formatCode>
                <c:ptCount val="11"/>
                <c:pt idx="0">
                  <c:v>0.25</c:v>
                </c:pt>
                <c:pt idx="1">
                  <c:v>0.267</c:v>
                </c:pt>
                <c:pt idx="2">
                  <c:v>0.286</c:v>
                </c:pt>
                <c:pt idx="3">
                  <c:v>0.305</c:v>
                </c:pt>
                <c:pt idx="4">
                  <c:v>0.3</c:v>
                </c:pt>
                <c:pt idx="5">
                  <c:v>0.305</c:v>
                </c:pt>
                <c:pt idx="6">
                  <c:v>0.31</c:v>
                </c:pt>
                <c:pt idx="7">
                  <c:v>0.32</c:v>
                </c:pt>
                <c:pt idx="8">
                  <c:v>0.32</c:v>
                </c:pt>
                <c:pt idx="9">
                  <c:v>0.278</c:v>
                </c:pt>
                <c:pt idx="10">
                  <c:v>0.13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340300"/>
        <c:axId val="54267558"/>
      </c:lineChart>
      <c:catAx>
        <c:axId val="9434030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4267558"/>
        <c:crosses val="autoZero"/>
        <c:auto val="1"/>
        <c:lblAlgn val="ctr"/>
        <c:lblOffset val="100"/>
        <c:noMultiLvlLbl val="0"/>
      </c:catAx>
      <c:valAx>
        <c:axId val="5426755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43403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75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营业收入与归母净利润（亿元）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"营业收入"</c:f>
              <c:strCache>
                <c:ptCount val="1"/>
                <c:pt idx="0">
                  <c:v>营业收入</c:v>
                </c:pt>
              </c:strCache>
            </c:strRef>
          </c:tx>
          <c:spPr>
            <a:solidFill>
              <a:srgbClr val="2F75B5"/>
            </a:solidFill>
            <a:ln w="19080">
              <a:solidFill>
                <a:srgbClr val="2F75B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财务十年!$A$5:$A$15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2026H1</c:v>
                </c:pt>
              </c:strCache>
            </c:strRef>
          </c:cat>
          <c:val>
            <c:numRef>
              <c:f>财务十年!$B$5:$B$15</c:f>
              <c:numCache>
                <c:formatCode>#,##0.00</c:formatCode>
                <c:ptCount val="11"/>
                <c:pt idx="0">
                  <c:v>474.56</c:v>
                </c:pt>
                <c:pt idx="1">
                  <c:v>503.53</c:v>
                </c:pt>
                <c:pt idx="2">
                  <c:v>554.88</c:v>
                </c:pt>
                <c:pt idx="3">
                  <c:v>631.29</c:v>
                </c:pt>
                <c:pt idx="4">
                  <c:v>642.99</c:v>
                </c:pt>
                <c:pt idx="5">
                  <c:v>662.75</c:v>
                </c:pt>
                <c:pt idx="6">
                  <c:v>662.76</c:v>
                </c:pt>
                <c:pt idx="7">
                  <c:v>667.11</c:v>
                </c:pt>
                <c:pt idx="8">
                  <c:v>704.2</c:v>
                </c:pt>
                <c:pt idx="9">
                  <c:v>680.36</c:v>
                </c:pt>
                <c:pt idx="10">
                  <c:v>382.48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"归母净利润"</c:f>
              <c:strCache>
                <c:ptCount val="1"/>
                <c:pt idx="0">
                  <c:v>归母净利润</c:v>
                </c:pt>
              </c:strCache>
            </c:strRef>
          </c:tx>
          <c:spPr>
            <a:solidFill>
              <a:srgbClr val="70AD47"/>
            </a:solidFill>
            <a:ln w="19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财务十年!$A$5:$A$15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2026H1</c:v>
                </c:pt>
              </c:strCache>
            </c:strRef>
          </c:cat>
          <c:val>
            <c:numRef>
              <c:f>财务十年!$C$5:$C$15</c:f>
              <c:numCache>
                <c:formatCode>#,##0.00</c:formatCode>
                <c:ptCount val="11"/>
                <c:pt idx="0">
                  <c:v>178.02</c:v>
                </c:pt>
                <c:pt idx="1">
                  <c:v>187.33</c:v>
                </c:pt>
                <c:pt idx="2">
                  <c:v>200.02</c:v>
                </c:pt>
                <c:pt idx="3">
                  <c:v>214.41</c:v>
                </c:pt>
                <c:pt idx="4">
                  <c:v>214.84</c:v>
                </c:pt>
                <c:pt idx="5">
                  <c:v>222.26</c:v>
                </c:pt>
                <c:pt idx="6">
                  <c:v>247.6</c:v>
                </c:pt>
                <c:pt idx="7">
                  <c:v>256.24</c:v>
                </c:pt>
                <c:pt idx="8">
                  <c:v>263.34</c:v>
                </c:pt>
                <c:pt idx="9">
                  <c:v>200.86</c:v>
                </c:pt>
                <c:pt idx="10">
                  <c:v>159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086142"/>
        <c:axId val="59164649"/>
      </c:lineChart>
      <c:catAx>
        <c:axId val="3308614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9164649"/>
        <c:crosses val="autoZero"/>
        <c:auto val="1"/>
        <c:lblAlgn val="ctr"/>
        <c:lblOffset val="100"/>
        <c:noMultiLvlLbl val="0"/>
      </c:catAx>
      <c:valAx>
        <c:axId val="5916464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30861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75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ROE 与净息差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"ROE"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2F75B5"/>
            </a:solidFill>
            <a:ln w="19080">
              <a:solidFill>
                <a:srgbClr val="2F75B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财务十年!$A$5:$A$15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2026H1</c:v>
                </c:pt>
              </c:strCache>
            </c:strRef>
          </c:cat>
          <c:val>
            <c:numRef>
              <c:f>财务十年!$F$5:$F$15</c:f>
              <c:numCache>
                <c:formatCode>0.00%</c:formatCode>
                <c:ptCount val="11"/>
                <c:pt idx="0">
                  <c:v>0.1492</c:v>
                </c:pt>
                <c:pt idx="1">
                  <c:v>0.1377</c:v>
                </c:pt>
                <c:pt idx="2">
                  <c:v>0.1089</c:v>
                </c:pt>
                <c:pt idx="3">
                  <c:v>0.1145</c:v>
                </c:pt>
                <c:pt idx="4">
                  <c:v>0.1065</c:v>
                </c:pt>
                <c:pt idx="5">
                  <c:v>0.1029</c:v>
                </c:pt>
                <c:pt idx="6">
                  <c:v>0.096</c:v>
                </c:pt>
                <c:pt idx="7">
                  <c:v>0.0932</c:v>
                </c:pt>
                <c:pt idx="8">
                  <c:v>0.0865</c:v>
                </c:pt>
                <c:pt idx="9">
                  <c:v>0.0611</c:v>
                </c:pt>
                <c:pt idx="10">
                  <c:v>0.106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"净息差"</c:f>
              <c:strCache>
                <c:ptCount val="1"/>
                <c:pt idx="0">
                  <c:v>净息差</c:v>
                </c:pt>
              </c:strCache>
            </c:strRef>
          </c:tx>
          <c:spPr>
            <a:solidFill>
              <a:srgbClr val="70AD47"/>
            </a:solidFill>
            <a:ln w="19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财务十年!$A$5:$A$15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2026H1</c:v>
                </c:pt>
              </c:strCache>
            </c:strRef>
          </c:cat>
          <c:val>
            <c:numRef>
              <c:f>财务十年!$H$5:$H$15</c:f>
              <c:numCache>
                <c:formatCode>0.00%</c:formatCode>
                <c:ptCount val="11"/>
                <c:pt idx="2">
                  <c:v>0.0188</c:v>
                </c:pt>
                <c:pt idx="3">
                  <c:v>0.0196</c:v>
                </c:pt>
                <c:pt idx="4">
                  <c:v>0.0192</c:v>
                </c:pt>
                <c:pt idx="5">
                  <c:v>0.0183</c:v>
                </c:pt>
                <c:pt idx="6">
                  <c:v>0.0176</c:v>
                </c:pt>
                <c:pt idx="7">
                  <c:v>0.0154</c:v>
                </c:pt>
                <c:pt idx="8">
                  <c:v>0.0147</c:v>
                </c:pt>
                <c:pt idx="9">
                  <c:v>0.0127</c:v>
                </c:pt>
                <c:pt idx="10">
                  <c:v>0.0126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548867"/>
        <c:axId val="49940005"/>
      </c:lineChart>
      <c:catAx>
        <c:axId val="1254886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9940005"/>
        <c:crosses val="autoZero"/>
        <c:auto val="1"/>
        <c:lblAlgn val="ctr"/>
        <c:lblOffset val="100"/>
        <c:noMultiLvlLbl val="0"/>
      </c:catAx>
      <c:valAx>
        <c:axId val="4994000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25488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75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不良率趋势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"不良率"</c:f>
              <c:strCache>
                <c:ptCount val="1"/>
                <c:pt idx="0">
                  <c:v>不良率</c:v>
                </c:pt>
              </c:strCache>
            </c:strRef>
          </c:tx>
          <c:spPr>
            <a:solidFill>
              <a:srgbClr val="2F75B5"/>
            </a:solidFill>
            <a:ln w="19080">
              <a:solidFill>
                <a:srgbClr val="2F75B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财务十年!$A$5:$A$15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2026H1</c:v>
                </c:pt>
              </c:strCache>
            </c:strRef>
          </c:cat>
          <c:val>
            <c:numRef>
              <c:f>财务十年!$I$5:$I$15</c:f>
              <c:numCache>
                <c:formatCode>0.00%</c:formatCode>
                <c:ptCount val="11"/>
                <c:pt idx="0">
                  <c:v>0.0127</c:v>
                </c:pt>
                <c:pt idx="1">
                  <c:v>0.0124</c:v>
                </c:pt>
                <c:pt idx="2">
                  <c:v>0.0146</c:v>
                </c:pt>
                <c:pt idx="3">
                  <c:v>0.014</c:v>
                </c:pt>
                <c:pt idx="4">
                  <c:v>0.0157</c:v>
                </c:pt>
                <c:pt idx="5">
                  <c:v>0.0144</c:v>
                </c:pt>
                <c:pt idx="6">
                  <c:v>0.0143</c:v>
                </c:pt>
                <c:pt idx="7">
                  <c:v>0.0132</c:v>
                </c:pt>
                <c:pt idx="8">
                  <c:v>0.0131</c:v>
                </c:pt>
                <c:pt idx="9">
                  <c:v>0.0129</c:v>
                </c:pt>
                <c:pt idx="10">
                  <c:v>0.013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26963"/>
        <c:axId val="26784608"/>
      </c:lineChart>
      <c:catAx>
        <c:axId val="262696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6784608"/>
        <c:crosses val="autoZero"/>
        <c:auto val="1"/>
        <c:lblAlgn val="ctr"/>
        <c:lblOffset val="100"/>
        <c:noMultiLvlLbl val="0"/>
      </c:catAx>
      <c:valAx>
        <c:axId val="2678460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6269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75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拨备覆盖率与 CET1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"拨备覆盖率"</c:f>
              <c:strCache>
                <c:ptCount val="1"/>
                <c:pt idx="0">
                  <c:v>拨备覆盖率</c:v>
                </c:pt>
              </c:strCache>
            </c:strRef>
          </c:tx>
          <c:spPr>
            <a:solidFill>
              <a:srgbClr val="2F75B5"/>
            </a:solidFill>
            <a:ln w="19080">
              <a:solidFill>
                <a:srgbClr val="2F75B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财务十年!$A$5:$A$15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2026H1</c:v>
                </c:pt>
              </c:strCache>
            </c:strRef>
          </c:cat>
          <c:val>
            <c:numRef>
              <c:f>财务十年!$J$5:$J$15</c:f>
              <c:numCache>
                <c:formatCode>0.00%</c:formatCode>
                <c:ptCount val="11"/>
                <c:pt idx="0">
                  <c:v>2.5606</c:v>
                </c:pt>
                <c:pt idx="1">
                  <c:v>2.6557</c:v>
                </c:pt>
                <c:pt idx="2">
                  <c:v>2.1751</c:v>
                </c:pt>
                <c:pt idx="3">
                  <c:v>2.2469</c:v>
                </c:pt>
                <c:pt idx="4">
                  <c:v>2.1595</c:v>
                </c:pt>
                <c:pt idx="5">
                  <c:v>2.1022</c:v>
                </c:pt>
                <c:pt idx="6">
                  <c:v>2.1004</c:v>
                </c:pt>
                <c:pt idx="7">
                  <c:v>2.1678</c:v>
                </c:pt>
                <c:pt idx="8">
                  <c:v>2.0875</c:v>
                </c:pt>
                <c:pt idx="9">
                  <c:v>2.0021</c:v>
                </c:pt>
                <c:pt idx="10">
                  <c:v>1.9959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"CET1"</c:f>
              <c:strCache>
                <c:ptCount val="1"/>
                <c:pt idx="0">
                  <c:v>CET1</c:v>
                </c:pt>
              </c:strCache>
            </c:strRef>
          </c:tx>
          <c:spPr>
            <a:solidFill>
              <a:srgbClr val="70AD47"/>
            </a:solidFill>
            <a:ln w="19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财务十年!$A$5:$A$15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2026H1</c:v>
                </c:pt>
              </c:strCache>
            </c:strRef>
          </c:cat>
          <c:val>
            <c:numRef>
              <c:f>财务十年!$K$5:$K$15</c:f>
              <c:numCache>
                <c:formatCode>0.00%</c:formatCode>
                <c:ptCount val="11"/>
                <c:pt idx="0">
                  <c:v>0.0826</c:v>
                </c:pt>
                <c:pt idx="1">
                  <c:v>0.0892</c:v>
                </c:pt>
                <c:pt idx="2">
                  <c:v>0.0893</c:v>
                </c:pt>
                <c:pt idx="3">
                  <c:v>0.0922</c:v>
                </c:pt>
                <c:pt idx="4">
                  <c:v>0.0942</c:v>
                </c:pt>
                <c:pt idx="5">
                  <c:v>0.0986</c:v>
                </c:pt>
                <c:pt idx="6">
                  <c:v>0.0954</c:v>
                </c:pt>
                <c:pt idx="7">
                  <c:v>0.0921</c:v>
                </c:pt>
                <c:pt idx="8">
                  <c:v>0.0895</c:v>
                </c:pt>
                <c:pt idx="9">
                  <c:v>0.0837</c:v>
                </c:pt>
                <c:pt idx="10">
                  <c:v>0.0891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166140"/>
        <c:axId val="11805373"/>
      </c:lineChart>
      <c:catAx>
        <c:axId val="3616614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1805373"/>
        <c:crosses val="autoZero"/>
        <c:auto val="1"/>
        <c:lblAlgn val="ctr"/>
        <c:lblOffset val="100"/>
        <c:noMultiLvlLbl val="0"/>
      </c:catAx>
      <c:valAx>
        <c:axId val="1180537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61661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75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PB 对比（x）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"PB"</c:f>
              <c:strCache>
                <c:ptCount val="1"/>
                <c:pt idx="0">
                  <c:v>PB</c:v>
                </c:pt>
              </c:strCache>
            </c:strRef>
          </c:tx>
          <c:spPr>
            <a:solidFill>
              <a:srgbClr val="2F75B5"/>
            </a:solidFill>
            <a:ln w="19080">
              <a:solidFill>
                <a:srgbClr val="2F75B5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2F75B5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同业比较!$A$5:$A$11</c:f>
              <c:strCache>
                <c:ptCount val="7"/>
                <c:pt idx="0">
                  <c:v>北京银行</c:v>
                </c:pt>
                <c:pt idx="1">
                  <c:v>上海银行</c:v>
                </c:pt>
                <c:pt idx="2">
                  <c:v>江苏银行</c:v>
                </c:pt>
                <c:pt idx="3">
                  <c:v>南京银行</c:v>
                </c:pt>
                <c:pt idx="4">
                  <c:v>宁波银行</c:v>
                </c:pt>
                <c:pt idx="5">
                  <c:v>杭州银行</c:v>
                </c:pt>
                <c:pt idx="6">
                  <c:v>成都银行</c:v>
                </c:pt>
              </c:strCache>
            </c:strRef>
          </c:cat>
          <c:val>
            <c:numRef>
              <c:f>同业比较!$E$5:$E$11</c:f>
              <c:numCache>
                <c:formatCode>0.00\x</c:formatCode>
                <c:ptCount val="7"/>
                <c:pt idx="0">
                  <c:v>0.42</c:v>
                </c:pt>
                <c:pt idx="1">
                  <c:v>0.54</c:v>
                </c:pt>
                <c:pt idx="2">
                  <c:v>0.84</c:v>
                </c:pt>
                <c:pt idx="3">
                  <c:v>0.77</c:v>
                </c:pt>
                <c:pt idx="4">
                  <c:v>0.96</c:v>
                </c:pt>
                <c:pt idx="5">
                  <c:v>0.88</c:v>
                </c:pt>
                <c:pt idx="6">
                  <c:v>0.91</c:v>
                </c:pt>
              </c:numCache>
            </c:numRef>
          </c:val>
        </c:ser>
        <c:gapWidth val="150"/>
        <c:overlap val="0"/>
        <c:axId val="66342255"/>
        <c:axId val="46932024"/>
      </c:barChart>
      <c:catAx>
        <c:axId val="6634225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6932024"/>
        <c:crosses val="autoZero"/>
        <c:auto val="1"/>
        <c:lblAlgn val="ctr"/>
        <c:lblOffset val="100"/>
        <c:noMultiLvlLbl val="0"/>
      </c:catAx>
      <c:valAx>
        <c:axId val="4693202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\x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63422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75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27</xdr:row>
      <xdr:rowOff>0</xdr:rowOff>
    </xdr:from>
    <xdr:to>
      <xdr:col>7</xdr:col>
      <xdr:colOff>1056960</xdr:colOff>
      <xdr:row>39</xdr:row>
      <xdr:rowOff>190080</xdr:rowOff>
    </xdr:to>
    <xdr:graphicFrame>
      <xdr:nvGraphicFramePr>
        <xdr:cNvPr id="1" name="Chart"/>
        <xdr:cNvGraphicFramePr/>
      </xdr:nvGraphicFramePr>
      <xdr:xfrm>
        <a:off x="2607840" y="7074000"/>
        <a:ext cx="4722120" cy="3187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26</xdr:row>
      <xdr:rowOff>0</xdr:rowOff>
    </xdr:from>
    <xdr:to>
      <xdr:col>13</xdr:col>
      <xdr:colOff>845280</xdr:colOff>
      <xdr:row>40</xdr:row>
      <xdr:rowOff>190080</xdr:rowOff>
    </xdr:to>
    <xdr:graphicFrame>
      <xdr:nvGraphicFramePr>
        <xdr:cNvPr id="2" name="Chart"/>
        <xdr:cNvGraphicFramePr/>
      </xdr:nvGraphicFramePr>
      <xdr:xfrm>
        <a:off x="8740080" y="7516440"/>
        <a:ext cx="3664800" cy="312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8</xdr:col>
      <xdr:colOff>775080</xdr:colOff>
      <xdr:row>33</xdr:row>
      <xdr:rowOff>190080</xdr:rowOff>
    </xdr:to>
    <xdr:graphicFrame>
      <xdr:nvGraphicFramePr>
        <xdr:cNvPr id="3" name="Chart"/>
        <xdr:cNvGraphicFramePr/>
      </xdr:nvGraphicFramePr>
      <xdr:xfrm>
        <a:off x="0" y="4495680"/>
        <a:ext cx="747108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18</xdr:col>
      <xdr:colOff>775080</xdr:colOff>
      <xdr:row>33</xdr:row>
      <xdr:rowOff>190080</xdr:rowOff>
    </xdr:to>
    <xdr:graphicFrame>
      <xdr:nvGraphicFramePr>
        <xdr:cNvPr id="4" name="Chart"/>
        <xdr:cNvGraphicFramePr/>
      </xdr:nvGraphicFramePr>
      <xdr:xfrm>
        <a:off x="7471440" y="4495680"/>
        <a:ext cx="838728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5</xdr:col>
      <xdr:colOff>1409040</xdr:colOff>
      <xdr:row>43</xdr:row>
      <xdr:rowOff>190080</xdr:rowOff>
    </xdr:to>
    <xdr:graphicFrame>
      <xdr:nvGraphicFramePr>
        <xdr:cNvPr id="5" name="Chart"/>
        <xdr:cNvGraphicFramePr/>
      </xdr:nvGraphicFramePr>
      <xdr:xfrm>
        <a:off x="0" y="8521560"/>
        <a:ext cx="563832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13</xdr:col>
      <xdr:colOff>1409400</xdr:colOff>
      <xdr:row>43</xdr:row>
      <xdr:rowOff>190080</xdr:rowOff>
    </xdr:to>
    <xdr:graphicFrame>
      <xdr:nvGraphicFramePr>
        <xdr:cNvPr id="6" name="Chart"/>
        <xdr:cNvGraphicFramePr/>
      </xdr:nvGraphicFramePr>
      <xdr:xfrm>
        <a:off x="6484680" y="8521560"/>
        <a:ext cx="704808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15</xdr:row>
      <xdr:rowOff>0</xdr:rowOff>
    </xdr:from>
    <xdr:to>
      <xdr:col>12</xdr:col>
      <xdr:colOff>845280</xdr:colOff>
      <xdr:row>30</xdr:row>
      <xdr:rowOff>190080</xdr:rowOff>
    </xdr:to>
    <xdr:graphicFrame>
      <xdr:nvGraphicFramePr>
        <xdr:cNvPr id="7" name="Chart"/>
        <xdr:cNvGraphicFramePr/>
      </xdr:nvGraphicFramePr>
      <xdr:xfrm>
        <a:off x="6273000" y="3936960"/>
        <a:ext cx="5074560" cy="428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11.1"/>
    <col collapsed="false" customWidth="true" hidden="false" outlineLevel="0" max="2" min="2" style="0" width="15.14"/>
    <col collapsed="false" customWidth="true" hidden="false" outlineLevel="0" max="3" min="3" style="0" width="11.1"/>
    <col collapsed="false" customWidth="true" hidden="false" outlineLevel="0" max="4" min="4" style="0" width="15.14"/>
    <col collapsed="false" customWidth="true" hidden="false" outlineLevel="0" max="5" min="5" style="0" width="11.1"/>
    <col collapsed="false" customWidth="true" hidden="false" outlineLevel="0" max="6" min="6" style="0" width="15.14"/>
    <col collapsed="false" customWidth="true" hidden="false" outlineLevel="0" max="7" min="7" style="0" width="11.1"/>
    <col collapsed="false" customWidth="true" hidden="false" outlineLevel="0" max="8" min="8" style="0" width="15.14"/>
    <col collapsed="false" customWidth="true" hidden="false" outlineLevel="0" max="9" min="9" style="0" width="11.1"/>
    <col collapsed="false" customWidth="true" hidden="false" outlineLevel="0" max="10" min="10" style="0" width="15.14"/>
    <col collapsed="false" customWidth="true" hidden="false" outlineLevel="0" max="11" min="11" style="0" width="11.1"/>
    <col collapsed="false" customWidth="true" hidden="false" outlineLevel="0" max="12" min="12" style="0" width="15.14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</row>
    <row r="3" customFormat="false" ht="20" hidden="false" customHeight="true" outlineLevel="0" collapsed="false">
      <c r="A3" s="3" t="s">
        <v>1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</row>
    <row r="4" customFormat="false" ht="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4" hidden="false" customHeight="true" outlineLevel="0" collapsed="false">
      <c r="A5" s="4" t="s">
        <v>2</v>
      </c>
      <c r="B5" s="4" t="s">
        <v>2</v>
      </c>
      <c r="C5" s="4" t="s">
        <v>2</v>
      </c>
      <c r="D5" s="4" t="s">
        <v>3</v>
      </c>
      <c r="E5" s="4" t="s">
        <v>3</v>
      </c>
      <c r="F5" s="4" t="s">
        <v>3</v>
      </c>
      <c r="G5" s="4" t="s">
        <v>4</v>
      </c>
      <c r="H5" s="4" t="s">
        <v>4</v>
      </c>
      <c r="I5" s="4" t="s">
        <v>4</v>
      </c>
      <c r="J5" s="4" t="s">
        <v>5</v>
      </c>
      <c r="K5" s="4" t="s">
        <v>5</v>
      </c>
      <c r="L5" s="4" t="s">
        <v>5</v>
      </c>
    </row>
    <row r="6" customFormat="false" ht="24" hidden="false" customHeight="true" outlineLevel="0" collapsed="false">
      <c r="A6" s="5" t="n">
        <f aca="false">估值系统!$B$7</f>
        <v>5.62</v>
      </c>
      <c r="B6" s="5"/>
      <c r="C6" s="5"/>
      <c r="D6" s="6" t="str">
        <f aca="false">TEXT(估值系统!$C$22,"0.00")&amp;" — "&amp;TEXT(估值系统!$B$26,"0.00")</f>
        <v>5.25 — 6.79</v>
      </c>
      <c r="E6" s="6"/>
      <c r="F6" s="6"/>
      <c r="G6" s="7" t="n">
        <f aca="false">估值系统!$B$27</f>
        <v>0.172466417143563</v>
      </c>
      <c r="H6" s="7"/>
      <c r="I6" s="7"/>
      <c r="J6" s="8" t="n">
        <f aca="false">估值系统!$B$28</f>
        <v>-0.0707827721893972</v>
      </c>
      <c r="K6" s="8"/>
      <c r="L6" s="8"/>
    </row>
    <row r="7" customFormat="false" ht="24" hidden="false" customHeight="true" outlineLevel="0" collapsed="false">
      <c r="A7" s="5"/>
      <c r="B7" s="5"/>
      <c r="C7" s="5"/>
      <c r="D7" s="6"/>
      <c r="E7" s="6"/>
      <c r="F7" s="6"/>
      <c r="G7" s="7"/>
      <c r="H7" s="7"/>
      <c r="I7" s="7"/>
      <c r="J7" s="8"/>
      <c r="K7" s="8"/>
      <c r="L7" s="8"/>
    </row>
    <row r="8" customFormat="false" ht="24" hidden="false" customHeight="true" outlineLevel="0" collapsed="false">
      <c r="A8" s="5"/>
      <c r="B8" s="5"/>
      <c r="C8" s="5"/>
      <c r="D8" s="6"/>
      <c r="E8" s="6"/>
      <c r="F8" s="6"/>
      <c r="G8" s="7"/>
      <c r="H8" s="7"/>
      <c r="I8" s="7"/>
      <c r="J8" s="8"/>
      <c r="K8" s="8"/>
      <c r="L8" s="8"/>
    </row>
    <row r="9" customFormat="false" ht="8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28" hidden="false" customHeight="true" outlineLevel="0" collapsed="false">
      <c r="A10" s="9" t="str">
        <f aca="false">"有折价、需验证：当前价低于组合中枢 "&amp;TEXT(估值系统!$B$27,"0.0%")&amp;"，但高于保守 DDM "&amp;TEXT(-估值系统!$B$28,"0.0%")</f>
        <v>有折价、需验证：当前价低于组合中枢 17.2%，但高于保守 DDM 7.1%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customFormat="false" ht="28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22" hidden="false" customHeight="true" outlineLevel="0" collapsed="false">
      <c r="A13" s="10" t="s">
        <v>6</v>
      </c>
      <c r="B13" s="10" t="s">
        <v>6</v>
      </c>
      <c r="C13" s="10" t="s">
        <v>6</v>
      </c>
      <c r="D13" s="10" t="s">
        <v>6</v>
      </c>
      <c r="E13" s="10" t="s">
        <v>6</v>
      </c>
      <c r="F13" s="10" t="s">
        <v>6</v>
      </c>
      <c r="G13" s="10" t="s">
        <v>6</v>
      </c>
      <c r="H13" s="10" t="s">
        <v>6</v>
      </c>
      <c r="I13" s="10" t="s">
        <v>6</v>
      </c>
      <c r="J13" s="10" t="s">
        <v>6</v>
      </c>
      <c r="K13" s="10" t="s">
        <v>6</v>
      </c>
      <c r="L13" s="10" t="s">
        <v>6</v>
      </c>
    </row>
    <row r="14" customFormat="false" ht="22" hidden="false" customHeight="true" outlineLevel="0" collapsed="false">
      <c r="A14" s="11" t="s">
        <v>7</v>
      </c>
      <c r="B14" s="11" t="s">
        <v>7</v>
      </c>
      <c r="C14" s="11" t="s">
        <v>8</v>
      </c>
      <c r="D14" s="11" t="s">
        <v>8</v>
      </c>
      <c r="E14" s="11" t="s">
        <v>9</v>
      </c>
      <c r="F14" s="11" t="s">
        <v>9</v>
      </c>
      <c r="G14" s="11" t="s">
        <v>10</v>
      </c>
      <c r="H14" s="11" t="s">
        <v>10</v>
      </c>
      <c r="I14" s="11" t="s">
        <v>11</v>
      </c>
      <c r="J14" s="11" t="s">
        <v>11</v>
      </c>
      <c r="K14" s="12" t="s">
        <v>12</v>
      </c>
      <c r="L14" s="12" t="s">
        <v>12</v>
      </c>
    </row>
    <row r="15" customFormat="false" ht="24" hidden="false" customHeight="true" outlineLevel="0" collapsed="false">
      <c r="A15" s="13" t="n">
        <v>0.056</v>
      </c>
      <c r="B15" s="13"/>
      <c r="C15" s="13" t="n">
        <v>0.0563</v>
      </c>
      <c r="D15" s="13"/>
      <c r="E15" s="13" t="n">
        <v>0.106</v>
      </c>
      <c r="F15" s="13"/>
      <c r="G15" s="14" t="n">
        <v>0.0126</v>
      </c>
      <c r="H15" s="14"/>
      <c r="I15" s="14" t="n">
        <v>0.013</v>
      </c>
      <c r="J15" s="14"/>
      <c r="K15" s="14" t="n">
        <v>0.0891</v>
      </c>
      <c r="L15" s="14"/>
    </row>
    <row r="16" customFormat="false" ht="24" hidden="false" customHeight="true" outlineLevel="0" collapsed="false">
      <c r="A16" s="13"/>
      <c r="B16" s="13"/>
      <c r="C16" s="13"/>
      <c r="D16" s="13"/>
      <c r="E16" s="13"/>
      <c r="F16" s="13"/>
      <c r="G16" s="14"/>
      <c r="H16" s="14"/>
      <c r="I16" s="14"/>
      <c r="J16" s="14"/>
      <c r="K16" s="14"/>
      <c r="L16" s="14"/>
    </row>
    <row r="17" customFormat="false" ht="20" hidden="false" customHeight="true" outlineLevel="0" collapsed="false">
      <c r="A17" s="15" t="s">
        <v>13</v>
      </c>
      <c r="B17" s="15" t="s">
        <v>13</v>
      </c>
      <c r="C17" s="15" t="s">
        <v>13</v>
      </c>
      <c r="D17" s="15" t="s">
        <v>13</v>
      </c>
      <c r="E17" s="15" t="s">
        <v>14</v>
      </c>
      <c r="F17" s="15" t="s">
        <v>14</v>
      </c>
      <c r="G17" s="15" t="s">
        <v>15</v>
      </c>
      <c r="H17" s="15" t="s">
        <v>15</v>
      </c>
      <c r="I17" s="15" t="s">
        <v>16</v>
      </c>
      <c r="J17" s="15" t="s">
        <v>16</v>
      </c>
      <c r="K17" s="15" t="s">
        <v>17</v>
      </c>
      <c r="L17" s="15" t="s">
        <v>17</v>
      </c>
    </row>
    <row r="18" customFormat="false" ht="8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22" hidden="false" customHeight="true" outlineLevel="0" collapsed="false">
      <c r="A19" s="16" t="s">
        <v>18</v>
      </c>
      <c r="B19" s="16" t="s">
        <v>18</v>
      </c>
      <c r="C19" s="16" t="s">
        <v>18</v>
      </c>
      <c r="D19" s="16" t="s">
        <v>18</v>
      </c>
      <c r="E19" s="16" t="s">
        <v>18</v>
      </c>
      <c r="F19" s="16" t="s">
        <v>18</v>
      </c>
      <c r="G19" s="17" t="s">
        <v>19</v>
      </c>
      <c r="H19" s="17" t="s">
        <v>19</v>
      </c>
      <c r="I19" s="17" t="s">
        <v>19</v>
      </c>
      <c r="J19" s="17" t="s">
        <v>19</v>
      </c>
      <c r="K19" s="17" t="s">
        <v>19</v>
      </c>
      <c r="L19" s="17" t="s">
        <v>19</v>
      </c>
    </row>
    <row r="20" customFormat="false" ht="24" hidden="false" customHeight="true" outlineLevel="0" collapsed="false">
      <c r="A20" s="18" t="s">
        <v>20</v>
      </c>
      <c r="B20" s="19" t="s">
        <v>21</v>
      </c>
      <c r="C20" s="19"/>
      <c r="D20" s="19"/>
      <c r="E20" s="19"/>
      <c r="F20" s="19"/>
      <c r="G20" s="20" t="s">
        <v>22</v>
      </c>
      <c r="H20" s="21" t="s">
        <v>23</v>
      </c>
      <c r="I20" s="21"/>
      <c r="J20" s="21"/>
      <c r="K20" s="21"/>
      <c r="L20" s="21"/>
    </row>
    <row r="21" customFormat="false" ht="24" hidden="false" customHeight="true" outlineLevel="0" collapsed="false">
      <c r="A21" s="18"/>
      <c r="B21" s="19"/>
      <c r="C21" s="19"/>
      <c r="D21" s="19"/>
      <c r="E21" s="19"/>
      <c r="F21" s="19"/>
      <c r="G21" s="20"/>
      <c r="H21" s="21"/>
      <c r="I21" s="21"/>
      <c r="J21" s="21"/>
      <c r="K21" s="21"/>
      <c r="L21" s="21"/>
    </row>
    <row r="22" customFormat="false" ht="24" hidden="false" customHeight="true" outlineLevel="0" collapsed="false">
      <c r="A22" s="18" t="s">
        <v>24</v>
      </c>
      <c r="B22" s="19" t="s">
        <v>25</v>
      </c>
      <c r="C22" s="19"/>
      <c r="D22" s="19"/>
      <c r="E22" s="19"/>
      <c r="F22" s="19"/>
      <c r="G22" s="20" t="s">
        <v>26</v>
      </c>
      <c r="H22" s="22" t="s">
        <v>27</v>
      </c>
      <c r="I22" s="22"/>
      <c r="J22" s="22"/>
      <c r="K22" s="22"/>
      <c r="L22" s="22"/>
    </row>
    <row r="23" customFormat="false" ht="24" hidden="false" customHeight="true" outlineLevel="0" collapsed="false">
      <c r="A23" s="18"/>
      <c r="B23" s="19"/>
      <c r="C23" s="19"/>
      <c r="D23" s="19"/>
      <c r="E23" s="19"/>
      <c r="F23" s="19"/>
      <c r="G23" s="20"/>
      <c r="H23" s="22"/>
      <c r="I23" s="22"/>
      <c r="J23" s="22"/>
      <c r="K23" s="22"/>
      <c r="L23" s="22"/>
    </row>
    <row r="24" customFormat="false" ht="24" hidden="false" customHeight="true" outlineLevel="0" collapsed="false">
      <c r="A24" s="18" t="s">
        <v>28</v>
      </c>
      <c r="B24" s="23" t="s">
        <v>29</v>
      </c>
      <c r="C24" s="23"/>
      <c r="D24" s="23"/>
      <c r="E24" s="23"/>
      <c r="F24" s="23"/>
      <c r="G24" s="20" t="s">
        <v>30</v>
      </c>
      <c r="H24" s="22" t="s">
        <v>31</v>
      </c>
      <c r="I24" s="22"/>
      <c r="J24" s="22"/>
      <c r="K24" s="22"/>
      <c r="L24" s="22"/>
    </row>
    <row r="25" customFormat="false" ht="24" hidden="false" customHeight="true" outlineLevel="0" collapsed="false">
      <c r="A25" s="18"/>
      <c r="B25" s="23"/>
      <c r="C25" s="23"/>
      <c r="D25" s="23"/>
      <c r="E25" s="23"/>
      <c r="F25" s="23"/>
      <c r="G25" s="20"/>
      <c r="H25" s="22"/>
      <c r="I25" s="22"/>
      <c r="J25" s="22"/>
      <c r="K25" s="22"/>
      <c r="L25" s="22"/>
    </row>
    <row r="26" customFormat="false" ht="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22" hidden="false" customHeight="true" outlineLevel="0" collapsed="false">
      <c r="A27" s="10" t="s">
        <v>32</v>
      </c>
      <c r="B27" s="10" t="s">
        <v>32</v>
      </c>
      <c r="C27" s="10" t="s">
        <v>32</v>
      </c>
      <c r="D27" s="10" t="s">
        <v>32</v>
      </c>
      <c r="E27" s="10" t="s">
        <v>32</v>
      </c>
      <c r="F27" s="10" t="s">
        <v>32</v>
      </c>
      <c r="G27" s="10" t="s">
        <v>32</v>
      </c>
      <c r="H27" s="10" t="s">
        <v>32</v>
      </c>
      <c r="I27" s="10" t="s">
        <v>33</v>
      </c>
      <c r="J27" s="10" t="s">
        <v>33</v>
      </c>
      <c r="K27" s="10" t="s">
        <v>33</v>
      </c>
      <c r="L27" s="10" t="s">
        <v>33</v>
      </c>
    </row>
    <row r="28" customFormat="false" ht="23" hidden="false" customHeight="true" outlineLevel="0" collapsed="false">
      <c r="A28" s="24" t="s">
        <v>34</v>
      </c>
      <c r="B28" s="24" t="s">
        <v>35</v>
      </c>
      <c r="C28" s="24" t="s">
        <v>36</v>
      </c>
      <c r="D28" s="1"/>
      <c r="E28" s="1"/>
      <c r="F28" s="1"/>
      <c r="G28" s="1"/>
      <c r="H28" s="1"/>
      <c r="I28" s="24" t="s">
        <v>37</v>
      </c>
      <c r="J28" s="24" t="s">
        <v>38</v>
      </c>
      <c r="K28" s="24" t="s">
        <v>39</v>
      </c>
      <c r="L28" s="24" t="s">
        <v>40</v>
      </c>
    </row>
    <row r="29" customFormat="false" ht="23" hidden="false" customHeight="true" outlineLevel="0" collapsed="false">
      <c r="A29" s="25" t="s">
        <v>41</v>
      </c>
      <c r="B29" s="26" t="n">
        <f aca="false">估值系统!C17</f>
        <v>8.59064394612284</v>
      </c>
      <c r="C29" s="27" t="n">
        <v>0.15</v>
      </c>
      <c r="D29" s="1"/>
      <c r="E29" s="1"/>
      <c r="F29" s="1"/>
      <c r="G29" s="1"/>
      <c r="H29" s="1"/>
      <c r="I29" s="25" t="s">
        <v>42</v>
      </c>
      <c r="J29" s="28" t="s">
        <v>43</v>
      </c>
      <c r="K29" s="28" t="s">
        <v>44</v>
      </c>
      <c r="L29" s="29" t="s">
        <v>45</v>
      </c>
    </row>
    <row r="30" customFormat="false" ht="23" hidden="false" customHeight="true" outlineLevel="0" collapsed="false">
      <c r="A30" s="30" t="s">
        <v>46</v>
      </c>
      <c r="B30" s="31" t="n">
        <f aca="false">估值系统!C18</f>
        <v>8.53733333333334</v>
      </c>
      <c r="C30" s="32" t="n">
        <v>0.15</v>
      </c>
      <c r="D30" s="1"/>
      <c r="E30" s="1"/>
      <c r="F30" s="1"/>
      <c r="G30" s="1"/>
      <c r="H30" s="1"/>
      <c r="I30" s="33" t="s">
        <v>10</v>
      </c>
      <c r="J30" s="34" t="s">
        <v>47</v>
      </c>
      <c r="K30" s="34" t="s">
        <v>48</v>
      </c>
      <c r="L30" s="35" t="s">
        <v>49</v>
      </c>
    </row>
    <row r="31" customFormat="false" ht="23" hidden="false" customHeight="true" outlineLevel="0" collapsed="false">
      <c r="A31" s="33" t="s">
        <v>50</v>
      </c>
      <c r="B31" s="31" t="n">
        <f aca="false">估值系统!C19</f>
        <v>5.76162604287176</v>
      </c>
      <c r="C31" s="32" t="n">
        <v>0.1</v>
      </c>
      <c r="D31" s="1"/>
      <c r="E31" s="1"/>
      <c r="F31" s="1"/>
      <c r="G31" s="1"/>
      <c r="H31" s="1"/>
      <c r="I31" s="33" t="s">
        <v>51</v>
      </c>
      <c r="J31" s="34" t="s">
        <v>52</v>
      </c>
      <c r="K31" s="34" t="s">
        <v>53</v>
      </c>
      <c r="L31" s="35" t="s">
        <v>49</v>
      </c>
    </row>
    <row r="32" customFormat="false" ht="23" hidden="false" customHeight="true" outlineLevel="0" collapsed="false">
      <c r="A32" s="33" t="s">
        <v>54</v>
      </c>
      <c r="B32" s="31" t="n">
        <f aca="false">估值系统!C20</f>
        <v>5.5750300120048</v>
      </c>
      <c r="C32" s="32" t="n">
        <v>0.1</v>
      </c>
      <c r="D32" s="1"/>
      <c r="E32" s="1"/>
      <c r="F32" s="1"/>
      <c r="G32" s="1"/>
      <c r="H32" s="1"/>
      <c r="I32" s="33" t="s">
        <v>11</v>
      </c>
      <c r="J32" s="34" t="s">
        <v>55</v>
      </c>
      <c r="K32" s="34" t="s">
        <v>56</v>
      </c>
      <c r="L32" s="36" t="s">
        <v>45</v>
      </c>
    </row>
    <row r="33" customFormat="false" ht="23" hidden="false" customHeight="true" outlineLevel="0" collapsed="false">
      <c r="A33" s="33" t="s">
        <v>57</v>
      </c>
      <c r="B33" s="31" t="n">
        <f aca="false">估值系统!C21</f>
        <v>7.56926960811769</v>
      </c>
      <c r="C33" s="32" t="n">
        <v>0.2</v>
      </c>
      <c r="D33" s="1"/>
      <c r="E33" s="1"/>
      <c r="F33" s="1"/>
      <c r="G33" s="1"/>
      <c r="H33" s="1"/>
      <c r="I33" s="30" t="s">
        <v>12</v>
      </c>
      <c r="J33" s="34" t="s">
        <v>58</v>
      </c>
      <c r="K33" s="34" t="s">
        <v>59</v>
      </c>
      <c r="L33" s="36" t="s">
        <v>45</v>
      </c>
    </row>
    <row r="34" customFormat="false" ht="23" hidden="false" customHeight="true" outlineLevel="0" collapsed="false">
      <c r="A34" s="37" t="s">
        <v>60</v>
      </c>
      <c r="B34" s="38" t="n">
        <f aca="false">估值系统!C22</f>
        <v>5.24849684358384</v>
      </c>
      <c r="C34" s="39" t="n">
        <v>0.3</v>
      </c>
      <c r="D34" s="1"/>
      <c r="E34" s="1"/>
      <c r="F34" s="1"/>
      <c r="G34" s="1"/>
      <c r="H34" s="1"/>
      <c r="I34" s="40" t="s">
        <v>61</v>
      </c>
      <c r="J34" s="41" t="s">
        <v>62</v>
      </c>
      <c r="K34" s="41" t="s">
        <v>63</v>
      </c>
      <c r="L34" s="42" t="s">
        <v>45</v>
      </c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28" hidden="false" customHeight="true" outlineLevel="0" collapsed="false">
      <c r="A42" s="43" t="s">
        <v>64</v>
      </c>
      <c r="B42" s="44" t="s">
        <v>65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</row>
    <row r="43" customFormat="false" ht="28" hidden="false" customHeight="true" outlineLevel="0" collapsed="false">
      <c r="A43" s="43" t="s">
        <v>66</v>
      </c>
      <c r="B43" s="45" t="s">
        <v>67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</row>
    <row r="44" customFormat="false" ht="28" hidden="false" customHeight="true" outlineLevel="0" collapsed="false">
      <c r="A44" s="43" t="s">
        <v>68</v>
      </c>
      <c r="B44" s="44" t="s">
        <v>69</v>
      </c>
      <c r="C44" s="44"/>
      <c r="D44" s="44"/>
      <c r="E44" s="44"/>
      <c r="F44" s="44"/>
      <c r="G44" s="44"/>
      <c r="H44" s="44"/>
      <c r="I44" s="44"/>
      <c r="J44" s="44"/>
      <c r="K44" s="44"/>
      <c r="L44" s="44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</sheetData>
  <mergeCells count="49">
    <mergeCell ref="A2:L2"/>
    <mergeCell ref="A3:L3"/>
    <mergeCell ref="A5:C5"/>
    <mergeCell ref="D5:F5"/>
    <mergeCell ref="G5:I5"/>
    <mergeCell ref="J5:L5"/>
    <mergeCell ref="A6:C8"/>
    <mergeCell ref="D6:F8"/>
    <mergeCell ref="G6:I8"/>
    <mergeCell ref="J6:L8"/>
    <mergeCell ref="A10:L11"/>
    <mergeCell ref="A13:L13"/>
    <mergeCell ref="A14:B14"/>
    <mergeCell ref="C14:D14"/>
    <mergeCell ref="E14:F14"/>
    <mergeCell ref="G14:H14"/>
    <mergeCell ref="I14:J14"/>
    <mergeCell ref="K14:L14"/>
    <mergeCell ref="A15:B16"/>
    <mergeCell ref="C15:D16"/>
    <mergeCell ref="E15:F16"/>
    <mergeCell ref="G15:H16"/>
    <mergeCell ref="I15:J16"/>
    <mergeCell ref="K15:L16"/>
    <mergeCell ref="A17:B17"/>
    <mergeCell ref="C17:D17"/>
    <mergeCell ref="E17:F17"/>
    <mergeCell ref="G17:H17"/>
    <mergeCell ref="I17:J17"/>
    <mergeCell ref="K17:L17"/>
    <mergeCell ref="A19:F19"/>
    <mergeCell ref="G19:L19"/>
    <mergeCell ref="A20:A21"/>
    <mergeCell ref="B20:F21"/>
    <mergeCell ref="G20:G21"/>
    <mergeCell ref="H20:L21"/>
    <mergeCell ref="A22:A23"/>
    <mergeCell ref="B22:F23"/>
    <mergeCell ref="G22:G23"/>
    <mergeCell ref="H22:L23"/>
    <mergeCell ref="A24:A25"/>
    <mergeCell ref="B24:F25"/>
    <mergeCell ref="G24:G25"/>
    <mergeCell ref="H24:L25"/>
    <mergeCell ref="A27:H27"/>
    <mergeCell ref="I27:L27"/>
    <mergeCell ref="B42:L42"/>
    <mergeCell ref="B43:L43"/>
    <mergeCell ref="B44:L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J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18.16"/>
    <col collapsed="false" customWidth="true" hidden="false" outlineLevel="0" max="4" min="3" style="0" width="13.12"/>
    <col collapsed="false" customWidth="true" hidden="false" outlineLevel="0" max="5" min="5" style="0" width="28.22"/>
    <col collapsed="false" customWidth="true" hidden="false" outlineLevel="0" max="6" min="6" style="0" width="18.16"/>
    <col collapsed="false" customWidth="true" hidden="false" outlineLevel="0" max="10" min="7" style="0" width="13.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46" t="s">
        <v>70</v>
      </c>
      <c r="B2" s="46" t="s">
        <v>70</v>
      </c>
      <c r="C2" s="46" t="s">
        <v>70</v>
      </c>
      <c r="D2" s="46" t="s">
        <v>70</v>
      </c>
      <c r="E2" s="46" t="s">
        <v>70</v>
      </c>
      <c r="F2" s="46" t="s">
        <v>70</v>
      </c>
      <c r="G2" s="46" t="s">
        <v>70</v>
      </c>
      <c r="H2" s="46" t="s">
        <v>70</v>
      </c>
      <c r="I2" s="46" t="s">
        <v>70</v>
      </c>
      <c r="J2" s="46" t="s">
        <v>70</v>
      </c>
    </row>
    <row r="3" customFormat="false" ht="15" hidden="false" customHeight="true" outlineLevel="0" collapsed="false">
      <c r="A3" s="47" t="s">
        <v>71</v>
      </c>
      <c r="B3" s="47" t="s">
        <v>71</v>
      </c>
      <c r="C3" s="47" t="s">
        <v>71</v>
      </c>
      <c r="D3" s="47" t="s">
        <v>71</v>
      </c>
      <c r="E3" s="47" t="s">
        <v>71</v>
      </c>
      <c r="F3" s="47" t="s">
        <v>71</v>
      </c>
      <c r="G3" s="47" t="s">
        <v>71</v>
      </c>
      <c r="H3" s="47" t="s">
        <v>71</v>
      </c>
      <c r="I3" s="47" t="s">
        <v>71</v>
      </c>
      <c r="J3" s="47" t="s">
        <v>71</v>
      </c>
    </row>
    <row r="4" customFormat="false" ht="22" hidden="false" customHeight="true" outlineLevel="0" collapsed="false">
      <c r="A4" s="10" t="s">
        <v>72</v>
      </c>
      <c r="B4" s="10" t="s">
        <v>72</v>
      </c>
      <c r="C4" s="10" t="s">
        <v>72</v>
      </c>
      <c r="D4" s="10" t="s">
        <v>72</v>
      </c>
      <c r="E4" s="10" t="s">
        <v>72</v>
      </c>
      <c r="F4" s="10" t="s">
        <v>72</v>
      </c>
      <c r="G4" s="10" t="s">
        <v>72</v>
      </c>
      <c r="H4" s="10" t="s">
        <v>72</v>
      </c>
      <c r="I4" s="10" t="s">
        <v>72</v>
      </c>
      <c r="J4" s="10" t="s">
        <v>72</v>
      </c>
    </row>
    <row r="5" customFormat="false" ht="15" hidden="false" customHeight="false" outlineLevel="0" collapsed="false">
      <c r="A5" s="48" t="s">
        <v>73</v>
      </c>
      <c r="B5" s="49" t="n">
        <v>5.62</v>
      </c>
      <c r="C5" s="1"/>
      <c r="D5" s="24" t="s">
        <v>74</v>
      </c>
      <c r="E5" s="24" t="s">
        <v>75</v>
      </c>
      <c r="F5" s="24" t="s">
        <v>76</v>
      </c>
      <c r="G5" s="24" t="s">
        <v>77</v>
      </c>
      <c r="H5" s="24" t="s">
        <v>78</v>
      </c>
      <c r="I5" s="24" t="s">
        <v>79</v>
      </c>
      <c r="J5" s="24" t="s">
        <v>80</v>
      </c>
    </row>
    <row r="6" customFormat="false" ht="38" hidden="false" customHeight="true" outlineLevel="0" collapsed="false">
      <c r="A6" s="50" t="s">
        <v>81</v>
      </c>
      <c r="B6" s="51" t="n">
        <f aca="false">估值系统!$C$22</f>
        <v>5.24849684358384</v>
      </c>
      <c r="C6" s="1"/>
      <c r="D6" s="52" t="s">
        <v>82</v>
      </c>
      <c r="E6" s="53" t="s">
        <v>83</v>
      </c>
      <c r="F6" s="54" t="s">
        <v>84</v>
      </c>
      <c r="G6" s="54" t="s">
        <v>85</v>
      </c>
      <c r="H6" s="53" t="s">
        <v>45</v>
      </c>
      <c r="I6" s="54" t="s">
        <v>86</v>
      </c>
      <c r="J6" s="55" t="s">
        <v>87</v>
      </c>
    </row>
    <row r="7" customFormat="false" ht="38" hidden="false" customHeight="true" outlineLevel="0" collapsed="false">
      <c r="A7" s="50" t="s">
        <v>88</v>
      </c>
      <c r="B7" s="51" t="n">
        <f aca="false">估值系统!$B$26</f>
        <v>6.79126517210477</v>
      </c>
      <c r="C7" s="1"/>
      <c r="D7" s="56" t="s">
        <v>82</v>
      </c>
      <c r="E7" s="57" t="s">
        <v>89</v>
      </c>
      <c r="F7" s="58" t="s">
        <v>90</v>
      </c>
      <c r="G7" s="58" t="s">
        <v>91</v>
      </c>
      <c r="H7" s="58" t="s">
        <v>51</v>
      </c>
      <c r="I7" s="58" t="s">
        <v>92</v>
      </c>
      <c r="J7" s="59" t="s">
        <v>93</v>
      </c>
    </row>
    <row r="8" customFormat="false" ht="38" hidden="false" customHeight="true" outlineLevel="0" collapsed="false">
      <c r="A8" s="50" t="s">
        <v>94</v>
      </c>
      <c r="B8" s="51" t="n">
        <f aca="false">估值系统!$B$26</f>
        <v>6.79126517210477</v>
      </c>
      <c r="C8" s="1"/>
      <c r="D8" s="56" t="s">
        <v>82</v>
      </c>
      <c r="E8" s="58" t="s">
        <v>95</v>
      </c>
      <c r="F8" s="58" t="s">
        <v>84</v>
      </c>
      <c r="G8" s="58" t="s">
        <v>96</v>
      </c>
      <c r="H8" s="58" t="s">
        <v>97</v>
      </c>
      <c r="I8" s="58" t="s">
        <v>98</v>
      </c>
      <c r="J8" s="59" t="s">
        <v>99</v>
      </c>
    </row>
    <row r="9" customFormat="false" ht="38" hidden="false" customHeight="true" outlineLevel="0" collapsed="false">
      <c r="A9" s="50" t="s">
        <v>4</v>
      </c>
      <c r="B9" s="60" t="n">
        <f aca="false">估值系统!$B$27</f>
        <v>0.172466417143563</v>
      </c>
      <c r="C9" s="1"/>
      <c r="D9" s="61" t="s">
        <v>100</v>
      </c>
      <c r="E9" s="62" t="s">
        <v>101</v>
      </c>
      <c r="F9" s="62" t="s">
        <v>102</v>
      </c>
      <c r="G9" s="62" t="s">
        <v>103</v>
      </c>
      <c r="H9" s="62" t="s">
        <v>104</v>
      </c>
      <c r="I9" s="63" t="s">
        <v>105</v>
      </c>
      <c r="J9" s="64" t="s">
        <v>106</v>
      </c>
    </row>
    <row r="10" customFormat="false" ht="38" hidden="false" customHeight="true" outlineLevel="0" collapsed="false">
      <c r="A10" s="50" t="s">
        <v>5</v>
      </c>
      <c r="B10" s="60" t="n">
        <f aca="false">估值系统!$B$28</f>
        <v>-0.0707827721893972</v>
      </c>
      <c r="C10" s="1"/>
      <c r="D10" s="65" t="s">
        <v>64</v>
      </c>
      <c r="E10" s="66" t="s">
        <v>107</v>
      </c>
      <c r="F10" s="66" t="s">
        <v>108</v>
      </c>
      <c r="G10" s="66" t="s">
        <v>109</v>
      </c>
      <c r="H10" s="66" t="s">
        <v>110</v>
      </c>
      <c r="I10" s="67" t="s">
        <v>111</v>
      </c>
      <c r="J10" s="68" t="s">
        <v>112</v>
      </c>
    </row>
    <row r="11" customFormat="false" ht="38" hidden="false" customHeight="true" outlineLevel="0" collapsed="false">
      <c r="A11" s="69" t="s">
        <v>113</v>
      </c>
      <c r="B11" s="70" t="s">
        <v>114</v>
      </c>
      <c r="C11" s="1"/>
      <c r="D11" s="71" t="s">
        <v>64</v>
      </c>
      <c r="E11" s="72" t="s">
        <v>115</v>
      </c>
      <c r="F11" s="72" t="s">
        <v>116</v>
      </c>
      <c r="G11" s="72" t="s">
        <v>117</v>
      </c>
      <c r="H11" s="73" t="s">
        <v>118</v>
      </c>
      <c r="I11" s="72" t="s">
        <v>119</v>
      </c>
      <c r="J11" s="70" t="s">
        <v>120</v>
      </c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22" hidden="false" customHeight="true" outlineLevel="0" collapsed="false">
      <c r="A14" s="10" t="s">
        <v>121</v>
      </c>
      <c r="B14" s="10" t="s">
        <v>121</v>
      </c>
      <c r="C14" s="10" t="s">
        <v>121</v>
      </c>
      <c r="D14" s="10" t="s">
        <v>121</v>
      </c>
      <c r="E14" s="10" t="s">
        <v>121</v>
      </c>
      <c r="F14" s="1"/>
      <c r="G14" s="17" t="s">
        <v>122</v>
      </c>
      <c r="H14" s="17" t="s">
        <v>122</v>
      </c>
      <c r="I14" s="17" t="s">
        <v>122</v>
      </c>
      <c r="J14" s="17" t="s">
        <v>122</v>
      </c>
    </row>
    <row r="15" customFormat="false" ht="34" hidden="false" customHeight="true" outlineLevel="0" collapsed="false">
      <c r="A15" s="74" t="s">
        <v>123</v>
      </c>
      <c r="B15" s="75" t="s">
        <v>124</v>
      </c>
      <c r="C15" s="75"/>
      <c r="D15" s="75"/>
      <c r="E15" s="75"/>
      <c r="F15" s="1"/>
      <c r="G15" s="76" t="s">
        <v>123</v>
      </c>
      <c r="H15" s="77" t="s">
        <v>125</v>
      </c>
      <c r="I15" s="77"/>
      <c r="J15" s="77"/>
    </row>
    <row r="16" customFormat="false" ht="34" hidden="false" customHeight="true" outlineLevel="0" collapsed="false">
      <c r="A16" s="74" t="s">
        <v>126</v>
      </c>
      <c r="B16" s="75" t="s">
        <v>127</v>
      </c>
      <c r="C16" s="75"/>
      <c r="D16" s="75"/>
      <c r="E16" s="75"/>
      <c r="F16" s="1"/>
      <c r="G16" s="76" t="s">
        <v>126</v>
      </c>
      <c r="H16" s="76" t="s">
        <v>128</v>
      </c>
      <c r="I16" s="76"/>
      <c r="J16" s="76"/>
    </row>
    <row r="17" customFormat="false" ht="34" hidden="false" customHeight="true" outlineLevel="0" collapsed="false">
      <c r="A17" s="74" t="s">
        <v>129</v>
      </c>
      <c r="B17" s="75" t="s">
        <v>130</v>
      </c>
      <c r="C17" s="75"/>
      <c r="D17" s="75"/>
      <c r="E17" s="75"/>
      <c r="F17" s="1"/>
      <c r="G17" s="76" t="s">
        <v>129</v>
      </c>
      <c r="H17" s="76" t="s">
        <v>131</v>
      </c>
      <c r="I17" s="76"/>
      <c r="J17" s="76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customFormat="false" ht="22" hidden="false" customHeight="true" outlineLevel="0" collapsed="false">
      <c r="A20" s="10" t="s">
        <v>132</v>
      </c>
      <c r="B20" s="10" t="s">
        <v>132</v>
      </c>
      <c r="C20" s="10" t="s">
        <v>132</v>
      </c>
      <c r="D20" s="10" t="s">
        <v>132</v>
      </c>
      <c r="E20" s="10" t="s">
        <v>132</v>
      </c>
      <c r="F20" s="10" t="s">
        <v>132</v>
      </c>
      <c r="G20" s="10" t="s">
        <v>132</v>
      </c>
      <c r="H20" s="10" t="s">
        <v>132</v>
      </c>
      <c r="I20" s="10" t="s">
        <v>132</v>
      </c>
      <c r="J20" s="10" t="s">
        <v>132</v>
      </c>
    </row>
    <row r="21" customFormat="false" ht="15" hidden="false" customHeight="false" outlineLevel="0" collapsed="false">
      <c r="A21" s="24" t="s">
        <v>37</v>
      </c>
      <c r="B21" s="24" t="s">
        <v>38</v>
      </c>
      <c r="C21" s="24" t="s">
        <v>133</v>
      </c>
      <c r="D21" s="24" t="s">
        <v>134</v>
      </c>
      <c r="E21" s="24" t="s">
        <v>135</v>
      </c>
      <c r="F21" s="24" t="s">
        <v>136</v>
      </c>
      <c r="G21" s="24" t="s">
        <v>137</v>
      </c>
      <c r="H21" s="24" t="s">
        <v>40</v>
      </c>
      <c r="I21" s="24" t="s">
        <v>138</v>
      </c>
      <c r="J21" s="24" t="s">
        <v>139</v>
      </c>
    </row>
    <row r="22" customFormat="false" ht="28" hidden="false" customHeight="true" outlineLevel="0" collapsed="false">
      <c r="A22" s="25" t="s">
        <v>42</v>
      </c>
      <c r="B22" s="78" t="n">
        <v>0.106</v>
      </c>
      <c r="C22" s="78" t="s">
        <v>140</v>
      </c>
      <c r="D22" s="78" t="s">
        <v>44</v>
      </c>
      <c r="E22" s="79" t="s">
        <v>141</v>
      </c>
      <c r="F22" s="79" t="s">
        <v>142</v>
      </c>
      <c r="G22" s="79" t="s">
        <v>143</v>
      </c>
      <c r="H22" s="28" t="s">
        <v>45</v>
      </c>
      <c r="I22" s="79" t="s">
        <v>144</v>
      </c>
      <c r="J22" s="29" t="s">
        <v>145</v>
      </c>
    </row>
    <row r="23" customFormat="false" ht="28" hidden="false" customHeight="true" outlineLevel="0" collapsed="false">
      <c r="A23" s="33" t="s">
        <v>10</v>
      </c>
      <c r="B23" s="80" t="n">
        <v>0.0126</v>
      </c>
      <c r="C23" s="81" t="s">
        <v>146</v>
      </c>
      <c r="D23" s="80" t="s">
        <v>48</v>
      </c>
      <c r="E23" s="82" t="s">
        <v>147</v>
      </c>
      <c r="F23" s="82" t="s">
        <v>148</v>
      </c>
      <c r="G23" s="82" t="s">
        <v>149</v>
      </c>
      <c r="H23" s="34" t="s">
        <v>150</v>
      </c>
      <c r="I23" s="82" t="s">
        <v>144</v>
      </c>
      <c r="J23" s="35" t="s">
        <v>151</v>
      </c>
    </row>
    <row r="24" customFormat="false" ht="28" hidden="false" customHeight="true" outlineLevel="0" collapsed="false">
      <c r="A24" s="33" t="s">
        <v>51</v>
      </c>
      <c r="B24" s="81" t="n">
        <v>0.0089</v>
      </c>
      <c r="C24" s="80" t="s">
        <v>152</v>
      </c>
      <c r="D24" s="80" t="s">
        <v>53</v>
      </c>
      <c r="E24" s="82" t="s">
        <v>153</v>
      </c>
      <c r="F24" s="82" t="s">
        <v>154</v>
      </c>
      <c r="G24" s="82" t="s">
        <v>149</v>
      </c>
      <c r="H24" s="34" t="s">
        <v>150</v>
      </c>
      <c r="I24" s="82" t="s">
        <v>144</v>
      </c>
      <c r="J24" s="36" t="s">
        <v>155</v>
      </c>
    </row>
    <row r="25" customFormat="false" ht="28" hidden="false" customHeight="true" outlineLevel="0" collapsed="false">
      <c r="A25" s="33" t="s">
        <v>11</v>
      </c>
      <c r="B25" s="81" t="n">
        <v>0.013</v>
      </c>
      <c r="C25" s="80" t="s">
        <v>156</v>
      </c>
      <c r="D25" s="80" t="s">
        <v>56</v>
      </c>
      <c r="E25" s="82" t="s">
        <v>157</v>
      </c>
      <c r="F25" s="82" t="s">
        <v>158</v>
      </c>
      <c r="G25" s="82" t="s">
        <v>159</v>
      </c>
      <c r="H25" s="34" t="s">
        <v>45</v>
      </c>
      <c r="I25" s="82" t="s">
        <v>144</v>
      </c>
      <c r="J25" s="35" t="s">
        <v>160</v>
      </c>
    </row>
    <row r="26" customFormat="false" ht="28" hidden="false" customHeight="true" outlineLevel="0" collapsed="false">
      <c r="A26" s="30" t="s">
        <v>12</v>
      </c>
      <c r="B26" s="81" t="n">
        <v>0.0891</v>
      </c>
      <c r="C26" s="80" t="s">
        <v>161</v>
      </c>
      <c r="D26" s="80" t="s">
        <v>59</v>
      </c>
      <c r="E26" s="82" t="s">
        <v>162</v>
      </c>
      <c r="F26" s="82" t="s">
        <v>163</v>
      </c>
      <c r="G26" s="82" t="s">
        <v>159</v>
      </c>
      <c r="H26" s="34" t="s">
        <v>45</v>
      </c>
      <c r="I26" s="82" t="s">
        <v>164</v>
      </c>
      <c r="J26" s="35" t="s">
        <v>165</v>
      </c>
    </row>
    <row r="27" customFormat="false" ht="28" hidden="false" customHeight="true" outlineLevel="0" collapsed="false">
      <c r="A27" s="40" t="s">
        <v>61</v>
      </c>
      <c r="B27" s="83" t="n">
        <v>1.9959</v>
      </c>
      <c r="C27" s="83" t="s">
        <v>166</v>
      </c>
      <c r="D27" s="83" t="s">
        <v>63</v>
      </c>
      <c r="E27" s="84" t="s">
        <v>167</v>
      </c>
      <c r="F27" s="84" t="s">
        <v>168</v>
      </c>
      <c r="G27" s="84" t="s">
        <v>159</v>
      </c>
      <c r="H27" s="41" t="s">
        <v>45</v>
      </c>
      <c r="I27" s="84" t="s">
        <v>144</v>
      </c>
      <c r="J27" s="85" t="s">
        <v>169</v>
      </c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true" outlineLevel="0" collapsed="false">
      <c r="A29" s="86" t="s">
        <v>170</v>
      </c>
      <c r="B29" s="87" t="s">
        <v>171</v>
      </c>
      <c r="C29" s="87"/>
      <c r="D29" s="87"/>
      <c r="E29" s="87"/>
      <c r="F29" s="87"/>
      <c r="G29" s="87"/>
      <c r="H29" s="87"/>
      <c r="I29" s="87"/>
      <c r="J29" s="87"/>
    </row>
    <row r="30" customFormat="false" ht="15" hidden="false" customHeight="true" outlineLevel="0" collapsed="false">
      <c r="A30" s="86" t="s">
        <v>172</v>
      </c>
      <c r="B30" s="88" t="s">
        <v>173</v>
      </c>
      <c r="C30" s="88"/>
      <c r="D30" s="88"/>
      <c r="E30" s="88"/>
      <c r="F30" s="88"/>
      <c r="G30" s="88"/>
      <c r="H30" s="88"/>
      <c r="I30" s="88"/>
      <c r="J30" s="88"/>
    </row>
    <row r="31" customFormat="false" ht="15" hidden="false" customHeight="true" outlineLevel="0" collapsed="false">
      <c r="A31" s="86" t="s">
        <v>174</v>
      </c>
      <c r="B31" s="88" t="s">
        <v>175</v>
      </c>
      <c r="C31" s="88"/>
      <c r="D31" s="88"/>
      <c r="E31" s="88"/>
      <c r="F31" s="88"/>
      <c r="G31" s="88"/>
      <c r="H31" s="88"/>
      <c r="I31" s="88"/>
      <c r="J31" s="88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15">
    <mergeCell ref="A2:J2"/>
    <mergeCell ref="A3:J3"/>
    <mergeCell ref="A4:J4"/>
    <mergeCell ref="A14:E14"/>
    <mergeCell ref="G14:J14"/>
    <mergeCell ref="B15:E15"/>
    <mergeCell ref="H15:J15"/>
    <mergeCell ref="B16:E16"/>
    <mergeCell ref="H16:J16"/>
    <mergeCell ref="B17:E17"/>
    <mergeCell ref="H17:J17"/>
    <mergeCell ref="A20:J20"/>
    <mergeCell ref="B29:J29"/>
    <mergeCell ref="B30:J30"/>
    <mergeCell ref="B31:J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18.16"/>
    <col collapsed="false" customWidth="true" hidden="false" outlineLevel="0" max="2" min="2" style="0" width="22.2"/>
    <col collapsed="false" customWidth="true" hidden="false" outlineLevel="0" max="6" min="3" style="0" width="13.12"/>
    <col collapsed="false" customWidth="true" hidden="false" outlineLevel="0" max="7" min="7" style="0" width="26.24"/>
    <col collapsed="false" customWidth="true" hidden="false" outlineLevel="0" max="10" min="8" style="0" width="13.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46" t="s">
        <v>176</v>
      </c>
      <c r="B2" s="46" t="s">
        <v>176</v>
      </c>
      <c r="C2" s="46" t="s">
        <v>176</v>
      </c>
      <c r="D2" s="46" t="s">
        <v>176</v>
      </c>
      <c r="E2" s="46" t="s">
        <v>176</v>
      </c>
      <c r="F2" s="46" t="s">
        <v>176</v>
      </c>
      <c r="G2" s="46" t="s">
        <v>176</v>
      </c>
      <c r="H2" s="46" t="s">
        <v>176</v>
      </c>
      <c r="I2" s="46" t="s">
        <v>176</v>
      </c>
      <c r="J2" s="46" t="s">
        <v>176</v>
      </c>
    </row>
    <row r="3" customFormat="false" ht="15" hidden="false" customHeight="true" outlineLevel="0" collapsed="false">
      <c r="A3" s="47" t="s">
        <v>177</v>
      </c>
      <c r="B3" s="47" t="s">
        <v>177</v>
      </c>
      <c r="C3" s="47" t="s">
        <v>177</v>
      </c>
      <c r="D3" s="47" t="s">
        <v>177</v>
      </c>
      <c r="E3" s="47" t="s">
        <v>177</v>
      </c>
      <c r="F3" s="47" t="s">
        <v>177</v>
      </c>
      <c r="G3" s="47" t="s">
        <v>177</v>
      </c>
      <c r="H3" s="47" t="s">
        <v>177</v>
      </c>
      <c r="I3" s="47" t="s">
        <v>177</v>
      </c>
      <c r="J3" s="47" t="s">
        <v>177</v>
      </c>
    </row>
    <row r="4" customFormat="false" ht="22" hidden="false" customHeight="true" outlineLevel="0" collapsed="false">
      <c r="A4" s="10" t="s">
        <v>178</v>
      </c>
      <c r="B4" s="10" t="s">
        <v>178</v>
      </c>
      <c r="C4" s="10" t="s">
        <v>178</v>
      </c>
      <c r="D4" s="10" t="s">
        <v>178</v>
      </c>
      <c r="E4" s="1"/>
      <c r="F4" s="1"/>
      <c r="G4" s="1"/>
      <c r="H4" s="1"/>
      <c r="I4" s="1"/>
      <c r="J4" s="1"/>
    </row>
    <row r="5" customFormat="false" ht="23.85" hidden="false" customHeight="false" outlineLevel="0" collapsed="false">
      <c r="A5" s="89" t="s">
        <v>179</v>
      </c>
      <c r="B5" s="90" t="s">
        <v>180</v>
      </c>
      <c r="C5" s="1"/>
      <c r="D5" s="89" t="s">
        <v>181</v>
      </c>
      <c r="E5" s="91" t="n">
        <v>46203</v>
      </c>
      <c r="F5" s="1"/>
      <c r="G5" s="1"/>
      <c r="H5" s="1"/>
      <c r="I5" s="1"/>
      <c r="J5" s="1"/>
    </row>
    <row r="6" customFormat="false" ht="15" hidden="false" customHeight="false" outlineLevel="0" collapsed="false">
      <c r="A6" s="33" t="s">
        <v>182</v>
      </c>
      <c r="B6" s="36" t="s">
        <v>183</v>
      </c>
      <c r="C6" s="1"/>
      <c r="D6" s="33" t="s">
        <v>184</v>
      </c>
      <c r="E6" s="92" t="n">
        <v>46309.1638194444</v>
      </c>
      <c r="F6" s="1"/>
      <c r="G6" s="1"/>
      <c r="H6" s="1"/>
      <c r="I6" s="1"/>
      <c r="J6" s="1"/>
    </row>
    <row r="7" customFormat="false" ht="15" hidden="false" customHeight="false" outlineLevel="0" collapsed="false">
      <c r="A7" s="33" t="s">
        <v>2</v>
      </c>
      <c r="B7" s="93" t="n">
        <v>5.62</v>
      </c>
      <c r="C7" s="1"/>
      <c r="D7" s="33" t="s">
        <v>185</v>
      </c>
      <c r="E7" s="94" t="n">
        <f aca="false">估值敏感性!$B$7</f>
        <v>0.025</v>
      </c>
      <c r="F7" s="1"/>
      <c r="G7" s="1"/>
      <c r="H7" s="1"/>
      <c r="I7" s="1"/>
      <c r="J7" s="1"/>
    </row>
    <row r="8" customFormat="false" ht="15" hidden="false" customHeight="false" outlineLevel="0" collapsed="false">
      <c r="A8" s="30" t="s">
        <v>186</v>
      </c>
      <c r="B8" s="93" t="n">
        <v>13.48</v>
      </c>
      <c r="C8" s="1"/>
      <c r="D8" s="33" t="s">
        <v>187</v>
      </c>
      <c r="E8" s="94" t="n">
        <f aca="false">估值敏感性!$B$9</f>
        <v>0.32</v>
      </c>
      <c r="F8" s="1"/>
      <c r="G8" s="1"/>
      <c r="H8" s="1"/>
      <c r="I8" s="1"/>
      <c r="J8" s="1"/>
    </row>
    <row r="9" customFormat="false" ht="15" hidden="false" customHeight="false" outlineLevel="0" collapsed="false">
      <c r="A9" s="33" t="s">
        <v>188</v>
      </c>
      <c r="B9" s="95" t="n">
        <f aca="false">估值敏感性!$B$8</f>
        <v>1.2</v>
      </c>
      <c r="C9" s="1"/>
      <c r="D9" s="33" t="s">
        <v>189</v>
      </c>
      <c r="E9" s="93" t="n">
        <v>0.8</v>
      </c>
      <c r="F9" s="1"/>
      <c r="G9" s="1"/>
      <c r="H9" s="1"/>
      <c r="I9" s="1"/>
      <c r="J9" s="1"/>
    </row>
    <row r="10" customFormat="false" ht="23.85" hidden="false" customHeight="false" outlineLevel="0" collapsed="false">
      <c r="A10" s="33" t="s">
        <v>190</v>
      </c>
      <c r="B10" s="94" t="n">
        <f aca="false">估值敏感性!$B$5</f>
        <v>0.085</v>
      </c>
      <c r="C10" s="1"/>
      <c r="D10" s="33" t="s">
        <v>191</v>
      </c>
      <c r="E10" s="96" t="n">
        <v>0.15</v>
      </c>
      <c r="F10" s="1"/>
      <c r="G10" s="1"/>
      <c r="H10" s="1"/>
      <c r="I10" s="1"/>
      <c r="J10" s="1"/>
    </row>
    <row r="11" customFormat="false" ht="25.35" hidden="false" customHeight="false" outlineLevel="0" collapsed="false">
      <c r="A11" s="33" t="s">
        <v>192</v>
      </c>
      <c r="B11" s="94" t="n">
        <f aca="false">估值敏感性!$B$6</f>
        <v>0.115</v>
      </c>
      <c r="C11" s="1"/>
      <c r="D11" s="33" t="s">
        <v>193</v>
      </c>
      <c r="E11" s="36" t="s">
        <v>194</v>
      </c>
      <c r="F11" s="1"/>
      <c r="G11" s="1"/>
      <c r="H11" s="1"/>
      <c r="I11" s="1"/>
      <c r="J11" s="1"/>
    </row>
    <row r="12" customFormat="false" ht="15" hidden="false" customHeight="false" outlineLevel="0" collapsed="false">
      <c r="A12" s="37" t="s">
        <v>195</v>
      </c>
      <c r="B12" s="97" t="n">
        <v>0.05</v>
      </c>
      <c r="C12" s="1"/>
      <c r="D12" s="40" t="s">
        <v>196</v>
      </c>
      <c r="E12" s="98" t="n">
        <v>46309</v>
      </c>
      <c r="F12" s="1"/>
      <c r="G12" s="1"/>
      <c r="H12" s="1"/>
      <c r="I12" s="1"/>
      <c r="J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customFormat="false" ht="22" hidden="false" customHeight="true" outlineLevel="0" collapsed="false">
      <c r="A15" s="10" t="s">
        <v>197</v>
      </c>
      <c r="B15" s="10" t="s">
        <v>197</v>
      </c>
      <c r="C15" s="10" t="s">
        <v>197</v>
      </c>
      <c r="D15" s="10" t="s">
        <v>197</v>
      </c>
      <c r="E15" s="10" t="s">
        <v>197</v>
      </c>
      <c r="F15" s="10" t="s">
        <v>197</v>
      </c>
      <c r="G15" s="10" t="s">
        <v>197</v>
      </c>
      <c r="H15" s="10" t="s">
        <v>197</v>
      </c>
      <c r="I15" s="10" t="s">
        <v>197</v>
      </c>
      <c r="J15" s="10" t="s">
        <v>197</v>
      </c>
    </row>
    <row r="16" customFormat="false" ht="15" hidden="false" customHeight="false" outlineLevel="0" collapsed="false">
      <c r="A16" s="24" t="s">
        <v>34</v>
      </c>
      <c r="B16" s="24" t="s">
        <v>178</v>
      </c>
      <c r="C16" s="24" t="s">
        <v>198</v>
      </c>
      <c r="D16" s="24" t="s">
        <v>36</v>
      </c>
      <c r="E16" s="24" t="s">
        <v>199</v>
      </c>
      <c r="F16" s="24" t="s">
        <v>200</v>
      </c>
      <c r="G16" s="24" t="s">
        <v>201</v>
      </c>
      <c r="H16" s="24" t="s">
        <v>202</v>
      </c>
      <c r="I16" s="24" t="s">
        <v>203</v>
      </c>
      <c r="J16" s="24" t="s">
        <v>204</v>
      </c>
    </row>
    <row r="17" customFormat="false" ht="30" hidden="false" customHeight="true" outlineLevel="0" collapsed="false">
      <c r="A17" s="89" t="s">
        <v>205</v>
      </c>
      <c r="B17" s="28" t="s">
        <v>206</v>
      </c>
      <c r="C17" s="26" t="n">
        <f aca="false">I42</f>
        <v>8.59064394612284</v>
      </c>
      <c r="D17" s="78" t="n">
        <v>0.15</v>
      </c>
      <c r="E17" s="26" t="n">
        <f aca="false">C17*D17</f>
        <v>1.28859659191843</v>
      </c>
      <c r="F17" s="79" t="s">
        <v>207</v>
      </c>
      <c r="G17" s="79" t="s">
        <v>208</v>
      </c>
      <c r="H17" s="28" t="s">
        <v>209</v>
      </c>
      <c r="I17" s="78" t="n">
        <f aca="false">1-$B$7/C17</f>
        <v>0.345799914971864</v>
      </c>
      <c r="J17" s="90" t="s">
        <v>210</v>
      </c>
    </row>
    <row r="18" customFormat="false" ht="30" hidden="false" customHeight="true" outlineLevel="0" collapsed="false">
      <c r="A18" s="30" t="s">
        <v>211</v>
      </c>
      <c r="B18" s="34" t="s">
        <v>212</v>
      </c>
      <c r="C18" s="31" t="n">
        <f aca="false">((B10-E7)/(B11-E7))*B8*(1-B12)</f>
        <v>8.53733333333334</v>
      </c>
      <c r="D18" s="81" t="n">
        <v>0.15</v>
      </c>
      <c r="E18" s="31" t="n">
        <f aca="false">C18*D18</f>
        <v>1.2806</v>
      </c>
      <c r="F18" s="82" t="s">
        <v>207</v>
      </c>
      <c r="G18" s="82" t="s">
        <v>213</v>
      </c>
      <c r="H18" s="34" t="s">
        <v>209</v>
      </c>
      <c r="I18" s="81" t="n">
        <f aca="false">1-$B$7/C18</f>
        <v>0.341714821177573</v>
      </c>
      <c r="J18" s="35" t="s">
        <v>210</v>
      </c>
    </row>
    <row r="19" customFormat="false" ht="30" hidden="false" customHeight="true" outlineLevel="0" collapsed="false">
      <c r="A19" s="33" t="s">
        <v>50</v>
      </c>
      <c r="B19" s="34" t="s">
        <v>214</v>
      </c>
      <c r="C19" s="31" t="n">
        <f aca="false">MEDIAN(财务十年!R9:R14)*B8</f>
        <v>5.76162604287176</v>
      </c>
      <c r="D19" s="81" t="n">
        <v>0.1</v>
      </c>
      <c r="E19" s="31" t="n">
        <f aca="false">C19*D19</f>
        <v>0.576162604287176</v>
      </c>
      <c r="F19" s="82" t="s">
        <v>215</v>
      </c>
      <c r="G19" s="82" t="s">
        <v>216</v>
      </c>
      <c r="H19" s="82" t="s">
        <v>217</v>
      </c>
      <c r="I19" s="81" t="n">
        <f aca="false">1-$B$7/C19</f>
        <v>0.0245809154946771</v>
      </c>
      <c r="J19" s="35" t="s">
        <v>218</v>
      </c>
    </row>
    <row r="20" customFormat="false" ht="30" hidden="false" customHeight="true" outlineLevel="0" collapsed="false">
      <c r="A20" s="33" t="s">
        <v>54</v>
      </c>
      <c r="B20" s="34" t="s">
        <v>219</v>
      </c>
      <c r="C20" s="31" t="n">
        <f aca="false">MEDIAN(财务十年!S9:S14)*B9</f>
        <v>5.5750300120048</v>
      </c>
      <c r="D20" s="81" t="n">
        <v>0.1</v>
      </c>
      <c r="E20" s="31" t="n">
        <f aca="false">C20*D20</f>
        <v>0.55750300120048</v>
      </c>
      <c r="F20" s="82" t="s">
        <v>215</v>
      </c>
      <c r="G20" s="34" t="s">
        <v>220</v>
      </c>
      <c r="H20" s="82" t="s">
        <v>217</v>
      </c>
      <c r="I20" s="81" t="n">
        <f aca="false">1-$B$7/C20</f>
        <v>-0.00806632213608971</v>
      </c>
      <c r="J20" s="35" t="s">
        <v>218</v>
      </c>
    </row>
    <row r="21" customFormat="false" ht="30" hidden="false" customHeight="true" outlineLevel="0" collapsed="false">
      <c r="A21" s="33" t="s">
        <v>221</v>
      </c>
      <c r="B21" s="82" t="s">
        <v>222</v>
      </c>
      <c r="C21" s="31" t="n">
        <f aca="false">同业比较!$E$20</f>
        <v>7.56926960811769</v>
      </c>
      <c r="D21" s="81" t="n">
        <v>0.2</v>
      </c>
      <c r="E21" s="31" t="n">
        <f aca="false">C21*D21</f>
        <v>1.51385392162354</v>
      </c>
      <c r="F21" s="82" t="s">
        <v>207</v>
      </c>
      <c r="G21" s="82" t="s">
        <v>223</v>
      </c>
      <c r="H21" s="82" t="s">
        <v>224</v>
      </c>
      <c r="I21" s="81" t="n">
        <f aca="false">1-$B$7/C21</f>
        <v>0.257524134961079</v>
      </c>
      <c r="J21" s="35" t="s">
        <v>210</v>
      </c>
    </row>
    <row r="22" customFormat="false" ht="30" hidden="false" customHeight="true" outlineLevel="0" collapsed="false">
      <c r="A22" s="40" t="s">
        <v>225</v>
      </c>
      <c r="B22" s="41" t="s">
        <v>226</v>
      </c>
      <c r="C22" s="38" t="n">
        <f aca="false">股息估值!$B$33</f>
        <v>5.24849684358384</v>
      </c>
      <c r="D22" s="83" t="n">
        <v>0.3</v>
      </c>
      <c r="E22" s="38" t="n">
        <f aca="false">C22*D22</f>
        <v>1.57454905307515</v>
      </c>
      <c r="F22" s="84" t="s">
        <v>227</v>
      </c>
      <c r="G22" s="84" t="s">
        <v>228</v>
      </c>
      <c r="H22" s="84" t="s">
        <v>229</v>
      </c>
      <c r="I22" s="83" t="n">
        <f aca="false">1-$B$7/C22</f>
        <v>-0.0707827721893972</v>
      </c>
      <c r="J22" s="85" t="s">
        <v>210</v>
      </c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true" outlineLevel="0" collapsed="false">
      <c r="A24" s="86" t="s">
        <v>230</v>
      </c>
      <c r="B24" s="88" t="s">
        <v>231</v>
      </c>
      <c r="C24" s="88" t="s">
        <v>231</v>
      </c>
      <c r="D24" s="88" t="s">
        <v>231</v>
      </c>
      <c r="E24" s="88" t="s">
        <v>231</v>
      </c>
      <c r="F24" s="1"/>
      <c r="G24" s="1"/>
      <c r="H24" s="1"/>
      <c r="I24" s="1"/>
      <c r="J24" s="1"/>
    </row>
    <row r="25" customFormat="false" ht="15" hidden="false" customHeight="false" outlineLevel="0" collapsed="false">
      <c r="A25" s="86" t="s">
        <v>232</v>
      </c>
      <c r="B25" s="99" t="n">
        <f aca="false">SUM(D17:D22)</f>
        <v>1</v>
      </c>
      <c r="C25" s="88"/>
      <c r="D25" s="88"/>
      <c r="E25" s="88"/>
      <c r="F25" s="1"/>
      <c r="G25" s="1"/>
      <c r="H25" s="1"/>
      <c r="I25" s="1"/>
      <c r="J25" s="1"/>
    </row>
    <row r="26" customFormat="false" ht="15" hidden="false" customHeight="false" outlineLevel="0" collapsed="false">
      <c r="A26" s="100" t="s">
        <v>233</v>
      </c>
      <c r="B26" s="101" t="n">
        <f aca="false">SUM(E17:E22)</f>
        <v>6.79126517210477</v>
      </c>
      <c r="C26" s="88" t="s">
        <v>234</v>
      </c>
      <c r="D26" s="88"/>
      <c r="E26" s="88"/>
      <c r="F26" s="1"/>
      <c r="G26" s="1"/>
      <c r="H26" s="1"/>
      <c r="I26" s="1"/>
      <c r="J26" s="1"/>
    </row>
    <row r="27" customFormat="false" ht="15" hidden="false" customHeight="false" outlineLevel="0" collapsed="false">
      <c r="A27" s="100" t="s">
        <v>4</v>
      </c>
      <c r="B27" s="102" t="n">
        <f aca="false">1-B7/B26</f>
        <v>0.172466417143563</v>
      </c>
      <c r="C27" s="88"/>
      <c r="D27" s="88"/>
      <c r="E27" s="88"/>
      <c r="F27" s="1"/>
      <c r="G27" s="1"/>
      <c r="H27" s="1"/>
      <c r="I27" s="1"/>
      <c r="J27" s="1"/>
    </row>
    <row r="28" customFormat="false" ht="15" hidden="false" customHeight="false" outlineLevel="0" collapsed="false">
      <c r="A28" s="100" t="s">
        <v>5</v>
      </c>
      <c r="B28" s="102" t="n">
        <f aca="false">1-B7/C22</f>
        <v>-0.0707827721893972</v>
      </c>
      <c r="C28" s="88" t="s">
        <v>235</v>
      </c>
      <c r="D28" s="88"/>
      <c r="E28" s="88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22" hidden="false" customHeight="true" outlineLevel="0" collapsed="false">
      <c r="A31" s="10" t="s">
        <v>236</v>
      </c>
      <c r="B31" s="10" t="s">
        <v>236</v>
      </c>
      <c r="C31" s="10" t="s">
        <v>236</v>
      </c>
      <c r="D31" s="10" t="s">
        <v>236</v>
      </c>
      <c r="E31" s="10" t="s">
        <v>236</v>
      </c>
      <c r="F31" s="10" t="s">
        <v>236</v>
      </c>
      <c r="G31" s="10" t="s">
        <v>236</v>
      </c>
      <c r="H31" s="10" t="s">
        <v>236</v>
      </c>
      <c r="I31" s="10" t="s">
        <v>236</v>
      </c>
      <c r="J31" s="1"/>
    </row>
    <row r="32" customFormat="false" ht="15" hidden="false" customHeight="false" outlineLevel="0" collapsed="false">
      <c r="A32" s="24" t="s">
        <v>237</v>
      </c>
      <c r="B32" s="24" t="s">
        <v>238</v>
      </c>
      <c r="C32" s="103" t="s">
        <v>42</v>
      </c>
      <c r="D32" s="103" t="s">
        <v>239</v>
      </c>
      <c r="E32" s="24" t="s">
        <v>240</v>
      </c>
      <c r="F32" s="103" t="s">
        <v>241</v>
      </c>
      <c r="G32" s="24" t="s">
        <v>242</v>
      </c>
      <c r="H32" s="24" t="s">
        <v>243</v>
      </c>
      <c r="I32" s="24" t="s">
        <v>244</v>
      </c>
      <c r="J32" s="1"/>
    </row>
    <row r="33" customFormat="false" ht="15" hidden="false" customHeight="false" outlineLevel="0" collapsed="false">
      <c r="A33" s="89" t="n">
        <v>1</v>
      </c>
      <c r="B33" s="26" t="n">
        <f aca="false">$B$8</f>
        <v>13.48</v>
      </c>
      <c r="C33" s="104" t="n">
        <f aca="false">估值敏感性!$B$5+1%</f>
        <v>0.095</v>
      </c>
      <c r="D33" s="26" t="n">
        <f aca="false">B33*C33</f>
        <v>1.2806</v>
      </c>
      <c r="E33" s="105" t="n">
        <v>0.3</v>
      </c>
      <c r="F33" s="26" t="n">
        <f aca="false">D33*E33</f>
        <v>0.38418</v>
      </c>
      <c r="G33" s="26" t="n">
        <f aca="false">B33+D33-F33</f>
        <v>14.37642</v>
      </c>
      <c r="H33" s="26" t="n">
        <f aca="false">(C33-$B$11)*B33</f>
        <v>-0.2696</v>
      </c>
      <c r="I33" s="106" t="n">
        <f aca="false">H33/(1+$B$11)^A33</f>
        <v>-0.241793721973094</v>
      </c>
      <c r="J33" s="1"/>
    </row>
    <row r="34" customFormat="false" ht="15" hidden="false" customHeight="false" outlineLevel="0" collapsed="false">
      <c r="A34" s="33" t="n">
        <v>2</v>
      </c>
      <c r="B34" s="31" t="n">
        <f aca="false">G33</f>
        <v>14.37642</v>
      </c>
      <c r="C34" s="107" t="n">
        <f aca="false">估值敏感性!$B$5+0.7%</f>
        <v>0.092</v>
      </c>
      <c r="D34" s="31" t="n">
        <f aca="false">B34*C34</f>
        <v>1.32263064</v>
      </c>
      <c r="E34" s="108" t="n">
        <v>0.31</v>
      </c>
      <c r="F34" s="31" t="n">
        <f aca="false">D34*E34</f>
        <v>0.4100154984</v>
      </c>
      <c r="G34" s="31" t="n">
        <f aca="false">B34+D34-F34</f>
        <v>15.2890351416</v>
      </c>
      <c r="H34" s="31" t="n">
        <f aca="false">(C34-$B$11)*B34</f>
        <v>-0.33065766</v>
      </c>
      <c r="I34" s="109" t="n">
        <f aca="false">H34/(1+$B$11)^A34</f>
        <v>-0.265967672786503</v>
      </c>
      <c r="J34" s="1"/>
    </row>
    <row r="35" customFormat="false" ht="15" hidden="false" customHeight="false" outlineLevel="0" collapsed="false">
      <c r="A35" s="33" t="n">
        <v>3</v>
      </c>
      <c r="B35" s="31" t="n">
        <f aca="false">G34</f>
        <v>15.2890351416</v>
      </c>
      <c r="C35" s="107" t="n">
        <f aca="false">估值敏感性!$B$5+0.4%</f>
        <v>0.089</v>
      </c>
      <c r="D35" s="31" t="n">
        <f aca="false">B35*C35</f>
        <v>1.3607241276024</v>
      </c>
      <c r="E35" s="108" t="n">
        <v>0.32</v>
      </c>
      <c r="F35" s="31" t="n">
        <f aca="false">D35*E35</f>
        <v>0.435431720832768</v>
      </c>
      <c r="G35" s="31" t="n">
        <f aca="false">B35+D35-F35</f>
        <v>16.2143275483696</v>
      </c>
      <c r="H35" s="31" t="n">
        <f aca="false">(C35-$B$11)*B35</f>
        <v>-0.3975149136816</v>
      </c>
      <c r="I35" s="109" t="n">
        <f aca="false">H35/(1+$B$11)^A35</f>
        <v>-0.286766770014808</v>
      </c>
      <c r="J35" s="1"/>
    </row>
    <row r="36" customFormat="false" ht="15" hidden="false" customHeight="false" outlineLevel="0" collapsed="false">
      <c r="A36" s="33" t="n">
        <v>4</v>
      </c>
      <c r="B36" s="31" t="n">
        <f aca="false">G35</f>
        <v>16.2143275483696</v>
      </c>
      <c r="C36" s="107" t="n">
        <f aca="false">估值敏感性!$B$5+0.2%</f>
        <v>0.087</v>
      </c>
      <c r="D36" s="31" t="n">
        <f aca="false">B36*C36</f>
        <v>1.41064649670816</v>
      </c>
      <c r="E36" s="108" t="n">
        <v>0.33</v>
      </c>
      <c r="F36" s="31" t="n">
        <f aca="false">D36*E36</f>
        <v>0.465513343913692</v>
      </c>
      <c r="G36" s="31" t="n">
        <f aca="false">B36+D36-F36</f>
        <v>17.1594607011641</v>
      </c>
      <c r="H36" s="31" t="n">
        <f aca="false">(C36-$B$11)*B36</f>
        <v>-0.45400117135435</v>
      </c>
      <c r="I36" s="109" t="n">
        <f aca="false">H36/(1+$B$11)^A36</f>
        <v>-0.29373622139396</v>
      </c>
      <c r="J36" s="1"/>
    </row>
    <row r="37" customFormat="false" ht="15" hidden="false" customHeight="false" outlineLevel="0" collapsed="false">
      <c r="A37" s="40" t="n">
        <v>5</v>
      </c>
      <c r="B37" s="38" t="n">
        <f aca="false">G36</f>
        <v>17.1594607011641</v>
      </c>
      <c r="C37" s="110" t="n">
        <f aca="false">估值敏感性!$B$5</f>
        <v>0.085</v>
      </c>
      <c r="D37" s="38" t="n">
        <f aca="false">B37*C37</f>
        <v>1.45855415959895</v>
      </c>
      <c r="E37" s="111" t="n">
        <v>0.35</v>
      </c>
      <c r="F37" s="38" t="n">
        <f aca="false">D37*E37</f>
        <v>0.510493955859632</v>
      </c>
      <c r="G37" s="38" t="n">
        <f aca="false">B37+D37-F37</f>
        <v>18.1075209049034</v>
      </c>
      <c r="H37" s="38" t="n">
        <f aca="false">(C37-$B$11)*B37</f>
        <v>-0.514783821034923</v>
      </c>
      <c r="I37" s="112" t="n">
        <f aca="false">H37/(1+$B$11)^A37</f>
        <v>-0.29871054363134</v>
      </c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 t="s">
        <v>245</v>
      </c>
      <c r="I39" s="113" t="n">
        <f aca="false">((C37-$B$11)*G37)/($B$11-$E$7)/(1+$B$11)^5</f>
        <v>-3.50238112407746</v>
      </c>
      <c r="J39" s="1"/>
    </row>
    <row r="40" customFormat="false" ht="23.85" hidden="false" customHeight="false" outlineLevel="0" collapsed="false">
      <c r="A40" s="1"/>
      <c r="B40" s="1"/>
      <c r="C40" s="1"/>
      <c r="D40" s="1"/>
      <c r="E40" s="1"/>
      <c r="F40" s="1"/>
      <c r="G40" s="1"/>
      <c r="H40" s="1" t="s">
        <v>246</v>
      </c>
      <c r="I40" s="113" t="n">
        <f aca="false">SUM(I33:I37)</f>
        <v>-1.3869749297997</v>
      </c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 t="s">
        <v>247</v>
      </c>
      <c r="I41" s="113" t="n">
        <f aca="false">$B$8</f>
        <v>13.48</v>
      </c>
      <c r="J41" s="1"/>
    </row>
    <row r="42" customFormat="false" ht="25.35" hidden="false" customHeight="false" outlineLevel="0" collapsed="false">
      <c r="A42" s="1"/>
      <c r="B42" s="1"/>
      <c r="C42" s="1"/>
      <c r="D42" s="1"/>
      <c r="E42" s="1"/>
      <c r="F42" s="1"/>
      <c r="G42" s="1"/>
      <c r="H42" s="114" t="s">
        <v>248</v>
      </c>
      <c r="I42" s="115" t="n">
        <f aca="false">I39+I40+I41</f>
        <v>8.59064394612284</v>
      </c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34" hidden="false" customHeight="true" outlineLevel="0" collapsed="false">
      <c r="A44" s="86" t="s">
        <v>80</v>
      </c>
      <c r="B44" s="88" t="s">
        <v>249</v>
      </c>
      <c r="C44" s="88"/>
      <c r="D44" s="88"/>
      <c r="E44" s="88"/>
      <c r="F44" s="88"/>
      <c r="G44" s="88"/>
      <c r="H44" s="88"/>
      <c r="I44" s="88"/>
      <c r="J44" s="88"/>
    </row>
    <row r="45" customFormat="false" ht="34" hidden="false" customHeight="true" outlineLevel="0" collapsed="false">
      <c r="A45" s="86" t="s">
        <v>250</v>
      </c>
      <c r="B45" s="87" t="s">
        <v>251</v>
      </c>
      <c r="C45" s="87"/>
      <c r="D45" s="87"/>
      <c r="E45" s="87"/>
      <c r="F45" s="87"/>
      <c r="G45" s="87"/>
      <c r="H45" s="87"/>
      <c r="I45" s="87"/>
      <c r="J45" s="87"/>
    </row>
    <row r="46" customFormat="false" ht="34" hidden="false" customHeight="true" outlineLevel="0" collapsed="false">
      <c r="A46" s="86" t="s">
        <v>252</v>
      </c>
      <c r="B46" s="88" t="s">
        <v>253</v>
      </c>
      <c r="C46" s="88"/>
      <c r="D46" s="88"/>
      <c r="E46" s="88"/>
      <c r="F46" s="88"/>
      <c r="G46" s="88"/>
      <c r="H46" s="88"/>
      <c r="I46" s="88"/>
      <c r="J46" s="88"/>
    </row>
    <row r="47" customFormat="false" ht="34" hidden="false" customHeight="true" outlineLevel="0" collapsed="false">
      <c r="A47" s="86" t="s">
        <v>254</v>
      </c>
      <c r="B47" s="87" t="s">
        <v>255</v>
      </c>
      <c r="C47" s="87"/>
      <c r="D47" s="87"/>
      <c r="E47" s="87"/>
      <c r="F47" s="87"/>
      <c r="G47" s="87"/>
      <c r="H47" s="87"/>
      <c r="I47" s="87"/>
      <c r="J47" s="87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</sheetData>
  <mergeCells count="10">
    <mergeCell ref="A2:J2"/>
    <mergeCell ref="A3:J3"/>
    <mergeCell ref="A4:D4"/>
    <mergeCell ref="A15:J15"/>
    <mergeCell ref="B24:E24"/>
    <mergeCell ref="A31:I31"/>
    <mergeCell ref="B44:J44"/>
    <mergeCell ref="B45:J45"/>
    <mergeCell ref="B46:J46"/>
    <mergeCell ref="B47:J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1:M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24.22"/>
    <col collapsed="false" customWidth="true" hidden="false" outlineLevel="0" max="4" min="2" style="0" width="13.12"/>
    <col collapsed="false" customWidth="true" hidden="false" outlineLevel="0" max="5" min="5" style="0" width="28.25"/>
    <col collapsed="false" customWidth="true" hidden="false" outlineLevel="0" max="13" min="6" style="0" width="12.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46" t="s">
        <v>256</v>
      </c>
      <c r="B2" s="46" t="s">
        <v>256</v>
      </c>
      <c r="C2" s="46" t="s">
        <v>256</v>
      </c>
      <c r="D2" s="46" t="s">
        <v>256</v>
      </c>
      <c r="E2" s="46" t="s">
        <v>256</v>
      </c>
      <c r="F2" s="46" t="s">
        <v>256</v>
      </c>
      <c r="G2" s="46" t="s">
        <v>256</v>
      </c>
      <c r="H2" s="46" t="s">
        <v>256</v>
      </c>
      <c r="I2" s="46" t="s">
        <v>256</v>
      </c>
      <c r="J2" s="46" t="s">
        <v>256</v>
      </c>
      <c r="K2" s="46" t="s">
        <v>256</v>
      </c>
      <c r="L2" s="46" t="s">
        <v>256</v>
      </c>
      <c r="M2" s="46" t="s">
        <v>256</v>
      </c>
    </row>
    <row r="3" customFormat="false" ht="15" hidden="false" customHeight="true" outlineLevel="0" collapsed="false">
      <c r="A3" s="116" t="s">
        <v>257</v>
      </c>
      <c r="B3" s="116" t="s">
        <v>257</v>
      </c>
      <c r="C3" s="116" t="s">
        <v>257</v>
      </c>
      <c r="D3" s="116" t="s">
        <v>257</v>
      </c>
      <c r="E3" s="116" t="s">
        <v>257</v>
      </c>
      <c r="F3" s="116" t="s">
        <v>257</v>
      </c>
      <c r="G3" s="116" t="s">
        <v>257</v>
      </c>
      <c r="H3" s="116" t="s">
        <v>257</v>
      </c>
      <c r="I3" s="116" t="s">
        <v>257</v>
      </c>
      <c r="J3" s="116" t="s">
        <v>257</v>
      </c>
      <c r="K3" s="116" t="s">
        <v>257</v>
      </c>
      <c r="L3" s="116" t="s">
        <v>257</v>
      </c>
      <c r="M3" s="116" t="s">
        <v>257</v>
      </c>
    </row>
    <row r="4" customFormat="false" ht="22" hidden="false" customHeight="true" outlineLevel="0" collapsed="false">
      <c r="A4" s="10" t="s">
        <v>258</v>
      </c>
      <c r="B4" s="10" t="s">
        <v>258</v>
      </c>
      <c r="C4" s="10" t="s">
        <v>258</v>
      </c>
      <c r="D4" s="10" t="s">
        <v>258</v>
      </c>
      <c r="E4" s="1"/>
      <c r="F4" s="1"/>
      <c r="G4" s="117" t="s">
        <v>259</v>
      </c>
      <c r="H4" s="117" t="s">
        <v>259</v>
      </c>
      <c r="I4" s="117" t="s">
        <v>259</v>
      </c>
      <c r="J4" s="117" t="s">
        <v>259</v>
      </c>
      <c r="K4" s="117" t="s">
        <v>259</v>
      </c>
      <c r="L4" s="1"/>
      <c r="M4" s="1"/>
    </row>
    <row r="5" customFormat="false" ht="15" hidden="false" customHeight="false" outlineLevel="0" collapsed="false">
      <c r="A5" s="1" t="s">
        <v>260</v>
      </c>
      <c r="B5" s="118" t="n">
        <v>0.085</v>
      </c>
      <c r="C5" s="1" t="s">
        <v>261</v>
      </c>
      <c r="D5" s="1" t="s">
        <v>262</v>
      </c>
      <c r="E5" s="1"/>
      <c r="F5" s="1"/>
      <c r="G5" s="1"/>
      <c r="H5" s="1"/>
      <c r="I5" s="1"/>
      <c r="J5" s="1"/>
      <c r="K5" s="1"/>
      <c r="L5" s="1"/>
      <c r="M5" s="1"/>
    </row>
    <row r="6" customFormat="false" ht="15" hidden="false" customHeight="false" outlineLevel="0" collapsed="false">
      <c r="A6" s="1" t="s">
        <v>192</v>
      </c>
      <c r="B6" s="119" t="n">
        <v>0.115</v>
      </c>
      <c r="C6" s="1" t="s">
        <v>261</v>
      </c>
      <c r="D6" s="1" t="s">
        <v>262</v>
      </c>
      <c r="E6" s="1"/>
      <c r="F6" s="1"/>
      <c r="G6" s="120" t="n">
        <f aca="false">估值系统!$C$17</f>
        <v>8.59064394612284</v>
      </c>
      <c r="H6" s="121" t="n">
        <v>0.095</v>
      </c>
      <c r="I6" s="121" t="n">
        <v>0.105</v>
      </c>
      <c r="J6" s="122" t="n">
        <v>0.115</v>
      </c>
      <c r="K6" s="1"/>
      <c r="L6" s="1"/>
      <c r="M6" s="1"/>
    </row>
    <row r="7" customFormat="false" ht="15" hidden="false" customHeight="false" outlineLevel="0" collapsed="false">
      <c r="A7" s="1" t="s">
        <v>263</v>
      </c>
      <c r="B7" s="119" t="n">
        <v>0.025</v>
      </c>
      <c r="C7" s="1" t="s">
        <v>261</v>
      </c>
      <c r="D7" s="1" t="s">
        <v>262</v>
      </c>
      <c r="E7" s="1"/>
      <c r="F7" s="1"/>
      <c r="G7" s="123" t="n">
        <v>0.06</v>
      </c>
      <c r="H7" s="124" t="n">
        <f aca="true">TABLE($G$6,$B$5,$G7,$B$6,H$6)</f>
        <v>6.47464809080184</v>
      </c>
      <c r="I7" s="124" t="n">
        <f aca="true">TABLE($G$6,$B$5,$G7,$B$6,I$6)</f>
        <v>5.57471385457657</v>
      </c>
      <c r="J7" s="125" t="n">
        <f aca="true">TABLE($G$6,$B$5,$G7,$B$6,J$6)</f>
        <v>4.87894787233559</v>
      </c>
      <c r="K7" s="1"/>
      <c r="L7" s="1"/>
      <c r="M7" s="1"/>
    </row>
    <row r="8" customFormat="false" ht="25.35" hidden="false" customHeight="false" outlineLevel="0" collapsed="false">
      <c r="A8" s="1" t="s">
        <v>188</v>
      </c>
      <c r="B8" s="126" t="n">
        <v>1.2</v>
      </c>
      <c r="C8" s="1" t="s">
        <v>261</v>
      </c>
      <c r="D8" s="127" t="s">
        <v>264</v>
      </c>
      <c r="E8" s="1"/>
      <c r="F8" s="1"/>
      <c r="G8" s="123" t="n">
        <v>0.07</v>
      </c>
      <c r="H8" s="124" t="n">
        <f aca="true">TABLE($G$6,$B$5,$G8,$B$6,H$6)</f>
        <v>8.41301704437973</v>
      </c>
      <c r="I8" s="124" t="n">
        <f aca="true">TABLE($G$6,$B$5,$G8,$B$6,I$6)</f>
        <v>7.22242320849204</v>
      </c>
      <c r="J8" s="125" t="n">
        <f aca="true">TABLE($G$6,$B$5,$G8,$B$6,J$6)</f>
        <v>6.30278908560783</v>
      </c>
      <c r="K8" s="1"/>
      <c r="L8" s="1"/>
      <c r="M8" s="1"/>
    </row>
    <row r="9" customFormat="false" ht="23.85" hidden="false" customHeight="false" outlineLevel="0" collapsed="false">
      <c r="A9" s="1" t="s">
        <v>265</v>
      </c>
      <c r="B9" s="128" t="n">
        <v>0.32</v>
      </c>
      <c r="C9" s="1" t="s">
        <v>261</v>
      </c>
      <c r="D9" s="1" t="s">
        <v>266</v>
      </c>
      <c r="E9" s="1"/>
      <c r="F9" s="1"/>
      <c r="G9" s="129" t="n">
        <v>0.08</v>
      </c>
      <c r="H9" s="130" t="n">
        <f aca="true">TABLE($G$6,$B$5,$G9,$B$6,H$6)</f>
        <v>10.4633124034611</v>
      </c>
      <c r="I9" s="130" t="n">
        <f aca="true">TABLE($G$6,$B$5,$G9,$B$6,I$6)</f>
        <v>8.96435714410392</v>
      </c>
      <c r="J9" s="131" t="n">
        <f aca="true">TABLE($G$6,$B$5,$G9,$B$6,J$6)</f>
        <v>7.80725061290894</v>
      </c>
      <c r="K9" s="1"/>
      <c r="L9" s="1"/>
      <c r="M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29" t="n">
        <v>0.09</v>
      </c>
      <c r="H10" s="130" t="n">
        <f aca="true">TABLE($G$6,$B$5,$G10,$B$6,H$6)</f>
        <v>12.6297072029418</v>
      </c>
      <c r="I10" s="130" t="n">
        <f aca="true">TABLE($G$6,$B$5,$G10,$B$6,I$6)</f>
        <v>10.8040167160661</v>
      </c>
      <c r="J10" s="131" t="n">
        <f aca="true">TABLE($G$6,$B$5,$G10,$B$6,J$6)</f>
        <v>9.39531763796483</v>
      </c>
      <c r="K10" s="1"/>
      <c r="L10" s="1"/>
      <c r="M10" s="1"/>
    </row>
    <row r="11" customFormat="false" ht="15" hidden="false" customHeight="false" outlineLevel="0" collapsed="false">
      <c r="A11" s="24" t="s">
        <v>116</v>
      </c>
      <c r="B11" s="24" t="s">
        <v>267</v>
      </c>
      <c r="C11" s="24" t="s">
        <v>106</v>
      </c>
      <c r="D11" s="24" t="s">
        <v>268</v>
      </c>
      <c r="E11" s="1"/>
      <c r="F11" s="1"/>
      <c r="G11" s="123" t="n">
        <v>0.1</v>
      </c>
      <c r="H11" s="124" t="n">
        <f aca="true">TABLE($G$6,$B$5,$G11,$B$6,H$6)</f>
        <v>14.9164797626889</v>
      </c>
      <c r="I11" s="124" t="n">
        <f aca="true">TABLE($G$6,$B$5,$G11,$B$6,I$6)</f>
        <v>12.7449911593158</v>
      </c>
      <c r="J11" s="125" t="n">
        <f aca="true">TABLE($G$6,$B$5,$G11,$B$6,J$6)</f>
        <v>11.0700504021986</v>
      </c>
      <c r="K11" s="1"/>
      <c r="L11" s="1"/>
      <c r="M11" s="1"/>
    </row>
    <row r="12" customFormat="false" ht="24" hidden="false" customHeight="true" outlineLevel="0" collapsed="false">
      <c r="A12" s="89" t="s">
        <v>10</v>
      </c>
      <c r="B12" s="132" t="n">
        <v>0.0115</v>
      </c>
      <c r="C12" s="133" t="n">
        <v>0.0126</v>
      </c>
      <c r="D12" s="134" t="n">
        <v>0.0135</v>
      </c>
      <c r="E12" s="1"/>
      <c r="F12" s="1"/>
      <c r="G12" s="135" t="n">
        <v>0.105</v>
      </c>
      <c r="H12" s="136" t="n">
        <f aca="true">TABLE($G$6,$B$5,$G12,$B$6,H$6)</f>
        <v>16.1063738757213</v>
      </c>
      <c r="I12" s="136" t="n">
        <f aca="true">TABLE($G$6,$B$5,$G12,$B$6,I$6)</f>
        <v>13.7546175477941</v>
      </c>
      <c r="J12" s="137" t="n">
        <f aca="true">TABLE($G$6,$B$5,$G12,$B$6,J$6)</f>
        <v>11.9408935766939</v>
      </c>
      <c r="K12" s="1"/>
      <c r="L12" s="1"/>
      <c r="M12" s="1"/>
    </row>
    <row r="13" customFormat="false" ht="24" hidden="false" customHeight="true" outlineLevel="0" collapsed="false">
      <c r="A13" s="33" t="s">
        <v>7</v>
      </c>
      <c r="B13" s="138" t="n">
        <v>-0.02</v>
      </c>
      <c r="C13" s="139" t="n">
        <v>0.04</v>
      </c>
      <c r="D13" s="140" t="n">
        <v>0.08</v>
      </c>
      <c r="E13" s="1"/>
      <c r="F13" s="1"/>
      <c r="G13" s="1"/>
      <c r="H13" s="1"/>
      <c r="I13" s="1"/>
      <c r="J13" s="1"/>
      <c r="K13" s="1"/>
      <c r="L13" s="1"/>
      <c r="M13" s="1"/>
    </row>
    <row r="14" customFormat="false" ht="22" hidden="false" customHeight="true" outlineLevel="0" collapsed="false">
      <c r="A14" s="33" t="s">
        <v>51</v>
      </c>
      <c r="B14" s="138" t="n">
        <v>0.011</v>
      </c>
      <c r="C14" s="139" t="n">
        <v>0.0089</v>
      </c>
      <c r="D14" s="140" t="n">
        <v>0.007</v>
      </c>
      <c r="E14" s="1"/>
      <c r="F14" s="1"/>
      <c r="G14" s="117" t="s">
        <v>269</v>
      </c>
      <c r="H14" s="117" t="s">
        <v>269</v>
      </c>
      <c r="I14" s="117" t="s">
        <v>269</v>
      </c>
      <c r="J14" s="117" t="s">
        <v>269</v>
      </c>
      <c r="K14" s="117" t="s">
        <v>269</v>
      </c>
      <c r="L14" s="1"/>
      <c r="M14" s="1"/>
    </row>
    <row r="15" customFormat="false" ht="24" hidden="false" customHeight="true" outlineLevel="0" collapsed="false">
      <c r="A15" s="33" t="s">
        <v>190</v>
      </c>
      <c r="B15" s="138" t="n">
        <v>0.07</v>
      </c>
      <c r="C15" s="139" t="n">
        <v>0.085</v>
      </c>
      <c r="D15" s="140" t="n">
        <v>0.1</v>
      </c>
      <c r="E15" s="1"/>
      <c r="F15" s="1"/>
      <c r="G15" s="1"/>
      <c r="H15" s="1"/>
      <c r="I15" s="1"/>
      <c r="J15" s="1"/>
      <c r="K15" s="1"/>
      <c r="L15" s="1"/>
      <c r="M15" s="1"/>
    </row>
    <row r="16" customFormat="false" ht="24" hidden="false" customHeight="true" outlineLevel="0" collapsed="false">
      <c r="A16" s="30" t="s">
        <v>270</v>
      </c>
      <c r="B16" s="138" t="n">
        <v>0.125</v>
      </c>
      <c r="C16" s="139" t="n">
        <v>0.115</v>
      </c>
      <c r="D16" s="140" t="n">
        <v>0.105</v>
      </c>
      <c r="E16" s="1"/>
      <c r="F16" s="1"/>
      <c r="G16" s="120" t="n">
        <f aca="false">估值系统!$C$18</f>
        <v>8.53733333333334</v>
      </c>
      <c r="H16" s="121" t="n">
        <v>0.095</v>
      </c>
      <c r="I16" s="121" t="n">
        <v>0.105</v>
      </c>
      <c r="J16" s="122" t="n">
        <v>0.115</v>
      </c>
      <c r="K16" s="1"/>
      <c r="L16" s="1"/>
      <c r="M16" s="1"/>
    </row>
    <row r="17" customFormat="false" ht="24" hidden="false" customHeight="true" outlineLevel="0" collapsed="false">
      <c r="A17" s="33" t="s">
        <v>185</v>
      </c>
      <c r="B17" s="138" t="n">
        <v>0.015</v>
      </c>
      <c r="C17" s="139" t="n">
        <v>0.025</v>
      </c>
      <c r="D17" s="140" t="n">
        <v>0.03</v>
      </c>
      <c r="E17" s="1"/>
      <c r="F17" s="1"/>
      <c r="G17" s="123" t="n">
        <v>0.06</v>
      </c>
      <c r="H17" s="124" t="n">
        <f aca="true">TABLE($G$16,$B$5,$G17,$B$6,H$16)</f>
        <v>6.403</v>
      </c>
      <c r="I17" s="124" t="n">
        <f aca="true">TABLE($G$16,$B$5,$G17,$B$6,I$16)</f>
        <v>5.602625</v>
      </c>
      <c r="J17" s="125" t="n">
        <f aca="true">TABLE($G$16,$B$5,$G17,$B$6,J$16)</f>
        <v>4.98011111111111</v>
      </c>
      <c r="K17" s="1"/>
      <c r="L17" s="1"/>
      <c r="M17" s="1"/>
    </row>
    <row r="18" customFormat="false" ht="24" hidden="false" customHeight="true" outlineLevel="0" collapsed="false">
      <c r="A18" s="33" t="s">
        <v>240</v>
      </c>
      <c r="B18" s="138" t="n">
        <v>0.28</v>
      </c>
      <c r="C18" s="139" t="n">
        <v>0.32</v>
      </c>
      <c r="D18" s="140" t="n">
        <v>0.36</v>
      </c>
      <c r="E18" s="1"/>
      <c r="F18" s="1"/>
      <c r="G18" s="123" t="n">
        <v>0.07</v>
      </c>
      <c r="H18" s="124" t="n">
        <f aca="true">TABLE($G$16,$B$5,$G18,$B$6,H$16)</f>
        <v>8.23242857142857</v>
      </c>
      <c r="I18" s="124" t="n">
        <f aca="true">TABLE($G$16,$B$5,$G18,$B$6,I$16)</f>
        <v>7.203375</v>
      </c>
      <c r="J18" s="125" t="n">
        <f aca="true">TABLE($G$16,$B$5,$G18,$B$6,J$16)</f>
        <v>6.403</v>
      </c>
      <c r="K18" s="1"/>
      <c r="L18" s="1"/>
      <c r="M18" s="1"/>
    </row>
    <row r="19" customFormat="false" ht="24" hidden="false" customHeight="true" outlineLevel="0" collapsed="false">
      <c r="A19" s="40" t="s">
        <v>271</v>
      </c>
      <c r="B19" s="141" t="n">
        <v>0.065</v>
      </c>
      <c r="C19" s="142" t="n">
        <v>0.055</v>
      </c>
      <c r="D19" s="143" t="n">
        <v>0.05</v>
      </c>
      <c r="E19" s="1"/>
      <c r="F19" s="1"/>
      <c r="G19" s="129" t="n">
        <v>0.08</v>
      </c>
      <c r="H19" s="130" t="n">
        <f aca="true">TABLE($G$16,$B$5,$G19,$B$6,H$16)</f>
        <v>10.0618571428571</v>
      </c>
      <c r="I19" s="130" t="n">
        <f aca="true">TABLE($G$16,$B$5,$G19,$B$6,I$16)</f>
        <v>8.804125</v>
      </c>
      <c r="J19" s="131" t="n">
        <f aca="true">TABLE($G$16,$B$5,$G19,$B$6,J$16)</f>
        <v>7.82588888888889</v>
      </c>
      <c r="K19" s="1"/>
      <c r="L19" s="1"/>
      <c r="M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29" t="n">
        <v>0.09</v>
      </c>
      <c r="H20" s="130" t="n">
        <f aca="true">TABLE($G$16,$B$5,$G20,$B$6,H$16)</f>
        <v>11.8912857142857</v>
      </c>
      <c r="I20" s="130" t="n">
        <f aca="true">TABLE($G$16,$B$5,$G20,$B$6,I$16)</f>
        <v>10.404875</v>
      </c>
      <c r="J20" s="131" t="n">
        <f aca="true">TABLE($G$16,$B$5,$G20,$B$6,J$16)</f>
        <v>9.24877777777778</v>
      </c>
      <c r="K20" s="1"/>
      <c r="L20" s="1"/>
      <c r="M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23" t="n">
        <v>0.1</v>
      </c>
      <c r="H21" s="124" t="n">
        <f aca="true">TABLE($G$16,$B$5,$G21,$B$6,H$16)</f>
        <v>13.7207142857143</v>
      </c>
      <c r="I21" s="124" t="n">
        <f aca="true">TABLE($G$16,$B$5,$G21,$B$6,I$16)</f>
        <v>12.005625</v>
      </c>
      <c r="J21" s="125" t="n">
        <f aca="true">TABLE($G$16,$B$5,$G21,$B$6,J$16)</f>
        <v>10.6716666666667</v>
      </c>
      <c r="K21" s="1"/>
      <c r="L21" s="1"/>
      <c r="M21" s="1"/>
    </row>
    <row r="22" customFormat="false" ht="22" hidden="false" customHeight="true" outlineLevel="0" collapsed="false">
      <c r="A22" s="10" t="s">
        <v>272</v>
      </c>
      <c r="B22" s="10" t="s">
        <v>272</v>
      </c>
      <c r="C22" s="10" t="s">
        <v>272</v>
      </c>
      <c r="D22" s="10" t="s">
        <v>272</v>
      </c>
      <c r="E22" s="10" t="s">
        <v>272</v>
      </c>
      <c r="F22" s="1"/>
      <c r="G22" s="135" t="n">
        <v>0.105</v>
      </c>
      <c r="H22" s="136" t="n">
        <f aca="true">TABLE($G$16,$B$5,$G22,$B$6,H$16)</f>
        <v>14.6354285714286</v>
      </c>
      <c r="I22" s="136" t="n">
        <f aca="true">TABLE($G$16,$B$5,$G22,$B$6,I$16)</f>
        <v>12.806</v>
      </c>
      <c r="J22" s="137" t="n">
        <f aca="true">TABLE($G$16,$B$5,$G22,$B$6,J$16)</f>
        <v>11.3831111111111</v>
      </c>
      <c r="K22" s="1"/>
      <c r="L22" s="1"/>
      <c r="M22" s="1"/>
    </row>
    <row r="23" customFormat="false" ht="15" hidden="false" customHeight="false" outlineLevel="0" collapsed="false">
      <c r="A23" s="24" t="s">
        <v>37</v>
      </c>
      <c r="B23" s="24" t="s">
        <v>267</v>
      </c>
      <c r="C23" s="24" t="s">
        <v>106</v>
      </c>
      <c r="D23" s="24" t="s">
        <v>268</v>
      </c>
      <c r="E23" s="24" t="s">
        <v>273</v>
      </c>
      <c r="F23" s="1"/>
      <c r="G23" s="1"/>
      <c r="H23" s="1"/>
      <c r="I23" s="1"/>
      <c r="J23" s="1"/>
      <c r="K23" s="1"/>
      <c r="L23" s="1"/>
      <c r="M23" s="1"/>
    </row>
    <row r="24" customFormat="false" ht="22" hidden="false" customHeight="true" outlineLevel="0" collapsed="false">
      <c r="A24" s="89" t="s">
        <v>274</v>
      </c>
      <c r="B24" s="144" t="n">
        <v>1.05</v>
      </c>
      <c r="C24" s="144" t="n">
        <v>1.2</v>
      </c>
      <c r="D24" s="144" t="n">
        <v>1.3</v>
      </c>
      <c r="E24" s="90" t="s">
        <v>275</v>
      </c>
      <c r="F24" s="1"/>
      <c r="G24" s="10" t="s">
        <v>276</v>
      </c>
      <c r="H24" s="10" t="s">
        <v>276</v>
      </c>
      <c r="I24" s="10" t="s">
        <v>276</v>
      </c>
      <c r="J24" s="10" t="s">
        <v>276</v>
      </c>
      <c r="K24" s="10" t="s">
        <v>276</v>
      </c>
      <c r="L24" s="1"/>
      <c r="M24" s="1"/>
    </row>
    <row r="25" customFormat="false" ht="24" hidden="false" customHeight="true" outlineLevel="0" collapsed="false">
      <c r="A25" s="33" t="s">
        <v>277</v>
      </c>
      <c r="B25" s="145" t="n">
        <f aca="false">(B15-B17)/(B16-B17)</f>
        <v>0.5</v>
      </c>
      <c r="C25" s="145" t="n">
        <f aca="false">(C15-C17)/(C16-C17)</f>
        <v>0.666666666666667</v>
      </c>
      <c r="D25" s="145" t="n">
        <f aca="false">(D15-D17)/(D16-D17)</f>
        <v>0.933333333333334</v>
      </c>
      <c r="E25" s="35" t="s">
        <v>278</v>
      </c>
      <c r="F25" s="1"/>
      <c r="G25" s="1"/>
      <c r="H25" s="1"/>
      <c r="I25" s="1"/>
      <c r="J25" s="1"/>
      <c r="K25" s="1"/>
      <c r="L25" s="1"/>
      <c r="M25" s="1"/>
    </row>
    <row r="26" customFormat="false" ht="24" hidden="false" customHeight="true" outlineLevel="0" collapsed="false">
      <c r="A26" s="30" t="s">
        <v>279</v>
      </c>
      <c r="B26" s="124" t="n">
        <f aca="false">B25*估值系统!$B$8*(1-估值系统!$B$12)</f>
        <v>6.403</v>
      </c>
      <c r="C26" s="124" t="n">
        <f aca="false">C25*估值系统!$B$8*(1-估值系统!$B$12)</f>
        <v>8.53733333333334</v>
      </c>
      <c r="D26" s="124" t="n">
        <f aca="false">D25*估值系统!$B$8*(1-估值系统!$B$12)</f>
        <v>11.9522666666667</v>
      </c>
      <c r="E26" s="35" t="s">
        <v>280</v>
      </c>
      <c r="F26" s="1"/>
      <c r="G26" s="120" t="n">
        <f aca="false">估值系统!$B$26</f>
        <v>6.79126517210477</v>
      </c>
      <c r="H26" s="121" t="n">
        <v>0.095</v>
      </c>
      <c r="I26" s="121" t="n">
        <v>0.105</v>
      </c>
      <c r="J26" s="122" t="n">
        <v>0.115</v>
      </c>
      <c r="K26" s="1"/>
      <c r="L26" s="1"/>
      <c r="M26" s="1"/>
    </row>
    <row r="27" customFormat="false" ht="24" hidden="false" customHeight="true" outlineLevel="0" collapsed="false">
      <c r="A27" s="33" t="s">
        <v>281</v>
      </c>
      <c r="B27" s="124" t="n">
        <f aca="false">B24*B18/B19</f>
        <v>4.52307692307692</v>
      </c>
      <c r="C27" s="124" t="n">
        <f aca="false">C24*C18/C19</f>
        <v>6.98181818181818</v>
      </c>
      <c r="D27" s="124" t="n">
        <f aca="false">D24*D18/D19</f>
        <v>9.36</v>
      </c>
      <c r="E27" s="36" t="s">
        <v>282</v>
      </c>
      <c r="F27" s="1"/>
      <c r="G27" s="123" t="n">
        <v>0.06</v>
      </c>
      <c r="H27" s="124" t="n">
        <f aca="true">TABLE($G$26,$B$5,$G27,$B$6,H$26)</f>
        <v>6.62790099923809</v>
      </c>
      <c r="I27" s="124" t="n">
        <f aca="true">TABLE($G$26,$B$5,$G27,$B$6,I$26)</f>
        <v>6.10588882122431</v>
      </c>
      <c r="J27" s="125" t="n">
        <f aca="true">TABLE($G$26,$B$5,$G27,$B$6,J$26)</f>
        <v>5.70092742770335</v>
      </c>
      <c r="K27" s="1"/>
      <c r="L27" s="1"/>
      <c r="M27" s="1"/>
    </row>
    <row r="28" customFormat="false" ht="24" hidden="false" customHeight="true" outlineLevel="0" collapsed="false">
      <c r="A28" s="40" t="s">
        <v>283</v>
      </c>
      <c r="B28" s="146" t="n">
        <f aca="false">1-估值系统!$B$7/AVERAGE(B26:B27)</f>
        <v>-0.0287315455614301</v>
      </c>
      <c r="C28" s="146" t="n">
        <f aca="false">1-估值系统!$B$7/AVERAGE(C26:C27)</f>
        <v>0.275733599931268</v>
      </c>
      <c r="D28" s="146" t="n">
        <f aca="false">1-估值系统!$B$7/AVERAGE(D26:D27)</f>
        <v>0.472604196644186</v>
      </c>
      <c r="E28" s="85" t="s">
        <v>284</v>
      </c>
      <c r="F28" s="1"/>
      <c r="G28" s="123" t="n">
        <v>0.07</v>
      </c>
      <c r="H28" s="124" t="n">
        <f aca="true">TABLE($G$26,$B$5,$G28,$B$6,H$26)</f>
        <v>7.19307062798906</v>
      </c>
      <c r="I28" s="124" t="n">
        <f aca="true">TABLE($G$26,$B$5,$G28,$B$6,I$26)</f>
        <v>6.59315772431163</v>
      </c>
      <c r="J28" s="125" t="n">
        <f aca="true">TABLE($G$26,$B$5,$G28,$B$6,J$26)</f>
        <v>6.12793694302752</v>
      </c>
      <c r="K28" s="1"/>
      <c r="L28" s="1"/>
      <c r="M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29" t="n">
        <v>0.08</v>
      </c>
      <c r="H29" s="130" t="n">
        <f aca="true">TABLE($G$26,$B$5,$G29,$B$6,H$26)</f>
        <v>7.77502921756555</v>
      </c>
      <c r="I29" s="130" t="n">
        <f aca="true">TABLE($G$26,$B$5,$G29,$B$6,I$26)</f>
        <v>7.09456031465341</v>
      </c>
      <c r="J29" s="131" t="n">
        <f aca="true">TABLE($G$26,$B$5,$G29,$B$6,J$26)</f>
        <v>6.56703950545602</v>
      </c>
      <c r="K29" s="1"/>
      <c r="L29" s="1"/>
      <c r="M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29" t="n">
        <v>0.09</v>
      </c>
      <c r="H30" s="130" t="n">
        <f aca="true">TABLE($G$26,$B$5,$G30,$B$6,H$26)</f>
        <v>8.37440272320194</v>
      </c>
      <c r="I30" s="130" t="n">
        <f aca="true">TABLE($G$26,$B$5,$G30,$B$6,I$26)</f>
        <v>7.61062175044774</v>
      </c>
      <c r="J30" s="131" t="n">
        <f aca="true">TABLE($G$26,$B$5,$G30,$B$6,J$26)</f>
        <v>7.01868289254774</v>
      </c>
      <c r="K30" s="1"/>
      <c r="L30" s="1"/>
      <c r="M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23" t="n">
        <v>0.1</v>
      </c>
      <c r="H31" s="124" t="n">
        <f aca="true">TABLE($G$26,$B$5,$G31,$B$6,H$26)</f>
        <v>8.99183289287829</v>
      </c>
      <c r="I31" s="124" t="n">
        <f aca="true">TABLE($G$26,$B$5,$G31,$B$6,I$26)</f>
        <v>8.1418804169352</v>
      </c>
      <c r="J31" s="125" t="n">
        <f aca="true">TABLE($G$26,$B$5,$G31,$B$6,J$26)</f>
        <v>7.48332614051613</v>
      </c>
      <c r="K31" s="1"/>
      <c r="L31" s="1"/>
      <c r="M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35" t="n">
        <v>0.105</v>
      </c>
      <c r="H32" s="136" t="n">
        <f aca="true">TABLE($G$26,$B$5,$G32,$B$6,H$26)</f>
        <v>9.30752415269029</v>
      </c>
      <c r="I32" s="136" t="n">
        <f aca="true">TABLE($G$26,$B$5,$G32,$B$6,I$26)</f>
        <v>8.41338062520693</v>
      </c>
      <c r="J32" s="137" t="n">
        <f aca="true">TABLE($G$26,$B$5,$G32,$B$6,J$26)</f>
        <v>7.7206692833571</v>
      </c>
      <c r="K32" s="1"/>
      <c r="L32" s="1"/>
      <c r="M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customFormat="false" ht="25.35" hidden="false" customHeight="true" outlineLevel="0" collapsed="false">
      <c r="A34" s="1"/>
      <c r="B34" s="1"/>
      <c r="C34" s="1"/>
      <c r="D34" s="1"/>
      <c r="E34" s="1"/>
      <c r="F34" s="1"/>
      <c r="G34" s="86" t="s">
        <v>285</v>
      </c>
      <c r="H34" s="87" t="s">
        <v>286</v>
      </c>
      <c r="I34" s="87"/>
      <c r="J34" s="87"/>
      <c r="K34" s="87"/>
      <c r="L34" s="87"/>
      <c r="M34" s="87"/>
    </row>
    <row r="35" customFormat="false" ht="15" hidden="false" customHeight="true" outlineLevel="0" collapsed="false">
      <c r="A35" s="1"/>
      <c r="B35" s="1"/>
      <c r="C35" s="1"/>
      <c r="D35" s="1"/>
      <c r="E35" s="1"/>
      <c r="F35" s="1"/>
      <c r="G35" s="86" t="s">
        <v>170</v>
      </c>
      <c r="H35" s="88" t="s">
        <v>287</v>
      </c>
      <c r="I35" s="88"/>
      <c r="J35" s="88"/>
      <c r="K35" s="88"/>
      <c r="L35" s="88"/>
      <c r="M35" s="88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86" t="s">
        <v>73</v>
      </c>
      <c r="H36" s="147" t="n">
        <v>5.62</v>
      </c>
      <c r="I36" s="88" t="s">
        <v>234</v>
      </c>
      <c r="J36" s="88"/>
      <c r="K36" s="88"/>
      <c r="L36" s="88"/>
      <c r="M36" s="88"/>
    </row>
    <row r="37" customFormat="false" ht="23.85" hidden="false" customHeight="false" outlineLevel="0" collapsed="false">
      <c r="A37" s="1"/>
      <c r="B37" s="1"/>
      <c r="C37" s="1"/>
      <c r="D37" s="1"/>
      <c r="E37" s="1"/>
      <c r="F37" s="1"/>
      <c r="G37" s="86" t="s">
        <v>288</v>
      </c>
      <c r="H37" s="147" t="n">
        <f aca="false">估值系统!$B$26</f>
        <v>6.79126517210477</v>
      </c>
      <c r="I37" s="88" t="s">
        <v>234</v>
      </c>
      <c r="J37" s="88"/>
      <c r="K37" s="88"/>
      <c r="L37" s="88"/>
      <c r="M37" s="88"/>
    </row>
    <row r="38" customFormat="false" ht="23.85" hidden="false" customHeight="false" outlineLevel="0" collapsed="false">
      <c r="A38" s="1"/>
      <c r="B38" s="1"/>
      <c r="C38" s="1"/>
      <c r="D38" s="1"/>
      <c r="E38" s="1"/>
      <c r="F38" s="1"/>
      <c r="G38" s="86" t="s">
        <v>289</v>
      </c>
      <c r="H38" s="99" t="n">
        <f aca="false">估值系统!$B$27</f>
        <v>0.172466417143563</v>
      </c>
      <c r="I38" s="88"/>
      <c r="J38" s="88"/>
      <c r="K38" s="88"/>
      <c r="L38" s="88"/>
      <c r="M38" s="88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</sheetData>
  <mergeCells count="9">
    <mergeCell ref="A2:M2"/>
    <mergeCell ref="A3:M3"/>
    <mergeCell ref="A4:D4"/>
    <mergeCell ref="G4:K4"/>
    <mergeCell ref="G14:K14"/>
    <mergeCell ref="A22:E22"/>
    <mergeCell ref="G24:K24"/>
    <mergeCell ref="H34:M34"/>
    <mergeCell ref="H35:M35"/>
  </mergeCells>
  <conditionalFormatting sqref="H7:J12">
    <cfRule type="cellIs" priority="2" operator="lessThan" aboveAverage="0" equalAverage="0" bottom="0" percent="0" rank="0" text="" dxfId="0">
      <formula>5.62</formula>
    </cfRule>
    <cfRule type="cellIs" priority="3" operator="greaterThanOrEqual" aboveAverage="0" equalAverage="0" bottom="0" percent="0" rank="0" text="" dxfId="1">
      <formula>5.62</formula>
    </cfRule>
  </conditionalFormatting>
  <conditionalFormatting sqref="H17:J22">
    <cfRule type="cellIs" priority="4" operator="lessThan" aboveAverage="0" equalAverage="0" bottom="0" percent="0" rank="0" text="" dxfId="2">
      <formula>5.62</formula>
    </cfRule>
    <cfRule type="cellIs" priority="5" operator="greaterThanOrEqual" aboveAverage="0" equalAverage="0" bottom="0" percent="0" rank="0" text="" dxfId="3">
      <formula>5.62</formula>
    </cfRule>
  </conditionalFormatting>
  <conditionalFormatting sqref="H27:J32">
    <cfRule type="cellIs" priority="6" operator="lessThan" aboveAverage="0" equalAverage="0" bottom="0" percent="0" rank="0" text="" dxfId="4">
      <formula>5.62</formula>
    </cfRule>
    <cfRule type="cellIs" priority="7" operator="greaterThanOrEqual" aboveAverage="0" equalAverage="0" bottom="0" percent="0" rank="0" text="" dxfId="5">
      <formula>5.62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N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8" min="1" style="0" width="12.11"/>
    <col collapsed="false" customWidth="true" hidden="false" outlineLevel="0" max="9" min="9" style="0" width="16.15"/>
    <col collapsed="false" customWidth="true" hidden="false" outlineLevel="0" max="11" min="10" style="0" width="12.11"/>
    <col collapsed="false" customWidth="true" hidden="false" outlineLevel="0" max="12" min="12" style="0" width="16.15"/>
    <col collapsed="false" customWidth="true" hidden="false" outlineLevel="0" max="14" min="13" style="0" width="12.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46" t="s">
        <v>290</v>
      </c>
      <c r="B2" s="46" t="s">
        <v>290</v>
      </c>
      <c r="C2" s="46" t="s">
        <v>290</v>
      </c>
      <c r="D2" s="46" t="s">
        <v>290</v>
      </c>
      <c r="E2" s="46" t="s">
        <v>290</v>
      </c>
      <c r="F2" s="46" t="s">
        <v>290</v>
      </c>
      <c r="G2" s="46" t="s">
        <v>290</v>
      </c>
      <c r="H2" s="46" t="s">
        <v>290</v>
      </c>
      <c r="I2" s="46" t="s">
        <v>290</v>
      </c>
      <c r="J2" s="46" t="s">
        <v>290</v>
      </c>
      <c r="K2" s="46" t="s">
        <v>290</v>
      </c>
      <c r="L2" s="46" t="s">
        <v>290</v>
      </c>
      <c r="M2" s="46" t="s">
        <v>290</v>
      </c>
      <c r="N2" s="46" t="s">
        <v>290</v>
      </c>
    </row>
    <row r="3" customFormat="false" ht="15" hidden="false" customHeight="true" outlineLevel="0" collapsed="false">
      <c r="A3" s="47" t="s">
        <v>291</v>
      </c>
      <c r="B3" s="47" t="s">
        <v>291</v>
      </c>
      <c r="C3" s="47" t="s">
        <v>291</v>
      </c>
      <c r="D3" s="47" t="s">
        <v>291</v>
      </c>
      <c r="E3" s="47" t="s">
        <v>291</v>
      </c>
      <c r="F3" s="47" t="s">
        <v>291</v>
      </c>
      <c r="G3" s="47" t="s">
        <v>291</v>
      </c>
      <c r="H3" s="47" t="s">
        <v>291</v>
      </c>
      <c r="I3" s="47" t="s">
        <v>291</v>
      </c>
      <c r="J3" s="47" t="s">
        <v>291</v>
      </c>
      <c r="K3" s="47" t="s">
        <v>291</v>
      </c>
      <c r="L3" s="47" t="s">
        <v>291</v>
      </c>
      <c r="M3" s="47" t="s">
        <v>291</v>
      </c>
      <c r="N3" s="47" t="s">
        <v>291</v>
      </c>
    </row>
    <row r="4" customFormat="false" ht="22" hidden="false" customHeight="true" outlineLevel="0" collapsed="false">
      <c r="A4" s="10" t="s">
        <v>292</v>
      </c>
      <c r="B4" s="10" t="s">
        <v>292</v>
      </c>
      <c r="C4" s="10" t="s">
        <v>292</v>
      </c>
      <c r="D4" s="10" t="s">
        <v>292</v>
      </c>
      <c r="E4" s="10" t="s">
        <v>292</v>
      </c>
      <c r="F4" s="10" t="s">
        <v>292</v>
      </c>
      <c r="G4" s="1"/>
      <c r="H4" s="10" t="s">
        <v>293</v>
      </c>
      <c r="I4" s="10" t="s">
        <v>293</v>
      </c>
      <c r="J4" s="10" t="s">
        <v>293</v>
      </c>
      <c r="K4" s="10" t="s">
        <v>293</v>
      </c>
      <c r="L4" s="10" t="s">
        <v>293</v>
      </c>
      <c r="M4" s="10" t="s">
        <v>293</v>
      </c>
      <c r="N4" s="10" t="s">
        <v>293</v>
      </c>
    </row>
    <row r="5" customFormat="false" ht="20.85" hidden="false" customHeight="false" outlineLevel="0" collapsed="false">
      <c r="A5" s="24" t="s">
        <v>294</v>
      </c>
      <c r="B5" s="103" t="s">
        <v>239</v>
      </c>
      <c r="C5" s="103" t="s">
        <v>241</v>
      </c>
      <c r="D5" s="24" t="s">
        <v>240</v>
      </c>
      <c r="E5" s="24" t="s">
        <v>295</v>
      </c>
      <c r="F5" s="24" t="s">
        <v>296</v>
      </c>
      <c r="G5" s="1"/>
      <c r="H5" s="24" t="s">
        <v>116</v>
      </c>
      <c r="I5" s="24" t="s">
        <v>297</v>
      </c>
      <c r="J5" s="24" t="s">
        <v>240</v>
      </c>
      <c r="K5" s="24" t="s">
        <v>298</v>
      </c>
      <c r="L5" s="24" t="s">
        <v>299</v>
      </c>
      <c r="M5" s="24" t="s">
        <v>271</v>
      </c>
      <c r="N5" s="24" t="s">
        <v>300</v>
      </c>
    </row>
    <row r="6" customFormat="false" ht="22" hidden="false" customHeight="true" outlineLevel="0" collapsed="false">
      <c r="A6" s="25" t="s">
        <v>301</v>
      </c>
      <c r="B6" s="148" t="n">
        <v>0.96</v>
      </c>
      <c r="C6" s="148" t="n">
        <v>0.25</v>
      </c>
      <c r="D6" s="78" t="n">
        <f aca="false">C6/B6</f>
        <v>0.260416666666667</v>
      </c>
      <c r="E6" s="78" t="n">
        <f aca="false">C6/估值系统!$B$7</f>
        <v>0.0444839857651246</v>
      </c>
      <c r="F6" s="90" t="s">
        <v>302</v>
      </c>
      <c r="G6" s="1"/>
      <c r="H6" s="89" t="s">
        <v>303</v>
      </c>
      <c r="I6" s="149" t="n">
        <v>1.05</v>
      </c>
      <c r="J6" s="150" t="n">
        <v>0.28</v>
      </c>
      <c r="K6" s="148" t="n">
        <f aca="false">I6*J6</f>
        <v>0.294</v>
      </c>
      <c r="L6" s="78" t="n">
        <f aca="false">K6/估值系统!$B$7</f>
        <v>0.0523131672597865</v>
      </c>
      <c r="M6" s="105" t="n">
        <v>0.06</v>
      </c>
      <c r="N6" s="106" t="n">
        <f aca="false">K6/M6</f>
        <v>4.9</v>
      </c>
    </row>
    <row r="7" customFormat="false" ht="22" hidden="false" customHeight="true" outlineLevel="0" collapsed="false">
      <c r="A7" s="30" t="s">
        <v>304</v>
      </c>
      <c r="B7" s="151" t="n">
        <v>0.99</v>
      </c>
      <c r="C7" s="151" t="n">
        <v>0.267</v>
      </c>
      <c r="D7" s="81" t="n">
        <f aca="false">C7/B7</f>
        <v>0.26969696969697</v>
      </c>
      <c r="E7" s="81" t="n">
        <f aca="false">C7/估值系统!$B$7</f>
        <v>0.047508896797153</v>
      </c>
      <c r="F7" s="35" t="s">
        <v>302</v>
      </c>
      <c r="G7" s="1"/>
      <c r="H7" s="33" t="s">
        <v>106</v>
      </c>
      <c r="I7" s="152" t="n">
        <v>1.2</v>
      </c>
      <c r="J7" s="153" t="n">
        <v>0.32</v>
      </c>
      <c r="K7" s="151" t="n">
        <f aca="false">I7*J7</f>
        <v>0.384</v>
      </c>
      <c r="L7" s="81" t="n">
        <f aca="false">K7/估值系统!$B$7</f>
        <v>0.0683274021352313</v>
      </c>
      <c r="M7" s="108" t="n">
        <v>0.055</v>
      </c>
      <c r="N7" s="109" t="n">
        <f aca="false">K7/M7</f>
        <v>6.98181818181818</v>
      </c>
    </row>
    <row r="8" customFormat="false" ht="22" hidden="false" customHeight="true" outlineLevel="0" collapsed="false">
      <c r="A8" s="30" t="s">
        <v>305</v>
      </c>
      <c r="B8" s="151" t="n">
        <v>0.91</v>
      </c>
      <c r="C8" s="151" t="n">
        <v>0.286</v>
      </c>
      <c r="D8" s="81" t="n">
        <f aca="false">C8/B8</f>
        <v>0.314285714285714</v>
      </c>
      <c r="E8" s="81" t="n">
        <f aca="false">C8/估值系统!$B$7</f>
        <v>0.0508896797153025</v>
      </c>
      <c r="F8" s="35" t="s">
        <v>302</v>
      </c>
      <c r="G8" s="1"/>
      <c r="H8" s="40" t="s">
        <v>306</v>
      </c>
      <c r="I8" s="154" t="n">
        <v>1.3</v>
      </c>
      <c r="J8" s="155" t="n">
        <v>0.36</v>
      </c>
      <c r="K8" s="156" t="n">
        <f aca="false">I8*J8</f>
        <v>0.468</v>
      </c>
      <c r="L8" s="83" t="n">
        <f aca="false">K8/估值系统!$B$7</f>
        <v>0.0832740213523132</v>
      </c>
      <c r="M8" s="157" t="n">
        <v>0.05</v>
      </c>
      <c r="N8" s="112" t="n">
        <f aca="false">K8/M8</f>
        <v>9.36</v>
      </c>
    </row>
    <row r="9" customFormat="false" ht="22" hidden="false" customHeight="true" outlineLevel="0" collapsed="false">
      <c r="A9" s="30" t="s">
        <v>307</v>
      </c>
      <c r="B9" s="151" t="n">
        <v>0.98</v>
      </c>
      <c r="C9" s="151" t="n">
        <v>0.305</v>
      </c>
      <c r="D9" s="81" t="n">
        <f aca="false">C9/B9</f>
        <v>0.311224489795918</v>
      </c>
      <c r="E9" s="81" t="n">
        <f aca="false">C9/估值系统!$B$7</f>
        <v>0.054270462633452</v>
      </c>
      <c r="F9" s="35" t="s">
        <v>302</v>
      </c>
      <c r="G9" s="1"/>
      <c r="H9" s="1"/>
      <c r="I9" s="1"/>
      <c r="J9" s="1"/>
      <c r="K9" s="1"/>
      <c r="L9" s="1"/>
      <c r="M9" s="1"/>
      <c r="N9" s="1"/>
    </row>
    <row r="10" customFormat="false" ht="22" hidden="false" customHeight="true" outlineLevel="0" collapsed="false">
      <c r="A10" s="30" t="s">
        <v>308</v>
      </c>
      <c r="B10" s="151" t="n">
        <v>0.98</v>
      </c>
      <c r="C10" s="151" t="n">
        <v>0.3</v>
      </c>
      <c r="D10" s="81" t="n">
        <f aca="false">C10/B10</f>
        <v>0.306122448979592</v>
      </c>
      <c r="E10" s="81" t="n">
        <f aca="false">C10/估值系统!$B$7</f>
        <v>0.0533807829181495</v>
      </c>
      <c r="F10" s="35" t="s">
        <v>302</v>
      </c>
      <c r="G10" s="1"/>
      <c r="H10" s="89" t="s">
        <v>73</v>
      </c>
      <c r="I10" s="148" t="n">
        <f aca="false">估值系统!$B$7</f>
        <v>5.62</v>
      </c>
      <c r="J10" s="90" t="s">
        <v>234</v>
      </c>
      <c r="K10" s="1"/>
      <c r="L10" s="1"/>
      <c r="M10" s="1"/>
      <c r="N10" s="1"/>
    </row>
    <row r="11" customFormat="false" ht="22" hidden="false" customHeight="true" outlineLevel="0" collapsed="false">
      <c r="A11" s="30" t="s">
        <v>309</v>
      </c>
      <c r="B11" s="151" t="n">
        <v>1.02</v>
      </c>
      <c r="C11" s="151" t="n">
        <v>0.305</v>
      </c>
      <c r="D11" s="81" t="n">
        <f aca="false">C11/B11</f>
        <v>0.299019607843137</v>
      </c>
      <c r="E11" s="81" t="n">
        <f aca="false">C11/估值系统!$B$7</f>
        <v>0.054270462633452</v>
      </c>
      <c r="F11" s="35" t="s">
        <v>302</v>
      </c>
      <c r="G11" s="1"/>
      <c r="H11" s="30" t="s">
        <v>310</v>
      </c>
      <c r="I11" s="151" t="n">
        <v>0.278</v>
      </c>
      <c r="J11" s="35" t="s">
        <v>302</v>
      </c>
      <c r="K11" s="1"/>
      <c r="L11" s="1"/>
      <c r="M11" s="1"/>
      <c r="N11" s="1"/>
    </row>
    <row r="12" customFormat="false" ht="22" hidden="false" customHeight="true" outlineLevel="0" collapsed="false">
      <c r="A12" s="30" t="s">
        <v>311</v>
      </c>
      <c r="B12" s="151" t="n">
        <v>1.02</v>
      </c>
      <c r="C12" s="151" t="n">
        <v>0.31</v>
      </c>
      <c r="D12" s="81" t="n">
        <f aca="false">C12/B12</f>
        <v>0.303921568627451</v>
      </c>
      <c r="E12" s="81" t="n">
        <f aca="false">C12/估值系统!$B$7</f>
        <v>0.0551601423487544</v>
      </c>
      <c r="F12" s="35" t="s">
        <v>302</v>
      </c>
      <c r="G12" s="1"/>
      <c r="H12" s="30" t="s">
        <v>312</v>
      </c>
      <c r="I12" s="151" t="n">
        <v>0.13</v>
      </c>
      <c r="J12" s="35" t="s">
        <v>313</v>
      </c>
      <c r="K12" s="1"/>
      <c r="L12" s="1"/>
      <c r="M12" s="1"/>
      <c r="N12" s="1"/>
    </row>
    <row r="13" customFormat="false" ht="22" hidden="false" customHeight="true" outlineLevel="0" collapsed="false">
      <c r="A13" s="30" t="s">
        <v>314</v>
      </c>
      <c r="B13" s="151" t="n">
        <v>1.06</v>
      </c>
      <c r="C13" s="151" t="n">
        <v>0.32</v>
      </c>
      <c r="D13" s="81" t="n">
        <f aca="false">C13/B13</f>
        <v>0.30188679245283</v>
      </c>
      <c r="E13" s="81" t="n">
        <f aca="false">C13/估值系统!$B$7</f>
        <v>0.0569395017793594</v>
      </c>
      <c r="F13" s="35" t="s">
        <v>302</v>
      </c>
      <c r="G13" s="1"/>
      <c r="H13" s="33" t="s">
        <v>315</v>
      </c>
      <c r="I13" s="81" t="n">
        <f aca="false">I11/I10</f>
        <v>0.0494661921708185</v>
      </c>
      <c r="J13" s="35" t="s">
        <v>316</v>
      </c>
      <c r="K13" s="1"/>
      <c r="L13" s="1"/>
      <c r="M13" s="1"/>
      <c r="N13" s="1"/>
    </row>
    <row r="14" customFormat="false" ht="22" hidden="false" customHeight="true" outlineLevel="0" collapsed="false">
      <c r="A14" s="30" t="s">
        <v>317</v>
      </c>
      <c r="B14" s="151" t="n">
        <v>1.09</v>
      </c>
      <c r="C14" s="151" t="n">
        <v>0.32</v>
      </c>
      <c r="D14" s="81" t="n">
        <f aca="false">C14/B14</f>
        <v>0.293577981651376</v>
      </c>
      <c r="E14" s="81" t="n">
        <f aca="false">C14/估值系统!$B$7</f>
        <v>0.0569395017793594</v>
      </c>
      <c r="F14" s="35" t="s">
        <v>302</v>
      </c>
      <c r="G14" s="1"/>
      <c r="H14" s="40" t="s">
        <v>318</v>
      </c>
      <c r="I14" s="83" t="n">
        <f aca="false">(I11+I12)/I10</f>
        <v>0.0725978647686833</v>
      </c>
      <c r="J14" s="85" t="s">
        <v>319</v>
      </c>
      <c r="K14" s="1"/>
      <c r="L14" s="1"/>
      <c r="M14" s="1"/>
      <c r="N14" s="1"/>
    </row>
    <row r="15" customFormat="false" ht="22" hidden="false" customHeight="true" outlineLevel="0" collapsed="false">
      <c r="A15" s="30" t="s">
        <v>320</v>
      </c>
      <c r="B15" s="151" t="n">
        <v>0.78</v>
      </c>
      <c r="C15" s="151" t="n">
        <v>0.278</v>
      </c>
      <c r="D15" s="81" t="n">
        <f aca="false">C15/B15</f>
        <v>0.356410256410256</v>
      </c>
      <c r="E15" s="81" t="n">
        <f aca="false">C15/估值系统!$B$7</f>
        <v>0.0494661921708185</v>
      </c>
      <c r="F15" s="35" t="s">
        <v>302</v>
      </c>
      <c r="G15" s="1"/>
      <c r="H15" s="1"/>
      <c r="I15" s="1"/>
      <c r="J15" s="1"/>
      <c r="K15" s="1"/>
      <c r="L15" s="1"/>
      <c r="M15" s="1"/>
      <c r="N15" s="1"/>
    </row>
    <row r="16" customFormat="false" ht="22" hidden="false" customHeight="true" outlineLevel="0" collapsed="false">
      <c r="A16" s="158" t="s">
        <v>321</v>
      </c>
      <c r="B16" s="159" t="n">
        <v>0.71</v>
      </c>
      <c r="C16" s="159" t="n">
        <v>0.13</v>
      </c>
      <c r="D16" s="160" t="n">
        <f aca="false">C16/B16</f>
        <v>0.183098591549296</v>
      </c>
      <c r="E16" s="160" t="n">
        <f aca="false">C16/估值系统!$B$7</f>
        <v>0.0231316725978648</v>
      </c>
      <c r="F16" s="161" t="s">
        <v>322</v>
      </c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22" hidden="false" customHeight="true" outlineLevel="0" collapsed="false">
      <c r="A19" s="10" t="s">
        <v>323</v>
      </c>
      <c r="B19" s="10" t="s">
        <v>323</v>
      </c>
      <c r="C19" s="10" t="s">
        <v>323</v>
      </c>
      <c r="D19" s="10" t="s">
        <v>323</v>
      </c>
      <c r="E19" s="10" t="s">
        <v>323</v>
      </c>
      <c r="F19" s="10" t="s">
        <v>323</v>
      </c>
      <c r="G19" s="10" t="s">
        <v>323</v>
      </c>
      <c r="H19" s="10" t="s">
        <v>323</v>
      </c>
      <c r="I19" s="10" t="s">
        <v>323</v>
      </c>
      <c r="J19" s="1"/>
      <c r="K19" s="10" t="s">
        <v>324</v>
      </c>
      <c r="L19" s="10" t="s">
        <v>324</v>
      </c>
      <c r="M19" s="10" t="s">
        <v>324</v>
      </c>
      <c r="N19" s="10" t="s">
        <v>324</v>
      </c>
    </row>
    <row r="20" customFormat="false" ht="30" hidden="false" customHeight="true" outlineLevel="0" collapsed="false">
      <c r="A20" s="24" t="s">
        <v>237</v>
      </c>
      <c r="B20" s="24" t="s">
        <v>325</v>
      </c>
      <c r="C20" s="103" t="s">
        <v>326</v>
      </c>
      <c r="D20" s="24" t="s">
        <v>327</v>
      </c>
      <c r="E20" s="24" t="s">
        <v>240</v>
      </c>
      <c r="F20" s="103" t="s">
        <v>241</v>
      </c>
      <c r="G20" s="24" t="s">
        <v>328</v>
      </c>
      <c r="H20" s="103" t="s">
        <v>329</v>
      </c>
      <c r="I20" s="24" t="s">
        <v>273</v>
      </c>
      <c r="J20" s="1"/>
      <c r="K20" s="86" t="s">
        <v>82</v>
      </c>
      <c r="L20" s="87" t="s">
        <v>330</v>
      </c>
      <c r="M20" s="87"/>
      <c r="N20" s="87"/>
    </row>
    <row r="21" customFormat="false" ht="30" hidden="false" customHeight="true" outlineLevel="0" collapsed="false">
      <c r="A21" s="89" t="n">
        <v>1</v>
      </c>
      <c r="B21" s="162" t="n">
        <f aca="false">估值敏感性!$B$8</f>
        <v>1.2</v>
      </c>
      <c r="C21" s="105" t="n">
        <v>0.05</v>
      </c>
      <c r="D21" s="148" t="n">
        <f aca="false">B21*(1+C21)</f>
        <v>1.26</v>
      </c>
      <c r="E21" s="105" t="n">
        <v>0.3</v>
      </c>
      <c r="F21" s="148" t="n">
        <f aca="false">D21*E21</f>
        <v>0.378</v>
      </c>
      <c r="G21" s="148" t="n">
        <f aca="false">1/(1+估值敏感性!$B$6)^A21</f>
        <v>0.896860986547085</v>
      </c>
      <c r="H21" s="148" t="n">
        <f aca="false">F21*G21</f>
        <v>0.339013452914798</v>
      </c>
      <c r="I21" s="90" t="s">
        <v>331</v>
      </c>
      <c r="J21" s="1"/>
      <c r="K21" s="86" t="s">
        <v>82</v>
      </c>
      <c r="L21" s="87" t="s">
        <v>332</v>
      </c>
      <c r="M21" s="87"/>
      <c r="N21" s="87"/>
    </row>
    <row r="22" customFormat="false" ht="30" hidden="false" customHeight="true" outlineLevel="0" collapsed="false">
      <c r="A22" s="33" t="n">
        <v>2</v>
      </c>
      <c r="B22" s="151" t="n">
        <f aca="false">D21</f>
        <v>1.26</v>
      </c>
      <c r="C22" s="108" t="n">
        <v>0.045</v>
      </c>
      <c r="D22" s="151" t="n">
        <f aca="false">B22*(1+C22)</f>
        <v>1.3167</v>
      </c>
      <c r="E22" s="108" t="n">
        <v>0.31</v>
      </c>
      <c r="F22" s="151" t="n">
        <f aca="false">D22*E22</f>
        <v>0.408177</v>
      </c>
      <c r="G22" s="151" t="n">
        <f aca="false">1/(1+估值敏感性!$B$6)^A22</f>
        <v>0.804359629190211</v>
      </c>
      <c r="H22" s="151" t="n">
        <f aca="false">F22*G22</f>
        <v>0.328321100363973</v>
      </c>
      <c r="I22" s="35" t="s">
        <v>333</v>
      </c>
      <c r="J22" s="1"/>
      <c r="K22" s="86" t="s">
        <v>64</v>
      </c>
      <c r="L22" s="88" t="s">
        <v>334</v>
      </c>
      <c r="M22" s="88"/>
      <c r="N22" s="88"/>
    </row>
    <row r="23" customFormat="false" ht="30" hidden="false" customHeight="true" outlineLevel="0" collapsed="false">
      <c r="A23" s="33" t="n">
        <v>3</v>
      </c>
      <c r="B23" s="151" t="n">
        <f aca="false">D22</f>
        <v>1.3167</v>
      </c>
      <c r="C23" s="108" t="n">
        <v>0.04</v>
      </c>
      <c r="D23" s="151" t="n">
        <f aca="false">B23*(1+C23)</f>
        <v>1.369368</v>
      </c>
      <c r="E23" s="108" t="n">
        <v>0.32</v>
      </c>
      <c r="F23" s="151" t="n">
        <f aca="false">D23*E23</f>
        <v>0.43819776</v>
      </c>
      <c r="G23" s="151" t="n">
        <f aca="false">1/(1+估值敏感性!$B$6)^A23</f>
        <v>0.72139877057418</v>
      </c>
      <c r="H23" s="151" t="n">
        <f aca="false">F23*G23</f>
        <v>0.31611532533236</v>
      </c>
      <c r="I23" s="35" t="s">
        <v>335</v>
      </c>
      <c r="J23" s="1"/>
      <c r="K23" s="86" t="s">
        <v>336</v>
      </c>
      <c r="L23" s="88" t="s">
        <v>337</v>
      </c>
      <c r="M23" s="88"/>
      <c r="N23" s="88"/>
    </row>
    <row r="24" customFormat="false" ht="30" hidden="false" customHeight="true" outlineLevel="0" collapsed="false">
      <c r="A24" s="33" t="n">
        <v>4</v>
      </c>
      <c r="B24" s="151" t="n">
        <f aca="false">D23</f>
        <v>1.369368</v>
      </c>
      <c r="C24" s="108" t="n">
        <v>0.035</v>
      </c>
      <c r="D24" s="151" t="n">
        <f aca="false">B24*(1+C24)</f>
        <v>1.41729588</v>
      </c>
      <c r="E24" s="108" t="n">
        <v>0.33</v>
      </c>
      <c r="F24" s="151" t="n">
        <f aca="false">D24*E24</f>
        <v>0.4677076404</v>
      </c>
      <c r="G24" s="151" t="n">
        <f aca="false">1/(1+估值敏感性!$B$6)^A24</f>
        <v>0.646994413071014</v>
      </c>
      <c r="H24" s="151" t="n">
        <f aca="false">F24*G24</f>
        <v>0.302604230289427</v>
      </c>
      <c r="I24" s="35" t="s">
        <v>338</v>
      </c>
      <c r="J24" s="1"/>
      <c r="K24" s="86" t="s">
        <v>78</v>
      </c>
      <c r="L24" s="87" t="s">
        <v>339</v>
      </c>
      <c r="M24" s="87"/>
      <c r="N24" s="87"/>
    </row>
    <row r="25" customFormat="false" ht="30" hidden="false" customHeight="true" outlineLevel="0" collapsed="false">
      <c r="A25" s="40" t="n">
        <v>5</v>
      </c>
      <c r="B25" s="156" t="n">
        <f aca="false">D24</f>
        <v>1.41729588</v>
      </c>
      <c r="C25" s="111" t="n">
        <v>0.03</v>
      </c>
      <c r="D25" s="156" t="n">
        <f aca="false">B25*(1+C25)</f>
        <v>1.4598147564</v>
      </c>
      <c r="E25" s="111" t="n">
        <v>0.35</v>
      </c>
      <c r="F25" s="156" t="n">
        <f aca="false">D25*E25</f>
        <v>0.51093516474</v>
      </c>
      <c r="G25" s="156" t="n">
        <f aca="false">1/(1+估值敏感性!$B$6)^A25</f>
        <v>0.580264047597322</v>
      </c>
      <c r="H25" s="156" t="n">
        <f aca="false">F25*G25</f>
        <v>0.296477306751837</v>
      </c>
      <c r="I25" s="85" t="s">
        <v>340</v>
      </c>
      <c r="J25" s="1"/>
      <c r="K25" s="86" t="s">
        <v>80</v>
      </c>
      <c r="L25" s="88" t="s">
        <v>341</v>
      </c>
      <c r="M25" s="88"/>
      <c r="N25" s="88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 t="s">
        <v>185</v>
      </c>
      <c r="B27" s="163" t="n">
        <f aca="false">估值敏感性!$B$7</f>
        <v>0.025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 t="s">
        <v>342</v>
      </c>
      <c r="B28" s="164" t="n">
        <v>0.38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 t="s">
        <v>343</v>
      </c>
      <c r="B29" s="113" t="n">
        <f aca="false">D25*(1+B27)*B28</f>
        <v>0.5685978476178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 t="s">
        <v>344</v>
      </c>
      <c r="B30" s="113" t="n">
        <f aca="false">B29/(估值敏感性!$B$6-B27)</f>
        <v>6.31775386242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 t="s">
        <v>245</v>
      </c>
      <c r="B31" s="113" t="n">
        <f aca="false">B30/(1+估值敏感性!$B$6)^5</f>
        <v>3.66596542793144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25.35" hidden="false" customHeight="false" outlineLevel="0" collapsed="false">
      <c r="A32" s="1" t="s">
        <v>345</v>
      </c>
      <c r="B32" s="113" t="n">
        <f aca="false">SUM(H21:H25)</f>
        <v>1.58253141565239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25.35" hidden="false" customHeight="false" outlineLevel="0" collapsed="false">
      <c r="A33" s="114" t="s">
        <v>346</v>
      </c>
      <c r="B33" s="115" t="n">
        <f aca="false">B31+B32</f>
        <v>5.24849684358384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</sheetData>
  <mergeCells count="12">
    <mergeCell ref="A2:N2"/>
    <mergeCell ref="A3:N3"/>
    <mergeCell ref="A4:F4"/>
    <mergeCell ref="H4:N4"/>
    <mergeCell ref="A19:I19"/>
    <mergeCell ref="K19:N19"/>
    <mergeCell ref="L20:N20"/>
    <mergeCell ref="L21:N21"/>
    <mergeCell ref="L22:N22"/>
    <mergeCell ref="L23:N23"/>
    <mergeCell ref="L24:N24"/>
    <mergeCell ref="L25:N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S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12.11"/>
    <col collapsed="false" customWidth="true" hidden="false" outlineLevel="0" max="3" min="2" style="0" width="14.13"/>
    <col collapsed="false" customWidth="true" hidden="false" outlineLevel="0" max="12" min="4" style="0" width="11.1"/>
    <col collapsed="false" customWidth="true" hidden="false" outlineLevel="0" max="15" min="13" style="0" width="14.13"/>
    <col collapsed="false" customWidth="true" hidden="false" outlineLevel="0" max="19" min="16" style="0" width="11.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46" t="s">
        <v>347</v>
      </c>
      <c r="B2" s="46" t="s">
        <v>347</v>
      </c>
      <c r="C2" s="46" t="s">
        <v>347</v>
      </c>
      <c r="D2" s="46" t="s">
        <v>347</v>
      </c>
      <c r="E2" s="46" t="s">
        <v>347</v>
      </c>
      <c r="F2" s="46" t="s">
        <v>347</v>
      </c>
      <c r="G2" s="46" t="s">
        <v>347</v>
      </c>
      <c r="H2" s="46" t="s">
        <v>347</v>
      </c>
      <c r="I2" s="46" t="s">
        <v>347</v>
      </c>
      <c r="J2" s="46" t="s">
        <v>347</v>
      </c>
      <c r="K2" s="46" t="s">
        <v>347</v>
      </c>
      <c r="L2" s="46" t="s">
        <v>347</v>
      </c>
      <c r="M2" s="46" t="s">
        <v>347</v>
      </c>
      <c r="N2" s="46" t="s">
        <v>347</v>
      </c>
      <c r="O2" s="46" t="s">
        <v>347</v>
      </c>
      <c r="P2" s="46" t="s">
        <v>347</v>
      </c>
      <c r="Q2" s="46" t="s">
        <v>347</v>
      </c>
      <c r="R2" s="46" t="s">
        <v>347</v>
      </c>
      <c r="S2" s="46" t="s">
        <v>347</v>
      </c>
    </row>
    <row r="3" customFormat="false" ht="15" hidden="false" customHeight="true" outlineLevel="0" collapsed="false">
      <c r="A3" s="47" t="s">
        <v>348</v>
      </c>
      <c r="B3" s="47" t="s">
        <v>348</v>
      </c>
      <c r="C3" s="47" t="s">
        <v>348</v>
      </c>
      <c r="D3" s="47" t="s">
        <v>348</v>
      </c>
      <c r="E3" s="47" t="s">
        <v>348</v>
      </c>
      <c r="F3" s="47" t="s">
        <v>348</v>
      </c>
      <c r="G3" s="47" t="s">
        <v>348</v>
      </c>
      <c r="H3" s="47" t="s">
        <v>348</v>
      </c>
      <c r="I3" s="47" t="s">
        <v>348</v>
      </c>
      <c r="J3" s="47" t="s">
        <v>348</v>
      </c>
      <c r="K3" s="47" t="s">
        <v>348</v>
      </c>
      <c r="L3" s="47" t="s">
        <v>348</v>
      </c>
      <c r="M3" s="47" t="s">
        <v>348</v>
      </c>
      <c r="N3" s="47" t="s">
        <v>348</v>
      </c>
      <c r="O3" s="47" t="s">
        <v>348</v>
      </c>
      <c r="P3" s="47" t="s">
        <v>348</v>
      </c>
      <c r="Q3" s="47" t="s">
        <v>348</v>
      </c>
      <c r="R3" s="47" t="s">
        <v>348</v>
      </c>
      <c r="S3" s="47" t="s">
        <v>348</v>
      </c>
    </row>
    <row r="4" customFormat="false" ht="15" hidden="false" customHeight="false" outlineLevel="0" collapsed="false">
      <c r="A4" s="24" t="s">
        <v>349</v>
      </c>
      <c r="B4" s="24" t="s">
        <v>350</v>
      </c>
      <c r="C4" s="24" t="s">
        <v>351</v>
      </c>
      <c r="D4" s="103" t="s">
        <v>239</v>
      </c>
      <c r="E4" s="103" t="s">
        <v>352</v>
      </c>
      <c r="F4" s="103" t="s">
        <v>42</v>
      </c>
      <c r="G4" s="103" t="s">
        <v>353</v>
      </c>
      <c r="H4" s="24" t="s">
        <v>10</v>
      </c>
      <c r="I4" s="24" t="s">
        <v>11</v>
      </c>
      <c r="J4" s="24" t="s">
        <v>61</v>
      </c>
      <c r="K4" s="103" t="s">
        <v>12</v>
      </c>
      <c r="L4" s="24" t="s">
        <v>354</v>
      </c>
      <c r="M4" s="24" t="s">
        <v>355</v>
      </c>
      <c r="N4" s="24" t="s">
        <v>356</v>
      </c>
      <c r="O4" s="24" t="s">
        <v>357</v>
      </c>
      <c r="P4" s="103" t="s">
        <v>241</v>
      </c>
      <c r="Q4" s="24" t="s">
        <v>358</v>
      </c>
      <c r="R4" s="103" t="s">
        <v>359</v>
      </c>
      <c r="S4" s="103" t="s">
        <v>360</v>
      </c>
    </row>
    <row r="5" customFormat="false" ht="22" hidden="false" customHeight="true" outlineLevel="0" collapsed="false">
      <c r="A5" s="25" t="s">
        <v>301</v>
      </c>
      <c r="B5" s="165" t="n">
        <v>474.56</v>
      </c>
      <c r="C5" s="165" t="n">
        <v>178.02</v>
      </c>
      <c r="D5" s="26" t="n">
        <v>0.96</v>
      </c>
      <c r="E5" s="26" t="n">
        <v>8.17</v>
      </c>
      <c r="F5" s="166" t="n">
        <v>0.1492</v>
      </c>
      <c r="G5" s="166" t="n">
        <v>0.009</v>
      </c>
      <c r="H5" s="166" t="s">
        <v>361</v>
      </c>
      <c r="I5" s="166" t="n">
        <v>0.0127</v>
      </c>
      <c r="J5" s="166" t="n">
        <v>2.5606</v>
      </c>
      <c r="K5" s="166" t="n">
        <v>0.0826</v>
      </c>
      <c r="L5" s="166" t="n">
        <v>0.2581</v>
      </c>
      <c r="M5" s="165" t="n">
        <v>21163.39</v>
      </c>
      <c r="N5" s="165" t="n">
        <v>8999.07</v>
      </c>
      <c r="O5" s="165" t="n">
        <v>11509.04</v>
      </c>
      <c r="P5" s="148" t="n">
        <v>0.25</v>
      </c>
      <c r="Q5" s="148" t="n">
        <v>9.76</v>
      </c>
      <c r="R5" s="167" t="n">
        <f aca="false">Q5/E5</f>
        <v>1.19461444308446</v>
      </c>
      <c r="S5" s="168" t="n">
        <f aca="false">Q5/D5</f>
        <v>10.1666666666667</v>
      </c>
    </row>
    <row r="6" customFormat="false" ht="22" hidden="false" customHeight="true" outlineLevel="0" collapsed="false">
      <c r="A6" s="30" t="s">
        <v>304</v>
      </c>
      <c r="B6" s="169" t="n">
        <v>503.53</v>
      </c>
      <c r="C6" s="169" t="n">
        <v>187.33</v>
      </c>
      <c r="D6" s="31" t="n">
        <v>0.99</v>
      </c>
      <c r="E6" s="31" t="n">
        <v>7.43</v>
      </c>
      <c r="F6" s="170" t="n">
        <v>0.1377</v>
      </c>
      <c r="G6" s="170" t="n">
        <v>0.0085</v>
      </c>
      <c r="H6" s="170" t="s">
        <v>361</v>
      </c>
      <c r="I6" s="170" t="n">
        <v>0.0124</v>
      </c>
      <c r="J6" s="170" t="n">
        <v>2.6557</v>
      </c>
      <c r="K6" s="170" t="n">
        <v>0.0892</v>
      </c>
      <c r="L6" s="170" t="n">
        <v>0.2685</v>
      </c>
      <c r="M6" s="169" t="n">
        <v>23298.05</v>
      </c>
      <c r="N6" s="169" t="n">
        <v>10771.01</v>
      </c>
      <c r="O6" s="169" t="n">
        <v>12686.98</v>
      </c>
      <c r="P6" s="151" t="n">
        <v>0.267</v>
      </c>
      <c r="Q6" s="151" t="n">
        <v>7.15</v>
      </c>
      <c r="R6" s="171" t="n">
        <f aca="false">Q6/E6</f>
        <v>0.962314939434724</v>
      </c>
      <c r="S6" s="172" t="n">
        <f aca="false">Q6/D6</f>
        <v>7.22222222222222</v>
      </c>
    </row>
    <row r="7" customFormat="false" ht="22" hidden="false" customHeight="true" outlineLevel="0" collapsed="false">
      <c r="A7" s="30" t="s">
        <v>305</v>
      </c>
      <c r="B7" s="169" t="n">
        <v>554.88</v>
      </c>
      <c r="C7" s="169" t="n">
        <v>200.02</v>
      </c>
      <c r="D7" s="31" t="n">
        <v>0.91</v>
      </c>
      <c r="E7" s="31" t="n">
        <v>8.26</v>
      </c>
      <c r="F7" s="170" t="n">
        <v>0.1089</v>
      </c>
      <c r="G7" s="170" t="n">
        <v>0.0082</v>
      </c>
      <c r="H7" s="170" t="n">
        <v>0.0188</v>
      </c>
      <c r="I7" s="170" t="n">
        <v>0.0146</v>
      </c>
      <c r="J7" s="170" t="n">
        <v>2.1751</v>
      </c>
      <c r="K7" s="170" t="n">
        <v>0.0893</v>
      </c>
      <c r="L7" s="170" t="n">
        <v>0.2519</v>
      </c>
      <c r="M7" s="169" t="n">
        <v>25728.65</v>
      </c>
      <c r="N7" s="169" t="n">
        <v>12618.11</v>
      </c>
      <c r="O7" s="169" t="n">
        <v>13860.06</v>
      </c>
      <c r="P7" s="151" t="n">
        <v>0.286</v>
      </c>
      <c r="Q7" s="151" t="n">
        <v>5.61</v>
      </c>
      <c r="R7" s="171" t="n">
        <f aca="false">Q7/E7</f>
        <v>0.679176755447942</v>
      </c>
      <c r="S7" s="172" t="n">
        <f aca="false">Q7/D7</f>
        <v>6.16483516483517</v>
      </c>
    </row>
    <row r="8" customFormat="false" ht="22" hidden="false" customHeight="true" outlineLevel="0" collapsed="false">
      <c r="A8" s="30" t="s">
        <v>307</v>
      </c>
      <c r="B8" s="169" t="n">
        <v>631.29</v>
      </c>
      <c r="C8" s="169" t="n">
        <v>214.41</v>
      </c>
      <c r="D8" s="31" t="n">
        <v>0.98</v>
      </c>
      <c r="E8" s="31" t="n">
        <v>8.95</v>
      </c>
      <c r="F8" s="170" t="n">
        <v>0.1145</v>
      </c>
      <c r="G8" s="170" t="n">
        <v>0.0081</v>
      </c>
      <c r="H8" s="170" t="n">
        <v>0.0196</v>
      </c>
      <c r="I8" s="170" t="n">
        <v>0.014</v>
      </c>
      <c r="J8" s="170" t="n">
        <v>2.2469</v>
      </c>
      <c r="K8" s="170" t="n">
        <v>0.0922</v>
      </c>
      <c r="L8" s="170" t="n">
        <v>0.2323</v>
      </c>
      <c r="M8" s="169" t="n">
        <v>27370.4</v>
      </c>
      <c r="N8" s="169" t="n">
        <v>14519.09</v>
      </c>
      <c r="O8" s="169" t="n">
        <v>15451.3</v>
      </c>
      <c r="P8" s="151" t="n">
        <v>0.305</v>
      </c>
      <c r="Q8" s="151" t="n">
        <v>5.68</v>
      </c>
      <c r="R8" s="171" t="n">
        <f aca="false">Q8/E8</f>
        <v>0.63463687150838</v>
      </c>
      <c r="S8" s="172" t="n">
        <f aca="false">Q8/D8</f>
        <v>5.79591836734694</v>
      </c>
    </row>
    <row r="9" customFormat="false" ht="22" hidden="false" customHeight="true" outlineLevel="0" collapsed="false">
      <c r="A9" s="30" t="s">
        <v>308</v>
      </c>
      <c r="B9" s="169" t="n">
        <v>642.99</v>
      </c>
      <c r="C9" s="169" t="n">
        <v>214.84</v>
      </c>
      <c r="D9" s="31" t="n">
        <v>0.98</v>
      </c>
      <c r="E9" s="31" t="n">
        <v>9.52</v>
      </c>
      <c r="F9" s="170" t="n">
        <v>0.1065</v>
      </c>
      <c r="G9" s="170" t="n">
        <v>0.0077</v>
      </c>
      <c r="H9" s="170" t="n">
        <v>0.0192</v>
      </c>
      <c r="I9" s="170" t="n">
        <v>0.0157</v>
      </c>
      <c r="J9" s="170" t="n">
        <v>2.1595</v>
      </c>
      <c r="K9" s="170" t="n">
        <v>0.0942</v>
      </c>
      <c r="L9" s="170" t="n">
        <v>0.2207</v>
      </c>
      <c r="M9" s="169" t="n">
        <v>29000.14</v>
      </c>
      <c r="N9" s="169" t="n">
        <v>15736.57</v>
      </c>
      <c r="O9" s="169" t="n">
        <v>16561.49</v>
      </c>
      <c r="P9" s="151" t="n">
        <v>0.3</v>
      </c>
      <c r="Q9" s="151" t="n">
        <v>4.84</v>
      </c>
      <c r="R9" s="171" t="n">
        <f aca="false">Q9/E9</f>
        <v>0.508403361344538</v>
      </c>
      <c r="S9" s="172" t="n">
        <f aca="false">Q9/D9</f>
        <v>4.93877551020408</v>
      </c>
    </row>
    <row r="10" customFormat="false" ht="22" hidden="false" customHeight="true" outlineLevel="0" collapsed="false">
      <c r="A10" s="30" t="s">
        <v>309</v>
      </c>
      <c r="B10" s="169" t="n">
        <v>662.75</v>
      </c>
      <c r="C10" s="169" t="n">
        <v>222.26</v>
      </c>
      <c r="D10" s="31" t="n">
        <v>1.02</v>
      </c>
      <c r="E10" s="31" t="n">
        <v>10.27</v>
      </c>
      <c r="F10" s="170" t="n">
        <v>0.1029</v>
      </c>
      <c r="G10" s="170" t="n">
        <v>0.0075</v>
      </c>
      <c r="H10" s="170" t="n">
        <v>0.0183</v>
      </c>
      <c r="I10" s="170" t="n">
        <v>0.0144</v>
      </c>
      <c r="J10" s="170" t="n">
        <v>2.1022</v>
      </c>
      <c r="K10" s="170" t="n">
        <v>0.0986</v>
      </c>
      <c r="L10" s="170" t="n">
        <v>0.2496</v>
      </c>
      <c r="M10" s="169" t="n">
        <v>30589.59</v>
      </c>
      <c r="N10" s="169" t="n">
        <v>16732.38</v>
      </c>
      <c r="O10" s="169" t="n">
        <v>16993.37</v>
      </c>
      <c r="P10" s="151" t="n">
        <v>0.305</v>
      </c>
      <c r="Q10" s="151" t="n">
        <v>4.44</v>
      </c>
      <c r="R10" s="171" t="n">
        <f aca="false">Q10/E10</f>
        <v>0.432327166504382</v>
      </c>
      <c r="S10" s="172" t="n">
        <f aca="false">Q10/D10</f>
        <v>4.35294117647059</v>
      </c>
    </row>
    <row r="11" customFormat="false" ht="22" hidden="false" customHeight="true" outlineLevel="0" collapsed="false">
      <c r="A11" s="30" t="s">
        <v>311</v>
      </c>
      <c r="B11" s="169" t="n">
        <v>662.76</v>
      </c>
      <c r="C11" s="169" t="n">
        <v>247.6</v>
      </c>
      <c r="D11" s="31" t="n">
        <v>1.02</v>
      </c>
      <c r="E11" s="31" t="n">
        <v>10.91</v>
      </c>
      <c r="F11" s="170" t="n">
        <v>0.096</v>
      </c>
      <c r="G11" s="170" t="n">
        <v>0.0077</v>
      </c>
      <c r="H11" s="170" t="n">
        <v>0.0176</v>
      </c>
      <c r="I11" s="170" t="n">
        <v>0.0143</v>
      </c>
      <c r="J11" s="170" t="n">
        <v>2.1004</v>
      </c>
      <c r="K11" s="170" t="n">
        <v>0.0954</v>
      </c>
      <c r="L11" s="170" t="n">
        <v>0.2655</v>
      </c>
      <c r="M11" s="169" t="n">
        <v>33879.52</v>
      </c>
      <c r="N11" s="169" t="n">
        <v>17973.19</v>
      </c>
      <c r="O11" s="169" t="n">
        <v>19133.58</v>
      </c>
      <c r="P11" s="151" t="n">
        <v>0.31</v>
      </c>
      <c r="Q11" s="151" t="n">
        <v>4.31</v>
      </c>
      <c r="R11" s="171" t="n">
        <f aca="false">Q11/E11</f>
        <v>0.395050412465628</v>
      </c>
      <c r="S11" s="172" t="n">
        <f aca="false">Q11/D11</f>
        <v>4.22549019607843</v>
      </c>
    </row>
    <row r="12" customFormat="false" ht="22" hidden="false" customHeight="true" outlineLevel="0" collapsed="false">
      <c r="A12" s="30" t="s">
        <v>314</v>
      </c>
      <c r="B12" s="169" t="n">
        <v>667.11</v>
      </c>
      <c r="C12" s="169" t="n">
        <v>256.24</v>
      </c>
      <c r="D12" s="31" t="n">
        <v>1.06</v>
      </c>
      <c r="E12" s="31" t="n">
        <v>11.78</v>
      </c>
      <c r="F12" s="170" t="n">
        <v>0.0932</v>
      </c>
      <c r="G12" s="170" t="n">
        <v>0.0072</v>
      </c>
      <c r="H12" s="170" t="n">
        <v>0.0154</v>
      </c>
      <c r="I12" s="170" t="n">
        <v>0.0132</v>
      </c>
      <c r="J12" s="170" t="n">
        <v>2.1678</v>
      </c>
      <c r="K12" s="170" t="n">
        <v>0.0921</v>
      </c>
      <c r="L12" s="170" t="n">
        <v>0.2888</v>
      </c>
      <c r="M12" s="169" t="n">
        <v>37486.79</v>
      </c>
      <c r="N12" s="169" t="n">
        <v>20155.52</v>
      </c>
      <c r="O12" s="169" t="n">
        <v>20697.91</v>
      </c>
      <c r="P12" s="151" t="n">
        <v>0.32</v>
      </c>
      <c r="Q12" s="151" t="n">
        <v>4.53</v>
      </c>
      <c r="R12" s="171" t="n">
        <f aca="false">Q12/E12</f>
        <v>0.384550084889644</v>
      </c>
      <c r="S12" s="172" t="n">
        <f aca="false">Q12/D12</f>
        <v>4.27358490566038</v>
      </c>
    </row>
    <row r="13" customFormat="false" ht="22" hidden="false" customHeight="true" outlineLevel="0" collapsed="false">
      <c r="A13" s="30" t="s">
        <v>317</v>
      </c>
      <c r="B13" s="169" t="n">
        <v>704.2</v>
      </c>
      <c r="C13" s="169" t="n">
        <v>263.34</v>
      </c>
      <c r="D13" s="31" t="n">
        <v>1.09</v>
      </c>
      <c r="E13" s="31" t="n">
        <v>12.73</v>
      </c>
      <c r="F13" s="170" t="n">
        <v>0.0865</v>
      </c>
      <c r="G13" s="170" t="n">
        <v>0.0066</v>
      </c>
      <c r="H13" s="170" t="n">
        <v>0.0147</v>
      </c>
      <c r="I13" s="170" t="n">
        <v>0.0131</v>
      </c>
      <c r="J13" s="170" t="n">
        <v>2.0875</v>
      </c>
      <c r="K13" s="170" t="n">
        <v>0.0895</v>
      </c>
      <c r="L13" s="170" t="n">
        <v>0.2893</v>
      </c>
      <c r="M13" s="169" t="n">
        <v>42191.86</v>
      </c>
      <c r="N13" s="169" t="n">
        <v>22099.75</v>
      </c>
      <c r="O13" s="169" t="n">
        <v>24494.25</v>
      </c>
      <c r="P13" s="151" t="n">
        <v>0.32</v>
      </c>
      <c r="Q13" s="151" t="n">
        <v>6.15</v>
      </c>
      <c r="R13" s="171" t="n">
        <f aca="false">Q13/E13</f>
        <v>0.483110761979576</v>
      </c>
      <c r="S13" s="172" t="n">
        <f aca="false">Q13/D13</f>
        <v>5.64220183486239</v>
      </c>
    </row>
    <row r="14" customFormat="false" ht="22" hidden="false" customHeight="true" outlineLevel="0" collapsed="false">
      <c r="A14" s="30" t="s">
        <v>320</v>
      </c>
      <c r="B14" s="169" t="n">
        <v>680.36</v>
      </c>
      <c r="C14" s="169" t="n">
        <v>200.86</v>
      </c>
      <c r="D14" s="31" t="n">
        <v>0.78</v>
      </c>
      <c r="E14" s="31" t="n">
        <v>12.97</v>
      </c>
      <c r="F14" s="170" t="n">
        <v>0.0611</v>
      </c>
      <c r="G14" s="170" t="n">
        <v>0.0044</v>
      </c>
      <c r="H14" s="170" t="n">
        <v>0.0127</v>
      </c>
      <c r="I14" s="170" t="n">
        <v>0.0129</v>
      </c>
      <c r="J14" s="170" t="n">
        <v>2.0021</v>
      </c>
      <c r="K14" s="170" t="n">
        <v>0.0837</v>
      </c>
      <c r="L14" s="170" t="n">
        <v>0.309</v>
      </c>
      <c r="M14" s="169" t="n">
        <v>49382.73</v>
      </c>
      <c r="N14" s="169" t="n">
        <v>23997.55</v>
      </c>
      <c r="O14" s="169" t="n">
        <v>26950</v>
      </c>
      <c r="P14" s="151" t="n">
        <v>0.278</v>
      </c>
      <c r="Q14" s="151" t="n">
        <v>5.48</v>
      </c>
      <c r="R14" s="171" t="n">
        <f aca="false">Q14/E14</f>
        <v>0.422513492675405</v>
      </c>
      <c r="S14" s="172" t="n">
        <f aca="false">Q14/D14</f>
        <v>7.02564102564103</v>
      </c>
    </row>
    <row r="15" customFormat="false" ht="22" hidden="false" customHeight="true" outlineLevel="0" collapsed="false">
      <c r="A15" s="173" t="s">
        <v>321</v>
      </c>
      <c r="B15" s="174" t="n">
        <v>382.48</v>
      </c>
      <c r="C15" s="174" t="n">
        <v>159</v>
      </c>
      <c r="D15" s="175" t="n">
        <v>0.71</v>
      </c>
      <c r="E15" s="175" t="n">
        <v>13.48</v>
      </c>
      <c r="F15" s="176" t="n">
        <v>0.106</v>
      </c>
      <c r="G15" s="176" t="n">
        <v>0.0066</v>
      </c>
      <c r="H15" s="176" t="n">
        <v>0.0126</v>
      </c>
      <c r="I15" s="176" t="n">
        <v>0.013</v>
      </c>
      <c r="J15" s="176" t="n">
        <v>1.9959</v>
      </c>
      <c r="K15" s="176" t="n">
        <v>0.0891</v>
      </c>
      <c r="L15" s="176" t="n">
        <v>0.2347</v>
      </c>
      <c r="M15" s="174" t="n">
        <v>47429.66</v>
      </c>
      <c r="N15" s="174" t="n">
        <v>24020.57</v>
      </c>
      <c r="O15" s="174" t="n">
        <v>28199.58</v>
      </c>
      <c r="P15" s="177" t="n">
        <v>0.13</v>
      </c>
      <c r="Q15" s="177" t="n">
        <v>5.62</v>
      </c>
      <c r="R15" s="178" t="n">
        <f aca="false">Q15/E15</f>
        <v>0.416913946587537</v>
      </c>
      <c r="S15" s="179" t="n">
        <v>5.68</v>
      </c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customFormat="false" ht="22" hidden="false" customHeight="true" outlineLevel="0" collapsed="false">
      <c r="A17" s="10" t="s">
        <v>362</v>
      </c>
      <c r="B17" s="10" t="s">
        <v>362</v>
      </c>
      <c r="C17" s="10" t="s">
        <v>362</v>
      </c>
      <c r="D17" s="10" t="s">
        <v>362</v>
      </c>
      <c r="E17" s="10" t="s">
        <v>362</v>
      </c>
      <c r="F17" s="10" t="s">
        <v>362</v>
      </c>
      <c r="G17" s="10" t="s">
        <v>362</v>
      </c>
      <c r="H17" s="10" t="s">
        <v>362</v>
      </c>
      <c r="I17" s="10" t="s">
        <v>362</v>
      </c>
      <c r="J17" s="10" t="s">
        <v>363</v>
      </c>
      <c r="K17" s="10" t="s">
        <v>363</v>
      </c>
      <c r="L17" s="10" t="s">
        <v>363</v>
      </c>
      <c r="M17" s="10" t="s">
        <v>363</v>
      </c>
      <c r="N17" s="10" t="s">
        <v>363</v>
      </c>
      <c r="O17" s="10" t="s">
        <v>363</v>
      </c>
      <c r="P17" s="10" t="s">
        <v>363</v>
      </c>
      <c r="Q17" s="10" t="s">
        <v>363</v>
      </c>
      <c r="R17" s="10" t="s">
        <v>363</v>
      </c>
      <c r="S17" s="10" t="s">
        <v>363</v>
      </c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customFormat="false" ht="32" hidden="false" customHeight="true" outlineLevel="0" collapsed="false">
      <c r="A36" s="86" t="s">
        <v>364</v>
      </c>
      <c r="B36" s="87" t="s">
        <v>365</v>
      </c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</row>
    <row r="37" customFormat="false" ht="32" hidden="false" customHeight="true" outlineLevel="0" collapsed="false">
      <c r="A37" s="86" t="s">
        <v>366</v>
      </c>
      <c r="B37" s="88" t="s">
        <v>367</v>
      </c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</sheetData>
  <mergeCells count="6">
    <mergeCell ref="A2:S2"/>
    <mergeCell ref="A3:S3"/>
    <mergeCell ref="A17:I17"/>
    <mergeCell ref="J17:S17"/>
    <mergeCell ref="B36:S36"/>
    <mergeCell ref="B37:S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5" min="1" style="0" width="12.11"/>
    <col collapsed="false" customWidth="true" hidden="false" outlineLevel="0" max="6" min="6" style="0" width="20.18"/>
    <col collapsed="false" customWidth="true" hidden="false" outlineLevel="0" max="11" min="7" style="0" width="12.11"/>
    <col collapsed="false" customWidth="true" hidden="false" outlineLevel="0" max="12" min="12" style="0" width="20.18"/>
    <col collapsed="false" customWidth="true" hidden="false" outlineLevel="0" max="13" min="13" style="0" width="12.11"/>
    <col collapsed="false" customWidth="true" hidden="false" outlineLevel="0" max="14" min="14" style="0" width="20.1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46" t="s">
        <v>368</v>
      </c>
      <c r="B2" s="46" t="s">
        <v>368</v>
      </c>
      <c r="C2" s="46" t="s">
        <v>368</v>
      </c>
      <c r="D2" s="46" t="s">
        <v>368</v>
      </c>
      <c r="E2" s="46" t="s">
        <v>368</v>
      </c>
      <c r="F2" s="46" t="s">
        <v>368</v>
      </c>
      <c r="G2" s="46" t="s">
        <v>368</v>
      </c>
      <c r="H2" s="46" t="s">
        <v>368</v>
      </c>
      <c r="I2" s="46" t="s">
        <v>368</v>
      </c>
      <c r="J2" s="46" t="s">
        <v>368</v>
      </c>
      <c r="K2" s="46" t="s">
        <v>368</v>
      </c>
      <c r="L2" s="46" t="s">
        <v>368</v>
      </c>
      <c r="M2" s="46" t="s">
        <v>368</v>
      </c>
      <c r="N2" s="46" t="s">
        <v>368</v>
      </c>
    </row>
    <row r="3" customFormat="false" ht="15" hidden="false" customHeight="true" outlineLevel="0" collapsed="false">
      <c r="A3" s="47" t="s">
        <v>369</v>
      </c>
      <c r="B3" s="47" t="s">
        <v>369</v>
      </c>
      <c r="C3" s="47" t="s">
        <v>369</v>
      </c>
      <c r="D3" s="47" t="s">
        <v>369</v>
      </c>
      <c r="E3" s="47" t="s">
        <v>369</v>
      </c>
      <c r="F3" s="47" t="s">
        <v>369</v>
      </c>
      <c r="G3" s="47" t="s">
        <v>369</v>
      </c>
      <c r="H3" s="47" t="s">
        <v>369</v>
      </c>
      <c r="I3" s="47" t="s">
        <v>369</v>
      </c>
      <c r="J3" s="47" t="s">
        <v>369</v>
      </c>
      <c r="K3" s="47" t="s">
        <v>369</v>
      </c>
      <c r="L3" s="47" t="s">
        <v>369</v>
      </c>
      <c r="M3" s="47" t="s">
        <v>369</v>
      </c>
      <c r="N3" s="47" t="s">
        <v>369</v>
      </c>
    </row>
    <row r="4" customFormat="false" ht="22" hidden="false" customHeight="true" outlineLevel="0" collapsed="false">
      <c r="A4" s="10" t="s">
        <v>370</v>
      </c>
      <c r="B4" s="10" t="s">
        <v>370</v>
      </c>
      <c r="C4" s="10" t="s">
        <v>370</v>
      </c>
      <c r="D4" s="10" t="s">
        <v>370</v>
      </c>
      <c r="E4" s="10" t="s">
        <v>370</v>
      </c>
      <c r="F4" s="1"/>
      <c r="G4" s="10" t="s">
        <v>371</v>
      </c>
      <c r="H4" s="10" t="s">
        <v>371</v>
      </c>
      <c r="I4" s="10" t="s">
        <v>371</v>
      </c>
      <c r="J4" s="10" t="s">
        <v>371</v>
      </c>
      <c r="K4" s="10" t="s">
        <v>371</v>
      </c>
      <c r="L4" s="10" t="s">
        <v>371</v>
      </c>
      <c r="M4" s="10" t="s">
        <v>371</v>
      </c>
      <c r="N4" s="10" t="s">
        <v>371</v>
      </c>
    </row>
    <row r="5" customFormat="false" ht="15" hidden="false" customHeight="false" outlineLevel="0" collapsed="false">
      <c r="A5" s="24" t="s">
        <v>37</v>
      </c>
      <c r="B5" s="103" t="s">
        <v>372</v>
      </c>
      <c r="C5" s="103" t="s">
        <v>373</v>
      </c>
      <c r="D5" s="103" t="s">
        <v>321</v>
      </c>
      <c r="E5" s="24" t="s">
        <v>374</v>
      </c>
      <c r="F5" s="1"/>
      <c r="G5" s="24" t="s">
        <v>375</v>
      </c>
      <c r="H5" s="103" t="s">
        <v>373</v>
      </c>
      <c r="I5" s="103" t="s">
        <v>321</v>
      </c>
      <c r="J5" s="24" t="s">
        <v>376</v>
      </c>
      <c r="K5" s="24" t="s">
        <v>377</v>
      </c>
      <c r="L5" s="24" t="s">
        <v>378</v>
      </c>
      <c r="M5" s="24" t="s">
        <v>261</v>
      </c>
      <c r="N5" s="24" t="s">
        <v>139</v>
      </c>
    </row>
    <row r="6" customFormat="false" ht="24" hidden="false" customHeight="true" outlineLevel="0" collapsed="false">
      <c r="A6" s="89" t="s">
        <v>11</v>
      </c>
      <c r="B6" s="166" t="n">
        <v>0.0131</v>
      </c>
      <c r="C6" s="166" t="n">
        <v>0.0129</v>
      </c>
      <c r="D6" s="166" t="n">
        <v>0.013</v>
      </c>
      <c r="E6" s="90" t="s">
        <v>379</v>
      </c>
      <c r="F6" s="1"/>
      <c r="G6" s="89" t="s">
        <v>380</v>
      </c>
      <c r="H6" s="165" t="n">
        <v>16808.76</v>
      </c>
      <c r="I6" s="165" t="n">
        <v>17120.67</v>
      </c>
      <c r="J6" s="166" t="n">
        <v>0.0186</v>
      </c>
      <c r="K6" s="166" t="n">
        <v>0.7128</v>
      </c>
      <c r="L6" s="79" t="s">
        <v>381</v>
      </c>
      <c r="M6" s="79" t="s">
        <v>382</v>
      </c>
      <c r="N6" s="90" t="s">
        <v>383</v>
      </c>
    </row>
    <row r="7" customFormat="false" ht="24" hidden="false" customHeight="true" outlineLevel="0" collapsed="false">
      <c r="A7" s="33" t="s">
        <v>384</v>
      </c>
      <c r="B7" s="170"/>
      <c r="C7" s="170" t="n">
        <v>0.0161</v>
      </c>
      <c r="D7" s="170" t="n">
        <v>0.0158</v>
      </c>
      <c r="E7" s="35" t="s">
        <v>385</v>
      </c>
      <c r="F7" s="1"/>
      <c r="G7" s="33" t="s">
        <v>386</v>
      </c>
      <c r="H7" s="169" t="n">
        <v>7188.79</v>
      </c>
      <c r="I7" s="169" t="n">
        <v>6899.9</v>
      </c>
      <c r="J7" s="170" t="n">
        <v>-0.0402</v>
      </c>
      <c r="K7" s="170" t="n">
        <v>0.2872</v>
      </c>
      <c r="L7" s="82" t="s">
        <v>387</v>
      </c>
      <c r="M7" s="82" t="s">
        <v>382</v>
      </c>
      <c r="N7" s="35" t="s">
        <v>388</v>
      </c>
    </row>
    <row r="8" customFormat="false" ht="24" hidden="false" customHeight="true" outlineLevel="0" collapsed="false">
      <c r="A8" s="33" t="s">
        <v>389</v>
      </c>
      <c r="B8" s="170"/>
      <c r="C8" s="170" t="n">
        <v>0.0196</v>
      </c>
      <c r="D8" s="170" t="n">
        <v>0.0196</v>
      </c>
      <c r="E8" s="35" t="s">
        <v>390</v>
      </c>
      <c r="F8" s="1"/>
      <c r="G8" s="33" t="s">
        <v>391</v>
      </c>
      <c r="H8" s="169" t="n">
        <v>3301.89</v>
      </c>
      <c r="I8" s="169" t="n">
        <v>3256.12</v>
      </c>
      <c r="J8" s="170" t="n">
        <v>-0.0139</v>
      </c>
      <c r="K8" s="170" t="n">
        <v>0.1356</v>
      </c>
      <c r="L8" s="82" t="s">
        <v>392</v>
      </c>
      <c r="M8" s="82" t="s">
        <v>382</v>
      </c>
      <c r="N8" s="35" t="s">
        <v>393</v>
      </c>
    </row>
    <row r="9" customFormat="false" ht="24" hidden="false" customHeight="true" outlineLevel="0" collapsed="false">
      <c r="A9" s="30" t="s">
        <v>394</v>
      </c>
      <c r="B9" s="170"/>
      <c r="C9" s="170" t="n">
        <v>0.8404</v>
      </c>
      <c r="D9" s="170" t="n">
        <v>0.8622</v>
      </c>
      <c r="E9" s="35" t="s">
        <v>395</v>
      </c>
      <c r="F9" s="1"/>
      <c r="G9" s="33" t="s">
        <v>396</v>
      </c>
      <c r="H9" s="169" t="n">
        <v>1677</v>
      </c>
      <c r="I9" s="169" t="n">
        <v>1566.55</v>
      </c>
      <c r="J9" s="170" t="n">
        <v>-0.0659</v>
      </c>
      <c r="K9" s="170" t="n">
        <v>0.0652</v>
      </c>
      <c r="L9" s="82" t="s">
        <v>397</v>
      </c>
      <c r="M9" s="82" t="s">
        <v>382</v>
      </c>
      <c r="N9" s="35" t="s">
        <v>398</v>
      </c>
    </row>
    <row r="10" customFormat="false" ht="24" hidden="false" customHeight="true" outlineLevel="0" collapsed="false">
      <c r="A10" s="33" t="s">
        <v>61</v>
      </c>
      <c r="B10" s="170" t="n">
        <v>2.0875</v>
      </c>
      <c r="C10" s="170" t="n">
        <v>2.0021</v>
      </c>
      <c r="D10" s="170" t="n">
        <v>1.9959</v>
      </c>
      <c r="E10" s="35" t="s">
        <v>399</v>
      </c>
      <c r="F10" s="1"/>
      <c r="G10" s="33" t="s">
        <v>400</v>
      </c>
      <c r="H10" s="169" t="n">
        <v>2057.45</v>
      </c>
      <c r="I10" s="169" t="n">
        <v>1943.93</v>
      </c>
      <c r="J10" s="170" t="n">
        <v>-0.0552</v>
      </c>
      <c r="K10" s="170" t="n">
        <v>0.0809</v>
      </c>
      <c r="L10" s="82" t="s">
        <v>401</v>
      </c>
      <c r="M10" s="82" t="s">
        <v>382</v>
      </c>
      <c r="N10" s="35" t="s">
        <v>402</v>
      </c>
    </row>
    <row r="11" customFormat="false" ht="24" hidden="false" customHeight="true" outlineLevel="0" collapsed="false">
      <c r="A11" s="33" t="s">
        <v>403</v>
      </c>
      <c r="B11" s="170" t="n">
        <v>0.0273</v>
      </c>
      <c r="C11" s="170" t="n">
        <v>0.0258</v>
      </c>
      <c r="D11" s="170" t="n">
        <v>0.0259</v>
      </c>
      <c r="E11" s="35" t="s">
        <v>379</v>
      </c>
      <c r="F11" s="1"/>
      <c r="G11" s="33" t="s">
        <v>404</v>
      </c>
      <c r="H11" s="169" t="n">
        <v>152.45</v>
      </c>
      <c r="I11" s="169" t="n">
        <v>133.3</v>
      </c>
      <c r="J11" s="170" t="n">
        <v>-0.1256</v>
      </c>
      <c r="K11" s="170" t="n">
        <v>0.0055</v>
      </c>
      <c r="L11" s="82" t="s">
        <v>405</v>
      </c>
      <c r="M11" s="82" t="s">
        <v>382</v>
      </c>
      <c r="N11" s="35" t="s">
        <v>406</v>
      </c>
    </row>
    <row r="12" customFormat="false" ht="24" hidden="false" customHeight="true" outlineLevel="0" collapsed="false">
      <c r="A12" s="33" t="s">
        <v>51</v>
      </c>
      <c r="B12" s="170" t="n">
        <v>0.0087</v>
      </c>
      <c r="C12" s="170" t="n">
        <v>0.0075</v>
      </c>
      <c r="D12" s="170" t="n">
        <v>0.0089</v>
      </c>
      <c r="E12" s="35" t="s">
        <v>407</v>
      </c>
      <c r="F12" s="1"/>
      <c r="G12" s="33" t="s">
        <v>408</v>
      </c>
      <c r="H12" s="169" t="n">
        <v>1211.6</v>
      </c>
      <c r="I12" s="169" t="n">
        <v>1114.71</v>
      </c>
      <c r="J12" s="170" t="n">
        <v>-0.08</v>
      </c>
      <c r="K12" s="170" t="n">
        <v>0.0464</v>
      </c>
      <c r="L12" s="82" t="s">
        <v>409</v>
      </c>
      <c r="M12" s="82" t="s">
        <v>410</v>
      </c>
      <c r="N12" s="35" t="s">
        <v>411</v>
      </c>
    </row>
    <row r="13" customFormat="false" ht="24" hidden="false" customHeight="true" outlineLevel="0" collapsed="false">
      <c r="A13" s="33" t="s">
        <v>412</v>
      </c>
      <c r="B13" s="170" t="n">
        <v>0.0895</v>
      </c>
      <c r="C13" s="170" t="n">
        <v>0.0837</v>
      </c>
      <c r="D13" s="170" t="n">
        <v>0.0891</v>
      </c>
      <c r="E13" s="35" t="s">
        <v>413</v>
      </c>
      <c r="F13" s="1"/>
      <c r="G13" s="33" t="s">
        <v>414</v>
      </c>
      <c r="H13" s="169" t="n">
        <v>387.13</v>
      </c>
      <c r="I13" s="169" t="n">
        <v>380.05</v>
      </c>
      <c r="J13" s="170" t="n">
        <v>-0.0183</v>
      </c>
      <c r="K13" s="170" t="n">
        <v>0.0158</v>
      </c>
      <c r="L13" s="82" t="s">
        <v>415</v>
      </c>
      <c r="M13" s="82" t="s">
        <v>416</v>
      </c>
      <c r="N13" s="35" t="s">
        <v>417</v>
      </c>
    </row>
    <row r="14" customFormat="false" ht="24" hidden="false" customHeight="true" outlineLevel="0" collapsed="false">
      <c r="A14" s="33" t="s">
        <v>418</v>
      </c>
      <c r="B14" s="170" t="n">
        <v>0.1306</v>
      </c>
      <c r="C14" s="170" t="n">
        <v>0.1288</v>
      </c>
      <c r="D14" s="170" t="n">
        <v>0.141</v>
      </c>
      <c r="E14" s="35" t="s">
        <v>419</v>
      </c>
      <c r="F14" s="1"/>
      <c r="G14" s="40" t="s">
        <v>420</v>
      </c>
      <c r="H14" s="180" t="n">
        <v>470.48</v>
      </c>
      <c r="I14" s="180" t="n">
        <v>470.95</v>
      </c>
      <c r="J14" s="181" t="n">
        <v>0.001</v>
      </c>
      <c r="K14" s="181" t="n">
        <v>0.0196</v>
      </c>
      <c r="L14" s="84" t="s">
        <v>421</v>
      </c>
      <c r="M14" s="84" t="s">
        <v>422</v>
      </c>
      <c r="N14" s="42" t="s">
        <v>423</v>
      </c>
    </row>
    <row r="15" customFormat="false" ht="24" hidden="false" customHeight="true" outlineLevel="0" collapsed="false">
      <c r="A15" s="40" t="s">
        <v>424</v>
      </c>
      <c r="B15" s="181" t="n">
        <v>1.3806</v>
      </c>
      <c r="C15" s="181" t="n">
        <v>1.7099</v>
      </c>
      <c r="D15" s="181" t="n">
        <v>1.823</v>
      </c>
      <c r="E15" s="85" t="s">
        <v>425</v>
      </c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22" hidden="false" customHeight="true" outlineLevel="0" collapsed="false">
      <c r="A18" s="10" t="s">
        <v>426</v>
      </c>
      <c r="B18" s="10" t="s">
        <v>426</v>
      </c>
      <c r="C18" s="10" t="s">
        <v>426</v>
      </c>
      <c r="D18" s="10" t="s">
        <v>426</v>
      </c>
      <c r="E18" s="10" t="s">
        <v>426</v>
      </c>
      <c r="F18" s="10" t="s">
        <v>426</v>
      </c>
      <c r="G18" s="1"/>
      <c r="H18" s="10" t="s">
        <v>427</v>
      </c>
      <c r="I18" s="10" t="s">
        <v>427</v>
      </c>
      <c r="J18" s="10" t="s">
        <v>427</v>
      </c>
      <c r="K18" s="10" t="s">
        <v>427</v>
      </c>
      <c r="L18" s="10" t="s">
        <v>427</v>
      </c>
      <c r="M18" s="10" t="s">
        <v>427</v>
      </c>
      <c r="N18" s="10" t="s">
        <v>427</v>
      </c>
    </row>
    <row r="19" customFormat="false" ht="28" hidden="false" customHeight="true" outlineLevel="0" collapsed="false">
      <c r="A19" s="24" t="s">
        <v>375</v>
      </c>
      <c r="B19" s="103" t="s">
        <v>373</v>
      </c>
      <c r="C19" s="103" t="s">
        <v>321</v>
      </c>
      <c r="D19" s="24" t="s">
        <v>428</v>
      </c>
      <c r="E19" s="24" t="s">
        <v>429</v>
      </c>
      <c r="F19" s="24" t="s">
        <v>285</v>
      </c>
      <c r="G19" s="1"/>
      <c r="H19" s="86" t="s">
        <v>82</v>
      </c>
      <c r="I19" s="87" t="s">
        <v>430</v>
      </c>
      <c r="J19" s="87"/>
      <c r="K19" s="87"/>
      <c r="L19" s="87"/>
      <c r="M19" s="87"/>
      <c r="N19" s="87"/>
    </row>
    <row r="20" customFormat="false" ht="28" hidden="false" customHeight="true" outlineLevel="0" collapsed="false">
      <c r="A20" s="89" t="s">
        <v>431</v>
      </c>
      <c r="B20" s="182" t="n">
        <v>23300.75</v>
      </c>
      <c r="C20" s="182" t="n">
        <v>23328.94</v>
      </c>
      <c r="D20" s="182" t="n">
        <v>28.19</v>
      </c>
      <c r="E20" s="79" t="s">
        <v>432</v>
      </c>
      <c r="F20" s="90" t="s">
        <v>433</v>
      </c>
      <c r="G20" s="1"/>
      <c r="H20" s="86" t="s">
        <v>82</v>
      </c>
      <c r="I20" s="88" t="s">
        <v>434</v>
      </c>
      <c r="J20" s="88"/>
      <c r="K20" s="88"/>
      <c r="L20" s="88"/>
      <c r="M20" s="88"/>
      <c r="N20" s="88"/>
    </row>
    <row r="21" customFormat="false" ht="28" hidden="false" customHeight="true" outlineLevel="0" collapsed="false">
      <c r="A21" s="33" t="s">
        <v>435</v>
      </c>
      <c r="B21" s="183" t="n">
        <v>387.13</v>
      </c>
      <c r="C21" s="183" t="n">
        <v>380.05</v>
      </c>
      <c r="D21" s="183" t="n">
        <v>-7.08</v>
      </c>
      <c r="E21" s="82" t="s">
        <v>432</v>
      </c>
      <c r="F21" s="35" t="s">
        <v>415</v>
      </c>
      <c r="G21" s="1"/>
      <c r="H21" s="86" t="s">
        <v>82</v>
      </c>
      <c r="I21" s="88" t="s">
        <v>436</v>
      </c>
      <c r="J21" s="88"/>
      <c r="K21" s="88"/>
      <c r="L21" s="88"/>
      <c r="M21" s="88"/>
      <c r="N21" s="88"/>
    </row>
    <row r="22" customFormat="false" ht="28" hidden="false" customHeight="true" outlineLevel="0" collapsed="false">
      <c r="A22" s="33" t="s">
        <v>437</v>
      </c>
      <c r="B22" s="183" t="n">
        <v>309.67</v>
      </c>
      <c r="C22" s="183" t="n">
        <v>311.58</v>
      </c>
      <c r="D22" s="183" t="n">
        <v>1.91</v>
      </c>
      <c r="E22" s="82" t="s">
        <v>432</v>
      </c>
      <c r="F22" s="35" t="s">
        <v>438</v>
      </c>
      <c r="G22" s="1"/>
      <c r="H22" s="86" t="s">
        <v>64</v>
      </c>
      <c r="I22" s="88" t="s">
        <v>439</v>
      </c>
      <c r="J22" s="88"/>
      <c r="K22" s="88"/>
      <c r="L22" s="88"/>
      <c r="M22" s="88"/>
      <c r="N22" s="88"/>
    </row>
    <row r="23" customFormat="false" ht="28" hidden="false" customHeight="true" outlineLevel="0" collapsed="false">
      <c r="A23" s="33" t="s">
        <v>440</v>
      </c>
      <c r="B23" s="183"/>
      <c r="C23" s="183" t="n">
        <v>620</v>
      </c>
      <c r="D23" s="183"/>
      <c r="E23" s="82" t="s">
        <v>432</v>
      </c>
      <c r="F23" s="35" t="s">
        <v>441</v>
      </c>
      <c r="G23" s="1"/>
      <c r="H23" s="86" t="s">
        <v>64</v>
      </c>
      <c r="I23" s="88" t="s">
        <v>442</v>
      </c>
      <c r="J23" s="88"/>
      <c r="K23" s="88"/>
      <c r="L23" s="88"/>
      <c r="M23" s="88"/>
      <c r="N23" s="88"/>
    </row>
    <row r="24" customFormat="false" ht="28" hidden="false" customHeight="true" outlineLevel="0" collapsed="false">
      <c r="A24" s="33" t="s">
        <v>443</v>
      </c>
      <c r="B24" s="183"/>
      <c r="C24" s="183" t="n">
        <v>106.92</v>
      </c>
      <c r="D24" s="183"/>
      <c r="E24" s="82" t="s">
        <v>432</v>
      </c>
      <c r="F24" s="35" t="s">
        <v>444</v>
      </c>
      <c r="G24" s="1"/>
      <c r="H24" s="86" t="s">
        <v>26</v>
      </c>
      <c r="I24" s="87" t="s">
        <v>445</v>
      </c>
      <c r="J24" s="87"/>
      <c r="K24" s="87"/>
      <c r="L24" s="87"/>
      <c r="M24" s="87"/>
      <c r="N24" s="87"/>
    </row>
    <row r="25" customFormat="false" ht="28" hidden="false" customHeight="true" outlineLevel="0" collapsed="false">
      <c r="A25" s="33" t="s">
        <v>446</v>
      </c>
      <c r="B25" s="183"/>
      <c r="C25" s="183" t="n">
        <v>16.11</v>
      </c>
      <c r="D25" s="183"/>
      <c r="E25" s="82" t="s">
        <v>432</v>
      </c>
      <c r="F25" s="35" t="s">
        <v>447</v>
      </c>
      <c r="G25" s="1"/>
      <c r="H25" s="86" t="s">
        <v>78</v>
      </c>
      <c r="I25" s="88" t="s">
        <v>448</v>
      </c>
      <c r="J25" s="88"/>
      <c r="K25" s="88"/>
      <c r="L25" s="88"/>
      <c r="M25" s="88"/>
      <c r="N25" s="88"/>
    </row>
    <row r="26" customFormat="false" ht="28" hidden="false" customHeight="true" outlineLevel="0" collapsed="false">
      <c r="A26" s="33" t="s">
        <v>449</v>
      </c>
      <c r="B26" s="183"/>
      <c r="C26" s="183" t="n">
        <v>-119.28</v>
      </c>
      <c r="D26" s="183"/>
      <c r="E26" s="82" t="s">
        <v>432</v>
      </c>
      <c r="F26" s="35" t="s">
        <v>450</v>
      </c>
      <c r="G26" s="1"/>
      <c r="H26" s="1"/>
      <c r="I26" s="1"/>
      <c r="J26" s="1"/>
      <c r="K26" s="1"/>
      <c r="L26" s="1"/>
      <c r="M26" s="1"/>
      <c r="N26" s="1"/>
    </row>
    <row r="27" customFormat="false" ht="28" hidden="false" customHeight="true" outlineLevel="0" collapsed="false">
      <c r="A27" s="40" t="s">
        <v>451</v>
      </c>
      <c r="B27" s="184"/>
      <c r="C27" s="184" t="n">
        <v>621.87</v>
      </c>
      <c r="D27" s="184"/>
      <c r="E27" s="84" t="s">
        <v>432</v>
      </c>
      <c r="F27" s="85" t="s">
        <v>441</v>
      </c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</sheetData>
  <mergeCells count="13">
    <mergeCell ref="A2:N2"/>
    <mergeCell ref="A3:N3"/>
    <mergeCell ref="A4:E4"/>
    <mergeCell ref="G4:N4"/>
    <mergeCell ref="A18:F18"/>
    <mergeCell ref="H18:N18"/>
    <mergeCell ref="I19:N19"/>
    <mergeCell ref="I20:N20"/>
    <mergeCell ref="I21:N21"/>
    <mergeCell ref="I22:N22"/>
    <mergeCell ref="I23:N23"/>
    <mergeCell ref="I24:N24"/>
    <mergeCell ref="I25:N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M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15.14"/>
    <col collapsed="false" customWidth="true" hidden="false" outlineLevel="0" max="2" min="2" style="0" width="14.13"/>
    <col collapsed="false" customWidth="true" hidden="false" outlineLevel="0" max="13" min="3" style="0" width="12.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46" t="s">
        <v>452</v>
      </c>
      <c r="B2" s="46" t="s">
        <v>452</v>
      </c>
      <c r="C2" s="46" t="s">
        <v>452</v>
      </c>
      <c r="D2" s="46" t="s">
        <v>452</v>
      </c>
      <c r="E2" s="46" t="s">
        <v>452</v>
      </c>
      <c r="F2" s="46" t="s">
        <v>452</v>
      </c>
      <c r="G2" s="46" t="s">
        <v>452</v>
      </c>
      <c r="H2" s="46" t="s">
        <v>452</v>
      </c>
      <c r="I2" s="46" t="s">
        <v>452</v>
      </c>
      <c r="J2" s="46" t="s">
        <v>452</v>
      </c>
      <c r="K2" s="46" t="s">
        <v>452</v>
      </c>
      <c r="L2" s="46" t="s">
        <v>452</v>
      </c>
      <c r="M2" s="46" t="s">
        <v>452</v>
      </c>
    </row>
    <row r="3" customFormat="false" ht="15" hidden="false" customHeight="true" outlineLevel="0" collapsed="false">
      <c r="A3" s="47" t="s">
        <v>453</v>
      </c>
      <c r="B3" s="47" t="s">
        <v>453</v>
      </c>
      <c r="C3" s="47" t="s">
        <v>453</v>
      </c>
      <c r="D3" s="47" t="s">
        <v>453</v>
      </c>
      <c r="E3" s="47" t="s">
        <v>453</v>
      </c>
      <c r="F3" s="47" t="s">
        <v>453</v>
      </c>
      <c r="G3" s="47" t="s">
        <v>453</v>
      </c>
      <c r="H3" s="47" t="s">
        <v>453</v>
      </c>
      <c r="I3" s="47" t="s">
        <v>453</v>
      </c>
      <c r="J3" s="47" t="s">
        <v>453</v>
      </c>
      <c r="K3" s="47" t="s">
        <v>453</v>
      </c>
      <c r="L3" s="47" t="s">
        <v>453</v>
      </c>
      <c r="M3" s="47" t="s">
        <v>453</v>
      </c>
    </row>
    <row r="4" customFormat="false" ht="15" hidden="false" customHeight="false" outlineLevel="0" collapsed="false">
      <c r="A4" s="24" t="s">
        <v>454</v>
      </c>
      <c r="B4" s="24" t="s">
        <v>182</v>
      </c>
      <c r="C4" s="24" t="s">
        <v>455</v>
      </c>
      <c r="D4" s="103" t="s">
        <v>456</v>
      </c>
      <c r="E4" s="103" t="s">
        <v>359</v>
      </c>
      <c r="F4" s="103" t="s">
        <v>457</v>
      </c>
      <c r="G4" s="24" t="s">
        <v>10</v>
      </c>
      <c r="H4" s="24" t="s">
        <v>11</v>
      </c>
      <c r="I4" s="24" t="s">
        <v>61</v>
      </c>
      <c r="J4" s="103" t="s">
        <v>12</v>
      </c>
      <c r="K4" s="24" t="s">
        <v>7</v>
      </c>
      <c r="L4" s="24" t="s">
        <v>458</v>
      </c>
      <c r="M4" s="103" t="s">
        <v>352</v>
      </c>
    </row>
    <row r="5" customFormat="false" ht="22" hidden="false" customHeight="true" outlineLevel="0" collapsed="false">
      <c r="A5" s="185" t="s">
        <v>180</v>
      </c>
      <c r="B5" s="186" t="s">
        <v>183</v>
      </c>
      <c r="C5" s="187" t="n">
        <v>5.62</v>
      </c>
      <c r="D5" s="188" t="n">
        <v>5.68</v>
      </c>
      <c r="E5" s="188" t="n">
        <v>0.42</v>
      </c>
      <c r="F5" s="189" t="n">
        <v>0.106</v>
      </c>
      <c r="G5" s="189" t="n">
        <v>0.0126</v>
      </c>
      <c r="H5" s="189" t="n">
        <v>0.013</v>
      </c>
      <c r="I5" s="189" t="n">
        <v>1.9959</v>
      </c>
      <c r="J5" s="189" t="n">
        <v>0.0891</v>
      </c>
      <c r="K5" s="189" t="n">
        <v>0.056</v>
      </c>
      <c r="L5" s="189" t="n">
        <v>0.0563</v>
      </c>
      <c r="M5" s="190" t="n">
        <v>13.48</v>
      </c>
    </row>
    <row r="6" customFormat="false" ht="22" hidden="false" customHeight="true" outlineLevel="0" collapsed="false">
      <c r="A6" s="33" t="s">
        <v>459</v>
      </c>
      <c r="B6" s="34" t="s">
        <v>460</v>
      </c>
      <c r="C6" s="31" t="n">
        <v>9.68</v>
      </c>
      <c r="D6" s="171" t="n">
        <v>5.71</v>
      </c>
      <c r="E6" s="171" t="n">
        <v>0.54</v>
      </c>
      <c r="F6" s="170" t="n">
        <v>0.105</v>
      </c>
      <c r="G6" s="170" t="n">
        <v>0.0115</v>
      </c>
      <c r="H6" s="170" t="n">
        <v>0.0142</v>
      </c>
      <c r="I6" s="170" t="n">
        <v>1.9825</v>
      </c>
      <c r="J6" s="170" t="n">
        <v>0.1068</v>
      </c>
      <c r="K6" s="170" t="n">
        <v>0.0548</v>
      </c>
      <c r="L6" s="170" t="n">
        <v>0.0051</v>
      </c>
      <c r="M6" s="109" t="n">
        <v>18.12</v>
      </c>
    </row>
    <row r="7" customFormat="false" ht="22" hidden="false" customHeight="true" outlineLevel="0" collapsed="false">
      <c r="A7" s="33" t="s">
        <v>461</v>
      </c>
      <c r="B7" s="34" t="s">
        <v>462</v>
      </c>
      <c r="C7" s="31" t="n">
        <v>12.46</v>
      </c>
      <c r="D7" s="171" t="n">
        <v>6.33</v>
      </c>
      <c r="E7" s="171" t="n">
        <v>0.84</v>
      </c>
      <c r="F7" s="170" t="n">
        <v>0.1572</v>
      </c>
      <c r="G7" s="170" t="n">
        <v>0.0164</v>
      </c>
      <c r="H7" s="170" t="n">
        <v>0.0081</v>
      </c>
      <c r="I7" s="170" t="n">
        <v>3.0483</v>
      </c>
      <c r="J7" s="170" t="n">
        <v>0.0867</v>
      </c>
      <c r="K7" s="170" t="n">
        <v>0.0911</v>
      </c>
      <c r="L7" s="170" t="n">
        <v>0.0809</v>
      </c>
      <c r="M7" s="109" t="n">
        <v>14.79</v>
      </c>
    </row>
    <row r="8" customFormat="false" ht="22" hidden="false" customHeight="true" outlineLevel="0" collapsed="false">
      <c r="A8" s="33" t="s">
        <v>463</v>
      </c>
      <c r="B8" s="34" t="s">
        <v>464</v>
      </c>
      <c r="C8" s="31" t="n">
        <v>11.96</v>
      </c>
      <c r="D8" s="171" t="n">
        <v>6.47</v>
      </c>
      <c r="E8" s="171" t="n">
        <v>0.77</v>
      </c>
      <c r="F8" s="170" t="n">
        <v>0.145</v>
      </c>
      <c r="G8" s="170" t="n">
        <v>0.0179</v>
      </c>
      <c r="H8" s="170" t="n">
        <v>0.0082</v>
      </c>
      <c r="I8" s="170" t="n">
        <v>3.0611</v>
      </c>
      <c r="J8" s="170" t="n">
        <v>0.0937</v>
      </c>
      <c r="K8" s="170" t="n">
        <v>0.1094</v>
      </c>
      <c r="L8" s="170" t="n">
        <v>0.0817</v>
      </c>
      <c r="M8" s="109" t="n">
        <v>15.62</v>
      </c>
    </row>
    <row r="9" customFormat="false" ht="22" hidden="false" customHeight="true" outlineLevel="0" collapsed="false">
      <c r="A9" s="33" t="s">
        <v>465</v>
      </c>
      <c r="B9" s="34" t="s">
        <v>466</v>
      </c>
      <c r="C9" s="31" t="n">
        <v>35.29</v>
      </c>
      <c r="D9" s="171" t="n">
        <v>7.49</v>
      </c>
      <c r="E9" s="171" t="n">
        <v>0.96</v>
      </c>
      <c r="F9" s="170" t="n">
        <v>0.1424</v>
      </c>
      <c r="G9" s="170" t="n">
        <v>0.017</v>
      </c>
      <c r="H9" s="170" t="n">
        <v>0.0076</v>
      </c>
      <c r="I9" s="170" t="n">
        <v>3.7335</v>
      </c>
      <c r="J9" s="170" t="n">
        <v>0.0953</v>
      </c>
      <c r="K9" s="170" t="n">
        <v>0.1154</v>
      </c>
      <c r="L9" s="170" t="n">
        <v>0.1212</v>
      </c>
      <c r="M9" s="109" t="n">
        <v>36.76</v>
      </c>
    </row>
    <row r="10" customFormat="false" ht="22" hidden="false" customHeight="true" outlineLevel="0" collapsed="false">
      <c r="A10" s="33" t="s">
        <v>467</v>
      </c>
      <c r="B10" s="34" t="s">
        <v>468</v>
      </c>
      <c r="C10" s="31" t="n">
        <v>17.08</v>
      </c>
      <c r="D10" s="171" t="n">
        <v>6.14</v>
      </c>
      <c r="E10" s="171" t="n">
        <v>0.88</v>
      </c>
      <c r="F10" s="170" t="n">
        <v>0.1774</v>
      </c>
      <c r="G10" s="170" t="n">
        <v>0.0139</v>
      </c>
      <c r="H10" s="170" t="n">
        <v>0.0076</v>
      </c>
      <c r="I10" s="170" t="n">
        <v>4.7196</v>
      </c>
      <c r="J10" s="170" t="n">
        <v>0.0952</v>
      </c>
      <c r="K10" s="170" t="n">
        <v>0.0475</v>
      </c>
      <c r="L10" s="170" t="n">
        <v>0.0987</v>
      </c>
      <c r="M10" s="109" t="n">
        <v>19.84</v>
      </c>
    </row>
    <row r="11" customFormat="false" ht="22" hidden="false" customHeight="true" outlineLevel="0" collapsed="false">
      <c r="A11" s="40" t="s">
        <v>469</v>
      </c>
      <c r="B11" s="41" t="s">
        <v>470</v>
      </c>
      <c r="C11" s="38" t="n">
        <v>19.31</v>
      </c>
      <c r="D11" s="191" t="n">
        <v>6.03</v>
      </c>
      <c r="E11" s="191" t="n">
        <v>0.91</v>
      </c>
      <c r="F11" s="181" t="n">
        <v>0.1498</v>
      </c>
      <c r="G11" s="181" t="n">
        <v>0.0167</v>
      </c>
      <c r="H11" s="181" t="n">
        <v>0.0068</v>
      </c>
      <c r="I11" s="181" t="n">
        <v>4.2606</v>
      </c>
      <c r="J11" s="181" t="n">
        <v>0.0897</v>
      </c>
      <c r="K11" s="181" t="n">
        <v>0.0413</v>
      </c>
      <c r="L11" s="181" t="n">
        <v>0.0435</v>
      </c>
      <c r="M11" s="112" t="n">
        <v>21.76</v>
      </c>
    </row>
    <row r="12" customFormat="false" ht="22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customFormat="false" ht="22" hidden="false" customHeight="true" outlineLevel="0" collapsed="false">
      <c r="A13" s="192" t="s">
        <v>471</v>
      </c>
      <c r="B13" s="193"/>
      <c r="C13" s="194" t="n">
        <f aca="false">MEDIAN(C6:C11)</f>
        <v>14.77</v>
      </c>
      <c r="D13" s="195" t="n">
        <f aca="false">MEDIAN(D6:D11)</f>
        <v>6.235</v>
      </c>
      <c r="E13" s="195" t="n">
        <f aca="false">MEDIAN(E6:E11)</f>
        <v>0.86</v>
      </c>
      <c r="F13" s="196" t="n">
        <f aca="false">MEDIAN(F6:F11)</f>
        <v>0.1474</v>
      </c>
      <c r="G13" s="196" t="n">
        <f aca="false">MEDIAN(G6:G11)</f>
        <v>0.01655</v>
      </c>
      <c r="H13" s="196" t="n">
        <f aca="false">MEDIAN(H6:H11)</f>
        <v>0.00785</v>
      </c>
      <c r="I13" s="196" t="n">
        <f aca="false">MEDIAN(I6:I11)</f>
        <v>3.3973</v>
      </c>
      <c r="J13" s="196" t="n">
        <f aca="false">MEDIAN(J6:J11)</f>
        <v>0.09445</v>
      </c>
      <c r="K13" s="196" t="n">
        <f aca="false">MEDIAN(K6:K11)</f>
        <v>0.07295</v>
      </c>
      <c r="L13" s="196" t="n">
        <f aca="false">MEDIAN(L6:L11)</f>
        <v>0.0813</v>
      </c>
      <c r="M13" s="197" t="n">
        <f aca="false">MEDIAN(M6:M11)</f>
        <v>18.98</v>
      </c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customFormat="false" ht="22" hidden="false" customHeight="true" outlineLevel="0" collapsed="false">
      <c r="A15" s="10" t="s">
        <v>472</v>
      </c>
      <c r="B15" s="10" t="s">
        <v>472</v>
      </c>
      <c r="C15" s="10" t="s">
        <v>472</v>
      </c>
      <c r="D15" s="10" t="s">
        <v>472</v>
      </c>
      <c r="E15" s="10" t="s">
        <v>472</v>
      </c>
      <c r="F15" s="10" t="s">
        <v>472</v>
      </c>
      <c r="G15" s="1"/>
      <c r="H15" s="10" t="s">
        <v>473</v>
      </c>
      <c r="I15" s="10" t="s">
        <v>473</v>
      </c>
      <c r="J15" s="10" t="s">
        <v>473</v>
      </c>
      <c r="K15" s="10" t="s">
        <v>473</v>
      </c>
      <c r="L15" s="10" t="s">
        <v>473</v>
      </c>
      <c r="M15" s="10" t="s">
        <v>473</v>
      </c>
    </row>
    <row r="16" customFormat="false" ht="15" hidden="false" customHeight="false" outlineLevel="0" collapsed="false">
      <c r="A16" s="89" t="s">
        <v>474</v>
      </c>
      <c r="B16" s="198" t="n">
        <f aca="false">E13</f>
        <v>0.86</v>
      </c>
      <c r="C16" s="1"/>
      <c r="D16" s="89" t="s">
        <v>475</v>
      </c>
      <c r="E16" s="90"/>
      <c r="F16" s="90"/>
      <c r="G16" s="1"/>
      <c r="H16" s="1"/>
      <c r="I16" s="1"/>
      <c r="J16" s="1"/>
      <c r="K16" s="1"/>
      <c r="L16" s="1"/>
      <c r="M16" s="1"/>
    </row>
    <row r="17" customFormat="false" ht="15" hidden="false" customHeight="true" outlineLevel="0" collapsed="false">
      <c r="A17" s="33" t="s">
        <v>476</v>
      </c>
      <c r="B17" s="199" t="n">
        <f aca="false">F5</f>
        <v>0.106</v>
      </c>
      <c r="C17" s="1"/>
      <c r="D17" s="33" t="s">
        <v>477</v>
      </c>
      <c r="E17" s="35" t="s">
        <v>478</v>
      </c>
      <c r="F17" s="35"/>
      <c r="G17" s="1"/>
      <c r="H17" s="1"/>
      <c r="I17" s="1"/>
      <c r="J17" s="1"/>
      <c r="K17" s="1"/>
      <c r="L17" s="1"/>
      <c r="M17" s="1"/>
    </row>
    <row r="18" customFormat="false" ht="25.35" hidden="false" customHeight="true" outlineLevel="0" collapsed="false">
      <c r="A18" s="33" t="s">
        <v>479</v>
      </c>
      <c r="B18" s="199" t="n">
        <f aca="false">F13</f>
        <v>0.1474</v>
      </c>
      <c r="C18" s="1"/>
      <c r="D18" s="30" t="s">
        <v>480</v>
      </c>
      <c r="E18" s="36" t="s">
        <v>481</v>
      </c>
      <c r="F18" s="36"/>
      <c r="G18" s="1"/>
      <c r="H18" s="1"/>
      <c r="I18" s="1"/>
      <c r="J18" s="1"/>
      <c r="K18" s="1"/>
      <c r="L18" s="1"/>
      <c r="M18" s="1"/>
    </row>
    <row r="19" customFormat="false" ht="25.35" hidden="false" customHeight="true" outlineLevel="0" collapsed="false">
      <c r="A19" s="30" t="s">
        <v>482</v>
      </c>
      <c r="B19" s="93" t="n">
        <v>0.8</v>
      </c>
      <c r="C19" s="1"/>
      <c r="D19" s="33" t="s">
        <v>483</v>
      </c>
      <c r="E19" s="35" t="s">
        <v>484</v>
      </c>
      <c r="F19" s="35"/>
      <c r="G19" s="1"/>
      <c r="H19" s="1"/>
      <c r="I19" s="1"/>
      <c r="J19" s="1"/>
      <c r="K19" s="1"/>
      <c r="L19" s="1"/>
      <c r="M19" s="1"/>
    </row>
    <row r="20" customFormat="false" ht="23.85" hidden="false" customHeight="false" outlineLevel="0" collapsed="false">
      <c r="A20" s="33" t="s">
        <v>485</v>
      </c>
      <c r="B20" s="96" t="n">
        <v>0.15</v>
      </c>
      <c r="C20" s="1"/>
      <c r="D20" s="33" t="s">
        <v>486</v>
      </c>
      <c r="E20" s="109" t="n">
        <f aca="false">B21*M5</f>
        <v>7.56926960811769</v>
      </c>
      <c r="F20" s="109"/>
      <c r="G20" s="1"/>
      <c r="H20" s="1"/>
      <c r="I20" s="1"/>
      <c r="J20" s="1"/>
      <c r="K20" s="1"/>
      <c r="L20" s="1"/>
      <c r="M20" s="1"/>
    </row>
    <row r="21" customFormat="false" ht="15" hidden="false" customHeight="true" outlineLevel="0" collapsed="false">
      <c r="A21" s="40" t="s">
        <v>487</v>
      </c>
      <c r="B21" s="200" t="n">
        <f aca="false">B16*(B17/B18)^B19*(1-B20)</f>
        <v>0.561518516922678</v>
      </c>
      <c r="C21" s="1"/>
      <c r="D21" s="40" t="s">
        <v>488</v>
      </c>
      <c r="E21" s="85" t="s">
        <v>489</v>
      </c>
      <c r="F21" s="85"/>
      <c r="G21" s="1"/>
      <c r="H21" s="1"/>
      <c r="I21" s="1"/>
      <c r="J21" s="1"/>
      <c r="K21" s="1"/>
      <c r="L21" s="1"/>
      <c r="M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customFormat="false" ht="32" hidden="false" customHeight="true" outlineLevel="0" collapsed="false">
      <c r="A24" s="86" t="s">
        <v>80</v>
      </c>
      <c r="B24" s="88" t="s">
        <v>490</v>
      </c>
      <c r="C24" s="88"/>
      <c r="D24" s="88"/>
      <c r="E24" s="88"/>
      <c r="F24" s="88"/>
      <c r="G24" s="1"/>
      <c r="H24" s="1"/>
      <c r="I24" s="1"/>
      <c r="J24" s="1"/>
      <c r="K24" s="1"/>
      <c r="L24" s="1"/>
      <c r="M24" s="1"/>
    </row>
    <row r="25" customFormat="false" ht="32" hidden="false" customHeight="true" outlineLevel="0" collapsed="false">
      <c r="A25" s="86" t="s">
        <v>491</v>
      </c>
      <c r="B25" s="88" t="s">
        <v>492</v>
      </c>
      <c r="C25" s="88"/>
      <c r="D25" s="88"/>
      <c r="E25" s="88"/>
      <c r="F25" s="88"/>
      <c r="G25" s="1"/>
      <c r="H25" s="1"/>
      <c r="I25" s="1"/>
      <c r="J25" s="1"/>
      <c r="K25" s="1"/>
      <c r="L25" s="1"/>
      <c r="M25" s="1"/>
    </row>
    <row r="26" customFormat="false" ht="32" hidden="false" customHeight="true" outlineLevel="0" collapsed="false">
      <c r="A26" s="86" t="s">
        <v>493</v>
      </c>
      <c r="B26" s="88" t="s">
        <v>494</v>
      </c>
      <c r="C26" s="88"/>
      <c r="D26" s="88"/>
      <c r="E26" s="88"/>
      <c r="F26" s="88"/>
      <c r="G26" s="1"/>
      <c r="H26" s="1"/>
      <c r="I26" s="1"/>
      <c r="J26" s="1"/>
      <c r="K26" s="1"/>
      <c r="L26" s="1"/>
      <c r="M26" s="1"/>
    </row>
    <row r="27" customFormat="false" ht="32" hidden="false" customHeight="true" outlineLevel="0" collapsed="false">
      <c r="A27" s="86" t="s">
        <v>78</v>
      </c>
      <c r="B27" s="88" t="s">
        <v>495</v>
      </c>
      <c r="C27" s="88"/>
      <c r="D27" s="88"/>
      <c r="E27" s="88"/>
      <c r="F27" s="88"/>
      <c r="G27" s="1"/>
      <c r="H27" s="1"/>
      <c r="I27" s="1"/>
      <c r="J27" s="1"/>
      <c r="K27" s="1"/>
      <c r="L27" s="1"/>
      <c r="M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</sheetData>
  <mergeCells count="14">
    <mergeCell ref="A2:M2"/>
    <mergeCell ref="A3:M3"/>
    <mergeCell ref="A15:F15"/>
    <mergeCell ref="H15:M15"/>
    <mergeCell ref="E16:F16"/>
    <mergeCell ref="E17:F17"/>
    <mergeCell ref="E18:F18"/>
    <mergeCell ref="E19:F19"/>
    <mergeCell ref="E20:F20"/>
    <mergeCell ref="E21:F21"/>
    <mergeCell ref="B24:F24"/>
    <mergeCell ref="B25:F25"/>
    <mergeCell ref="B26:F26"/>
    <mergeCell ref="B27:F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16.15"/>
    <col collapsed="false" customWidth="true" hidden="false" outlineLevel="0" max="2" min="2" style="0" width="24.22"/>
    <col collapsed="false" customWidth="true" hidden="false" outlineLevel="0" max="3" min="3" style="0" width="16.15"/>
    <col collapsed="false" customWidth="true" hidden="false" outlineLevel="0" max="7" min="4" style="0" width="24.22"/>
    <col collapsed="false" customWidth="true" hidden="false" outlineLevel="0" max="8" min="8" style="0" width="16.1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6" t="s">
        <v>496</v>
      </c>
      <c r="B2" s="46" t="s">
        <v>496</v>
      </c>
      <c r="C2" s="46" t="s">
        <v>496</v>
      </c>
      <c r="D2" s="46" t="s">
        <v>496</v>
      </c>
      <c r="E2" s="46" t="s">
        <v>496</v>
      </c>
      <c r="F2" s="46" t="s">
        <v>496</v>
      </c>
      <c r="G2" s="46" t="s">
        <v>496</v>
      </c>
      <c r="H2" s="46" t="s">
        <v>496</v>
      </c>
    </row>
    <row r="3" customFormat="false" ht="15" hidden="false" customHeight="true" outlineLevel="0" collapsed="false">
      <c r="A3" s="47" t="s">
        <v>497</v>
      </c>
      <c r="B3" s="47" t="s">
        <v>497</v>
      </c>
      <c r="C3" s="47" t="s">
        <v>497</v>
      </c>
      <c r="D3" s="47" t="s">
        <v>497</v>
      </c>
      <c r="E3" s="47" t="s">
        <v>497</v>
      </c>
      <c r="F3" s="47" t="s">
        <v>497</v>
      </c>
      <c r="G3" s="47" t="s">
        <v>497</v>
      </c>
      <c r="H3" s="47" t="s">
        <v>497</v>
      </c>
    </row>
    <row r="4" customFormat="false" ht="15" hidden="false" customHeight="false" outlineLevel="0" collapsed="false">
      <c r="A4" s="24" t="s">
        <v>498</v>
      </c>
      <c r="B4" s="24" t="s">
        <v>499</v>
      </c>
      <c r="C4" s="24" t="s">
        <v>64</v>
      </c>
      <c r="D4" s="24" t="s">
        <v>500</v>
      </c>
      <c r="E4" s="24" t="s">
        <v>501</v>
      </c>
      <c r="F4" s="24" t="s">
        <v>502</v>
      </c>
      <c r="G4" s="24" t="s">
        <v>254</v>
      </c>
      <c r="H4" s="24" t="s">
        <v>80</v>
      </c>
    </row>
    <row r="5" customFormat="false" ht="56" hidden="false" customHeight="true" outlineLevel="0" collapsed="false">
      <c r="A5" s="48" t="s">
        <v>503</v>
      </c>
      <c r="B5" s="79" t="s">
        <v>504</v>
      </c>
      <c r="C5" s="79" t="s">
        <v>505</v>
      </c>
      <c r="D5" s="79" t="s">
        <v>506</v>
      </c>
      <c r="E5" s="79" t="s">
        <v>507</v>
      </c>
      <c r="F5" s="79" t="s">
        <v>508</v>
      </c>
      <c r="G5" s="79" t="s">
        <v>509</v>
      </c>
      <c r="H5" s="55" t="s">
        <v>112</v>
      </c>
    </row>
    <row r="6" customFormat="false" ht="56" hidden="false" customHeight="true" outlineLevel="0" collapsed="false">
      <c r="A6" s="50" t="s">
        <v>510</v>
      </c>
      <c r="B6" s="82" t="s">
        <v>511</v>
      </c>
      <c r="C6" s="82" t="s">
        <v>512</v>
      </c>
      <c r="D6" s="82" t="s">
        <v>513</v>
      </c>
      <c r="E6" s="82" t="s">
        <v>514</v>
      </c>
      <c r="F6" s="34" t="s">
        <v>515</v>
      </c>
      <c r="G6" s="34" t="s">
        <v>516</v>
      </c>
      <c r="H6" s="59" t="s">
        <v>93</v>
      </c>
    </row>
    <row r="7" customFormat="false" ht="56" hidden="false" customHeight="true" outlineLevel="0" collapsed="false">
      <c r="A7" s="50" t="s">
        <v>517</v>
      </c>
      <c r="B7" s="82" t="s">
        <v>518</v>
      </c>
      <c r="C7" s="82" t="s">
        <v>519</v>
      </c>
      <c r="D7" s="82" t="s">
        <v>520</v>
      </c>
      <c r="E7" s="82" t="s">
        <v>521</v>
      </c>
      <c r="F7" s="82" t="s">
        <v>522</v>
      </c>
      <c r="G7" s="82" t="s">
        <v>523</v>
      </c>
      <c r="H7" s="59" t="s">
        <v>87</v>
      </c>
    </row>
    <row r="8" customFormat="false" ht="56" hidden="false" customHeight="true" outlineLevel="0" collapsed="false">
      <c r="A8" s="50" t="s">
        <v>524</v>
      </c>
      <c r="B8" s="82" t="s">
        <v>525</v>
      </c>
      <c r="C8" s="82" t="s">
        <v>526</v>
      </c>
      <c r="D8" s="82" t="s">
        <v>527</v>
      </c>
      <c r="E8" s="82" t="s">
        <v>528</v>
      </c>
      <c r="F8" s="82" t="s">
        <v>529</v>
      </c>
      <c r="G8" s="82" t="s">
        <v>530</v>
      </c>
      <c r="H8" s="59" t="s">
        <v>99</v>
      </c>
    </row>
    <row r="9" customFormat="false" ht="56" hidden="false" customHeight="true" outlineLevel="0" collapsed="false">
      <c r="A9" s="50" t="s">
        <v>531</v>
      </c>
      <c r="B9" s="82" t="s">
        <v>532</v>
      </c>
      <c r="C9" s="82" t="s">
        <v>533</v>
      </c>
      <c r="D9" s="82" t="s">
        <v>534</v>
      </c>
      <c r="E9" s="82" t="s">
        <v>535</v>
      </c>
      <c r="F9" s="82" t="s">
        <v>536</v>
      </c>
      <c r="G9" s="82" t="s">
        <v>537</v>
      </c>
      <c r="H9" s="59" t="s">
        <v>93</v>
      </c>
    </row>
    <row r="10" customFormat="false" ht="56" hidden="false" customHeight="true" outlineLevel="0" collapsed="false">
      <c r="A10" s="50" t="s">
        <v>538</v>
      </c>
      <c r="B10" s="34" t="s">
        <v>539</v>
      </c>
      <c r="C10" s="82" t="s">
        <v>540</v>
      </c>
      <c r="D10" s="82" t="s">
        <v>541</v>
      </c>
      <c r="E10" s="82" t="s">
        <v>542</v>
      </c>
      <c r="F10" s="34" t="s">
        <v>543</v>
      </c>
      <c r="G10" s="82" t="s">
        <v>544</v>
      </c>
      <c r="H10" s="59" t="s">
        <v>99</v>
      </c>
    </row>
    <row r="11" customFormat="false" ht="56" hidden="false" customHeight="true" outlineLevel="0" collapsed="false">
      <c r="A11" s="50" t="s">
        <v>545</v>
      </c>
      <c r="B11" s="34" t="s">
        <v>546</v>
      </c>
      <c r="C11" s="82" t="s">
        <v>547</v>
      </c>
      <c r="D11" s="82" t="s">
        <v>548</v>
      </c>
      <c r="E11" s="82" t="s">
        <v>549</v>
      </c>
      <c r="F11" s="34" t="s">
        <v>550</v>
      </c>
      <c r="G11" s="82" t="s">
        <v>551</v>
      </c>
      <c r="H11" s="59" t="s">
        <v>112</v>
      </c>
    </row>
    <row r="12" customFormat="false" ht="56" hidden="false" customHeight="true" outlineLevel="0" collapsed="false">
      <c r="A12" s="69" t="s">
        <v>552</v>
      </c>
      <c r="B12" s="84" t="s">
        <v>553</v>
      </c>
      <c r="C12" s="84" t="s">
        <v>554</v>
      </c>
      <c r="D12" s="84" t="s">
        <v>555</v>
      </c>
      <c r="E12" s="41" t="s">
        <v>556</v>
      </c>
      <c r="F12" s="41" t="s">
        <v>557</v>
      </c>
      <c r="G12" s="41" t="s">
        <v>558</v>
      </c>
      <c r="H12" s="201" t="s">
        <v>559</v>
      </c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</row>
    <row r="15" customFormat="false" ht="22" hidden="false" customHeight="true" outlineLevel="0" collapsed="false">
      <c r="A15" s="10" t="s">
        <v>560</v>
      </c>
      <c r="B15" s="10" t="s">
        <v>560</v>
      </c>
      <c r="C15" s="10" t="s">
        <v>560</v>
      </c>
      <c r="D15" s="10" t="s">
        <v>560</v>
      </c>
      <c r="E15" s="10" t="s">
        <v>560</v>
      </c>
      <c r="F15" s="10" t="s">
        <v>560</v>
      </c>
      <c r="G15" s="10" t="s">
        <v>560</v>
      </c>
      <c r="H15" s="10" t="s">
        <v>560</v>
      </c>
    </row>
    <row r="16" customFormat="false" ht="36" hidden="false" customHeight="true" outlineLevel="0" collapsed="false">
      <c r="A16" s="86" t="s">
        <v>561</v>
      </c>
      <c r="B16" s="88" t="s">
        <v>562</v>
      </c>
      <c r="C16" s="88"/>
      <c r="D16" s="88"/>
      <c r="E16" s="88"/>
      <c r="F16" s="88"/>
      <c r="G16" s="88"/>
      <c r="H16" s="88"/>
    </row>
    <row r="17" customFormat="false" ht="36" hidden="false" customHeight="true" outlineLevel="0" collapsed="false">
      <c r="A17" s="86" t="s">
        <v>563</v>
      </c>
      <c r="B17" s="87" t="s">
        <v>564</v>
      </c>
      <c r="C17" s="87"/>
      <c r="D17" s="87"/>
      <c r="E17" s="87"/>
      <c r="F17" s="87"/>
      <c r="G17" s="87"/>
      <c r="H17" s="87"/>
    </row>
    <row r="18" customFormat="false" ht="36" hidden="false" customHeight="true" outlineLevel="0" collapsed="false">
      <c r="A18" s="86" t="s">
        <v>565</v>
      </c>
      <c r="B18" s="88" t="s">
        <v>566</v>
      </c>
      <c r="C18" s="88"/>
      <c r="D18" s="88"/>
      <c r="E18" s="88"/>
      <c r="F18" s="88"/>
      <c r="G18" s="88"/>
      <c r="H18" s="88"/>
    </row>
    <row r="19" customFormat="false" ht="36" hidden="false" customHeight="true" outlineLevel="0" collapsed="false">
      <c r="A19" s="86" t="s">
        <v>80</v>
      </c>
      <c r="B19" s="88" t="s">
        <v>567</v>
      </c>
      <c r="C19" s="88"/>
      <c r="D19" s="88"/>
      <c r="E19" s="88"/>
      <c r="F19" s="88"/>
      <c r="G19" s="88"/>
      <c r="H19" s="88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</row>
  </sheetData>
  <mergeCells count="7">
    <mergeCell ref="A2:H2"/>
    <mergeCell ref="A3:H3"/>
    <mergeCell ref="A15:H15"/>
    <mergeCell ref="B16:H16"/>
    <mergeCell ref="B17:H17"/>
    <mergeCell ref="B18:H18"/>
    <mergeCell ref="B19:H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22.2"/>
    <col collapsed="false" customWidth="true" hidden="false" outlineLevel="0" max="3" min="2" style="0" width="18.16"/>
    <col collapsed="false" customWidth="true" hidden="false" outlineLevel="0" max="5" min="4" style="0" width="15.14"/>
    <col collapsed="false" customWidth="true" hidden="false" outlineLevel="0" max="6" min="6" style="0" width="24.22"/>
    <col collapsed="false" customWidth="true" hidden="false" outlineLevel="0" max="7" min="7" style="0" width="52.47"/>
    <col collapsed="false" customWidth="true" hidden="false" outlineLevel="0" max="8" min="8" style="0" width="22.2"/>
    <col collapsed="false" customWidth="true" hidden="false" outlineLevel="0" max="9" min="9" style="0" width="28.2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46" t="s">
        <v>568</v>
      </c>
      <c r="B2" s="46" t="s">
        <v>568</v>
      </c>
      <c r="C2" s="46" t="s">
        <v>568</v>
      </c>
      <c r="D2" s="46" t="s">
        <v>568</v>
      </c>
      <c r="E2" s="46" t="s">
        <v>568</v>
      </c>
      <c r="F2" s="46" t="s">
        <v>568</v>
      </c>
      <c r="G2" s="46" t="s">
        <v>568</v>
      </c>
      <c r="H2" s="46" t="s">
        <v>568</v>
      </c>
      <c r="I2" s="46" t="s">
        <v>568</v>
      </c>
    </row>
    <row r="3" customFormat="false" ht="15" hidden="false" customHeight="true" outlineLevel="0" collapsed="false">
      <c r="A3" s="47" t="s">
        <v>569</v>
      </c>
      <c r="B3" s="47" t="s">
        <v>569</v>
      </c>
      <c r="C3" s="47" t="s">
        <v>569</v>
      </c>
      <c r="D3" s="47" t="s">
        <v>569</v>
      </c>
      <c r="E3" s="47" t="s">
        <v>569</v>
      </c>
      <c r="F3" s="47" t="s">
        <v>569</v>
      </c>
      <c r="G3" s="47" t="s">
        <v>569</v>
      </c>
      <c r="H3" s="47" t="s">
        <v>569</v>
      </c>
      <c r="I3" s="47" t="s">
        <v>569</v>
      </c>
    </row>
    <row r="4" customFormat="false" ht="15" hidden="false" customHeight="false" outlineLevel="0" collapsed="false">
      <c r="A4" s="24" t="s">
        <v>570</v>
      </c>
      <c r="B4" s="24" t="s">
        <v>571</v>
      </c>
      <c r="C4" s="24" t="s">
        <v>572</v>
      </c>
      <c r="D4" s="24" t="s">
        <v>573</v>
      </c>
      <c r="E4" s="24" t="s">
        <v>574</v>
      </c>
      <c r="F4" s="24" t="s">
        <v>575</v>
      </c>
      <c r="G4" s="103" t="s">
        <v>576</v>
      </c>
      <c r="H4" s="24" t="s">
        <v>577</v>
      </c>
      <c r="I4" s="24" t="s">
        <v>139</v>
      </c>
    </row>
    <row r="5" customFormat="false" ht="44" hidden="false" customHeight="true" outlineLevel="0" collapsed="false">
      <c r="A5" s="25" t="s">
        <v>578</v>
      </c>
      <c r="B5" s="79" t="s">
        <v>579</v>
      </c>
      <c r="C5" s="79" t="s">
        <v>580</v>
      </c>
      <c r="D5" s="202" t="n">
        <v>46203</v>
      </c>
      <c r="E5" s="202" t="n">
        <v>46263</v>
      </c>
      <c r="F5" s="79" t="s">
        <v>581</v>
      </c>
      <c r="G5" s="28" t="s">
        <v>582</v>
      </c>
      <c r="H5" s="79" t="s">
        <v>583</v>
      </c>
      <c r="I5" s="90" t="s">
        <v>584</v>
      </c>
    </row>
    <row r="6" customFormat="false" ht="44" hidden="false" customHeight="true" outlineLevel="0" collapsed="false">
      <c r="A6" s="30" t="s">
        <v>585</v>
      </c>
      <c r="B6" s="82" t="s">
        <v>586</v>
      </c>
      <c r="C6" s="82" t="s">
        <v>580</v>
      </c>
      <c r="D6" s="203" t="n">
        <v>46022</v>
      </c>
      <c r="E6" s="203" t="n">
        <v>46140</v>
      </c>
      <c r="F6" s="82" t="s">
        <v>587</v>
      </c>
      <c r="G6" s="34" t="s">
        <v>588</v>
      </c>
      <c r="H6" s="82" t="s">
        <v>589</v>
      </c>
      <c r="I6" s="35" t="s">
        <v>590</v>
      </c>
    </row>
    <row r="7" customFormat="false" ht="44" hidden="false" customHeight="true" outlineLevel="0" collapsed="false">
      <c r="A7" s="33" t="s">
        <v>591</v>
      </c>
      <c r="B7" s="34" t="s">
        <v>592</v>
      </c>
      <c r="C7" s="82" t="s">
        <v>593</v>
      </c>
      <c r="D7" s="203" t="n">
        <v>46309.1638194444</v>
      </c>
      <c r="E7" s="203" t="n">
        <v>46309</v>
      </c>
      <c r="F7" s="82" t="s">
        <v>594</v>
      </c>
      <c r="G7" s="34" t="s">
        <v>595</v>
      </c>
      <c r="H7" s="82" t="s">
        <v>596</v>
      </c>
      <c r="I7" s="35" t="s">
        <v>597</v>
      </c>
    </row>
    <row r="8" customFormat="false" ht="44" hidden="false" customHeight="true" outlineLevel="0" collapsed="false">
      <c r="A8" s="33" t="s">
        <v>598</v>
      </c>
      <c r="B8" s="34" t="s">
        <v>599</v>
      </c>
      <c r="C8" s="82" t="s">
        <v>600</v>
      </c>
      <c r="D8" s="203" t="n">
        <v>46309</v>
      </c>
      <c r="E8" s="203" t="n">
        <v>46309</v>
      </c>
      <c r="F8" s="82" t="s">
        <v>601</v>
      </c>
      <c r="G8" s="34" t="s">
        <v>602</v>
      </c>
      <c r="H8" s="82" t="s">
        <v>603</v>
      </c>
      <c r="I8" s="35" t="s">
        <v>604</v>
      </c>
    </row>
    <row r="9" customFormat="false" ht="44" hidden="false" customHeight="true" outlineLevel="0" collapsed="false">
      <c r="A9" s="33" t="s">
        <v>605</v>
      </c>
      <c r="B9" s="34" t="s">
        <v>606</v>
      </c>
      <c r="C9" s="82" t="s">
        <v>607</v>
      </c>
      <c r="D9" s="203" t="n">
        <v>46203</v>
      </c>
      <c r="E9" s="203" t="n">
        <v>46263</v>
      </c>
      <c r="F9" s="82" t="s">
        <v>608</v>
      </c>
      <c r="G9" s="34" t="s">
        <v>609</v>
      </c>
      <c r="H9" s="82" t="s">
        <v>610</v>
      </c>
      <c r="I9" s="35" t="s">
        <v>611</v>
      </c>
    </row>
    <row r="10" customFormat="false" ht="44" hidden="false" customHeight="true" outlineLevel="0" collapsed="false">
      <c r="A10" s="33" t="s">
        <v>612</v>
      </c>
      <c r="B10" s="34" t="s">
        <v>613</v>
      </c>
      <c r="C10" s="82" t="s">
        <v>614</v>
      </c>
      <c r="D10" s="203" t="n">
        <v>46203</v>
      </c>
      <c r="E10" s="203" t="n">
        <v>46263</v>
      </c>
      <c r="F10" s="82" t="s">
        <v>615</v>
      </c>
      <c r="G10" s="34" t="s">
        <v>616</v>
      </c>
      <c r="H10" s="82" t="s">
        <v>617</v>
      </c>
      <c r="I10" s="36" t="s">
        <v>618</v>
      </c>
    </row>
    <row r="11" customFormat="false" ht="44" hidden="false" customHeight="true" outlineLevel="0" collapsed="false">
      <c r="A11" s="33" t="s">
        <v>619</v>
      </c>
      <c r="B11" s="34" t="s">
        <v>620</v>
      </c>
      <c r="C11" s="82" t="s">
        <v>621</v>
      </c>
      <c r="D11" s="203" t="n">
        <v>46309.1638888889</v>
      </c>
      <c r="E11" s="203" t="n">
        <v>46309</v>
      </c>
      <c r="F11" s="82" t="s">
        <v>594</v>
      </c>
      <c r="G11" s="34" t="s">
        <v>622</v>
      </c>
      <c r="H11" s="82" t="s">
        <v>623</v>
      </c>
      <c r="I11" s="35" t="s">
        <v>624</v>
      </c>
    </row>
    <row r="12" customFormat="false" ht="44" hidden="false" customHeight="true" outlineLevel="0" collapsed="false">
      <c r="A12" s="33" t="s">
        <v>625</v>
      </c>
      <c r="B12" s="34" t="s">
        <v>626</v>
      </c>
      <c r="C12" s="34" t="s">
        <v>627</v>
      </c>
      <c r="D12" s="203" t="n">
        <v>46203</v>
      </c>
      <c r="E12" s="203" t="n">
        <v>46265</v>
      </c>
      <c r="F12" s="82" t="s">
        <v>608</v>
      </c>
      <c r="G12" s="34" t="s">
        <v>628</v>
      </c>
      <c r="H12" s="34" t="s">
        <v>629</v>
      </c>
      <c r="I12" s="35" t="s">
        <v>630</v>
      </c>
    </row>
    <row r="13" customFormat="false" ht="44" hidden="false" customHeight="true" outlineLevel="0" collapsed="false">
      <c r="A13" s="33" t="s">
        <v>631</v>
      </c>
      <c r="B13" s="82" t="s">
        <v>632</v>
      </c>
      <c r="C13" s="82" t="s">
        <v>633</v>
      </c>
      <c r="D13" s="203" t="n">
        <v>46309</v>
      </c>
      <c r="E13" s="203" t="n">
        <v>46309</v>
      </c>
      <c r="F13" s="82" t="s">
        <v>634</v>
      </c>
      <c r="G13" s="34" t="s">
        <v>635</v>
      </c>
      <c r="H13" s="34" t="s">
        <v>636</v>
      </c>
      <c r="I13" s="35" t="s">
        <v>637</v>
      </c>
    </row>
    <row r="14" customFormat="false" ht="44" hidden="false" customHeight="true" outlineLevel="0" collapsed="false">
      <c r="A14" s="40" t="s">
        <v>638</v>
      </c>
      <c r="B14" s="41" t="s">
        <v>639</v>
      </c>
      <c r="C14" s="84" t="s">
        <v>640</v>
      </c>
      <c r="D14" s="204" t="n">
        <v>46309</v>
      </c>
      <c r="E14" s="204" t="n">
        <v>45292</v>
      </c>
      <c r="F14" s="84" t="s">
        <v>641</v>
      </c>
      <c r="G14" s="41" t="s">
        <v>642</v>
      </c>
      <c r="H14" s="84" t="s">
        <v>643</v>
      </c>
      <c r="I14" s="85" t="s">
        <v>644</v>
      </c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22" hidden="false" customHeight="true" outlineLevel="0" collapsed="false">
      <c r="A17" s="10" t="s">
        <v>645</v>
      </c>
      <c r="B17" s="10" t="s">
        <v>645</v>
      </c>
      <c r="C17" s="10" t="s">
        <v>645</v>
      </c>
      <c r="D17" s="10" t="s">
        <v>645</v>
      </c>
      <c r="E17" s="10" t="s">
        <v>645</v>
      </c>
      <c r="F17" s="10" t="s">
        <v>645</v>
      </c>
      <c r="G17" s="1"/>
      <c r="H17" s="1"/>
      <c r="I17" s="1"/>
    </row>
    <row r="18" customFormat="false" ht="15" hidden="false" customHeight="false" outlineLevel="0" collapsed="false">
      <c r="A18" s="24" t="s">
        <v>100</v>
      </c>
      <c r="B18" s="24" t="s">
        <v>646</v>
      </c>
      <c r="C18" s="24" t="s">
        <v>74</v>
      </c>
      <c r="D18" s="24" t="s">
        <v>647</v>
      </c>
      <c r="E18" s="24" t="s">
        <v>648</v>
      </c>
      <c r="F18" s="24" t="s">
        <v>649</v>
      </c>
      <c r="G18" s="1"/>
      <c r="H18" s="1"/>
      <c r="I18" s="1"/>
    </row>
    <row r="19" customFormat="false" ht="32" hidden="false" customHeight="true" outlineLevel="0" collapsed="false">
      <c r="A19" s="89" t="s">
        <v>650</v>
      </c>
      <c r="B19" s="26" t="n">
        <v>1.2</v>
      </c>
      <c r="C19" s="79" t="s">
        <v>262</v>
      </c>
      <c r="D19" s="28" t="s">
        <v>651</v>
      </c>
      <c r="E19" s="79" t="s">
        <v>652</v>
      </c>
      <c r="F19" s="29" t="s">
        <v>653</v>
      </c>
      <c r="G19" s="1"/>
      <c r="H19" s="1"/>
      <c r="I19" s="1"/>
    </row>
    <row r="20" customFormat="false" ht="32" hidden="false" customHeight="true" outlineLevel="0" collapsed="false">
      <c r="A20" s="33" t="s">
        <v>654</v>
      </c>
      <c r="B20" s="81" t="n">
        <v>0.085</v>
      </c>
      <c r="C20" s="82" t="s">
        <v>262</v>
      </c>
      <c r="D20" s="82" t="s">
        <v>655</v>
      </c>
      <c r="E20" s="82" t="s">
        <v>656</v>
      </c>
      <c r="F20" s="36" t="s">
        <v>653</v>
      </c>
      <c r="G20" s="1"/>
      <c r="H20" s="1"/>
      <c r="I20" s="1"/>
    </row>
    <row r="21" customFormat="false" ht="32" hidden="false" customHeight="true" outlineLevel="0" collapsed="false">
      <c r="A21" s="33" t="s">
        <v>657</v>
      </c>
      <c r="B21" s="81" t="n">
        <v>0.115</v>
      </c>
      <c r="C21" s="82" t="s">
        <v>262</v>
      </c>
      <c r="D21" s="82" t="s">
        <v>658</v>
      </c>
      <c r="E21" s="82" t="s">
        <v>659</v>
      </c>
      <c r="F21" s="36" t="s">
        <v>653</v>
      </c>
      <c r="G21" s="1"/>
      <c r="H21" s="1"/>
      <c r="I21" s="1"/>
    </row>
    <row r="22" customFormat="false" ht="32" hidden="false" customHeight="true" outlineLevel="0" collapsed="false">
      <c r="A22" s="33" t="s">
        <v>185</v>
      </c>
      <c r="B22" s="81" t="n">
        <v>0.025</v>
      </c>
      <c r="C22" s="82" t="s">
        <v>262</v>
      </c>
      <c r="D22" s="82" t="s">
        <v>660</v>
      </c>
      <c r="E22" s="82" t="s">
        <v>661</v>
      </c>
      <c r="F22" s="36" t="s">
        <v>653</v>
      </c>
      <c r="G22" s="1"/>
      <c r="H22" s="1"/>
      <c r="I22" s="1"/>
    </row>
    <row r="23" customFormat="false" ht="32" hidden="false" customHeight="true" outlineLevel="0" collapsed="false">
      <c r="A23" s="33" t="s">
        <v>662</v>
      </c>
      <c r="B23" s="81" t="n">
        <v>0.32</v>
      </c>
      <c r="C23" s="82" t="s">
        <v>262</v>
      </c>
      <c r="D23" s="82" t="s">
        <v>663</v>
      </c>
      <c r="E23" s="82" t="s">
        <v>664</v>
      </c>
      <c r="F23" s="36" t="s">
        <v>653</v>
      </c>
      <c r="G23" s="1"/>
      <c r="H23" s="1"/>
      <c r="I23" s="1"/>
    </row>
    <row r="24" customFormat="false" ht="32" hidden="false" customHeight="true" outlineLevel="0" collapsed="false">
      <c r="A24" s="30" t="s">
        <v>665</v>
      </c>
      <c r="B24" s="81" t="n">
        <v>0.05</v>
      </c>
      <c r="C24" s="82" t="s">
        <v>262</v>
      </c>
      <c r="D24" s="82" t="s">
        <v>666</v>
      </c>
      <c r="E24" s="82" t="s">
        <v>667</v>
      </c>
      <c r="F24" s="36" t="s">
        <v>653</v>
      </c>
      <c r="G24" s="1"/>
      <c r="H24" s="1"/>
      <c r="I24" s="1"/>
    </row>
    <row r="25" customFormat="false" ht="32" hidden="false" customHeight="true" outlineLevel="0" collapsed="false">
      <c r="A25" s="33" t="s">
        <v>668</v>
      </c>
      <c r="B25" s="31" t="n">
        <v>0.8</v>
      </c>
      <c r="C25" s="82" t="s">
        <v>262</v>
      </c>
      <c r="D25" s="34" t="s">
        <v>669</v>
      </c>
      <c r="E25" s="82" t="s">
        <v>670</v>
      </c>
      <c r="F25" s="36" t="s">
        <v>653</v>
      </c>
      <c r="G25" s="1"/>
      <c r="H25" s="1"/>
      <c r="I25" s="1"/>
    </row>
    <row r="26" customFormat="false" ht="32" hidden="false" customHeight="true" outlineLevel="0" collapsed="false">
      <c r="A26" s="33" t="s">
        <v>191</v>
      </c>
      <c r="B26" s="81" t="n">
        <v>0.15</v>
      </c>
      <c r="C26" s="82" t="s">
        <v>262</v>
      </c>
      <c r="D26" s="34" t="s">
        <v>671</v>
      </c>
      <c r="E26" s="82" t="s">
        <v>672</v>
      </c>
      <c r="F26" s="36" t="s">
        <v>653</v>
      </c>
      <c r="G26" s="1"/>
      <c r="H26" s="1"/>
      <c r="I26" s="1"/>
    </row>
    <row r="27" customFormat="false" ht="32" hidden="false" customHeight="true" outlineLevel="0" collapsed="false">
      <c r="A27" s="40" t="s">
        <v>673</v>
      </c>
      <c r="B27" s="41" t="s">
        <v>674</v>
      </c>
      <c r="C27" s="84" t="s">
        <v>262</v>
      </c>
      <c r="D27" s="84" t="s">
        <v>675</v>
      </c>
      <c r="E27" s="84" t="s">
        <v>676</v>
      </c>
      <c r="F27" s="42" t="s">
        <v>653</v>
      </c>
      <c r="G27" s="1"/>
      <c r="H27" s="1"/>
      <c r="I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34" hidden="false" customHeight="true" outlineLevel="0" collapsed="false">
      <c r="A29" s="86" t="s">
        <v>677</v>
      </c>
      <c r="B29" s="88" t="s">
        <v>678</v>
      </c>
      <c r="C29" s="88"/>
      <c r="D29" s="88"/>
      <c r="E29" s="88"/>
      <c r="F29" s="88"/>
      <c r="G29" s="88"/>
      <c r="H29" s="88"/>
      <c r="I29" s="88"/>
    </row>
    <row r="30" customFormat="false" ht="34" hidden="false" customHeight="true" outlineLevel="0" collapsed="false">
      <c r="A30" s="86" t="s">
        <v>677</v>
      </c>
      <c r="B30" s="87" t="s">
        <v>679</v>
      </c>
      <c r="C30" s="87"/>
      <c r="D30" s="87"/>
      <c r="E30" s="87"/>
      <c r="F30" s="87"/>
      <c r="G30" s="87"/>
      <c r="H30" s="87"/>
      <c r="I30" s="87"/>
    </row>
    <row r="31" customFormat="false" ht="34" hidden="false" customHeight="true" outlineLevel="0" collapsed="false">
      <c r="A31" s="86" t="s">
        <v>677</v>
      </c>
      <c r="B31" s="88" t="s">
        <v>680</v>
      </c>
      <c r="C31" s="88"/>
      <c r="D31" s="88"/>
      <c r="E31" s="88"/>
      <c r="F31" s="88"/>
      <c r="G31" s="88"/>
      <c r="H31" s="88"/>
      <c r="I31" s="88"/>
    </row>
    <row r="32" customFormat="false" ht="34" hidden="false" customHeight="true" outlineLevel="0" collapsed="false">
      <c r="A32" s="86" t="s">
        <v>677</v>
      </c>
      <c r="B32" s="88" t="s">
        <v>681</v>
      </c>
      <c r="C32" s="88"/>
      <c r="D32" s="88"/>
      <c r="E32" s="88"/>
      <c r="F32" s="88"/>
      <c r="G32" s="88"/>
      <c r="H32" s="88"/>
      <c r="I32" s="88"/>
    </row>
    <row r="33" customFormat="false" ht="34" hidden="false" customHeight="true" outlineLevel="0" collapsed="false">
      <c r="A33" s="86" t="s">
        <v>273</v>
      </c>
      <c r="B33" s="88" t="s">
        <v>682</v>
      </c>
      <c r="C33" s="88"/>
      <c r="D33" s="88"/>
      <c r="E33" s="88"/>
      <c r="F33" s="88"/>
      <c r="G33" s="88"/>
      <c r="H33" s="88"/>
      <c r="I33" s="88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</row>
  </sheetData>
  <mergeCells count="8">
    <mergeCell ref="A2:I2"/>
    <mergeCell ref="A3:I3"/>
    <mergeCell ref="A17:F17"/>
    <mergeCell ref="B29:I29"/>
    <mergeCell ref="B30:I30"/>
    <mergeCell ref="B31:I31"/>
    <mergeCell ref="B32:I32"/>
    <mergeCell ref="B33:I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2026-10-14T16:03:29Z</dcterms:modified>
  <cp:revision>1</cp:revision>
  <dc:subject/>
  <dc:title/>
</cp:coreProperties>
</file>