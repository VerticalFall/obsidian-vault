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1871c75ed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ac6f322c6b704765"/>
    <x:sheet xmlns:r="http://schemas.openxmlformats.org/officeDocument/2006/relationships" name="情景与估值" sheetId="2" r:id="Ref4ff079bd814648"/>
    <x:sheet xmlns:r="http://schemas.openxmlformats.org/officeDocument/2006/relationships" name="保险与投资" sheetId="3" r:id="R230c0ae943ba43b8"/>
    <x:sheet xmlns:r="http://schemas.openxmlformats.org/officeDocument/2006/relationships" name="历史与分红" sheetId="4" r:id="R9ce1c92455a34c1b"/>
    <x:sheet xmlns:r="http://schemas.openxmlformats.org/officeDocument/2006/relationships" name="巴菲特框架" sheetId="5" r:id="R135dfec5924a421a"/>
    <x:sheet xmlns:r="http://schemas.openxmlformats.org/officeDocument/2006/relationships" name="风险与跟踪" sheetId="6" r:id="R4ea810975c1d418a"/>
    <x:sheet xmlns:r="http://schemas.openxmlformats.org/officeDocument/2006/relationships" name="数据与来源" sheetId="7" r:id="R561ebc737351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%"/>
    <x:numFmt numFmtId="201" formatCode="0.0%"/>
    <x:numFmt numFmtId="202" formatCode="0.00"/>
    <x:numFmt numFmtId="203" formatCode="0.0"/>
    <x:numFmt numFmtId="204" formatCode="0.00%"/>
    <x:numFmt numFmtId="205" formatCode="0.00x"/>
  </x:numFmts>
  <x:fonts count="22">
    <x:font>
      <x:sz val="11"/>
      <x:name val="Carlito"/>
    </x:font>
    <x:font>
      <x:sz val="10"/>
      <x:color rgb="FF203040"/>
      <x:name val="Microsoft YaHei"/>
    </x:font>
    <x:font>
      <x:b/>
      <x:sz val="16"/>
      <x:color rgb="FFFFFFFF"/>
      <x:name val="Microsoft YaHei"/>
    </x:font>
    <x:font>
      <x:i/>
      <x:sz val="9"/>
      <x:color rgb="FF6B7280"/>
      <x:name val="Microsoft YaHei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sz val="9"/>
      <x:color rgb="FF203040"/>
      <x:name val="Microsoft YaHei"/>
    </x:font>
    <x:font>
      <x:sz val="9"/>
      <x:color rgb="FF2E75B6"/>
      <x:name val="Microsoft YaHei"/>
    </x:font>
    <x:font>
      <x:sz val="8"/>
      <x:color rgb="FF548235"/>
      <x:name val="Microsoft YaHei"/>
    </x:font>
    <x:font>
      <x:b/>
      <x:sz val="11"/>
      <x:color rgb="FF2E75B6"/>
      <x:name val="Microsoft YaHei"/>
    </x:font>
    <x:font>
      <x:b/>
      <x:sz val="11"/>
      <x:color rgb="FF2E6B3A"/>
      <x:name val="Microsoft YaHei"/>
    </x:font>
    <x:font>
      <x:b/>
      <x:sz val="9"/>
      <x:color rgb="FF548235"/>
      <x:name val="Microsoft YaHei"/>
    </x:font>
    <x:font>
      <x:b/>
      <x:sz val="9"/>
      <x:color rgb="FF2E6B3A"/>
      <x:name val="Microsoft YaHei"/>
    </x:font>
    <x:font>
      <x:b/>
      <x:sz val="9"/>
      <x:color rgb="FF17365D"/>
      <x:name val="Microsoft YaHei"/>
    </x:font>
    <x:font>
      <x:b/>
      <x:sz val="9"/>
      <x:color rgb="FF203040"/>
      <x:name val="Microsoft YaHei"/>
    </x:font>
    <x:font>
      <x:b/>
      <x:sz val="12"/>
      <x:color rgb="FF17365D"/>
      <x:name val="Microsoft YaHei"/>
    </x:font>
    <x:font>
      <x:b/>
      <x:sz val="10"/>
      <x:color rgb="FF17365D"/>
      <x:name val="Microsoft YaHei"/>
    </x:font>
    <x:font>
      <x:b/>
      <x:sz val="11"/>
      <x:color rgb="FFC00000"/>
      <x:name val="Microsoft YaHei"/>
    </x:font>
    <x:font>
      <x:b/>
      <x:sz val="13"/>
      <x:color rgb="FF17365D"/>
      <x:name val="Microsoft YaHei"/>
    </x:font>
    <x:font>
      <x:b/>
      <x:sz val="15"/>
      <x:color rgb="FF2E6B3A"/>
      <x:name val="Microsoft YaHei"/>
    </x:font>
    <x:font>
      <x:i/>
      <x:sz val="8"/>
      <x:color rgb="FF6B7280"/>
      <x:name val="Microsoft YaHei"/>
    </x:font>
    <x:font>
      <x:b/>
      <x:sz val="11"/>
      <x:color rgb="FF17365D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DF4"/>
      </x:patternFill>
    </x:fill>
    <x:fill>
      <x:patternFill patternType="solid">
        <x:fgColor rgb="FFFCE4D6"/>
      </x:patternFill>
    </x:fill>
    <x:fill>
      <x:patternFill patternType="solid">
        <x:fgColor rgb="FFF3F6F8"/>
      </x:patternFill>
    </x:fill>
  </x:fills>
  <x:borders count="16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7E1EA"/>
      </x:left>
      <x:right/>
      <x:top style="thin">
        <x:color rgb="FFD7E1EA"/>
      </x:top>
      <x:bottom style="thin">
        <x:color rgb="FFD7E1EA"/>
      </x:bottom>
      <x:diagonal/>
    </x:border>
    <x:border>
      <x:left/>
      <x:right/>
      <x:top style="thin">
        <x:color rgb="FFD7E1EA"/>
      </x:top>
      <x:bottom style="thin">
        <x:color rgb="FFD7E1EA"/>
      </x:bottom>
      <x:diagonal/>
    </x:border>
    <x:border>
      <x:left/>
      <x:right style="thin">
        <x:color rgb="FFD7E1EA"/>
      </x:right>
      <x:top style="thin">
        <x:color rgb="FFD7E1EA"/>
      </x:top>
      <x:bottom style="thin">
        <x:color rgb="FFD7E1EA"/>
      </x:bottom>
      <x:diagonal/>
    </x:border>
    <x:border>
      <x:left style="thin">
        <x:color rgb="FFD7E1EA"/>
      </x:left>
      <x:right/>
      <x:top style="thin">
        <x:color rgb="FFD7E1EA"/>
      </x:top>
      <x:bottom/>
      <x:diagonal/>
    </x:border>
    <x:border>
      <x:left/>
      <x:right/>
      <x:top style="thin">
        <x:color rgb="FFD7E1EA"/>
      </x:top>
      <x:bottom/>
      <x:diagonal/>
    </x:border>
    <x:border>
      <x:left/>
      <x:right style="thin">
        <x:color rgb="FFD7E1EA"/>
      </x:right>
      <x:top style="thin">
        <x:color rgb="FFD7E1EA"/>
      </x:top>
      <x:bottom/>
      <x:diagonal/>
    </x:border>
    <x:border>
      <x:left style="thin">
        <x:color rgb="FFD7E1EA"/>
      </x:left>
      <x:right/>
      <x:top/>
      <x:bottom/>
      <x:diagonal/>
    </x:border>
    <x:border>
      <x:left/>
      <x:right style="thin">
        <x:color rgb="FFD7E1EA"/>
      </x:right>
      <x:top/>
      <x:bottom/>
      <x:diagonal/>
    </x:border>
    <x:border>
      <x:left style="thin">
        <x:color rgb="FFD7E1EA"/>
      </x:left>
      <x:right/>
      <x:top/>
      <x:bottom style="thin">
        <x:color rgb="FFD7E1EA"/>
      </x:bottom>
      <x:diagonal/>
    </x:border>
    <x:border>
      <x:left/>
      <x:right/>
      <x:top/>
      <x:bottom style="thin">
        <x:color rgb="FFD7E1EA"/>
      </x:bottom>
      <x:diagonal/>
    </x:border>
    <x:border>
      <x:left/>
      <x:right style="thin">
        <x:color rgb="FFD7E1EA"/>
      </x:right>
      <x:top/>
      <x:bottom style="thin">
        <x:color rgb="FFD7E1EA"/>
      </x:bottom>
      <x:diagonal/>
    </x:border>
  </x:borders>
  <x:cellStyleXfs count="1">
    <x:xf numFmtId="0" fontId="0" fillId="0" borderId="0"/>
  </x:cellStyleXfs>
  <x:cellXfs count="2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0" fontId="11" fillId="6" borderId="6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201" fontId="11" fillId="6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7" fillId="7" borderId="6" xfId="0" applyNumberFormat="1" applyFont="1" applyFill="1" applyBorder="1" applyAlignment="1">
      <x:alignment vertical="center"/>
    </x:xf>
    <x:xf numFmtId="202" fontId="11" fillId="6" borderId="6" xfId="0" applyNumberFormat="1" applyFont="1" applyFill="1" applyBorder="1" applyAlignment="1">
      <x:alignment vertical="center"/>
    </x:xf>
    <x:xf numFmtId="202" fontId="7" fillId="7" borderId="6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203" fontId="6" fillId="6" borderId="6" xfId="0" applyNumberFormat="1" applyFont="1" applyFill="1" applyBorder="1" applyAlignment="1">
      <x:alignment vertical="center"/>
    </x:xf>
    <x:xf numFmtId="202" fontId="6" fillId="6" borderId="6" xfId="0" applyNumberFormat="1" applyFont="1" applyFill="1" applyBorder="1" applyAlignment="1">
      <x:alignment vertical="center"/>
    </x:xf>
    <x:xf numFmtId="201" fontId="6" fillId="6" borderId="6" xfId="0" applyNumberFormat="1" applyFont="1" applyFill="1" applyBorder="1" applyAlignment="1">
      <x:alignment vertical="center"/>
    </x:xf>
    <x:xf numFmtId="201" fontId="6" fillId="6" borderId="7" xfId="0" applyNumberFormat="1" applyFont="1" applyFill="1" applyBorder="1" applyAlignment="1">
      <x:alignment vertical="center"/>
    </x:xf>
    <x:xf numFmtId="0" fontId="12" fillId="6" borderId="5" xfId="0" applyNumberFormat="1" applyFont="1" applyFill="1" applyBorder="1" applyAlignment="1">
      <x:alignment vertical="center"/>
    </x:xf>
    <x:xf numFmtId="203" fontId="12" fillId="6" borderId="6" xfId="0" applyNumberFormat="1" applyFont="1" applyFill="1" applyBorder="1" applyAlignment="1">
      <x:alignment vertical="center"/>
    </x:xf>
    <x:xf numFmtId="202" fontId="12" fillId="6" borderId="6" xfId="0" applyNumberFormat="1" applyFont="1" applyFill="1" applyBorder="1" applyAlignment="1">
      <x:alignment vertical="center"/>
    </x:xf>
    <x:xf numFmtId="201" fontId="12" fillId="6" borderId="6" xfId="0" applyNumberFormat="1" applyFont="1" applyFill="1" applyBorder="1" applyAlignment="1">
      <x:alignment vertical="center"/>
    </x:xf>
    <x:xf numFmtId="201" fontId="12" fillId="6" borderId="7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202" fontId="6" fillId="8" borderId="6" xfId="0" applyNumberFormat="1" applyFont="1" applyFill="1" applyBorder="1" applyAlignment="1">
      <x:alignment vertical="center"/>
    </x:xf>
    <x:xf numFmtId="201" fontId="6" fillId="8" borderId="7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4" fillId="9" borderId="8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14" fillId="9" borderId="11" xfId="0" applyNumberFormat="1" applyFont="1" applyFill="1" applyBorder="1" applyAlignment="1">
      <x:alignment vertical="top" wrapText="1"/>
    </x:xf>
    <x:xf numFmtId="0" fontId="6" fillId="9" borderId="12" xfId="0" applyNumberFormat="1" applyFont="1" applyFill="1" applyBorder="1" applyAlignment="1">
      <x:alignment vertical="top" wrapText="1"/>
    </x:xf>
    <x:xf numFmtId="0" fontId="14" fillId="9" borderId="13" xfId="0" applyNumberFormat="1" applyFont="1" applyFill="1" applyBorder="1" applyAlignment="1">
      <x:alignment vertical="top" wrapText="1"/>
    </x:xf>
    <x:xf numFmtId="0" fontId="6" fillId="9" borderId="14" xfId="0" applyNumberFormat="1" applyFont="1" applyFill="1" applyBorder="1" applyAlignment="1">
      <x:alignment vertical="top" wrapText="1"/>
    </x:xf>
    <x:xf numFmtId="0" fontId="6" fillId="9" borderId="1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205" fontId="6" fillId="0" borderId="6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 wrapText="1"/>
    </x:xf>
    <x:xf numFmtId="204" fontId="6" fillId="6" borderId="6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 wrapText="1"/>
    </x:xf>
    <x:xf numFmtId="0" fontId="16" fillId="0" borderId="6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/>
    </x:xf>
    <x:xf numFmtId="0" fontId="18" fillId="5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/>
    </x:xf>
    <x:xf numFmtId="0" fontId="19" fillId="6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202" fontId="19" fillId="6" borderId="0" xfId="0" applyNumberFormat="1" applyFont="1" applyFill="1" applyBorder="1" applyAlignment="1">
      <x:alignment vertical="center"/>
    </x:xf>
    <x:xf numFmtId="205" fontId="19" fillId="6" borderId="0" xfId="0" applyNumberFormat="1" applyFont="1" applyFill="1" applyBorder="1" applyAlignment="1">
      <x:alignment vertical="center"/>
    </x:xf>
    <x:xf numFmtId="201" fontId="19" fillId="6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horizontal="center" vertical="center"/>
    </x:xf>
    <x:xf numFmtId="202" fontId="19" fillId="6" borderId="0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 applyAlignment="1">
      <x:alignment horizontal="center" vertical="center"/>
    </x:xf>
    <x:xf numFmtId="205" fontId="19" fillId="6" borderId="0" xfId="0" applyNumberFormat="1" applyFont="1" applyFill="1" applyBorder="1" applyAlignment="1">
      <x:alignment horizontal="center" vertical="center"/>
    </x:xf>
    <x:xf numFmtId="201" fontId="19" fillId="6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13" fillId="3" borderId="4" xfId="0" applyNumberFormat="1" applyFont="1" applyFill="1" applyBorder="1" applyAlignment="1">
      <x:alignment horizontal="center" vertical="center"/>
    </x:xf>
    <x:xf numFmtId="202" fontId="19" fillId="6" borderId="4" xfId="0" applyNumberFormat="1" applyFont="1" applyFill="1" applyBorder="1" applyAlignment="1">
      <x:alignment horizontal="center" vertical="center"/>
    </x:xf>
    <x:xf numFmtId="0" fontId="19" fillId="6" borderId="4" xfId="0" applyNumberFormat="1" applyFont="1" applyFill="1" applyBorder="1" applyAlignment="1">
      <x:alignment horizontal="center" vertical="center"/>
    </x:xf>
    <x:xf numFmtId="205" fontId="19" fillId="6" borderId="4" xfId="0" applyNumberFormat="1" applyFont="1" applyFill="1" applyBorder="1" applyAlignment="1">
      <x:alignment horizontal="center" vertical="center"/>
    </x:xf>
    <x:xf numFmtId="201" fontId="19" fillId="6" borderId="4" xfId="0" applyNumberFormat="1" applyFont="1" applyFill="1" applyBorder="1" applyAlignment="1">
      <x:alignment horizontal="center" vertical="center"/>
    </x:xf>
    <x:xf numFmtId="0" fontId="20" fillId="0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 applyAlignment="1">
      <x:alignment vertical="center" wrapText="1"/>
    </x:xf>
    <x:xf numFmtId="0" fontId="14" fillId="9" borderId="8" xfId="0" applyNumberFormat="1" applyFont="1" applyFill="1" applyBorder="1" applyAlignment="1">
      <x:alignment vertical="center" wrapText="1"/>
    </x:xf>
    <x:xf numFmtId="0" fontId="6" fillId="9" borderId="9" xfId="0" applyNumberFormat="1" applyFont="1" applyFill="1" applyBorder="1" applyAlignment="1">
      <x:alignment vertical="center" wrapText="1"/>
    </x:xf>
    <x:xf numFmtId="0" fontId="6" fillId="9" borderId="10" xfId="0" applyNumberFormat="1" applyFont="1" applyFill="1" applyBorder="1" applyAlignment="1">
      <x:alignment vertical="center" wrapText="1"/>
    </x:xf>
    <x:xf numFmtId="0" fontId="14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14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/>
    </x:xf>
    <x:xf numFmtId="204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205" fontId="6" fillId="0" borderId="6" xfId="0" applyNumberFormat="1" applyFont="1" applyFill="1" applyBorder="1" applyAlignment="1">
      <x:alignment horizontal="center" vertical="center"/>
    </x:xf>
    <x:xf numFmtId="202" fontId="6" fillId="0" borderId="6" xfId="0" applyNumberFormat="1" applyFont="1" applyFill="1" applyBorder="1" applyAlignment="1">
      <x:alignment horizontal="center" vertical="center"/>
    </x:xf>
    <x:xf numFmtId="201" fontId="6" fillId="0" borderId="6" xfId="0" applyNumberFormat="1" applyFont="1" applyFill="1" applyBorder="1" applyAlignment="1">
      <x:alignment horizontal="center" vertical="center"/>
    </x:xf>
    <x:xf numFmtId="201" fontId="6" fillId="0" borderId="7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201" fontId="11" fillId="6" borderId="6" xfId="0" applyNumberFormat="1" applyFont="1" applyFill="1" applyBorder="1" applyAlignment="1">
      <x:alignment horizontal="center" vertical="center"/>
    </x:xf>
    <x:xf numFmtId="201" fontId="7" fillId="7" borderId="6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202" fontId="11" fillId="6" borderId="6" xfId="0" applyNumberFormat="1" applyFont="1" applyFill="1" applyBorder="1" applyAlignment="1">
      <x:alignment horizontal="center" vertical="center"/>
    </x:xf>
    <x:xf numFmtId="202" fontId="7" fillId="7" borderId="6" xfId="0" applyNumberFormat="1" applyFont="1" applyFill="1" applyBorder="1" applyAlignment="1">
      <x:alignment horizontal="center" vertical="center"/>
    </x:xf>
    <x:xf numFmtId="203" fontId="6" fillId="0" borderId="6" xfId="0" applyNumberFormat="1" applyFont="1" applyFill="1" applyBorder="1" applyAlignment="1">
      <x:alignment horizontal="center" vertical="center"/>
    </x:xf>
    <x:xf numFmtId="0" fontId="12" fillId="6" borderId="5" xfId="0" applyNumberFormat="1" applyFont="1" applyFill="1" applyBorder="1" applyAlignment="1">
      <x:alignment horizontal="center" vertical="center"/>
    </x:xf>
    <x:xf numFmtId="203" fontId="12" fillId="6" borderId="6" xfId="0" applyNumberFormat="1" applyFont="1" applyFill="1" applyBorder="1" applyAlignment="1">
      <x:alignment horizontal="center" vertical="center"/>
    </x:xf>
    <x:xf numFmtId="202" fontId="12" fillId="6" borderId="6" xfId="0" applyNumberFormat="1" applyFont="1" applyFill="1" applyBorder="1" applyAlignment="1">
      <x:alignment horizontal="center" vertical="center"/>
    </x:xf>
    <x:xf numFmtId="201" fontId="12" fillId="6" borderId="6" xfId="0" applyNumberFormat="1" applyFont="1" applyFill="1" applyBorder="1" applyAlignment="1">
      <x:alignment horizontal="center" vertical="center"/>
    </x:xf>
    <x:xf numFmtId="201" fontId="12" fillId="6" borderId="7" xfId="0" applyNumberFormat="1" applyFont="1" applyFill="1" applyBorder="1" applyAlignment="1">
      <x:alignment horizontal="center" vertical="center"/>
    </x:xf>
    <x:xf numFmtId="202" fontId="6" fillId="0" borderId="7" xfId="0" applyNumberFormat="1" applyFont="1" applyFill="1" applyBorder="1" applyAlignment="1">
      <x:alignment horizontal="center" vertical="center"/>
    </x:xf>
    <x:xf numFmtId="0" fontId="6" fillId="8" borderId="5" xfId="0" applyNumberFormat="1" applyFont="1" applyFill="1" applyBorder="1" applyAlignment="1">
      <x:alignment horizontal="center" vertical="center"/>
    </x:xf>
    <x:xf numFmtId="202" fontId="6" fillId="8" borderId="6" xfId="0" applyNumberFormat="1" applyFont="1" applyFill="1" applyBorder="1" applyAlignment="1">
      <x:alignment horizontal="center" vertical="center"/>
    </x:xf>
    <x:xf numFmtId="201" fontId="6" fillId="8" borderId="7" xfId="0" applyNumberFormat="1" applyFont="1" applyFill="1" applyBorder="1" applyAlignment="1">
      <x:alignment horizontal="center" vertical="center"/>
    </x:xf>
    <x:xf numFmtId="0" fontId="14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14" fillId="9" borderId="11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14" fillId="9" borderId="13" xfId="0" applyNumberFormat="1" applyFont="1" applyFill="1" applyBorder="1" applyAlignment="1">
      <x:alignment horizontal="center" vertical="center" wrapText="1"/>
    </x:xf>
    <x:xf numFmtId="0" fontId="6" fillId="9" borderId="14" xfId="0" applyNumberFormat="1" applyFont="1" applyFill="1" applyBorder="1" applyAlignment="1">
      <x:alignment horizontal="center" vertical="center" wrapText="1"/>
    </x:xf>
    <x:xf numFmtId="0" fontId="6" fillId="9" borderId="1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 wrapText="1"/>
    </x:xf>
    <x:xf numFmtId="204" fontId="6" fillId="6" borderId="6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/>
    </x:xf>
    <x:xf numFmtId="202" fontId="6" fillId="0" borderId="5" xfId="0" applyNumberFormat="1" applyFont="1" applyFill="1" applyBorder="1" applyAlignment="1">
      <x:alignment horizontal="center" vertical="center"/>
    </x:xf>
    <x:xf numFmtId="201" fontId="7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738afe2904550" /><Relationship Type="http://schemas.openxmlformats.org/officeDocument/2006/relationships/theme" Target="/xl/theme/theme1.xml" Id="R82396b22f3874357" /><Relationship Type="http://schemas.openxmlformats.org/officeDocument/2006/relationships/sharedStrings" Target="/xl/sharedStrings.xml" Id="R0583657d666947af" /><Relationship Type="http://schemas.openxmlformats.org/officeDocument/2006/relationships/worksheet" Target="/xl/worksheets/sheet1.xml" Id="Rac6f322c6b704765" /><Relationship Type="http://schemas.openxmlformats.org/officeDocument/2006/relationships/worksheet" Target="/xl/worksheets/sheet2.xml" Id="Ref4ff079bd814648" /><Relationship Type="http://schemas.openxmlformats.org/officeDocument/2006/relationships/worksheet" Target="/xl/worksheets/sheet3.xml" Id="R230c0ae943ba43b8" /><Relationship Type="http://schemas.openxmlformats.org/officeDocument/2006/relationships/worksheet" Target="/xl/worksheets/sheet4.xml" Id="R9ce1c92455a34c1b" /><Relationship Type="http://schemas.openxmlformats.org/officeDocument/2006/relationships/worksheet" Target="/xl/worksheets/sheet5.xml" Id="R135dfec5924a421a" /><Relationship Type="http://schemas.openxmlformats.org/officeDocument/2006/relationships/worksheet" Target="/xl/worksheets/sheet6.xml" Id="R4ea810975c1d418a" /><Relationship Type="http://schemas.openxmlformats.org/officeDocument/2006/relationships/worksheet" Target="/xl/worksheets/sheet7.xml" Id="R561ebc73735147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aade8970f641c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338d5dc2a344a1c" /><Relationship Type="http://schemas.openxmlformats.org/officeDocument/2006/relationships/chart" Target="/xl/drawings/charts/chart3.xml" Id="R8c6b4d1b716e4e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三情景价值对比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P/EV价值</c:v>
          </c:tx>
          <c:invertIfNegative val="0"/>
          <c:cat>
            <c:strRef>
              <c:f>'一图流'!$A$21:$A$23</c:f>
              <c:strCache>
                <c:ptCount val="0"/>
              </c:strCache>
            </c:strRef>
          </c:cat>
          <c:val>
            <c:numRef>
              <c:f>'一图流'!$B$21:$B$23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股息率锚</c:v>
          </c:tx>
          <c:invertIfNegative val="0"/>
          <c:cat>
            <c:strRef>
              <c:f>'一图流'!$A$21:$A$23</c:f>
              <c:strCache>
                <c:ptCount val="0"/>
              </c:strCache>
            </c:strRef>
          </c:cat>
          <c:val>
            <c:numRef>
              <c:f>'一图流'!$C$21:$C$23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加权价值</c:v>
          </c:tx>
          <c:invertIfNegative val="0"/>
          <c:cat>
            <c:strRef>
              <c:f>'一图流'!$A$21:$A$23</c:f>
              <c:strCache>
                <c:ptCount val="0"/>
              </c:strCache>
            </c:strRef>
          </c:cat>
          <c:val>
            <c:numRef>
              <c:f>'一图流'!$D$21:$D$23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归母净利润与现金分红（亿元）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归母净利润</c:v>
          </c:tx>
          <c:marker>
            <c:symbol val="none"/>
          </c:marker>
          <c:cat>
            <c:strRef>
              <c:f>'历史与分红'!$B$7:$B$11</c:f>
              <c:strCache>
                <c:ptCount val="0"/>
              </c:strCache>
            </c:strRef>
          </c:cat>
          <c:val>
            <c:numRef>
              <c:f>'历史与分红'!$D$7:$D$11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现金分红</c:v>
          </c:tx>
          <c:marker>
            <c:symbol val="none"/>
          </c:marker>
          <c:cat>
            <c:strRef>
              <c:f>'历史与分红'!$B$7:$B$11</c:f>
              <c:strCache>
                <c:ptCount val="0"/>
              </c:strCache>
            </c:strRef>
          </c:cat>
          <c:val>
            <c:numRef>
              <c:f>'历史与分红'!$F$7:$F$11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投资收益率波动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总投资收益率</c:v>
          </c:tx>
          <c:marker>
            <c:symbol val="none"/>
          </c:marker>
          <c:cat>
            <c:strRef>
              <c:f>'历史与分红'!$K$20:$K$23</c:f>
              <c:strCache>
                <c:ptCount val="0"/>
              </c:strCache>
            </c:strRef>
          </c:cat>
          <c:val>
            <c:numRef>
              <c:f>'历史与分红'!$L$20:$L$23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综合投资收益率</c:v>
          </c:tx>
          <c:marker>
            <c:symbol val="none"/>
          </c:marker>
          <c:cat>
            <c:strRef>
              <c:f>'历史与分红'!$K$20:$K$23</c:f>
              <c:strCache>
                <c:ptCount val="0"/>
              </c:strCache>
            </c:strRef>
          </c:cat>
          <c:val>
            <c:numRef>
              <c:f>'历史与分红'!$M$20:$M$23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aade8970f641c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25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38d5dc2a344a1c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6b4d1b716e4e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5020c157c1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7f40e665111455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2" hidden="0" customWidth="1"/>
    <x:col min="5" max="5" width="13" hidden="0" customWidth="1"/>
    <x:col min="6" max="6" width="12" hidden="0" customWidth="1"/>
    <x:col min="7" max="7" width="13" hidden="0" customWidth="1"/>
    <x:col min="8" max="8" width="3" hidden="0" customWidth="1"/>
    <x:col min="9" max="9" width="16" hidden="0" customWidth="1"/>
    <x:col min="10" max="10" width="14" hidden="0" customWidth="1"/>
    <x:col min="11" max="11" width="12" hidden="0" customWidth="1"/>
    <x:col min="12" max="12" width="13" hidden="0" customWidth="1"/>
    <x:col min="13" max="13" width="15" hidden="0" customWidth="1"/>
    <x:col min="14" max="14" width="22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 601336：巴菲特框架一图流</x:v>
      </x:c>
      <x:c r="B2" s="140" t="str">
        <x:v>新华保险 601336：巴菲特框架一图流</x:v>
      </x:c>
      <x:c r="C2" s="140" t="str">
        <x:v>新华保险 601336：巴菲特框架一图流</x:v>
      </x:c>
      <x:c r="D2" s="140" t="str">
        <x:v>新华保险 601336：巴菲特框架一图流</x:v>
      </x:c>
      <x:c r="E2" s="140" t="str">
        <x:v>新华保险 601336：巴菲特框架一图流</x:v>
      </x:c>
      <x:c r="F2" s="140" t="str">
        <x:v>新华保险 601336：巴菲特框架一图流</x:v>
      </x:c>
      <x:c r="G2" s="140" t="str">
        <x:v>新华保险 601336：巴菲特框架一图流</x:v>
      </x:c>
      <x:c r="H2" s="140" t="str">
        <x:v>新华保险 601336：巴菲特框架一图流</x:v>
      </x:c>
      <x:c r="I2" s="140" t="str">
        <x:v>新华保险 601336：巴菲特框架一图流</x:v>
      </x:c>
      <x:c r="J2" s="140" t="str">
        <x:v>新华保险 601336：巴菲特框架一图流</x:v>
      </x:c>
      <x:c r="K2" s="140" t="str">
        <x:v>新华保险 601336：巴菲特框架一图流</x:v>
      </x:c>
      <x:c r="L2" s="140" t="str">
        <x:v>新华保险 601336：巴菲特框架一图流</x:v>
      </x:c>
      <x:c r="M2" s="140" t="str">
        <x:v>新华保险 601336：巴菲特框架一图流</x:v>
      </x:c>
      <x:c r="N2" s="140" t="str">
        <x:v>新华保险 601336：巴菲特框架一图流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研究日 2026-10-22｜最新财务期 2026H1｜价格基准 2026-10-21收盘50.80元｜保险公司以NBV/CSM/EV/偿付能力为主，不套用制造业FCF。</x:v>
      </x:c>
      <x:c r="B3" s="141" t="str">
        <x:v>研究日 2026-10-22｜最新财务期 2026H1｜价格基准 2026-10-21收盘50.80元｜保险公司以NBV/CSM/EV/偿付能力为主，不套用制造业FCF。</x:v>
      </x:c>
      <x:c r="C3" s="141" t="str">
        <x:v>研究日 2026-10-22｜最新财务期 2026H1｜价格基准 2026-10-21收盘50.80元｜保险公司以NBV/CSM/EV/偿付能力为主，不套用制造业FCF。</x:v>
      </x:c>
      <x:c r="D3" s="141" t="str">
        <x:v>研究日 2026-10-22｜最新财务期 2026H1｜价格基准 2026-10-21收盘50.80元｜保险公司以NBV/CSM/EV/偿付能力为主，不套用制造业FCF。</x:v>
      </x:c>
      <x:c r="E3" s="141" t="str">
        <x:v>研究日 2026-10-22｜最新财务期 2026H1｜价格基准 2026-10-21收盘50.80元｜保险公司以NBV/CSM/EV/偿付能力为主，不套用制造业FCF。</x:v>
      </x:c>
      <x:c r="F3" s="141" t="str">
        <x:v>研究日 2026-10-22｜最新财务期 2026H1｜价格基准 2026-10-21收盘50.80元｜保险公司以NBV/CSM/EV/偿付能力为主，不套用制造业FCF。</x:v>
      </x:c>
      <x:c r="G3" s="141" t="str">
        <x:v>研究日 2026-10-22｜最新财务期 2026H1｜价格基准 2026-10-21收盘50.80元｜保险公司以NBV/CSM/EV/偿付能力为主，不套用制造业FCF。</x:v>
      </x:c>
      <x:c r="H3" s="141" t="str">
        <x:v>研究日 2026-10-22｜最新财务期 2026H1｜价格基准 2026-10-21收盘50.80元｜保险公司以NBV/CSM/EV/偿付能力为主，不套用制造业FCF。</x:v>
      </x:c>
      <x:c r="I3" s="141" t="str">
        <x:v>研究日 2026-10-22｜最新财务期 2026H1｜价格基准 2026-10-21收盘50.80元｜保险公司以NBV/CSM/EV/偿付能力为主，不套用制造业FCF。</x:v>
      </x:c>
      <x:c r="J3" s="141" t="str">
        <x:v>研究日 2026-10-22｜最新财务期 2026H1｜价格基准 2026-10-21收盘50.80元｜保险公司以NBV/CSM/EV/偿付能力为主，不套用制造业FCF。</x:v>
      </x:c>
      <x:c r="K3" s="141" t="str">
        <x:v>研究日 2026-10-22｜最新财务期 2026H1｜价格基准 2026-10-21收盘50.80元｜保险公司以NBV/CSM/EV/偿付能力为主，不套用制造业FCF。</x:v>
      </x:c>
      <x:c r="L3" s="141" t="str">
        <x:v>研究日 2026-10-22｜最新财务期 2026H1｜价格基准 2026-10-21收盘50.80元｜保险公司以NBV/CSM/EV/偿付能力为主，不套用制造业FCF。</x:v>
      </x:c>
      <x:c r="M3" s="141" t="str">
        <x:v>研究日 2026-10-22｜最新财务期 2026H1｜价格基准 2026-10-21收盘50.80元｜保险公司以NBV/CSM/EV/偿付能力为主，不套用制造业FCF。</x:v>
      </x:c>
      <x:c r="N3" s="141" t="str">
        <x:v>研究日 2026-10-22｜最新财务期 2026H1｜价格基准 2026-10-21收盘50.80元｜保险公司以NBV/CSM/EV/偿付能力为主，不套用制造业FCF。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42" t="str">
        <x:v>投资结论</x:v>
      </x:c>
      <x:c r="B5" s="143" t="str">
        <x:v>投资结论</x:v>
      </x:c>
      <x:c r="C5" s="143" t="str">
        <x:v>投资结论</x:v>
      </x:c>
      <x:c r="D5" s="143" t="str">
        <x:v>投资结论</x:v>
      </x:c>
      <x:c r="E5" s="143" t="str">
        <x:v>投资结论</x:v>
      </x:c>
      <x:c r="F5" s="143" t="str">
        <x:v>投资结论</x:v>
      </x:c>
      <x:c r="G5" s="143" t="str">
        <x:v>投资结论</x:v>
      </x:c>
      <x:c r="H5" s="143" t="str">
        <x:v>投资结论</x:v>
      </x:c>
      <x:c r="I5" s="143" t="str">
        <x:v>投资结论</x:v>
      </x:c>
      <x:c r="J5" s="143" t="str">
        <x:v>投资结论</x:v>
      </x:c>
      <x:c r="K5" s="143" t="str">
        <x:v>投资结论</x:v>
      </x:c>
      <x:c r="L5" s="143" t="str">
        <x:v>投资结论</x:v>
      </x:c>
      <x:c r="M5" s="143" t="str">
        <x:v>投资结论</x:v>
      </x:c>
      <x:c r="N5" s="144" t="str">
        <x:v>投资结论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B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C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D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E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F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G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H6" s="145" t="str">
        <x:v>有条件的吸引力｜可分批，不宜把5.5%当成保本息票
分红险转型已经改善新业务价值率和负债成本，但利润仍受A股、长期利率、老保单负债和偿付能力共同限制。</x:v>
      </x:c>
      <x:c r="I6" s="139"/>
      <x:c r="J6" s="17" t="str">
        <x:v>关键结论</x:v>
      </x:c>
      <x:c r="K6" s="17" t="str">
        <x:v>数值</x:v>
      </x:c>
      <x:c r="L6" s="17"/>
      <x:c r="M6" s="17" t="str">
        <x:v>判断</x:v>
      </x:c>
      <x:c r="N6" s="17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B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C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D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E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F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G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H7" s="145" t="str">
        <x:v>有条件的吸引力｜可分批，不宜把5.5%当成保本息票
分红险转型已经改善新业务价值率和负债成本，但利润仍受A股、长期利率、老保单负债和偿付能力共同限制。</x:v>
      </x:c>
      <x:c r="I7" s="139"/>
      <x:c r="J7" s="146" t="str">
        <x:v>已实施LTM股息率</x:v>
      </x:c>
      <x:c r="K7" s="147" t="n">
        <x:f>'历史与分红'!L15</x:f>
        <x:v>0.053740157480314965</x:v>
      </x:c>
      <x:c r="L7" s="148"/>
      <x:c r="M7" s="149" t="str">
        <x:v>有吸引力，但非保证</x:v>
      </x:c>
      <x:c r="N7" s="150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B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C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D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E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F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G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H8" s="145" t="str">
        <x:v>有条件的吸引力｜可分批，不宜把5.5%当成保本息票
分红险转型已经改善新业务价值率和负债成本，但利润仍受A股、长期利率、老保单负债和偿付能力共同限制。</x:v>
      </x:c>
      <x:c r="I8" s="139"/>
      <x:c r="J8" s="146" t="str">
        <x:v>当前P/EV</x:v>
      </x:c>
      <x:c r="K8" s="151" t="n">
        <x:f>'历史与分红'!L12</x:f>
        <x:v>0.5105706714263621</x:v>
      </x:c>
      <x:c r="L8" s="148"/>
      <x:c r="M8" s="149" t="str">
        <x:v>深度折价</x:v>
      </x:c>
      <x:c r="N8" s="150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B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C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D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E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F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G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H9" s="145" t="str">
        <x:v>有条件的吸引力｜可分批，不宜把5.5%当成保本息票
分红险转型已经改善新业务价值率和负债成本，但利润仍受A股、长期利率、老保单负债和偿付能力共同限制。</x:v>
      </x:c>
      <x:c r="I9" s="139"/>
      <x:c r="J9" s="146" t="str">
        <x:v>基准情景价值</x:v>
      </x:c>
      <x:c r="K9" s="152" t="n">
        <x:f>'情景与估值'!O32</x:f>
        <x:v>61.78281475769588</x:v>
      </x:c>
      <x:c r="L9" s="148"/>
      <x:c r="M9" s="149" t="str">
        <x:v>相对当前价有上行空间</x:v>
      </x:c>
      <x:c r="N9" s="150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B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C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D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E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F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G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H10" s="145" t="str">
        <x:v>有条件的吸引力｜可分批，不宜把5.5%当成保本息票
分红险转型已经改善新业务价值率和负债成本，但利润仍受A股、长期利率、老保单负债和偿付能力共同限制。</x:v>
      </x:c>
      <x:c r="I10" s="139"/>
      <x:c r="J10" s="146" t="str">
        <x:v>建议</x:v>
      </x:c>
      <x:c r="K10" s="148" t="str">
        <x:v>分批</x:v>
      </x:c>
      <x:c r="L10" s="148"/>
      <x:c r="M10" s="149" t="str">
        <x:v>用六道门槛验证持有逻辑</x:v>
      </x:c>
      <x:c r="N10" s="150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3" customHeight="1">
      <x:c r="A13" s="142" t="str">
        <x:v>七个数字看透当前状态</x:v>
      </x:c>
      <x:c r="B13" s="143" t="str">
        <x:v>七个数字看透当前状态</x:v>
      </x:c>
      <x:c r="C13" s="143" t="str">
        <x:v>七个数字看透当前状态</x:v>
      </x:c>
      <x:c r="D13" s="143" t="str">
        <x:v>七个数字看透当前状态</x:v>
      </x:c>
      <x:c r="E13" s="143" t="str">
        <x:v>七个数字看透当前状态</x:v>
      </x:c>
      <x:c r="F13" s="143" t="str">
        <x:v>七个数字看透当前状态</x:v>
      </x:c>
      <x:c r="G13" s="143" t="str">
        <x:v>七个数字看透当前状态</x:v>
      </x:c>
      <x:c r="H13" s="143" t="str">
        <x:v>七个数字看透当前状态</x:v>
      </x:c>
      <x:c r="I13" s="143" t="str">
        <x:v>七个数字看透当前状态</x:v>
      </x:c>
      <x:c r="J13" s="143" t="str">
        <x:v>七个数字看透当前状态</x:v>
      </x:c>
      <x:c r="K13" s="143" t="str">
        <x:v>七个数字看透当前状态</x:v>
      </x:c>
      <x:c r="L13" s="143" t="str">
        <x:v>七个数字看透当前状态</x:v>
      </x:c>
      <x:c r="M13" s="143" t="str">
        <x:v>七个数字看透当前状态</x:v>
      </x:c>
      <x:c r="N13" s="144" t="str">
        <x:v>七个数字看透当前状态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15" t="str">
        <x:v>当前价</x:v>
      </x:c>
      <x:c r="B14" s="115"/>
      <x:c r="C14" s="115" t="str">
        <x:v>P/EV</x:v>
      </x:c>
      <x:c r="D14" s="115"/>
      <x:c r="E14" s="115" t="str">
        <x:v>TTM PE</x:v>
      </x:c>
      <x:c r="F14" s="115"/>
      <x:c r="G14" s="115" t="str">
        <x:v>NBV/FYP</x:v>
      </x:c>
      <x:c r="H14" s="115"/>
      <x:c r="I14" s="115" t="str">
        <x:v>分红险保费占比</x:v>
      </x:c>
      <x:c r="J14" s="115"/>
      <x:c r="K14" s="115" t="str">
        <x:v>核心偿付率</x:v>
      </x:c>
      <x:c r="L14" s="115"/>
      <x:c r="M14" s="115" t="str">
        <x:v>股息-国债利差</x:v>
      </x:c>
      <x:c r="N14" s="115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16" t="n">
        <x:f>'数据与来源'!B7</x:f>
        <x:v>50.8</x:v>
      </x:c>
      <x:c r="B15" s="117"/>
      <x:c r="C15" s="118" t="n">
        <x:f>'历史与分红'!L12</x:f>
        <x:v>0.5105706714263621</x:v>
      </x:c>
      <x:c r="D15" s="117"/>
      <x:c r="E15" s="118" t="n">
        <x:f>'历史与分红'!L14</x:f>
        <x:v>3.579045288405077</x:v>
      </x:c>
      <x:c r="F15" s="117"/>
      <x:c r="G15" s="119" t="n">
        <x:f>'数据与来源'!B18/'数据与来源'!B19</x:f>
        <x:v>0.1716640190627482</x:v>
      </x:c>
      <x:c r="H15" s="119"/>
      <x:c r="I15" s="119" t="n">
        <x:f>'数据与来源'!B29/'数据与来源'!B17</x:f>
        <x:v>0.3742532993748553</x:v>
      </x:c>
      <x:c r="J15" s="119"/>
      <x:c r="K15" s="119" t="n">
        <x:f>'数据与来源'!B27</x:f>
        <x:v>1.2621</x:v>
      </x:c>
      <x:c r="L15" s="119"/>
      <x:c r="M15" s="119" t="n">
        <x:f>'历史与分红'!L15-'数据与来源'!B13</x:f>
        <x:v>0.03749515748031497</x:v>
      </x:c>
      <x:c r="N15" s="117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20" t="str">
        <x:v>口径</x:v>
      </x:c>
      <x:c r="B16" s="120" t="str">
        <x:v>2026-10-21</x:v>
      </x:c>
      <x:c r="C16" s="120" t="str">
        <x:v>口径</x:v>
      </x:c>
      <x:c r="D16" s="120" t="str">
        <x:v>EV 2026H1</x:v>
      </x:c>
      <x:c r="E16" s="120" t="str">
        <x:v>口径</x:v>
      </x:c>
      <x:c r="F16" s="120" t="str">
        <x:v>TTM利润</x:v>
      </x:c>
      <x:c r="G16" s="120" t="str">
        <x:v>口径</x:v>
      </x:c>
      <x:c r="H16" s="120" t="str">
        <x:v>2026H1</x:v>
      </x:c>
      <x:c r="I16" s="120" t="str">
        <x:v>口径</x:v>
      </x:c>
      <x:c r="J16" s="120" t="str">
        <x:v>2026H1产品结构</x:v>
      </x:c>
      <x:c r="K16" s="120" t="str">
        <x:v>口径</x:v>
      </x:c>
      <x:c r="L16" s="120" t="str">
        <x:v>2026H1</x:v>
      </x:c>
      <x:c r="M16" s="120" t="str">
        <x:v>口径</x:v>
      </x:c>
      <x:c r="N16" s="120" t="str">
        <x:v>已实施LTM对比10Y国债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3" customHeight="1">
      <x:c r="A19" s="142" t="str">
        <x:v>三情景估值（元/股）</x:v>
      </x:c>
      <x:c r="B19" s="143" t="str">
        <x:v>三情景估值（元/股）</x:v>
      </x:c>
      <x:c r="C19" s="143" t="str">
        <x:v>三情景估值（元/股）</x:v>
      </x:c>
      <x:c r="D19" s="143" t="str">
        <x:v>三情景估值（元/股）</x:v>
      </x:c>
      <x:c r="E19" s="143" t="str">
        <x:v>三情景估值（元/股）</x:v>
      </x:c>
      <x:c r="F19" s="143" t="str">
        <x:v>三情景估值（元/股）</x:v>
      </x:c>
      <x:c r="G19" s="144" t="str">
        <x:v>三情景估值（元/股）</x:v>
      </x:c>
      <x:c r="H19" s="139"/>
      <x:c r="I19" s="142" t="str">
        <x:v>实际收益路径</x:v>
      </x:c>
      <x:c r="J19" s="143" t="str">
        <x:v>实际收益路径</x:v>
      </x:c>
      <x:c r="K19" s="143" t="str">
        <x:v>实际收益路径</x:v>
      </x:c>
      <x:c r="L19" s="143" t="str">
        <x:v>实际收益路径</x:v>
      </x:c>
      <x:c r="M19" s="143" t="str">
        <x:v>实际收益路径</x:v>
      </x:c>
      <x:c r="N19" s="144" t="str">
        <x:v>实际收益路径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8" customHeight="1">
      <x:c r="A20" s="17" t="str">
        <x:v>情景</x:v>
      </x:c>
      <x:c r="B20" s="17" t="str">
        <x:v>P/EV价值</x:v>
      </x:c>
      <x:c r="C20" s="17" t="str">
        <x:v>股息率锚</x:v>
      </x:c>
      <x:c r="D20" s="17" t="str">
        <x:v>加权价值</x:v>
      </x:c>
      <x:c r="E20" s="17" t="str">
        <x:v>相对当前价</x:v>
      </x:c>
      <x:c r="F20" s="17" t="str">
        <x:v>归一化DPS</x:v>
      </x:c>
      <x:c r="G20" s="17" t="str">
        <x:v>当价收益率</x:v>
      </x:c>
      <x:c r="H20" s="139"/>
      <x:c r="I20" s="17" t="str">
        <x:v>环节</x:v>
      </x:c>
      <x:c r="J20" s="17" t="str">
        <x:v>驱动因素</x:v>
      </x:c>
      <x:c r="K20" s="17"/>
      <x:c r="L20" s="17" t="str">
        <x:v>基准路径</x:v>
      </x:c>
      <x:c r="M20" s="17"/>
      <x:c r="N20" s="17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4" customHeight="1">
      <x:c r="A21" s="146" t="str">
        <x:v>悲观</x:v>
      </x:c>
      <x:c r="B21" s="152" t="n">
        <x:f>'情景与估值'!M31</x:f>
        <x:v>38.89805653167675</x:v>
      </x:c>
      <x:c r="C21" s="152" t="n">
        <x:f>'情景与估值'!N31</x:f>
        <x:v>24.194180113896138</x:v>
      </x:c>
      <x:c r="D21" s="152" t="n">
        <x:f>'情景与估值'!O31</x:f>
        <x:v>34.48689360634256</x:v>
      </x:c>
      <x:c r="E21" s="153" t="n">
        <x:f>'情景与估值'!P31</x:f>
        <x:v>-0.32112414160742986</x:v>
      </x:c>
      <x:c r="F21" s="152" t="n">
        <x:f>'情景与估值'!I31</x:f>
        <x:v>1.5726217074032491</x:v>
      </x:c>
      <x:c r="G21" s="154" t="n">
        <x:f>'情景与估值'!J31</x:f>
        <x:v>0.03095712022447341</x:v>
      </x:c>
      <x:c r="H21" s="139"/>
      <x:c r="I21" s="146" t="str">
        <x:v>保费流入</x:v>
      </x:c>
      <x:c r="J21" s="149" t="str">
        <x:v>保费+6%，期交与分红险占比提升</x:v>
      </x:c>
      <x:c r="K21" s="149"/>
      <x:c r="L21" s="149" t="str">
        <x:v>提供资产增长和未来CSM</x:v>
      </x:c>
      <x:c r="M21" s="149"/>
      <x:c r="N21" s="150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4" customHeight="1">
      <x:c r="A22" s="155" t="str">
        <x:v>基准</x:v>
      </x:c>
      <x:c r="B22" s="156" t="n">
        <x:f>'情景与估值'!M32</x:f>
        <x:v>64.6727316078561</x:v>
      </x:c>
      <x:c r="C22" s="156" t="n">
        <x:f>'情景与估值'!N32</x:f>
        <x:v>55.03967544065539</x:v>
      </x:c>
      <x:c r="D22" s="156" t="n">
        <x:f>'情景与估值'!O32</x:f>
        <x:v>61.78281475769588</x:v>
      </x:c>
      <x:c r="E22" s="157" t="n">
        <x:f>'情景与估值'!P32</x:f>
        <x:v>0.21619714089952535</x:v>
      </x:c>
      <x:c r="F22" s="156" t="n">
        <x:f>'情景与估值'!I32</x:f>
        <x:v>2.7519837720327693</x:v>
      </x:c>
      <x:c r="G22" s="158" t="n">
        <x:f>'情景与估值'!J32</x:f>
        <x:v>0.054172908898282864</x:v>
      </x:c>
      <x:c r="H22" s="139"/>
      <x:c r="I22" s="146" t="str">
        <x:v>新业务价值</x:v>
      </x:c>
      <x:c r="J22" s="149" t="str">
        <x:v>NBV/FYP稳定在17.5%附近</x:v>
      </x:c>
      <x:c r="K22" s="149"/>
      <x:c r="L22" s="149" t="str">
        <x:v>表明规模转化为价值</x:v>
      </x:c>
      <x:c r="M22" s="149"/>
      <x:c r="N22" s="150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4" customHeight="1">
      <x:c r="A23" s="146" t="str">
        <x:v>乐观</x:v>
      </x:c>
      <x:c r="B23" s="152" t="n">
        <x:f>'情景与估值'!M33</x:f>
        <x:v>90.29235210014174</x:v>
      </x:c>
      <x:c r="C23" s="152" t="n">
        <x:f>'情景与估值'!N33</x:f>
        <x:v>91.67178897657045</x:v>
      </x:c>
      <x:c r="D23" s="152" t="n">
        <x:f>'情景与估值'!O33</x:f>
        <x:v>90.70618316307035</x:v>
      </x:c>
      <x:c r="E23" s="153" t="n">
        <x:f>'情景与估值'!P33</x:f>
        <x:v>0.7855547866746133</x:v>
      </x:c>
      <x:c r="F23" s="152" t="n">
        <x:f>'情景与估值'!I33</x:f>
        <x:v>4.12523050394567</x:v>
      </x:c>
      <x:c r="G23" s="154" t="n">
        <x:f>'情景与估值'!J33</x:f>
        <x:v>0.08120532488082029</x:v>
      </x:c>
      <x:c r="H23" s="139"/>
      <x:c r="I23" s="146" t="str">
        <x:v>投资收益</x:v>
      </x:c>
      <x:c r="J23" s="149" t="str">
        <x:v>总收益率回落至3.3%，净收益率2.35%并逐年下行</x:v>
      </x:c>
      <x:c r="K23" s="149"/>
      <x:c r="L23" s="149" t="str">
        <x:v>交易收益回归，利差压力上升</x:v>
      </x:c>
      <x:c r="M23" s="149"/>
      <x:c r="N23" s="150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4" customHeight="1">
      <x:c r="A24" s="146" t="str">
        <x:v>当前价</x:v>
      </x:c>
      <x:c r="B24" s="152"/>
      <x:c r="C24" s="152"/>
      <x:c r="D24" s="152" t="n">
        <x:f>'数据与来源'!B7</x:f>
        <x:v>50.8</x:v>
      </x:c>
      <x:c r="E24" s="148"/>
      <x:c r="F24" s="148"/>
      <x:c r="G24" s="159"/>
      <x:c r="H24" s="139"/>
      <x:c r="I24" s="146" t="str">
        <x:v>分红险风险共担</x:v>
      </x:c>
      <x:c r="J24" s="149" t="str">
        <x:v>低保证+70%剩余分享</x:v>
      </x:c>
      <x:c r="K24" s="149"/>
      <x:c r="L24" s="149" t="str">
        <x:v>降低尾部利差损，不保证利润</x:v>
      </x:c>
      <x:c r="M24" s="149"/>
      <x:c r="N24" s="150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4" customHeight="1">
      <x:c r="A25" s="139"/>
      <x:c r="B25" s="139"/>
      <x:c r="C25" s="139"/>
      <x:c r="D25" s="139"/>
      <x:c r="E25" s="139"/>
      <x:c r="F25" s="139"/>
      <x:c r="G25" s="139"/>
      <x:c r="H25" s="139"/>
      <x:c r="I25" s="146" t="str">
        <x:v>股东现金回报</x:v>
      </x:c>
      <x:c r="J25" s="149" t="str">
        <x:v>归一化利润约340亿元+支付率25%</x:v>
      </x:c>
      <x:c r="K25" s="149"/>
      <x:c r="L25" s="149" t="str">
        <x:v>维持约2.7元DPS，当价约5.4%</x:v>
      </x:c>
      <x:c r="M25" s="149"/>
      <x:c r="N25" s="150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3" customHeight="1">
      <x:c r="A28" s="139"/>
      <x:c r="B28" s="139"/>
      <x:c r="C28" s="139"/>
      <x:c r="D28" s="139"/>
      <x:c r="E28" s="139"/>
      <x:c r="F28" s="139"/>
      <x:c r="G28" s="139"/>
      <x:c r="H28" s="139"/>
      <x:c r="I28" s="142" t="str">
        <x:v>买入与持有条件</x:v>
      </x:c>
      <x:c r="J28" s="143" t="str">
        <x:v>买入与持有条件</x:v>
      </x:c>
      <x:c r="K28" s="143" t="str">
        <x:v>买入与持有条件</x:v>
      </x:c>
      <x:c r="L28" s="143" t="str">
        <x:v>买入与持有条件</x:v>
      </x:c>
      <x:c r="M28" s="143" t="str">
        <x:v>买入与持有条件</x:v>
      </x:c>
      <x:c r="N28" s="144" t="str">
        <x:v>买入与持有条件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8" customHeight="1">
      <x:c r="A29" s="139"/>
      <x:c r="B29" s="139"/>
      <x:c r="C29" s="139"/>
      <x:c r="D29" s="139"/>
      <x:c r="E29" s="139"/>
      <x:c r="F29" s="139"/>
      <x:c r="G29" s="139"/>
      <x:c r="H29" s="139"/>
      <x:c r="I29" s="17" t="str">
        <x:v>级别</x:v>
      </x:c>
      <x:c r="J29" s="17" t="str">
        <x:v>价格/指标</x:v>
      </x:c>
      <x:c r="K29" s="17"/>
      <x:c r="L29" s="17" t="str">
        <x:v>动作</x:v>
      </x:c>
      <x:c r="M29" s="17" t="str">
        <x:v>必须同时成立</x:v>
      </x:c>
      <x:c r="N29" s="17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1" customHeight="1">
      <x:c r="A30" s="139"/>
      <x:c r="B30" s="139"/>
      <x:c r="C30" s="139"/>
      <x:c r="D30" s="139"/>
      <x:c r="E30" s="139"/>
      <x:c r="F30" s="139"/>
      <x:c r="G30" s="139"/>
      <x:c r="H30" s="139"/>
      <x:c r="I30" s="146" t="str">
        <x:v>当前</x:v>
      </x:c>
      <x:c r="J30" s="152" t="n">
        <x:f>'数据与来源'!B7</x:f>
        <x:v>50.8</x:v>
      </x:c>
      <x:c r="K30" s="152"/>
      <x:c r="L30" s="148" t="str">
        <x:v>观察/小仓分批</x:v>
      </x:c>
      <x:c r="M30" s="149" t="str">
        <x:v>基准论点未恶化</x:v>
      </x:c>
      <x:c r="N30" s="150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1" customHeight="1">
      <x:c r="A31" s="139"/>
      <x:c r="B31" s="139"/>
      <x:c r="C31" s="139"/>
      <x:c r="D31" s="139"/>
      <x:c r="E31" s="139"/>
      <x:c r="F31" s="139"/>
      <x:c r="G31" s="139"/>
      <x:c r="H31" s="139"/>
      <x:c r="I31" s="146" t="str">
        <x:v>基准价值8折</x:v>
      </x:c>
      <x:c r="J31" s="152" t="n">
        <x:f>'情景与估值'!O32*80%</x:f>
        <x:v>49.426251806156706</x:v>
      </x:c>
      <x:c r="K31" s="152"/>
      <x:c r="L31" s="148" t="str">
        <x:v>第一档</x:v>
      </x:c>
      <x:c r="M31" s="149" t="str">
        <x:v>NBV/FYP≥15%，CSM正增长</x:v>
      </x:c>
      <x:c r="N31" s="150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1" customHeight="1">
      <x:c r="A32" s="139"/>
      <x:c r="B32" s="139"/>
      <x:c r="C32" s="139"/>
      <x:c r="D32" s="139"/>
      <x:c r="E32" s="139"/>
      <x:c r="F32" s="139"/>
      <x:c r="G32" s="139"/>
      <x:c r="H32" s="139"/>
      <x:c r="I32" s="146" t="str">
        <x:v>基准价值7折</x:v>
      </x:c>
      <x:c r="J32" s="152" t="n">
        <x:f>'情景与估值'!O32*70%</x:f>
        <x:v>43.24797033038711</x:v>
      </x:c>
      <x:c r="K32" s="152"/>
      <x:c r="L32" s="148" t="str">
        <x:v>加仓档</x:v>
      </x:c>
      <x:c r="M32" s="149" t="str">
        <x:v>核心偿付率≥120%</x:v>
      </x:c>
      <x:c r="N32" s="150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1" customHeight="1">
      <x:c r="A33" s="139"/>
      <x:c r="B33" s="139"/>
      <x:c r="C33" s="139"/>
      <x:c r="D33" s="139"/>
      <x:c r="E33" s="139"/>
      <x:c r="F33" s="139"/>
      <x:c r="G33" s="139"/>
      <x:c r="H33" s="139"/>
      <x:c r="I33" s="146" t="str">
        <x:v>2.73元DPS的6%股息价</x:v>
      </x:c>
      <x:c r="J33" s="152" t="n">
        <x:f>'数据与来源'!B12/6%</x:f>
        <x:v>45.5</x:v>
      </x:c>
      <x:c r="K33" s="152"/>
      <x:c r="L33" s="148" t="str">
        <x:v>红利档</x:v>
      </x:c>
      <x:c r="M33" s="149" t="str">
        <x:v>归一化利润≥284亿元</x:v>
      </x:c>
      <x:c r="N33" s="150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1" customHeight="1">
      <x:c r="A34" s="139"/>
      <x:c r="B34" s="139"/>
      <x:c r="C34" s="139"/>
      <x:c r="D34" s="139"/>
      <x:c r="E34" s="139"/>
      <x:c r="F34" s="139"/>
      <x:c r="G34" s="139"/>
      <x:c r="H34" s="139"/>
      <x:c r="I34" s="146" t="str">
        <x:v>止损条件</x:v>
      </x:c>
      <x:c r="J34" s="148" t="str">
        <x:v>非价格止损</x:v>
      </x:c>
      <x:c r="K34" s="148"/>
      <x:c r="L34" s="148" t="str">
        <x:v>重估论点</x:v>
      </x:c>
      <x:c r="M34" s="149" t="str">
        <x:v>任意两项失效条件连续两期触发</x:v>
      </x:c>
      <x:c r="N34" s="150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1" customHeight="1">
      <x:c r="A35" s="139"/>
      <x:c r="B35" s="139"/>
      <x:c r="C35" s="139"/>
      <x:c r="D35" s="139"/>
      <x:c r="E35" s="139"/>
      <x:c r="F35" s="139"/>
      <x:c r="G35" s="139"/>
      <x:c r="H35" s="139"/>
      <x:c r="I35" s="146" t="str">
        <x:v>股息判断</x:v>
      </x:c>
      <x:c r="J35" s="148" t="str">
        <x:v>5.37%</x:v>
      </x:c>
      <x:c r="K35" s="148"/>
      <x:c r="L35" s="148" t="str">
        <x:v>有吸引力</x:v>
      </x:c>
      <x:c r="M35" s="149" t="str">
        <x:v>不把待审0.73元重复计入LTM</x:v>
      </x:c>
      <x:c r="N35" s="150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1" customHeight="1">
      <x:c r="A36" s="139"/>
      <x:c r="B36" s="139"/>
      <x:c r="C36" s="139"/>
      <x:c r="D36" s="139"/>
      <x:c r="E36" s="139"/>
      <x:c r="F36" s="139"/>
      <x:c r="G36" s="139"/>
      <x:c r="H36" s="139"/>
      <x:c r="I36" s="146" t="str">
        <x:v>当前风险</x:v>
      </x:c>
      <x:c r="J36" s="148" t="str">
        <x:v>投资收益高位</x:v>
      </x:c>
      <x:c r="K36" s="148"/>
      <x:c r="L36" s="148" t="str">
        <x:v>保守归一化</x:v>
      </x:c>
      <x:c r="M36" s="149" t="str">
        <x:v>不用6.7%总收益率外推估值</x:v>
      </x:c>
      <x:c r="N36" s="150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3" customHeight="1">
      <x:c r="A39" s="139"/>
      <x:c r="B39" s="139"/>
      <x:c r="C39" s="139"/>
      <x:c r="D39" s="139"/>
      <x:c r="E39" s="139"/>
      <x:c r="F39" s="139"/>
      <x:c r="G39" s="139"/>
      <x:c r="H39" s="139"/>
      <x:c r="I39" s="142" t="str">
        <x:v>一句话答案</x:v>
      </x:c>
      <x:c r="J39" s="143" t="str">
        <x:v>一句话答案</x:v>
      </x:c>
      <x:c r="K39" s="143" t="str">
        <x:v>一句话答案</x:v>
      </x:c>
      <x:c r="L39" s="143" t="str">
        <x:v>一句话答案</x:v>
      </x:c>
      <x:c r="M39" s="143" t="str">
        <x:v>一句话答案</x:v>
      </x:c>
      <x:c r="N39" s="144" t="str">
        <x:v>一句话答案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60" t="str">
        <x:v>在50.80元、已实施LTM股息率约5.37%的位置，新华保险“值得跟踪和分批”，但只有当归一化利润、NBV利润率、CSM和偿付能力同时过关，这个股息率才真正诱人。</x:v>
      </x:c>
      <x:c r="J40" s="160" t="str">
        <x:v>在50.80元、已实施LTM股息率约5.37%的位置，新华保险“值得跟踪和分批”，但只有当归一化利润、NBV利润率、CSM和偿付能力同时过关，这个股息率才真正诱人。</x:v>
      </x:c>
      <x:c r="K40" s="160" t="str">
        <x:v>在50.80元、已实施LTM股息率约5.37%的位置，新华保险“值得跟踪和分批”，但只有当归一化利润、NBV利润率、CSM和偿付能力同时过关，这个股息率才真正诱人。</x:v>
      </x:c>
      <x:c r="L40" s="160" t="str">
        <x:v>在50.80元、已实施LTM股息率约5.37%的位置，新华保险“值得跟踪和分批”，但只有当归一化利润、NBV利润率、CSM和偿付能力同时过关，这个股息率才真正诱人。</x:v>
      </x:c>
      <x:c r="M40" s="160" t="str">
        <x:v>在50.80元、已实施LTM股息率约5.37%的位置，新华保险“值得跟踪和分批”，但只有当归一化利润、NBV利润率、CSM和偿付能力同时过关，这个股息率才真正诱人。</x:v>
      </x:c>
      <x:c r="N40" s="160" t="str">
        <x:v>在50.80元、已实施LTM股息率约5.37%的位置，新华保险“值得跟踪和分批”，但只有当归一化利润、NBV利润率、CSM和偿付能力同时过关，这个股息率才真正诱人。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60" t="str">
        <x:v>在50.80元、已实施LTM股息率约5.37%的位置，新华保险“值得跟踪和分批”，但只有当归一化利润、NBV利润率、CSM和偿付能力同时过关，这个股息率才真正诱人。</x:v>
      </x:c>
      <x:c r="J41" s="160" t="str">
        <x:v>在50.80元、已实施LTM股息率约5.37%的位置，新华保险“值得跟踪和分批”，但只有当归一化利润、NBV利润率、CSM和偿付能力同时过关，这个股息率才真正诱人。</x:v>
      </x:c>
      <x:c r="K41" s="160" t="str">
        <x:v>在50.80元、已实施LTM股息率约5.37%的位置，新华保险“值得跟踪和分批”，但只有当归一化利润、NBV利润率、CSM和偿付能力同时过关，这个股息率才真正诱人。</x:v>
      </x:c>
      <x:c r="L41" s="160" t="str">
        <x:v>在50.80元、已实施LTM股息率约5.37%的位置，新华保险“值得跟踪和分批”，但只有当归一化利润、NBV利润率、CSM和偿付能力同时过关，这个股息率才真正诱人。</x:v>
      </x:c>
      <x:c r="M41" s="160" t="str">
        <x:v>在50.80元、已实施LTM股息率约5.37%的位置，新华保险“值得跟踪和分批”，但只有当归一化利润、NBV利润率、CSM和偿付能力同时过关，这个股息率才真正诱人。</x:v>
      </x:c>
      <x:c r="N41" s="160" t="str">
        <x:v>在50.80元、已实施LTM股息率约5.37%的位置，新华保险“值得跟踪和分批”，但只有当归一化利润、NBV利润率、CSM和偿付能力同时过关，这个股息率才真正诱人。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60" t="str">
        <x:v>在50.80元、已实施LTM股息率约5.37%的位置，新华保险“值得跟踪和分批”，但只有当归一化利润、NBV利润率、CSM和偿付能力同时过关，这个股息率才真正诱人。</x:v>
      </x:c>
      <x:c r="J42" s="160" t="str">
        <x:v>在50.80元、已实施LTM股息率约5.37%的位置，新华保险“值得跟踪和分批”，但只有当归一化利润、NBV利润率、CSM和偿付能力同时过关，这个股息率才真正诱人。</x:v>
      </x:c>
      <x:c r="K42" s="160" t="str">
        <x:v>在50.80元、已实施LTM股息率约5.37%的位置，新华保险“值得跟踪和分批”，但只有当归一化利润、NBV利润率、CSM和偿付能力同时过关，这个股息率才真正诱人。</x:v>
      </x:c>
      <x:c r="L42" s="160" t="str">
        <x:v>在50.80元、已实施LTM股息率约5.37%的位置，新华保险“值得跟踪和分批”，但只有当归一化利润、NBV利润率、CSM和偿付能力同时过关，这个股息率才真正诱人。</x:v>
      </x:c>
      <x:c r="M42" s="160" t="str">
        <x:v>在50.80元、已实施LTM股息率约5.37%的位置，新华保险“值得跟踪和分批”，但只有当归一化利润、NBV利润率、CSM和偿付能力同时过关，这个股息率才真正诱人。</x:v>
      </x:c>
      <x:c r="N42" s="160" t="str">
        <x:v>在50.80元、已实施LTM股息率约5.37%的位置，新华保险“值得跟踪和分批”，但只有当归一化利润、NBV利润率、CSM和偿付能力同时过关，这个股息率才真正诱人。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60" t="str">
        <x:v>在50.80元、已实施LTM股息率约5.37%的位置，新华保险“值得跟踪和分批”，但只有当归一化利润、NBV利润率、CSM和偿付能力同时过关，这个股息率才真正诱人。</x:v>
      </x:c>
      <x:c r="J43" s="160" t="str">
        <x:v>在50.80元、已实施LTM股息率约5.37%的位置，新华保险“值得跟踪和分批”，但只有当归一化利润、NBV利润率、CSM和偿付能力同时过关，这个股息率才真正诱人。</x:v>
      </x:c>
      <x:c r="K43" s="160" t="str">
        <x:v>在50.80元、已实施LTM股息率约5.37%的位置，新华保险“值得跟踪和分批”，但只有当归一化利润、NBV利润率、CSM和偿付能力同时过关，这个股息率才真正诱人。</x:v>
      </x:c>
      <x:c r="L43" s="160" t="str">
        <x:v>在50.80元、已实施LTM股息率约5.37%的位置，新华保险“值得跟踪和分批”，但只有当归一化利润、NBV利润率、CSM和偿付能力同时过关，这个股息率才真正诱人。</x:v>
      </x:c>
      <x:c r="M43" s="160" t="str">
        <x:v>在50.80元、已实施LTM股息率约5.37%的位置，新华保险“值得跟踪和分批”，但只有当归一化利润、NBV利润率、CSM和偿付能力同时过关，这个股息率才真正诱人。</x:v>
      </x:c>
      <x:c r="N43" s="160" t="str">
        <x:v>在50.80元、已实施LTM股息率约5.37%的位置，新华保险“值得跟踪和分批”，但只有当归一化利润、NBV利润率、CSM和偿付能力同时过关，这个股息率才真正诱人。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A5:N5"/>
    <x:mergeCell ref="A6:H10"/>
    <x:mergeCell ref="K6:L6"/>
    <x:mergeCell ref="M6:N6"/>
    <x:mergeCell ref="K7:L7"/>
    <x:mergeCell ref="M7:N7"/>
    <x:mergeCell ref="K8:L8"/>
    <x:mergeCell ref="M8:N8"/>
    <x:mergeCell ref="K9:L9"/>
    <x:mergeCell ref="M9:N9"/>
    <x:mergeCell ref="K10:L10"/>
    <x:mergeCell ref="M10:N10"/>
    <x:mergeCell ref="A13:N13"/>
    <x:mergeCell ref="A14:B14"/>
    <x:mergeCell ref="A15:B15"/>
    <x:mergeCell ref="A16:B16"/>
    <x:mergeCell ref="A17:B17"/>
    <x:mergeCell ref="C14:D14"/>
    <x:mergeCell ref="C15:D15"/>
    <x:mergeCell ref="C16:D16"/>
    <x:mergeCell ref="C17:D17"/>
    <x:mergeCell ref="E14:F14"/>
    <x:mergeCell ref="E15:F15"/>
    <x:mergeCell ref="E16:F16"/>
    <x:mergeCell ref="E17:F17"/>
    <x:mergeCell ref="G14:H14"/>
    <x:mergeCell ref="G15:H15"/>
    <x:mergeCell ref="G16:H16"/>
    <x:mergeCell ref="G17:H17"/>
    <x:mergeCell ref="I14:J14"/>
    <x:mergeCell ref="I15:J15"/>
    <x:mergeCell ref="I16:J16"/>
    <x:mergeCell ref="I17:J17"/>
    <x:mergeCell ref="K14:L14"/>
    <x:mergeCell ref="K15:L15"/>
    <x:mergeCell ref="K16:L16"/>
    <x:mergeCell ref="K17:L17"/>
    <x:mergeCell ref="M14:N14"/>
    <x:mergeCell ref="M15:N15"/>
    <x:mergeCell ref="M16:N16"/>
    <x:mergeCell ref="M17:N17"/>
    <x:mergeCell ref="A19:G19"/>
    <x:mergeCell ref="I19:N19"/>
    <x:mergeCell ref="J20:L20"/>
    <x:mergeCell ref="M20:N20"/>
    <x:mergeCell ref="J21:L21"/>
    <x:mergeCell ref="M21:N21"/>
    <x:mergeCell ref="J22:L22"/>
    <x:mergeCell ref="M22:N22"/>
    <x:mergeCell ref="J23:L23"/>
    <x:mergeCell ref="M23:N23"/>
    <x:mergeCell ref="J24:L24"/>
    <x:mergeCell ref="M24:N24"/>
    <x:mergeCell ref="J25:L25"/>
    <x:mergeCell ref="M25:N25"/>
    <x:mergeCell ref="I28:N28"/>
    <x:mergeCell ref="J29:K29"/>
    <x:mergeCell ref="M29:N29"/>
    <x:mergeCell ref="J30:K30"/>
    <x:mergeCell ref="M30:N30"/>
    <x:mergeCell ref="J31:K31"/>
    <x:mergeCell ref="M31:N31"/>
    <x:mergeCell ref="J32:K32"/>
    <x:mergeCell ref="M32:N32"/>
    <x:mergeCell ref="J33:K33"/>
    <x:mergeCell ref="M33:N33"/>
    <x:mergeCell ref="J34:K34"/>
    <x:mergeCell ref="M34:N34"/>
    <x:mergeCell ref="J35:K35"/>
    <x:mergeCell ref="M35:N35"/>
    <x:mergeCell ref="J36:K36"/>
    <x:mergeCell ref="M36:N36"/>
    <x:mergeCell ref="I39:N39"/>
    <x:mergeCell ref="I40:N43"/>
  </x:mergeCells>
  <x:pageMargins left="0.7" right="0.7" top="0.75" bottom="0.75" header="0.3" footer="0.3"/>
  <x:drawing xmlns:r="http://schemas.openxmlformats.org/officeDocument/2006/relationships" r:id="R375020c157c141be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5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139"/>
      <x:c r="P1" s="139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新华保险：情景、投资收益路径与估值</x:v>
      </x:c>
      <x:c r="B2" s="140" t="str">
        <x:v>新华保险：情景、投资收益路径与估值</x:v>
      </x:c>
      <x:c r="C2" s="140" t="str">
        <x:v>新华保险：情景、投资收益路径与估值</x:v>
      </x:c>
      <x:c r="D2" s="140" t="str">
        <x:v>新华保险：情景、投资收益路径与估值</x:v>
      </x:c>
      <x:c r="E2" s="140" t="str">
        <x:v>新华保险：情景、投资收益路径与估值</x:v>
      </x:c>
      <x:c r="F2" s="140" t="str">
        <x:v>新华保险：情景、投资收益路径与估值</x:v>
      </x:c>
      <x:c r="G2" s="140" t="str">
        <x:v>新华保险：情景、投资收益路径与估值</x:v>
      </x:c>
      <x:c r="H2" s="140" t="str">
        <x:v>新华保险：情景、投资收益路径与估值</x:v>
      </x:c>
      <x:c r="I2" s="140" t="str">
        <x:v>新华保险：情景、投资收益路径与估值</x:v>
      </x:c>
      <x:c r="J2" s="140" t="str">
        <x:v>新华保险：情景、投资收益路径与估值</x:v>
      </x:c>
      <x:c r="K2" s="140" t="str">
        <x:v>新华保险：情景、投资收益路径与估值</x:v>
      </x:c>
      <x:c r="L2" s="140" t="str">
        <x:v>新华保险：情景、投资收益路径与估值</x:v>
      </x:c>
      <x:c r="M2" s="140" t="str">
        <x:v>新华保险：情景、投资收益路径与估值</x:v>
      </x:c>
      <x:c r="N2" s="140" t="str">
        <x:v>新华保险：情景、投资收益路径与估值</x:v>
      </x:c>
      <x:c r="O2" s="140" t="str">
        <x:v>新华保险：情景、投资收益路径与估值</x:v>
      </x:c>
      <x:c r="P2" s="140" t="str">
        <x:v>新华保险：情景、投资收益路径与估值</x:v>
      </x:c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一次只激活一个情景；三情景对比同时独立计算。黄色区为可编辑假设，模型将自动联动一图流。</x:v>
      </x:c>
      <x:c r="B3" s="141" t="str">
        <x:v>一次只激活一个情景；三情景对比同时独立计算。黄色区为可编辑假设，模型将自动联动一图流。</x:v>
      </x:c>
      <x:c r="C3" s="141" t="str">
        <x:v>一次只激活一个情景；三情景对比同时独立计算。黄色区为可编辑假设，模型将自动联动一图流。</x:v>
      </x:c>
      <x:c r="D3" s="141" t="str">
        <x:v>一次只激活一个情景；三情景对比同时独立计算。黄色区为可编辑假设，模型将自动联动一图流。</x:v>
      </x:c>
      <x:c r="E3" s="141" t="str">
        <x:v>一次只激活一个情景；三情景对比同时独立计算。黄色区为可编辑假设，模型将自动联动一图流。</x:v>
      </x:c>
      <x:c r="F3" s="141" t="str">
        <x:v>一次只激活一个情景；三情景对比同时独立计算。黄色区为可编辑假设，模型将自动联动一图流。</x:v>
      </x:c>
      <x:c r="G3" s="141" t="str">
        <x:v>一次只激活一个情景；三情景对比同时独立计算。黄色区为可编辑假设，模型将自动联动一图流。</x:v>
      </x:c>
      <x:c r="H3" s="141" t="str">
        <x:v>一次只激活一个情景；三情景对比同时独立计算。黄色区为可编辑假设，模型将自动联动一图流。</x:v>
      </x:c>
      <x:c r="I3" s="141" t="str">
        <x:v>一次只激活一个情景；三情景对比同时独立计算。黄色区为可编辑假设，模型将自动联动一图流。</x:v>
      </x:c>
      <x:c r="J3" s="141" t="str">
        <x:v>一次只激活一个情景；三情景对比同时独立计算。黄色区为可编辑假设，模型将自动联动一图流。</x:v>
      </x:c>
      <x:c r="K3" s="141" t="str">
        <x:v>一次只激活一个情景；三情景对比同时独立计算。黄色区为可编辑假设，模型将自动联动一图流。</x:v>
      </x:c>
      <x:c r="L3" s="141" t="str">
        <x:v>一次只激活一个情景；三情景对比同时独立计算。黄色区为可编辑假设，模型将自动联动一图流。</x:v>
      </x:c>
      <x:c r="M3" s="141" t="str">
        <x:v>一次只激活一个情景；三情景对比同时独立计算。黄色区为可编辑假设，模型将自动联动一图流。</x:v>
      </x:c>
      <x:c r="N3" s="141" t="str">
        <x:v>一次只激活一个情景；三情景对比同时独立计算。黄色区为可编辑假设，模型将自动联动一图流。</x:v>
      </x:c>
      <x:c r="O3" s="141" t="str">
        <x:v>一次只激活一个情景；三情景对比同时独立计算。黄色区为可编辑假设，模型将自动联动一图流。</x:v>
      </x:c>
      <x:c r="P3" s="141" t="str">
        <x:v>一次只激活一个情景；三情景对比同时独立计算。黄色区为可编辑假设，模型将自动联动一图流。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139"/>
      <x:c r="P4" s="139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39"/>
      <x:c r="B5" s="142" t="str">
        <x:v>情景选择器</x:v>
      </x:c>
      <x:c r="C5" s="143" t="str">
        <x:v>情景选择器</x:v>
      </x:c>
      <x:c r="D5" s="143" t="str">
        <x:v>情景选择器</x:v>
      </x:c>
      <x:c r="E5" s="143" t="str">
        <x:v>情景选择器</x:v>
      </x:c>
      <x:c r="F5" s="143" t="str">
        <x:v>情景选择器</x:v>
      </x:c>
      <x:c r="G5" s="143" t="str">
        <x:v>情景选择器</x:v>
      </x:c>
      <x:c r="H5" s="144" t="str">
        <x:v>情景选择器</x:v>
      </x:c>
      <x:c r="I5" s="139"/>
      <x:c r="J5" s="139"/>
      <x:c r="K5" s="139"/>
      <x:c r="L5" s="139"/>
      <x:c r="M5" s="139"/>
      <x:c r="N5" s="139"/>
      <x:c r="O5" s="139"/>
      <x:c r="P5" s="139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39"/>
      <x:c r="B6" s="139" t="str">
        <x:v>当前情景编号</x:v>
      </x:c>
      <x:c r="C6" s="161" t="n">
        <x:v>2</x:v>
      </x:c>
      <x:c r="D6" s="139" t="str">
        <x:v>1=悲观、2=基准、3=乐观</x:v>
      </x:c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39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39"/>
      <x:c r="B7" s="139" t="str">
        <x:v>当前情景</x:v>
      </x:c>
      <x:c r="C7" s="162" t="str">
        <x:f>CHOOSE(C6,"悲观","基准","乐观")</x:f>
        <x:v>基准</x:v>
      </x:c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39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39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3" customHeight="1">
      <x:c r="A9" s="139"/>
      <x:c r="B9" s="142" t="str">
        <x:v>三情景假设</x:v>
      </x:c>
      <x:c r="C9" s="143" t="str">
        <x:v>三情景假设</x:v>
      </x:c>
      <x:c r="D9" s="143" t="str">
        <x:v>三情景假设</x:v>
      </x:c>
      <x:c r="E9" s="143" t="str">
        <x:v>三情景假设</x:v>
      </x:c>
      <x:c r="F9" s="143" t="str">
        <x:v>三情景假设</x:v>
      </x:c>
      <x:c r="G9" s="143" t="str">
        <x:v>三情景假设</x:v>
      </x:c>
      <x:c r="H9" s="144" t="str">
        <x:v>三情景假设</x:v>
      </x:c>
      <x:c r="I9" s="139"/>
      <x:c r="J9" s="139"/>
      <x:c r="K9" s="139"/>
      <x:c r="L9" s="139"/>
      <x:c r="M9" s="139"/>
      <x:c r="N9" s="139"/>
      <x:c r="O9" s="139"/>
      <x:c r="P9" s="139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customHeight="1">
      <x:c r="A10" s="139"/>
      <x:c r="B10" s="17" t="str">
        <x:v>假设</x:v>
      </x:c>
      <x:c r="C10" s="17" t="str">
        <x:v>激活值</x:v>
      </x:c>
      <x:c r="D10" s="17" t="str">
        <x:v>单位</x:v>
      </x:c>
      <x:c r="E10" s="17" t="str">
        <x:v>悲观</x:v>
      </x:c>
      <x:c r="F10" s="17" t="str">
        <x:v>基准</x:v>
      </x:c>
      <x:c r="G10" s="17" t="str">
        <x:v>乐观</x:v>
      </x:c>
      <x:c r="H10" s="17" t="str">
        <x:v>含义/判断依据</x:v>
      </x:c>
      <x:c r="I10" s="139"/>
      <x:c r="J10" s="139"/>
      <x:c r="K10" s="139"/>
      <x:c r="L10" s="139"/>
      <x:c r="M10" s="139"/>
      <x:c r="N10" s="139"/>
      <x:c r="O10" s="139"/>
      <x:c r="P10" s="139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4" customHeight="1">
      <x:c r="A11" s="139"/>
      <x:c r="B11" s="146" t="str">
        <x:v>保费增速</x:v>
      </x:c>
      <x:c r="C11" s="163" t="n">
        <x:f>CHOOSE($C$6,E11,F11,G11)</x:f>
        <x:v>0.06</x:v>
      </x:c>
      <x:c r="D11" s="153" t="str">
        <x:v>%</x:v>
      </x:c>
      <x:c r="E11" s="164" t="n">
        <x:v>0.02</x:v>
      </x:c>
      <x:c r="F11" s="164" t="n">
        <x:v>0.06</x:v>
      </x:c>
      <x:c r="G11" s="164" t="n">
        <x:v>0.09</x:v>
      </x:c>
      <x:c r="H11" s="150" t="str">
        <x:v>规模增长不直接等于价值增长</x:v>
      </x:c>
      <x:c r="I11" s="139"/>
      <x:c r="J11" s="139"/>
      <x:c r="K11" s="139"/>
      <x:c r="L11" s="139"/>
      <x:c r="M11" s="139"/>
      <x:c r="N11" s="139"/>
      <x:c r="O11" s="139"/>
      <x:c r="P11" s="139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139"/>
      <x:c r="B12" s="146" t="str">
        <x:v>投资资产增速</x:v>
      </x:c>
      <x:c r="C12" s="163" t="n">
        <x:f>CHOOSE($C$6,E12,F12,G12)</x:f>
        <x:v>0.06</x:v>
      </x:c>
      <x:c r="D12" s="153" t="str">
        <x:v>%</x:v>
      </x:c>
      <x:c r="E12" s="164" t="n">
        <x:v>0.03</x:v>
      </x:c>
      <x:c r="F12" s="164" t="n">
        <x:v>0.06</x:v>
      </x:c>
      <x:c r="G12" s="164" t="n">
        <x:v>0.08</x:v>
      </x:c>
      <x:c r="H12" s="150" t="str">
        <x:v>由保费净流入、估值变动共同决定</x:v>
      </x:c>
      <x:c r="I12" s="139"/>
      <x:c r="J12" s="139"/>
      <x:c r="K12" s="139"/>
      <x:c r="L12" s="139"/>
      <x:c r="M12" s="139"/>
      <x:c r="N12" s="139"/>
      <x:c r="O12" s="139"/>
      <x:c r="P12" s="139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customHeight="1">
      <x:c r="A13" s="139"/>
      <x:c r="B13" s="146" t="str">
        <x:v>保险服务业绩/保费代理率</x:v>
      </x:c>
      <x:c r="C13" s="163" t="n">
        <x:f>CHOOSE($C$6,E13,F13,G13)</x:f>
        <x:v>0.1</x:v>
      </x:c>
      <x:c r="D13" s="153" t="str">
        <x:v>%</x:v>
      </x:c>
      <x:c r="E13" s="164" t="n">
        <x:v>0.085</x:v>
      </x:c>
      <x:c r="F13" s="164" t="n">
        <x:v>0.1</x:v>
      </x:c>
      <x:c r="G13" s="164" t="n">
        <x:v>0.105</x:v>
      </x:c>
      <x:c r="H13" s="150" t="str">
        <x:v>跨口径经济性转化代理，非会计利润率</x:v>
      </x:c>
      <x:c r="I13" s="139"/>
      <x:c r="J13" s="139"/>
      <x:c r="K13" s="139"/>
      <x:c r="L13" s="139"/>
      <x:c r="M13" s="139"/>
      <x:c r="N13" s="139"/>
      <x:c r="O13" s="139"/>
      <x:c r="P13" s="139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customHeight="1">
      <x:c r="A14" s="139"/>
      <x:c r="B14" s="146" t="str">
        <x:v>归属股东的归一化投资贡献/资产</x:v>
      </x:c>
      <x:c r="C14" s="163" t="n">
        <x:f>CHOOSE($C$6,E14,F14,G14)</x:f>
        <x:v>0.0105</x:v>
      </x:c>
      <x:c r="D14" s="153" t="str">
        <x:v>%</x:v>
      </x:c>
      <x:c r="E14" s="164" t="n">
        <x:v>0.007</x:v>
      </x:c>
      <x:c r="F14" s="164" t="n">
        <x:v>0.0105</x:v>
      </x:c>
      <x:c r="G14" s="164" t="n">
        <x:v>0.015</x:v>
      </x:c>
      <x:c r="H14" s="150" t="str">
        <x:v>已扣除保险金融损益的情景化近似</x:v>
      </x:c>
      <x:c r="I14" s="139"/>
      <x:c r="J14" s="139"/>
      <x:c r="K14" s="139"/>
      <x:c r="L14" s="139"/>
      <x:c r="M14" s="139"/>
      <x:c r="N14" s="139"/>
      <x:c r="O14" s="139"/>
      <x:c r="P14" s="139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customHeight="1">
      <x:c r="A15" s="139"/>
      <x:c r="B15" s="146" t="str">
        <x:v>其他税前贡献</x:v>
      </x:c>
      <x:c r="C15" s="165" t="n">
        <x:f>CHOOSE($C$6,E15,F15,G15)</x:f>
        <x:v>-20</x:v>
      </x:c>
      <x:c r="D15" s="148" t="str">
        <x:v>亿元</x:v>
      </x:c>
      <x:c r="E15" s="166" t="n">
        <x:v>-35</x:v>
      </x:c>
      <x:c r="F15" s="166" t="n">
        <x:v>-20</x:v>
      </x:c>
      <x:c r="G15" s="166" t="n">
        <x:v>-10</x:v>
      </x:c>
      <x:c r="H15" s="150" t="str">
        <x:v>总部、资产管理及不可分摊项</x:v>
      </x:c>
      <x:c r="I15" s="139"/>
      <x:c r="J15" s="139"/>
      <x:c r="K15" s="139"/>
      <x:c r="L15" s="139"/>
      <x:c r="M15" s="139"/>
      <x:c r="N15" s="139"/>
      <x:c r="O15" s="139"/>
      <x:c r="P15" s="139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customHeight="1">
      <x:c r="A16" s="139"/>
      <x:c r="B16" s="146" t="str">
        <x:v>有效税率</x:v>
      </x:c>
      <x:c r="C16" s="163" t="n">
        <x:f>CHOOSE($C$6,E16,F16,G16)</x:f>
        <x:v>0.14</x:v>
      </x:c>
      <x:c r="D16" s="153" t="str">
        <x:v>%</x:v>
      </x:c>
      <x:c r="E16" s="164" t="n">
        <x:v>0.18</x:v>
      </x:c>
      <x:c r="F16" s="164" t="n">
        <x:v>0.14</x:v>
      </x:c>
      <x:c r="G16" s="164" t="n">
        <x:v>0.12</x:v>
      </x:c>
      <x:c r="H16" s="150" t="str">
        <x:v>参考近期实际税率，非法定税率</x:v>
      </x:c>
      <x:c r="I16" s="139"/>
      <x:c r="J16" s="139"/>
      <x:c r="K16" s="139"/>
      <x:c r="L16" s="139"/>
      <x:c r="M16" s="139"/>
      <x:c r="N16" s="139"/>
      <x:c r="O16" s="139"/>
      <x:c r="P16" s="139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4" customHeight="1">
      <x:c r="A17" s="139"/>
      <x:c r="B17" s="146" t="str">
        <x:v>股利支付率</x:v>
      </x:c>
      <x:c r="C17" s="163" t="n">
        <x:f>CHOOSE($C$6,E17,F17,G17)</x:f>
        <x:v>0.25</x:v>
      </x:c>
      <x:c r="D17" s="153" t="str">
        <x:v>%</x:v>
      </x:c>
      <x:c r="E17" s="164" t="n">
        <x:v>0.22</x:v>
      </x:c>
      <x:c r="F17" s="164" t="n">
        <x:v>0.25</x:v>
      </x:c>
      <x:c r="G17" s="164" t="n">
        <x:v>0.28</x:v>
      </x:c>
      <x:c r="H17" s="150" t="str">
        <x:v>2025财年实际23.5%</x:v>
      </x:c>
      <x:c r="I17" s="139"/>
      <x:c r="J17" s="139"/>
      <x:c r="K17" s="139"/>
      <x:c r="L17" s="139"/>
      <x:c r="M17" s="139"/>
      <x:c r="N17" s="139"/>
      <x:c r="O17" s="139"/>
      <x:c r="P17" s="139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customHeight="1">
      <x:c r="A18" s="139"/>
      <x:c r="B18" s="146" t="str">
        <x:v>归一化总投资收益率</x:v>
      </x:c>
      <x:c r="C18" s="163" t="n">
        <x:f>CHOOSE($C$6,E18,F18,G18)</x:f>
        <x:v>0.033</x:v>
      </x:c>
      <x:c r="D18" s="153" t="str">
        <x:v>%</x:v>
      </x:c>
      <x:c r="E18" s="164" t="n">
        <x:v>0.024</x:v>
      </x:c>
      <x:c r="F18" s="164" t="n">
        <x:v>0.033</x:v>
      </x:c>
      <x:c r="G18" s="164" t="n">
        <x:v>0.047</x:v>
      </x:c>
      <x:c r="H18" s="150" t="str">
        <x:v>将H1 6.7%回归至更可持续水平</x:v>
      </x:c>
      <x:c r="I18" s="139"/>
      <x:c r="J18" s="139"/>
      <x:c r="K18" s="139"/>
      <x:c r="L18" s="139"/>
      <x:c r="M18" s="139"/>
      <x:c r="N18" s="139"/>
      <x:c r="O18" s="139"/>
      <x:c r="P18" s="139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customHeight="1">
      <x:c r="A19" s="139"/>
      <x:c r="B19" s="146" t="str">
        <x:v>起始净投资收益率</x:v>
      </x:c>
      <x:c r="C19" s="163" t="n">
        <x:f>CHOOSE($C$6,E19,F19,G19)</x:f>
        <x:v>0.0235</x:v>
      </x:c>
      <x:c r="D19" s="153" t="str">
        <x:v>%</x:v>
      </x:c>
      <x:c r="E19" s="164" t="n">
        <x:v>0.02</x:v>
      </x:c>
      <x:c r="F19" s="164" t="n">
        <x:v>0.0235</x:v>
      </x:c>
      <x:c r="G19" s="164" t="n">
        <x:v>0.027</x:v>
      </x:c>
      <x:c r="H19" s="150" t="str">
        <x:v>存量到期收益率的基础</x:v>
      </x:c>
      <x:c r="I19" s="139"/>
      <x:c r="J19" s="139"/>
      <x:c r="K19" s="139"/>
      <x:c r="L19" s="139"/>
      <x:c r="M19" s="139"/>
      <x:c r="N19" s="139"/>
      <x:c r="O19" s="139"/>
      <x:c r="P19" s="139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customHeight="1">
      <x:c r="A20" s="139"/>
      <x:c r="B20" s="146" t="str">
        <x:v>每年净投资收益率变化</x:v>
      </x:c>
      <x:c r="C20" s="163" t="n">
        <x:f>CHOOSE($C$6,E20,F20,G20)</x:f>
        <x:v>-0.0008</x:v>
      </x:c>
      <x:c r="D20" s="153" t="str">
        <x:v>ppt</x:v>
      </x:c>
      <x:c r="E20" s="164" t="n">
        <x:v>-0.001</x:v>
      </x:c>
      <x:c r="F20" s="164" t="n">
        <x:v>-0.0008</x:v>
      </x:c>
      <x:c r="G20" s="164" t="n">
        <x:v>-0.0005</x:v>
      </x:c>
      <x:c r="H20" s="150" t="str">
        <x:v>降息通过再投资逐年传导</x:v>
      </x:c>
      <x:c r="I20" s="139"/>
      <x:c r="J20" s="139"/>
      <x:c r="K20" s="139"/>
      <x:c r="L20" s="139"/>
      <x:c r="M20" s="139"/>
      <x:c r="N20" s="139"/>
      <x:c r="O20" s="139"/>
      <x:c r="P20" s="139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customHeight="1">
      <x:c r="A21" s="139"/>
      <x:c r="B21" s="146" t="str">
        <x:v>NBV/首年保费</x:v>
      </x:c>
      <x:c r="C21" s="163" t="n">
        <x:f>CHOOSE($C$6,E21,F21,G21)</x:f>
        <x:v>0.175</x:v>
      </x:c>
      <x:c r="D21" s="153" t="str">
        <x:v>%</x:v>
      </x:c>
      <x:c r="E21" s="164" t="n">
        <x:v>0.14</x:v>
      </x:c>
      <x:c r="F21" s="164" t="n">
        <x:v>0.175</x:v>
      </x:c>
      <x:c r="G21" s="164" t="n">
        <x:v>0.19</x:v>
      </x:c>
      <x:c r="H21" s="150" t="str">
        <x:v>2026H1实际17.2%</x:v>
      </x:c>
      <x:c r="I21" s="139"/>
      <x:c r="J21" s="139"/>
      <x:c r="K21" s="139"/>
      <x:c r="L21" s="139"/>
      <x:c r="M21" s="139"/>
      <x:c r="N21" s="139"/>
      <x:c r="O21" s="139"/>
      <x:c r="P21" s="139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4" customHeight="1">
      <x:c r="A22" s="139"/>
      <x:c r="B22" s="146" t="str">
        <x:v>P/EV倍数</x:v>
      </x:c>
      <x:c r="C22" s="167" t="n">
        <x:f>CHOOSE($C$6,E22,F22,G22)</x:f>
        <x:v>0.65</x:v>
      </x:c>
      <x:c r="D22" s="152" t="str">
        <x:v>x</x:v>
      </x:c>
      <x:c r="E22" s="168" t="n">
        <x:v>0.45</x:v>
      </x:c>
      <x:c r="F22" s="168" t="n">
        <x:v>0.65</x:v>
      </x:c>
      <x:c r="G22" s="168" t="n">
        <x:v>0.8</x:v>
      </x:c>
      <x:c r="H22" s="150" t="str">
        <x:v>低利率、波动利润对保险股估值的折价</x:v>
      </x:c>
      <x:c r="I22" s="139"/>
      <x:c r="J22" s="139"/>
      <x:c r="K22" s="139"/>
      <x:c r="L22" s="139"/>
      <x:c r="M22" s="139"/>
      <x:c r="N22" s="139"/>
      <x:c r="O22" s="139"/>
      <x:c r="P22" s="139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customHeight="1">
      <x:c r="A23" s="139"/>
      <x:c r="B23" s="146" t="str">
        <x:v>要求股息率</x:v>
      </x:c>
      <x:c r="C23" s="163" t="n">
        <x:f>CHOOSE($C$6,E23,F23,G23)</x:f>
        <x:v>0.05</x:v>
      </x:c>
      <x:c r="D23" s="153" t="str">
        <x:v>%</x:v>
      </x:c>
      <x:c r="E23" s="164" t="n">
        <x:v>0.065</x:v>
      </x:c>
      <x:c r="F23" s="164" t="n">
        <x:v>0.05</x:v>
      </x:c>
      <x:c r="G23" s="164" t="n">
        <x:v>0.045</x:v>
      </x:c>
      <x:c r="H23" s="150" t="str">
        <x:v>作为股息锚，不是保证收益</x:v>
      </x:c>
      <x:c r="I23" s="139"/>
      <x:c r="J23" s="139"/>
      <x:c r="K23" s="139"/>
      <x:c r="L23" s="139"/>
      <x:c r="M23" s="139"/>
      <x:c r="N23" s="139"/>
      <x:c r="O23" s="139"/>
      <x:c r="P23" s="139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customHeight="1">
      <x:c r="A24" s="139"/>
      <x:c r="B24" s="146" t="str">
        <x:v>P/EV方法权重</x:v>
      </x:c>
      <x:c r="C24" s="163" t="n">
        <x:f>CHOOSE($C$6,E24,F24,G24)</x:f>
        <x:v>0.7</x:v>
      </x:c>
      <x:c r="D24" s="153" t="str">
        <x:v>%</x:v>
      </x:c>
      <x:c r="E24" s="164" t="n">
        <x:v>0.7</x:v>
      </x:c>
      <x:c r="F24" s="164" t="n">
        <x:v>0.7</x:v>
      </x:c>
      <x:c r="G24" s="164" t="n">
        <x:v>0.7</x:v>
      </x:c>
      <x:c r="H24" s="150" t="str">
        <x:v>寿险主锚</x:v>
      </x:c>
      <x:c r="I24" s="139"/>
      <x:c r="J24" s="139"/>
      <x:c r="K24" s="139"/>
      <x:c r="L24" s="139"/>
      <x:c r="M24" s="139"/>
      <x:c r="N24" s="139"/>
      <x:c r="O24" s="139"/>
      <x:c r="P24" s="139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customHeight="1">
      <x:c r="A25" s="139"/>
      <x:c r="B25" s="146" t="str">
        <x:v>股息率锚权重</x:v>
      </x:c>
      <x:c r="C25" s="163" t="n">
        <x:f>CHOOSE($C$6,E25,F25,G25)</x:f>
        <x:v>0.3</x:v>
      </x:c>
      <x:c r="D25" s="153" t="str">
        <x:v>%</x:v>
      </x:c>
      <x:c r="E25" s="164" t="n">
        <x:v>0.3</x:v>
      </x:c>
      <x:c r="F25" s="164" t="n">
        <x:v>0.3</x:v>
      </x:c>
      <x:c r="G25" s="164" t="n">
        <x:v>0.3</x:v>
      </x:c>
      <x:c r="H25" s="150" t="str">
        <x:v>高分红特征交叉验证</x:v>
      </x:c>
      <x:c r="I25" s="139"/>
      <x:c r="J25" s="139"/>
      <x:c r="K25" s="139"/>
      <x:c r="L25" s="139"/>
      <x:c r="M25" s="139"/>
      <x:c r="N25" s="139"/>
      <x:c r="O25" s="139"/>
      <x:c r="P25" s="139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customHeight="1">
      <x:c r="A26" s="139"/>
      <x:c r="B26" s="146" t="str">
        <x:v>利率情景对有效业务价值影响</x:v>
      </x:c>
      <x:c r="C26" s="165" t="n">
        <x:f>CHOOSE($C$6,E26,F26,G26)</x:f>
        <x:v>0</x:v>
      </x:c>
      <x:c r="D26" s="148" t="str">
        <x:v>亿元</x:v>
      </x:c>
      <x:c r="E26" s="166" t="n">
        <x:v>-407.3</x:v>
      </x:c>
      <x:c r="F26" s="166" t="n">
        <x:v>0</x:v>
      </x:c>
      <x:c r="G26" s="166" t="n">
        <x:v>417.05</x:v>
      </x:c>
      <x:c r="H26" s="150" t="str">
        <x:v>公司披露长期投资回报假设±50bp敏感性</x:v>
      </x:c>
      <x:c r="I26" s="139"/>
      <x:c r="J26" s="139"/>
      <x:c r="K26" s="139"/>
      <x:c r="L26" s="139"/>
      <x:c r="M26" s="139"/>
      <x:c r="N26" s="139"/>
      <x:c r="O26" s="139"/>
      <x:c r="P26" s="139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39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39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3" customHeight="1">
      <x:c r="A29" s="139"/>
      <x:c r="B29" s="142" t="str">
        <x:v>三情景同时计算：保费获利—分红—估值路径</x:v>
      </x:c>
      <x:c r="C29" s="143" t="str">
        <x:v>三情景同时计算：保费获利—分红—估值路径</x:v>
      </x:c>
      <x:c r="D29" s="143" t="str">
        <x:v>三情景同时计算：保费获利—分红—估值路径</x:v>
      </x:c>
      <x:c r="E29" s="143" t="str">
        <x:v>三情景同时计算：保费获利—分红—估值路径</x:v>
      </x:c>
      <x:c r="F29" s="143" t="str">
        <x:v>三情景同时计算：保费获利—分红—估值路径</x:v>
      </x:c>
      <x:c r="G29" s="143" t="str">
        <x:v>三情景同时计算：保费获利—分红—估值路径</x:v>
      </x:c>
      <x:c r="H29" s="143" t="str">
        <x:v>三情景同时计算：保费获利—分红—估值路径</x:v>
      </x:c>
      <x:c r="I29" s="143" t="str">
        <x:v>三情景同时计算：保费获利—分红—估值路径</x:v>
      </x:c>
      <x:c r="J29" s="143" t="str">
        <x:v>三情景同时计算：保费获利—分红—估值路径</x:v>
      </x:c>
      <x:c r="K29" s="143" t="str">
        <x:v>三情景同时计算：保费获利—分红—估值路径</x:v>
      </x:c>
      <x:c r="L29" s="143" t="str">
        <x:v>三情景同时计算：保费获利—分红—估值路径</x:v>
      </x:c>
      <x:c r="M29" s="143" t="str">
        <x:v>三情景同时计算：保费获利—分红—估值路径</x:v>
      </x:c>
      <x:c r="N29" s="143" t="str">
        <x:v>三情景同时计算：保费获利—分红—估值路径</x:v>
      </x:c>
      <x:c r="O29" s="143" t="str">
        <x:v>三情景同时计算：保费获利—分红—估值路径</x:v>
      </x:c>
      <x:c r="P29" s="144" t="str">
        <x:v>三情景同时计算：保费获利—分红—估值路径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8" customHeight="1">
      <x:c r="A30" s="139"/>
      <x:c r="B30" s="17" t="str">
        <x:v>情景</x:v>
      </x:c>
      <x:c r="C30" s="17" t="str">
        <x:v>NTM保费</x:v>
      </x:c>
      <x:c r="D30" s="17" t="str">
        <x:v>NTM投资资产</x:v>
      </x:c>
      <x:c r="E30" s="17" t="str">
        <x:v>保险服务贡献</x:v>
      </x:c>
      <x:c r="F30" s="17" t="str">
        <x:v>归一化投资贡献</x:v>
      </x:c>
      <x:c r="G30" s="17" t="str">
        <x:v>税前利润</x:v>
      </x:c>
      <x:c r="H30" s="17" t="str">
        <x:v>归母净利润</x:v>
      </x:c>
      <x:c r="I30" s="17" t="str">
        <x:v>DPS</x:v>
      </x:c>
      <x:c r="J30" s="17" t="str">
        <x:v>当价股息率</x:v>
      </x:c>
      <x:c r="K30" s="17" t="str">
        <x:v>调整EV</x:v>
      </x:c>
      <x:c r="L30" s="17" t="str">
        <x:v>EVPS</x:v>
      </x:c>
      <x:c r="M30" s="17" t="str">
        <x:v>P/EV价值</x:v>
      </x:c>
      <x:c r="N30" s="17" t="str">
        <x:v>股息锚价值</x:v>
      </x:c>
      <x:c r="O30" s="17" t="str">
        <x:v>加权价值</x:v>
      </x:c>
      <x:c r="P30" s="17" t="str">
        <x:v>相对当前价</x:v>
      </x:c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139"/>
      <x:c r="B31" s="146" t="str">
        <x:v>悲观</x:v>
      </x:c>
      <x:c r="C31" s="169" t="n">
        <x:f>'数据与来源'!B44*(1+E$11)</x:f>
        <x:v>1997.8842</x:v>
      </x:c>
      <x:c r="D31" s="169" t="n">
        <x:f>'数据与来源'!B22*(1+E$12)</x:f>
        <x:v>19589.0962</x:v>
      </x:c>
      <x:c r="E31" s="169" t="n">
        <x:f>C31*E$13</x:f>
        <x:v>169.82015700000002</x:v>
      </x:c>
      <x:c r="F31" s="169" t="n">
        <x:f>D31*E$14</x:f>
        <x:v>137.1236734</x:v>
      </x:c>
      <x:c r="G31" s="169" t="n">
        <x:f>E31+F31+E$15</x:f>
        <x:v>271.9438304</x:v>
      </x:c>
      <x:c r="H31" s="169" t="n">
        <x:f>G31*(1-E$16)</x:f>
        <x:v>222.99394092800003</x:v>
      </x:c>
      <x:c r="I31" s="152" t="n">
        <x:f>H31*E$17/'数据与来源'!B8</x:f>
        <x:v>1.5726217074032491</x:v>
      </x:c>
      <x:c r="J31" s="153" t="n">
        <x:f>I31/'数据与来源'!B7</x:f>
        <x:v>0.03095712022447341</x:v>
      </x:c>
      <x:c r="K31" s="169" t="n">
        <x:f>'数据与来源'!B9+E$26</x:f>
        <x:v>2696.54</x:v>
      </x:c>
      <x:c r="L31" s="152" t="n">
        <x:f>K31/'数据与来源'!B8</x:f>
        <x:v>86.44012562594834</x:v>
      </x:c>
      <x:c r="M31" s="152" t="n">
        <x:f>L31*E$22</x:f>
        <x:v>38.89805653167675</x:v>
      </x:c>
      <x:c r="N31" s="152" t="n">
        <x:f>I31/E$23</x:f>
        <x:v>24.194180113896138</x:v>
      </x:c>
      <x:c r="O31" s="152" t="n">
        <x:f>M31*E$24+N31*E$25</x:f>
        <x:v>34.48689360634256</x:v>
      </x:c>
      <x:c r="P31" s="154" t="n">
        <x:f>O31/'数据与来源'!B7-1</x:f>
        <x:v>-0.32112414160742986</x:v>
      </x:c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139"/>
      <x:c r="B32" s="170" t="str">
        <x:v>基准</x:v>
      </x:c>
      <x:c r="C32" s="171" t="n">
        <x:f>'数据与来源'!B44*(1+F$11)</x:f>
        <x:v>2076.2326000000003</x:v>
      </x:c>
      <x:c r="D32" s="171" t="n">
        <x:f>'数据与来源'!B22*(1+F$12)</x:f>
        <x:v>20159.652400000003</x:v>
      </x:c>
      <x:c r="E32" s="171" t="n">
        <x:f>C32*F$13</x:f>
        <x:v>207.62326000000004</x:v>
      </x:c>
      <x:c r="F32" s="171" t="n">
        <x:f>D32*F$14</x:f>
        <x:v>211.67635020000003</x:v>
      </x:c>
      <x:c r="G32" s="171" t="n">
        <x:f>E32+F32+F$15</x:f>
        <x:v>399.2996102000001</x:v>
      </x:c>
      <x:c r="H32" s="171" t="n">
        <x:f>G32*(1-F$16)</x:f>
        <x:v>343.39766477200004</x:v>
      </x:c>
      <x:c r="I32" s="172" t="n">
        <x:f>H32*F$17/'数据与来源'!B8</x:f>
        <x:v>2.7519837720327693</x:v>
      </x:c>
      <x:c r="J32" s="173" t="n">
        <x:f>I32/'数据与来源'!B7</x:f>
        <x:v>0.054172908898282864</x:v>
      </x:c>
      <x:c r="K32" s="171" t="n">
        <x:f>'数据与来源'!B9+F$26</x:f>
        <x:v>3103.84</x:v>
      </x:c>
      <x:c r="L32" s="172" t="n">
        <x:f>K32/'数据与来源'!B8</x:f>
        <x:v>99.49651016593245</x:v>
      </x:c>
      <x:c r="M32" s="172" t="n">
        <x:f>L32*F$22</x:f>
        <x:v>64.6727316078561</x:v>
      </x:c>
      <x:c r="N32" s="172" t="n">
        <x:f>I32/F$23</x:f>
        <x:v>55.03967544065539</x:v>
      </x:c>
      <x:c r="O32" s="172" t="n">
        <x:f>M32*F$24+N32*F$25</x:f>
        <x:v>61.78281475769588</x:v>
      </x:c>
      <x:c r="P32" s="174" t="n">
        <x:f>O32/'数据与来源'!B7-1</x:f>
        <x:v>0.21619714089952535</x:v>
      </x:c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139"/>
      <x:c r="B33" s="146" t="str">
        <x:v>乐观</x:v>
      </x:c>
      <x:c r="C33" s="169" t="n">
        <x:f>'数据与来源'!B44*(1+G$11)</x:f>
        <x:v>2134.9939000000004</x:v>
      </x:c>
      <x:c r="D33" s="169" t="n">
        <x:f>'数据与来源'!B22*(1+G$12)</x:f>
        <x:v>20540.023200000003</x:v>
      </x:c>
      <x:c r="E33" s="169" t="n">
        <x:f>C33*G$13</x:f>
        <x:v>224.17435950000004</x:v>
      </x:c>
      <x:c r="F33" s="169" t="n">
        <x:f>D33*G$14</x:f>
        <x:v>308.10034800000005</x:v>
      </x:c>
      <x:c r="G33" s="169" t="n">
        <x:f>E33+F33+G$15</x:f>
        <x:v>522.2747075000001</x:v>
      </x:c>
      <x:c r="H33" s="169" t="n">
        <x:f>G33*(1-G$16)</x:f>
        <x:v>459.6017426000001</x:v>
      </x:c>
      <x:c r="I33" s="152" t="n">
        <x:f>H33*G$17/'数据与来源'!B8</x:f>
        <x:v>4.12523050394567</x:v>
      </x:c>
      <x:c r="J33" s="153" t="n">
        <x:f>I33/'数据与来源'!B7</x:f>
        <x:v>0.08120532488082029</x:v>
      </x:c>
      <x:c r="K33" s="169" t="n">
        <x:f>'数据与来源'!B9+G$26</x:f>
        <x:v>3520.8900000000003</x:v>
      </x:c>
      <x:c r="L33" s="152" t="n">
        <x:f>K33/'数据与来源'!B8</x:f>
        <x:v>112.86544012517717</x:v>
      </x:c>
      <x:c r="M33" s="152" t="n">
        <x:f>L33*G$22</x:f>
        <x:v>90.29235210014174</x:v>
      </x:c>
      <x:c r="N33" s="152" t="n">
        <x:f>I33/G$23</x:f>
        <x:v>91.67178897657045</x:v>
      </x:c>
      <x:c r="O33" s="152" t="n">
        <x:f>M33*G$24+N33*G$25</x:f>
        <x:v>90.70618316307035</x:v>
      </x:c>
      <x:c r="P33" s="154" t="n">
        <x:f>O33/'数据与来源'!B7-1</x:f>
        <x:v>0.7855547866746133</x:v>
      </x:c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39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39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3" customHeight="1">
      <x:c r="A36" s="139"/>
      <x:c r="B36" s="142" t="str">
        <x:v>激活情景：降息周期的投资收益量化路径</x:v>
      </x:c>
      <x:c r="C36" s="143" t="str">
        <x:v>激活情景：降息周期的投资收益量化路径</x:v>
      </x:c>
      <x:c r="D36" s="143" t="str">
        <x:v>激活情景：降息周期的投资收益量化路径</x:v>
      </x:c>
      <x:c r="E36" s="143" t="str">
        <x:v>激活情景：降息周期的投资收益量化路径</x:v>
      </x:c>
      <x:c r="F36" s="143" t="str">
        <x:v>激活情景：降息周期的投资收益量化路径</x:v>
      </x:c>
      <x:c r="G36" s="143" t="str">
        <x:v>激活情景：降息周期的投资收益量化路径</x:v>
      </x:c>
      <x:c r="H36" s="143" t="str">
        <x:v>激活情景：降息周期的投资收益量化路径</x:v>
      </x:c>
      <x:c r="I36" s="143" t="str">
        <x:v>激活情景：降息周期的投资收益量化路径</x:v>
      </x:c>
      <x:c r="J36" s="144" t="str">
        <x:v>激活情景：降息周期的投资收益量化路径</x:v>
      </x:c>
      <x:c r="K36" s="139"/>
      <x:c r="L36" s="142" t="str">
        <x:v>利率敏感性：公司披露</x:v>
      </x:c>
      <x:c r="M36" s="143" t="str">
        <x:v>利率敏感性：公司披露</x:v>
      </x:c>
      <x:c r="N36" s="143" t="str">
        <x:v>利率敏感性：公司披露</x:v>
      </x:c>
      <x:c r="O36" s="143" t="str">
        <x:v>利率敏感性：公司披露</x:v>
      </x:c>
      <x:c r="P36" s="144" t="str">
        <x:v>利率敏感性：公司披露</x:v>
      </x:c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8" customHeight="1">
      <x:c r="A37" s="139"/>
      <x:c r="B37" s="17" t="str">
        <x:v>期间</x:v>
      </x:c>
      <x:c r="C37" s="17" t="str">
        <x:v>投资资产</x:v>
      </x:c>
      <x:c r="D37" s="17" t="str">
        <x:v>净投资收益率</x:v>
      </x:c>
      <x:c r="E37" s="17" t="str">
        <x:v>净投资收入</x:v>
      </x:c>
      <x:c r="F37" s="17" t="str">
        <x:v>归一化总收益率</x:v>
      </x:c>
      <x:c r="G37" s="17" t="str">
        <x:v>总投资收入</x:v>
      </x:c>
      <x:c r="H37" s="17" t="str">
        <x:v>与4% EV假设偏差</x:v>
      </x:c>
      <x:c r="I37" s="17" t="str">
        <x:v>粗略税前敏感性：10bp</x:v>
      </x:c>
      <x:c r="J37" s="17" t="str">
        <x:v>粗略税后每股影响</x:v>
      </x:c>
      <x:c r="K37" s="139"/>
      <x:c r="L37" s="17" t="str">
        <x:v>长期投资回报假设</x:v>
      </x:c>
      <x:c r="M37" s="17" t="str">
        <x:v>VIF</x:v>
      </x:c>
      <x:c r="N37" s="17" t="str">
        <x:v>H1 NBV</x:v>
      </x:c>
      <x:c r="O37" s="17" t="str">
        <x:v>调整后总EV</x:v>
      </x:c>
      <x:c r="P37" s="17" t="str">
        <x:v>较基准EV</x:v>
      </x:c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139"/>
      <x:c r="B38" s="146" t="str">
        <x:v>未来12个月</x:v>
      </x:c>
      <x:c r="C38" s="169" t="n">
        <x:f>'数据与来源'!B22*(1+$C$12)</x:f>
        <x:v>20159.652400000003</x:v>
      </x:c>
      <x:c r="D38" s="147" t="n">
        <x:f>MAX(0,$C$19+($C$20*(ROW()-38)))</x:f>
        <x:v>0.0235</x:v>
      </x:c>
      <x:c r="E38" s="169" t="n">
        <x:f>C38*D38</x:f>
        <x:v>473.75183140000007</x:v>
      </x:c>
      <x:c r="F38" s="147" t="n">
        <x:f>MAX(0,$C$18+($C$20*(ROW()-38)))</x:f>
        <x:v>0.033</x:v>
      </x:c>
      <x:c r="G38" s="169" t="n">
        <x:f>C38*F38</x:f>
        <x:v>665.2685292000001</x:v>
      </x:c>
      <x:c r="H38" s="147" t="n">
        <x:f>F38-'数据与来源'!B39</x:f>
        <x:v>-0.006999999999999999</x:v>
      </x:c>
      <x:c r="I38" s="152" t="n">
        <x:f>C38*0.1%</x:f>
        <x:v>20.159652400000002</x:v>
      </x:c>
      <x:c r="J38" s="175" t="n">
        <x:f>I38*(1-25%)/'数据与来源'!B8</x:f>
        <x:v>0.48467746242354587</x:v>
      </x:c>
      <x:c r="K38" s="139"/>
      <x:c r="L38" s="176" t="str">
        <x:v>-50bp</x:v>
      </x:c>
      <x:c r="M38" s="177" t="n">
        <x:v>427.09</x:v>
      </x:c>
      <x:c r="N38" s="177" t="n">
        <x:v>54.3</x:v>
      </x:c>
      <x:c r="O38" s="177" t="n">
        <x:f>'数据与来源'!B37+M38</x:f>
        <x:v>2696.54</x:v>
      </x:c>
      <x:c r="P38" s="178" t="n">
        <x:f>O38/$O$39-1</x:f>
        <x:v>-0.1312245476570958</x:v>
      </x:c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139"/>
      <x:c r="B39" s="146" t="str">
        <x:v>第2年</x:v>
      </x:c>
      <x:c r="C39" s="169" t="n">
        <x:f>C38*(1+$C$12)</x:f>
        <x:v>21369.231544000006</x:v>
      </x:c>
      <x:c r="D39" s="147" t="n">
        <x:f>MAX(0,$C$19+($C$20*(ROW()-38)))</x:f>
        <x:v>0.0227</x:v>
      </x:c>
      <x:c r="E39" s="169" t="n">
        <x:f>C39*D39</x:f>
        <x:v>485.08155604880017</x:v>
      </x:c>
      <x:c r="F39" s="147" t="n">
        <x:f>MAX(0,$C$18+($C$20*(ROW()-38)))</x:f>
        <x:v>0.0322</x:v>
      </x:c>
      <x:c r="G39" s="169" t="n">
        <x:f>C39*F39</x:f>
        <x:v>688.0892557168002</x:v>
      </x:c>
      <x:c r="H39" s="147" t="n">
        <x:f>F39-'数据与来源'!B39</x:f>
        <x:v>-0.007800000000000001</x:v>
      </x:c>
      <x:c r="I39" s="152" t="n">
        <x:f>C39*0.1%</x:f>
        <x:v>21.369231544000005</x:v>
      </x:c>
      <x:c r="J39" s="175" t="n">
        <x:f>I39*(1-25%)/'数据与来源'!B8</x:f>
        <x:v>0.5137581101689587</x:v>
      </x:c>
      <x:c r="K39" s="139"/>
      <x:c r="L39" s="146" t="str">
        <x:v>基准4.0%</x:v>
      </x:c>
      <x:c r="M39" s="152" t="n">
        <x:v>834.39</x:v>
      </x:c>
      <x:c r="N39" s="152" t="n">
        <x:v>69.16</x:v>
      </x:c>
      <x:c r="O39" s="152" t="n">
        <x:v>3103.84</x:v>
      </x:c>
      <x:c r="P39" s="154" t="n">
        <x:f>0</x:f>
        <x:v>0</x:v>
      </x:c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139"/>
      <x:c r="B40" s="146" t="str">
        <x:v>第3年</x:v>
      </x:c>
      <x:c r="C40" s="169" t="n">
        <x:f>C39*(1+$C$12)</x:f>
        <x:v>22651.38543664001</x:v>
      </x:c>
      <x:c r="D40" s="147" t="n">
        <x:f>MAX(0,$C$19+($C$20*(ROW()-38)))</x:f>
        <x:v>0.0219</x:v>
      </x:c>
      <x:c r="E40" s="169" t="n">
        <x:f>C40*D40</x:f>
        <x:v>496.06534106241617</x:v>
      </x:c>
      <x:c r="F40" s="147" t="n">
        <x:f>MAX(0,$C$18+($C$20*(ROW()-38)))</x:f>
        <x:v>0.031400000000000004</x:v>
      </x:c>
      <x:c r="G40" s="169" t="n">
        <x:f>C40*F40</x:f>
        <x:v>711.2535027104964</x:v>
      </x:c>
      <x:c r="H40" s="147" t="n">
        <x:f>F40-'数据与来源'!B39</x:f>
        <x:v>-0.008599999999999997</x:v>
      </x:c>
      <x:c r="I40" s="152" t="n">
        <x:f>C40*0.1%</x:f>
        <x:v>22.65138543664001</x:v>
      </x:c>
      <x:c r="J40" s="175" t="n">
        <x:f>I40*(1-25%)/'数据与来源'!B8</x:f>
        <x:v>0.5445835967790962</x:v>
      </x:c>
      <x:c r="K40" s="139"/>
      <x:c r="L40" s="155" t="str">
        <x:v>+50bp</x:v>
      </x:c>
      <x:c r="M40" s="156" t="n">
        <x:v>1251.44</x:v>
      </x:c>
      <x:c r="N40" s="156" t="n">
        <x:v>83.59</x:v>
      </x:c>
      <x:c r="O40" s="156" t="n">
        <x:f>'数据与来源'!B37+M40</x:f>
        <x:v>3520.89</x:v>
      </x:c>
      <x:c r="P40" s="158" t="n">
        <x:f>O40/$O$39-1</x:f>
        <x:v>0.13436581782566104</x:v>
      </x:c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139"/>
      <x:c r="B41" s="146" t="str">
        <x:v>第4年</x:v>
      </x:c>
      <x:c r="C41" s="169" t="n">
        <x:f>C40*(1+$C$12)</x:f>
        <x:v>24010.46856283841</x:v>
      </x:c>
      <x:c r="D41" s="147" t="n">
        <x:f>MAX(0,$C$19+($C$20*(ROW()-38)))</x:f>
        <x:v>0.0211</x:v>
      </x:c>
      <x:c r="E41" s="169" t="n">
        <x:f>C41*D41</x:f>
        <x:v>506.62088667589046</x:v>
      </x:c>
      <x:c r="F41" s="147" t="n">
        <x:f>MAX(0,$C$18+($C$20*(ROW()-38)))</x:f>
        <x:v>0.030600000000000002</x:v>
      </x:c>
      <x:c r="G41" s="169" t="n">
        <x:f>C41*F41</x:f>
        <x:v>734.7203380228555</x:v>
      </x:c>
      <x:c r="H41" s="147" t="n">
        <x:f>F41-'数据与来源'!B39</x:f>
        <x:v>-0.009399999999999999</x:v>
      </x:c>
      <x:c r="I41" s="152" t="n">
        <x:f>C41*0.1%</x:f>
        <x:v>24.010468562838412</x:v>
      </x:c>
      <x:c r="J41" s="175" t="n">
        <x:f>I41*(1-25%)/'数据与来源'!B8</x:f>
        <x:v>0.5772586125858421</x:v>
      </x:c>
      <x:c r="K41" s="139"/>
      <x:c r="L41" s="139"/>
      <x:c r="M41" s="139"/>
      <x:c r="N41" s="139"/>
      <x:c r="O41" s="139"/>
      <x:c r="P41" s="139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39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39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3" customHeight="1">
      <x:c r="A44" s="139"/>
      <x:c r="B44" s="142" t="str">
        <x:v>模型解读与限制</x:v>
      </x:c>
      <x:c r="C44" s="143" t="str">
        <x:v>模型解读与限制</x:v>
      </x:c>
      <x:c r="D44" s="143" t="str">
        <x:v>模型解读与限制</x:v>
      </x:c>
      <x:c r="E44" s="143" t="str">
        <x:v>模型解读与限制</x:v>
      </x:c>
      <x:c r="F44" s="143" t="str">
        <x:v>模型解读与限制</x:v>
      </x:c>
      <x:c r="G44" s="143" t="str">
        <x:v>模型解读与限制</x:v>
      </x:c>
      <x:c r="H44" s="143" t="str">
        <x:v>模型解读与限制</x:v>
      </x:c>
      <x:c r="I44" s="143" t="str">
        <x:v>模型解读与限制</x:v>
      </x:c>
      <x:c r="J44" s="143" t="str">
        <x:v>模型解读与限制</x:v>
      </x:c>
      <x:c r="K44" s="143" t="str">
        <x:v>模型解读与限制</x:v>
      </x:c>
      <x:c r="L44" s="143" t="str">
        <x:v>模型解读与限制</x:v>
      </x:c>
      <x:c r="M44" s="143" t="str">
        <x:v>模型解读与限制</x:v>
      </x:c>
      <x:c r="N44" s="143" t="str">
        <x:v>模型解读与限制</x:v>
      </x:c>
      <x:c r="O44" s="143" t="str">
        <x:v>模型解读与限制</x:v>
      </x:c>
      <x:c r="P44" s="144" t="str">
        <x:v>模型解读与限制</x:v>
      </x:c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4" customHeight="1">
      <x:c r="A45" s="139"/>
      <x:c r="B45" s="179" t="str">
        <x:v>结论</x:v>
      </x:c>
      <x:c r="C45" s="180" t="str">
        <x:v>基准情景下，归一化总投资收益率由6.7%回落到3.3%，仍可以通过资产增长、负债成本下行和分红险分担风险维持大致2.7元DPS；但它不是保证值。</x:v>
      </x:c>
      <x:c r="D45" s="180"/>
      <x:c r="E45" s="180"/>
      <x:c r="F45" s="180"/>
      <x:c r="G45" s="180"/>
      <x:c r="H45" s="180"/>
      <x:c r="I45" s="180"/>
      <x:c r="J45" s="180"/>
      <x:c r="K45" s="180"/>
      <x:c r="L45" s="180"/>
      <x:c r="M45" s="180"/>
      <x:c r="N45" s="180"/>
      <x:c r="O45" s="180"/>
      <x:c r="P45" s="181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34" customHeight="1">
      <x:c r="A46" s="139"/>
      <x:c r="B46" s="182" t="str">
        <x:v>量化重点</x:v>
      </x:c>
      <x:c r="C46" s="183" t="str">
        <x:v>1.90万亿投资资产意味着10bp的收益率变动约对应19.0亿元税前投资收入；以25%税率粗估约0.46元/股。实际利润受IFRS17匹配、保险金融损益和实现节奏影响，不会1:1传导。</x:v>
      </x:c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  <x:c r="O46" s="183"/>
      <x:c r="P46" s="184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34" customHeight="1">
      <x:c r="A47" s="139"/>
      <x:c r="B47" s="182" t="str">
        <x:v>降息约束</x:v>
      </x:c>
      <x:c r="C47" s="183" t="str">
        <x:v>公司EV使用4.0%长期投资回报假设，而2026-10-21的10年国债约1.62%，中间差额必须由长久期、信用、权益和非标等补足。</x:v>
      </x:c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  <x:c r="O47" s="183"/>
      <x:c r="P47" s="184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34" customHeight="1">
      <x:c r="A48" s="139"/>
      <x:c r="B48" s="185" t="str">
        <x:v>估值局限</x:v>
      </x:c>
      <x:c r="C48" s="186" t="str">
        <x:v>P/EV使用公司内含价值，其本身包含长期假设；股息率锚对支付率高度敏感。因此价值区间比单点价格更重要。</x:v>
      </x:c>
      <x:c r="D48" s="186"/>
      <x:c r="E48" s="186"/>
      <x:c r="F48" s="186"/>
      <x:c r="G48" s="186"/>
      <x:c r="H48" s="186"/>
      <x:c r="I48" s="186"/>
      <x:c r="J48" s="186"/>
      <x:c r="K48" s="186"/>
      <x:c r="L48" s="186"/>
      <x:c r="M48" s="186"/>
      <x:c r="N48" s="186"/>
      <x:c r="O48" s="186"/>
      <x:c r="P48" s="187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P2"/>
    <x:mergeCell ref="A3:P3"/>
    <x:mergeCell ref="B5:H5"/>
    <x:mergeCell ref="D6:H6"/>
    <x:mergeCell ref="C7:H7"/>
    <x:mergeCell ref="B9:H9"/>
    <x:mergeCell ref="B29:P29"/>
    <x:mergeCell ref="B36:J36"/>
    <x:mergeCell ref="L36:P36"/>
    <x:mergeCell ref="B44:P44"/>
    <x:mergeCell ref="C45:P45"/>
    <x:mergeCell ref="C46:P46"/>
    <x:mergeCell ref="C47:P47"/>
    <x:mergeCell ref="C48:P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7A8C"/>
  </x:sheetPr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3" hidden="0" customWidth="1"/>
    <x:col min="4" max="4" width="12" hidden="0" customWidth="1"/>
    <x:col min="5" max="5" width="13" hidden="0" customWidth="1"/>
    <x:col min="6" max="6" width="13" hidden="0" customWidth="1"/>
    <x:col min="7" max="7" width="15" hidden="0" customWidth="1"/>
    <x:col min="8" max="8" width="12" hidden="0" customWidth="1"/>
    <x:col min="9" max="9" width="18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26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新华保险：保费获利、分红险转型与投资资产</x:v>
      </x:c>
      <x:c r="B2" s="140" t="str">
        <x:v>新华保险：保费获利、分红险转型与投资资产</x:v>
      </x:c>
      <x:c r="C2" s="140" t="str">
        <x:v>新华保险：保费获利、分红险转型与投资资产</x:v>
      </x:c>
      <x:c r="D2" s="140" t="str">
        <x:v>新华保险：保费获利、分红险转型与投资资产</x:v>
      </x:c>
      <x:c r="E2" s="140" t="str">
        <x:v>新华保险：保费获利、分红险转型与投资资产</x:v>
      </x:c>
      <x:c r="F2" s="140" t="str">
        <x:v>新华保险：保费获利、分红险转型与投资资产</x:v>
      </x:c>
      <x:c r="G2" s="140" t="str">
        <x:v>新华保险：保费获利、分红险转型与投资资产</x:v>
      </x:c>
      <x:c r="H2" s="140" t="str">
        <x:v>新华保险：保费获利、分红险转型与投资资产</x:v>
      </x:c>
      <x:c r="I2" s="140" t="str">
        <x:v>新华保险：保费获利、分红险转型与投资资产</x:v>
      </x:c>
      <x:c r="J2" s="140" t="str">
        <x:v>新华保险：保费获利、分红险转型与投资资产</x:v>
      </x:c>
      <x:c r="K2" s="140" t="str">
        <x:v>新华保险：保费获利、分红险转型与投资资产</x:v>
      </x:c>
      <x:c r="L2" s="140" t="str">
        <x:v>新华保险：保费获利、分红险转型与投资资产</x:v>
      </x:c>
      <x:c r="M2" s="140" t="str">
        <x:v>新华保险：保费获利、分红险转型与投资资产</x:v>
      </x:c>
      <x:c r="N2" s="140" t="str">
        <x:v>新华保险：保费获利、分红险转型与投资资产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先把规模、价值和会计利润分开，再看降息下资产端与负债端如何共同决定股东收益。</x:v>
      </x:c>
      <x:c r="B3" s="141" t="str">
        <x:v>先把规模、价值和会计利润分开，再看降息下资产端与负债端如何共同决定股东收益。</x:v>
      </x:c>
      <x:c r="C3" s="141" t="str">
        <x:v>先把规模、价值和会计利润分开，再看降息下资产端与负债端如何共同决定股东收益。</x:v>
      </x:c>
      <x:c r="D3" s="141" t="str">
        <x:v>先把规模、价值和会计利润分开，再看降息下资产端与负债端如何共同决定股东收益。</x:v>
      </x:c>
      <x:c r="E3" s="141" t="str">
        <x:v>先把规模、价值和会计利润分开，再看降息下资产端与负债端如何共同决定股东收益。</x:v>
      </x:c>
      <x:c r="F3" s="141" t="str">
        <x:v>先把规模、价值和会计利润分开，再看降息下资产端与负债端如何共同决定股东收益。</x:v>
      </x:c>
      <x:c r="G3" s="141" t="str">
        <x:v>先把规模、价值和会计利润分开，再看降息下资产端与负债端如何共同决定股东收益。</x:v>
      </x:c>
      <x:c r="H3" s="141" t="str">
        <x:v>先把规模、价值和会计利润分开，再看降息下资产端与负债端如何共同决定股东收益。</x:v>
      </x:c>
      <x:c r="I3" s="141" t="str">
        <x:v>先把规模、价值和会计利润分开，再看降息下资产端与负债端如何共同决定股东收益。</x:v>
      </x:c>
      <x:c r="J3" s="141" t="str">
        <x:v>先把规模、价值和会计利润分开，再看降息下资产端与负债端如何共同决定股东收益。</x:v>
      </x:c>
      <x:c r="K3" s="141" t="str">
        <x:v>先把规模、价值和会计利润分开，再看降息下资产端与负债端如何共同决定股东收益。</x:v>
      </x:c>
      <x:c r="L3" s="141" t="str">
        <x:v>先把规模、价值和会计利润分开，再看降息下资产端与负债端如何共同决定股东收益。</x:v>
      </x:c>
      <x:c r="M3" s="141" t="str">
        <x:v>先把规模、价值和会计利润分开，再看降息下资产端与负债端如何共同决定股东收益。</x:v>
      </x:c>
      <x:c r="N3" s="141" t="str">
        <x:v>先把规模、价值和会计利润分开，再看降息下资产端与负债端如何共同决定股东收益。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39"/>
      <x:c r="B5" s="142" t="str">
        <x:v>产品结构：分红险明显提速</x:v>
      </x:c>
      <x:c r="C5" s="143" t="str">
        <x:v>产品结构：分红险明显提速</x:v>
      </x:c>
      <x:c r="D5" s="143" t="str">
        <x:v>产品结构：分红险明显提速</x:v>
      </x:c>
      <x:c r="E5" s="143" t="str">
        <x:v>产品结构：分红险明显提速</x:v>
      </x:c>
      <x:c r="F5" s="143" t="str">
        <x:v>产品结构：分红险明显提速</x:v>
      </x:c>
      <x:c r="G5" s="144" t="str">
        <x:v>产品结构：分红险明显提速</x:v>
      </x:c>
      <x:c r="H5" s="139"/>
      <x:c r="I5" s="142" t="str">
        <x:v>保费如何转化为价值与利润</x:v>
      </x:c>
      <x:c r="J5" s="143" t="str">
        <x:v>保费如何转化为价值与利润</x:v>
      </x:c>
      <x:c r="K5" s="143" t="str">
        <x:v>保费如何转化为价值与利润</x:v>
      </x:c>
      <x:c r="L5" s="143" t="str">
        <x:v>保费如何转化为价值与利润</x:v>
      </x:c>
      <x:c r="M5" s="143" t="str">
        <x:v>保费如何转化为价值与利润</x:v>
      </x:c>
      <x:c r="N5" s="144" t="str">
        <x:v>保费如何转化为价值与利润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39"/>
      <x:c r="B6" s="17" t="str">
        <x:v>险种</x:v>
      </x:c>
      <x:c r="C6" s="17" t="str">
        <x:v>2025A保费</x:v>
      </x:c>
      <x:c r="D6" s="17" t="str">
        <x:v>2025A占比</x:v>
      </x:c>
      <x:c r="E6" s="17" t="str">
        <x:v>2026H1保费</x:v>
      </x:c>
      <x:c r="F6" s="17" t="str">
        <x:v>2026H1占比</x:v>
      </x:c>
      <x:c r="G6" s="17" t="str">
        <x:v>结构变化</x:v>
      </x:c>
      <x:c r="H6" s="139"/>
      <x:c r="I6" s="17" t="str">
        <x:v>指标</x:v>
      </x:c>
      <x:c r="J6" s="17" t="str">
        <x:v>公式/口径</x:v>
      </x:c>
      <x:c r="K6" s="17" t="str">
        <x:v>2025/对比</x:v>
      </x:c>
      <x:c r="L6" s="17" t="str">
        <x:v>2026H1</x:v>
      </x:c>
      <x:c r="M6" s="17" t="str">
        <x:v>变化</x:v>
      </x:c>
      <x:c r="N6" s="17" t="str">
        <x:v>解读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8" customHeight="1">
      <x:c r="A7" s="139"/>
      <x:c r="B7" s="146" t="str">
        <x:v>传统险</x:v>
      </x:c>
      <x:c r="C7" s="152" t="n">
        <x:v>1066.9</x:v>
      </x:c>
      <x:c r="D7" s="153" t="n">
        <x:f>C7/SUM($C$7:$C$11)</x:f>
        <x:v>0.5446952330870828</x:v>
      </x:c>
      <x:c r="E7" s="152" t="n">
        <x:v>533.91</x:v>
      </x:c>
      <x:c r="F7" s="153" t="n">
        <x:f>E7/SUM($E$7:$E$11)</x:f>
        <x:v>0.4120629775410975</x:v>
      </x:c>
      <x:c r="G7" s="154" t="n">
        <x:f>F7-D7</x:f>
        <x:v>-0.1326322555459853</x:v>
      </x:c>
      <x:c r="H7" s="139"/>
      <x:c r="I7" s="146" t="str">
        <x:v>NBV/首年保费</x:v>
      </x:c>
      <x:c r="J7" s="148" t="str">
        <x:v>NBV÷FYP</x:v>
      </x:c>
      <x:c r="K7" s="153" t="n">
        <x:v>0.1489</x:v>
      </x:c>
      <x:c r="L7" s="153" t="n">
        <x:f>'数据与来源'!B18/'数据与来源'!B19</x:f>
        <x:v>0.1716640190627482</x:v>
      </x:c>
      <x:c r="M7" s="153" t="n">
        <x:f>L7-K7</x:f>
        <x:v>0.022764019062748192</x:v>
      </x:c>
      <x:c r="N7" s="150" t="str">
        <x:v>最接近“新保费获利”的价值口径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8" customHeight="1">
      <x:c r="A8" s="139"/>
      <x:c r="B8" s="155" t="str">
        <x:v>分红险</x:v>
      </x:c>
      <x:c r="C8" s="156" t="n">
        <x:v>376.04</x:v>
      </x:c>
      <x:c r="D8" s="157" t="n">
        <x:f>C8/SUM($C$7:$C$11)</x:f>
        <x:v>0.19198349934395595</x:v>
      </x:c>
      <x:c r="E8" s="156" t="n">
        <x:v>484.92</x:v>
      </x:c>
      <x:c r="F8" s="157" t="n">
        <x:f>E8/SUM($E$7:$E$11)</x:f>
        <x:v>0.37425329937485535</x:v>
      </x:c>
      <x:c r="G8" s="158" t="n">
        <x:f>F8-D8</x:f>
        <x:v>0.1822698000308994</x:v>
      </x:c>
      <x:c r="H8" s="139"/>
      <x:c r="I8" s="146" t="str">
        <x:v>保险服务业绩/保费</x:v>
      </x:c>
      <x:c r="J8" s="148" t="str">
        <x:v>ISR÷GWP</x:v>
      </x:c>
      <x:c r="K8" s="153"/>
      <x:c r="L8" s="153" t="n">
        <x:f>'数据与来源'!B20/'数据与来源'!B17</x:f>
        <x:v>0.08390831210928455</x:v>
      </x:c>
      <x:c r="M8" s="153"/>
      <x:c r="N8" s="150" t="str">
        <x:v>跨口径代理，不是会计利润率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8" customHeight="1">
      <x:c r="A9" s="139"/>
      <x:c r="B9" s="146" t="str">
        <x:v>健康险</x:v>
      </x:c>
      <x:c r="C9" s="152" t="n">
        <x:v>507.66</x:v>
      </x:c>
      <x:c r="D9" s="153" t="n">
        <x:f>C9/SUM($C$7:$C$11)</x:f>
        <x:v>0.25918078735494277</x:v>
      </x:c>
      <x:c r="E9" s="152" t="n">
        <x:v>272.06</x:v>
      </x:c>
      <x:c r="F9" s="153" t="n">
        <x:f>E9/SUM($E$7:$E$11)</x:f>
        <x:v>0.20997144400710044</x:v>
      </x:c>
      <x:c r="G9" s="154" t="n">
        <x:f>F9-D9</x:f>
        <x:v>-0.04920934334784233</x:v>
      </x:c>
      <x:c r="H9" s="139"/>
      <x:c r="I9" s="146" t="str">
        <x:v>保险服务业绩/服务收入</x:v>
      </x:c>
      <x:c r="J9" s="148" t="str">
        <x:v>ISR÷ISR revenue</x:v>
      </x:c>
      <x:c r="K9" s="153"/>
      <x:c r="L9" s="153" t="n">
        <x:f>'数据与来源'!B20/'数据与来源'!B21</x:f>
        <x:v>0.41116405718175625</x:v>
      </x:c>
      <x:c r="M9" s="153"/>
      <x:c r="N9" s="150" t="str">
        <x:v>IFRS17下的服务结果转化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customHeight="1">
      <x:c r="A10" s="139"/>
      <x:c r="B10" s="146" t="str">
        <x:v>意外险</x:v>
      </x:c>
      <x:c r="C10" s="152" t="n">
        <x:v>7.43</x:v>
      </x:c>
      <x:c r="D10" s="153" t="n">
        <x:f>C10/SUM($C$7:$C$11)</x:f>
        <x:v>0.0037933129457653246</x:v>
      </x:c>
      <x:c r="E10" s="152" t="n">
        <x:v>4.45</x:v>
      </x:c>
      <x:c r="F10" s="153" t="n">
        <x:f>E10/SUM($E$7:$E$11)</x:f>
        <x:v>0.0034344369838697235</x:v>
      </x:c>
      <x:c r="G10" s="154" t="n">
        <x:f>F10-D10</x:f>
        <x:v>-0.0003588759618956012</x:v>
      </x:c>
      <x:c r="H10" s="139"/>
      <x:c r="I10" s="146" t="str">
        <x:v>归母净利润/保费</x:v>
      </x:c>
      <x:c r="J10" s="148" t="str">
        <x:v>NP÷GWP</x:v>
      </x:c>
      <x:c r="K10" s="153"/>
      <x:c r="L10" s="153" t="n">
        <x:f>'数据与来源'!B14/'数据与来源'!B17</x:f>
        <x:v>0.1759126340973991</x:v>
      </x:c>
      <x:c r="M10" s="153"/>
      <x:c r="N10" s="150" t="str">
        <x:v>受投资收益主导，不能当承保利润率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8" customHeight="1">
      <x:c r="A11" s="139"/>
      <x:c r="B11" s="146" t="str">
        <x:v>万能险</x:v>
      </x:c>
      <x:c r="C11" s="152" t="n">
        <x:v>0.68</x:v>
      </x:c>
      <x:c r="D11" s="153" t="n">
        <x:f>C11/SUM($C$7:$C$11)</x:f>
        <x:v>0.0003471672682530849</x:v>
      </x:c>
      <x:c r="E11" s="152" t="n">
        <x:v>0.36</x:v>
      </x:c>
      <x:c r="F11" s="153" t="n">
        <x:f>E11/SUM($E$7:$E$11)</x:f>
        <x:v>0.0002778420930771012</x:v>
      </x:c>
      <x:c r="G11" s="154" t="n">
        <x:f>F11-D11</x:f>
        <x:v>-0.00006932517517598371</x:v>
      </x:c>
      <x:c r="H11" s="139"/>
      <x:c r="I11" s="146" t="str">
        <x:v>CSM增长</x:v>
      </x:c>
      <x:c r="J11" s="148" t="str">
        <x:v>期末较年初</x:v>
      </x:c>
      <x:c r="K11" s="153"/>
      <x:c r="L11" s="153" t="n">
        <x:f>'数据与来源'!B25/'数据与来源'!B34-1</x:f>
        <x:v>0.06677195511850442</x:v>
      </x:c>
      <x:c r="M11" s="153"/>
      <x:c r="N11" s="150" t="str">
        <x:v>未来利润池变化，仍受假设更新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8" customHeight="1">
      <x:c r="A12" s="139"/>
      <x:c r="B12" s="139"/>
      <x:c r="C12" s="139"/>
      <x:c r="D12" s="139"/>
      <x:c r="E12" s="139"/>
      <x:c r="F12" s="139"/>
      <x:c r="G12" s="139"/>
      <x:c r="H12" s="139"/>
      <x:c r="I12" s="146" t="str">
        <x:v>13/25月继续率</x:v>
      </x:c>
      <x:c r="J12" s="148" t="str">
        <x:v>保单质量</x:v>
      </x:c>
      <x:c r="K12" s="148" t="str">
        <x:v>96.2% / 92.5%</x:v>
      </x:c>
      <x:c r="L12" s="148" t="str">
        <x:v>97.5% / 93.6%</x:v>
      </x:c>
      <x:c r="M12" s="148"/>
      <x:c r="N12" s="150" t="str">
        <x:v>留存改善减少价值泄漏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3" customHeight="1">
      <x:c r="A14" s="139"/>
      <x:c r="B14" s="142" t="str">
        <x:v>2026H1投资资产结构：1.90万亿的收益引擎</x:v>
      </x:c>
      <x:c r="C14" s="143" t="str">
        <x:v>2026H1投资资产结构：1.90万亿的收益引擎</x:v>
      </x:c>
      <x:c r="D14" s="143" t="str">
        <x:v>2026H1投资资产结构：1.90万亿的收益引擎</x:v>
      </x:c>
      <x:c r="E14" s="143" t="str">
        <x:v>2026H1投资资产结构：1.90万亿的收益引擎</x:v>
      </x:c>
      <x:c r="F14" s="143" t="str">
        <x:v>2026H1投资资产结构：1.90万亿的收益引擎</x:v>
      </x:c>
      <x:c r="G14" s="144" t="str">
        <x:v>2026H1投资资产结构：1.90万亿的收益引擎</x:v>
      </x:c>
      <x:c r="H14" s="139"/>
      <x:c r="I14" s="142" t="str">
        <x:v>投资收益与利润来源</x:v>
      </x:c>
      <x:c r="J14" s="143" t="str">
        <x:v>投资收益与利润来源</x:v>
      </x:c>
      <x:c r="K14" s="143" t="str">
        <x:v>投资收益与利润来源</x:v>
      </x:c>
      <x:c r="L14" s="143" t="str">
        <x:v>投资收益与利润来源</x:v>
      </x:c>
      <x:c r="M14" s="143" t="str">
        <x:v>投资收益与利润来源</x:v>
      </x:c>
      <x:c r="N14" s="144" t="str">
        <x:v>投资收益与利润来源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139"/>
      <x:c r="B15" s="17" t="str">
        <x:v>资产类别</x:v>
      </x:c>
      <x:c r="C15" s="17" t="str">
        <x:v>金额</x:v>
      </x:c>
      <x:c r="D15" s="17" t="str">
        <x:v>占比</x:v>
      </x:c>
      <x:c r="E15" s="17" t="str">
        <x:v>主要作用</x:v>
      </x:c>
      <x:c r="F15" s="17" t="str">
        <x:v>降息影响</x:v>
      </x:c>
      <x:c r="G15" s="17" t="str">
        <x:v>A股影响</x:v>
      </x:c>
      <x:c r="H15" s="139"/>
      <x:c r="I15" s="17" t="str">
        <x:v>指标</x:v>
      </x:c>
      <x:c r="J15" s="17" t="str">
        <x:v>2025A/3年均值</x:v>
      </x:c>
      <x:c r="K15" s="17" t="str">
        <x:v>2026H1</x:v>
      </x:c>
      <x:c r="L15" s="17" t="str">
        <x:v>状态</x:v>
      </x:c>
      <x:c r="M15" s="17" t="str">
        <x:v>可持续性</x:v>
      </x:c>
      <x:c r="N15" s="17" t="str">
        <x:v>判断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6" customHeight="1">
      <x:c r="A16" s="139"/>
      <x:c r="B16" s="146" t="str">
        <x:v>债券</x:v>
      </x:c>
      <x:c r="C16" s="152" t="n">
        <x:v>9751.01</x:v>
      </x:c>
      <x:c r="D16" s="153" t="n">
        <x:v>0.513</x:v>
      </x:c>
      <x:c r="E16" s="149" t="str">
        <x:v>久期与稳定现金流</x:v>
      </x:c>
      <x:c r="F16" s="149" t="str">
        <x:v>新投资收益率下行；存量债估值可上行</x:v>
      </x:c>
      <x:c r="G16" s="150" t="str">
        <x:v>间接</x:v>
      </x:c>
      <x:c r="H16" s="139"/>
      <x:c r="I16" s="146" t="str">
        <x:v>净投资收益率</x:v>
      </x:c>
      <x:c r="J16" s="153" t="n">
        <x:v>0.03</x:v>
      </x:c>
      <x:c r="K16" s="153" t="n">
        <x:v>0.026</x:v>
      </x:c>
      <x:c r="L16" s="148" t="str">
        <x:v>下行</x:v>
      </x:c>
      <x:c r="M16" s="148" t="str">
        <x:v>中高</x:v>
      </x:c>
      <x:c r="N16" s="150" t="str">
        <x:v>降息压制新投资券息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6" customHeight="1">
      <x:c r="A17" s="139"/>
      <x:c r="B17" s="146" t="str">
        <x:v>股票</x:v>
      </x:c>
      <x:c r="C17" s="152" t="n">
        <x:v>2500.94</x:v>
      </x:c>
      <x:c r="D17" s="153" t="n">
        <x:v>0.132</x:v>
      </x:c>
      <x:c r="E17" s="149" t="str">
        <x:v>收益增强与通胀对冲</x:v>
      </x:c>
      <x:c r="F17" s="149" t="str">
        <x:v>相对吸引力提升但波动增大</x:v>
      </x:c>
      <x:c r="G17" s="150" t="str">
        <x:v>直接高Beta</x:v>
      </x:c>
      <x:c r="H17" s="139"/>
      <x:c r="I17" s="146" t="str">
        <x:v>总投资收益率</x:v>
      </x:c>
      <x:c r="J17" s="153" t="n">
        <x:v>0.066</x:v>
      </x:c>
      <x:c r="K17" s="153" t="n">
        <x:v>0.067</x:v>
      </x:c>
      <x:c r="L17" s="148" t="str">
        <x:v>高位</x:v>
      </x:c>
      <x:c r="M17" s="148" t="str">
        <x:v>低中</x:v>
      </x:c>
      <x:c r="N17" s="150" t="str">
        <x:v>含大额交易收益，不宜外推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6" customHeight="1">
      <x:c r="A18" s="139"/>
      <x:c r="B18" s="146" t="str">
        <x:v>基金</x:v>
      </x:c>
      <x:c r="C18" s="152" t="n">
        <x:v>2357.06</x:v>
      </x:c>
      <x:c r="D18" s="153" t="n">
        <x:v>0.124</x:v>
      </x:c>
      <x:c r="E18" s="149" t="str">
        <x:v>股债与策略配置</x:v>
      </x:c>
      <x:c r="F18" s="149" t="str">
        <x:v>取决于底层资产</x:v>
      </x:c>
      <x:c r="G18" s="150" t="str">
        <x:v>中高</x:v>
      </x:c>
      <x:c r="H18" s="139"/>
      <x:c r="I18" s="146" t="str">
        <x:v>综合投资收益率</x:v>
      </x:c>
      <x:c r="J18" s="153" t="n">
        <x:v>0.05</x:v>
      </x:c>
      <x:c r="K18" s="153" t="n">
        <x:v>0.064</x:v>
      </x:c>
      <x:c r="L18" s="148" t="str">
        <x:v>改善</x:v>
      </x:c>
      <x:c r="M18" s="148" t="str">
        <x:v>中</x:v>
      </x:c>
      <x:c r="N18" s="150" t="str">
        <x:v>含OCI估值变动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6" customHeight="1">
      <x:c r="A19" s="139"/>
      <x:c r="B19" s="146" t="str">
        <x:v>定期存款</x:v>
      </x:c>
      <x:c r="C19" s="152" t="n">
        <x:v>2269.52</x:v>
      </x:c>
      <x:c r="D19" s="153" t="n">
        <x:v>0.119</x:v>
      </x:c>
      <x:c r="E19" s="149" t="str">
        <x:v>流动性与稳定息收</x:v>
      </x:c>
      <x:c r="F19" s="149" t="str">
        <x:v>到期后再投资压力最直接</x:v>
      </x:c>
      <x:c r="G19" s="150" t="str">
        <x:v>低</x:v>
      </x:c>
      <x:c r="H19" s="139"/>
      <x:c r="I19" s="146" t="str">
        <x:v>保险服务及其他税前贡献</x:v>
      </x:c>
      <x:c r="J19" s="148"/>
      <x:c r="K19" s="148" t="n">
        <x:v>86.62</x:v>
      </x:c>
      <x:c r="L19" s="148" t="str">
        <x:v>亿元</x:v>
      </x:c>
      <x:c r="M19" s="148" t="str">
        <x:v>中高</x:v>
      </x:c>
      <x:c r="N19" s="150" t="str">
        <x:v>更靠近保险主业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6" customHeight="1">
      <x:c r="A20" s="139"/>
      <x:c r="B20" s="146" t="str">
        <x:v>其他金融资产</x:v>
      </x:c>
      <x:c r="C20" s="152" t="n">
        <x:v>958.79</x:v>
      </x:c>
      <x:c r="D20" s="153" t="n">
        <x:v>0.05</x:v>
      </x:c>
      <x:c r="E20" s="149" t="str">
        <x:v>多元化收益</x:v>
      </x:c>
      <x:c r="F20" s="149" t="str">
        <x:v>信用利差可部分对冲</x:v>
      </x:c>
      <x:c r="G20" s="150" t="str">
        <x:v>中</x:v>
      </x:c>
      <x:c r="H20" s="139"/>
      <x:c r="I20" s="146" t="str">
        <x:v>投资结果税前贡献</x:v>
      </x:c>
      <x:c r="J20" s="148"/>
      <x:c r="K20" s="148" t="n">
        <x:v>179.61</x:v>
      </x:c>
      <x:c r="L20" s="148" t="str">
        <x:v>亿元</x:v>
      </x:c>
      <x:c r="M20" s="148" t="str">
        <x:v>中低</x:v>
      </x:c>
      <x:c r="N20" s="150" t="str">
        <x:v>占2026H1税前利润的67%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6" customHeight="1">
      <x:c r="A21" s="139"/>
      <x:c r="B21" s="146" t="str">
        <x:v>长期股权投资</x:v>
      </x:c>
      <x:c r="C21" s="152" t="n">
        <x:v>618.91</x:v>
      </x:c>
      <x:c r="D21" s="153" t="n">
        <x:v>0.033</x:v>
      </x:c>
      <x:c r="E21" s="149" t="str">
        <x:v>长期产业与联营收益</x:v>
      </x:c>
      <x:c r="F21" s="149" t="str">
        <x:v>需看底层回报</x:v>
      </x:c>
      <x:c r="G21" s="150" t="str">
        <x:v>中</x:v>
      </x:c>
      <x:c r="H21" s="139"/>
      <x:c r="I21" s="146" t="str">
        <x:v>CSM释放</x:v>
      </x:c>
      <x:c r="J21" s="148" t="n">
        <x:v>165.5</x:v>
      </x:c>
      <x:c r="K21" s="148" t="n">
        <x:v>87.91</x:v>
      </x:c>
      <x:c r="L21" s="148" t="str">
        <x:v>亿元</x:v>
      </x:c>
      <x:c r="M21" s="148" t="str">
        <x:v>中高</x:v>
      </x:c>
      <x:c r="N21" s="150" t="str">
        <x:v>提供利润可见度，不等于现金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6" customHeight="1">
      <x:c r="A22" s="139"/>
      <x:c r="B22" s="146" t="str">
        <x:v>现金及等价物</x:v>
      </x:c>
      <x:c r="C22" s="152" t="n">
        <x:v>330.65</x:v>
      </x:c>
      <x:c r="D22" s="153" t="n">
        <x:v>0.017</x:v>
      </x:c>
      <x:c r="E22" s="149" t="str">
        <x:v>流动性</x:v>
      </x:c>
      <x:c r="F22" s="149" t="str">
        <x:v>息收下降</x:v>
      </x:c>
      <x:c r="G22" s="150" t="str">
        <x:v>低</x:v>
      </x:c>
      <x:c r="H22" s="139"/>
      <x:c r="I22" s="146" t="str">
        <x:v>2025年末CSM计划一年内释放</x:v>
      </x:c>
      <x:c r="J22" s="148" t="n">
        <x:v>157.5</x:v>
      </x:c>
      <x:c r="K22" s="148"/>
      <x:c r="L22" s="148" t="str">
        <x:v>亿元</x:v>
      </x:c>
      <x:c r="M22" s="148" t="str">
        <x:v>假设敏感</x:v>
      </x:c>
      <x:c r="N22" s="150" t="str">
        <x:v>年内利润池参照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6" customHeight="1">
      <x:c r="A23" s="139"/>
      <x:c r="B23" s="146" t="str">
        <x:v>其他</x:v>
      </x:c>
      <x:c r="C23" s="152" t="n">
        <x:v>231.66</x:v>
      </x:c>
      <x:c r="D23" s="153" t="n">
        <x:v>0.012</x:v>
      </x:c>
      <x:c r="E23" s="149" t="str">
        <x:v>投资性房地产等</x:v>
      </x:c>
      <x:c r="F23" s="149" t="str">
        <x:v>分化</x:v>
      </x:c>
      <x:c r="G23" s="150" t="str">
        <x:v>低至中</x:v>
      </x:c>
      <x:c r="H23" s="139"/>
      <x:c r="I23" s="146" t="str">
        <x:v>非标资产占比</x:v>
      </x:c>
      <x:c r="J23" s="148"/>
      <x:c r="K23" s="153" t="n">
        <x:v>0.036</x:v>
      </x:c>
      <x:c r="L23" s="148" t="str">
        <x:v>占投资资产</x:v>
      </x:c>
      <x:c r="M23" s="148" t="str">
        <x:v>中</x:v>
      </x:c>
      <x:c r="N23" s="150" t="str">
        <x:v>比重不高，仍需看信用质量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3" customHeight="1">
      <x:c r="A26" s="139"/>
      <x:c r="B26" s="142" t="str">
        <x:v>分红险转型：能降风险，不能保证业绩</x:v>
      </x:c>
      <x:c r="C26" s="143" t="str">
        <x:v>分红险转型：能降风险，不能保证业绩</x:v>
      </x:c>
      <x:c r="D26" s="143" t="str">
        <x:v>分红险转型：能降风险，不能保证业绩</x:v>
      </x:c>
      <x:c r="E26" s="143" t="str">
        <x:v>分红险转型：能降风险，不能保证业绩</x:v>
      </x:c>
      <x:c r="F26" s="143" t="str">
        <x:v>分红险转型：能降风险，不能保证业绩</x:v>
      </x:c>
      <x:c r="G26" s="143" t="str">
        <x:v>分红险转型：能降风险，不能保证业绩</x:v>
      </x:c>
      <x:c r="H26" s="143" t="str">
        <x:v>分红险转型：能降风险，不能保证业绩</x:v>
      </x:c>
      <x:c r="I26" s="143" t="str">
        <x:v>分红险转型：能降风险，不能保证业绩</x:v>
      </x:c>
      <x:c r="J26" s="143" t="str">
        <x:v>分红险转型：能降风险，不能保证业绩</x:v>
      </x:c>
      <x:c r="K26" s="143" t="str">
        <x:v>分红险转型：能降风险，不能保证业绩</x:v>
      </x:c>
      <x:c r="L26" s="143" t="str">
        <x:v>分红险转型：能降风险，不能保证业绩</x:v>
      </x:c>
      <x:c r="M26" s="143" t="str">
        <x:v>分红险转型：能降风险，不能保证业绩</x:v>
      </x:c>
      <x:c r="N26" s="144" t="str">
        <x:v>分红险转型：能降风险，不能保证业绩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8" customHeight="1">
      <x:c r="A27" s="139"/>
      <x:c r="B27" s="17" t="str">
        <x:v>链条</x:v>
      </x:c>
      <x:c r="C27" s="17" t="str">
        <x:v>客观事实</x:v>
      </x:c>
      <x:c r="D27" s="17"/>
      <x:c r="E27" s="17"/>
      <x:c r="F27" s="17"/>
      <x:c r="G27" s="17" t="str">
        <x:v>对股东的正面影响</x:v>
      </x:c>
      <x:c r="H27" s="17"/>
      <x:c r="I27" s="17"/>
      <x:c r="J27" s="17"/>
      <x:c r="K27" s="17" t="str">
        <x:v>不能忽略的约束</x:v>
      </x:c>
      <x:c r="L27" s="17"/>
      <x:c r="M27" s="17"/>
      <x:c r="N27" s="17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8" customHeight="1">
      <x:c r="A28" s="139"/>
      <x:c r="B28" s="146" t="str">
        <x:v>定价</x:v>
      </x:c>
      <x:c r="C28" s="149" t="str">
        <x:v>新分红险预定利率上限已降至1.75%。</x:v>
      </x:c>
      <x:c r="D28" s="149"/>
      <x:c r="E28" s="149"/>
      <x:c r="F28" s="149"/>
      <x:c r="G28" s="188" t="str">
        <x:v>保证成本低于老产品，利差损风险下降。</x:v>
      </x:c>
      <x:c r="H28" s="188"/>
      <x:c r="I28" s="188"/>
      <x:c r="J28" s="188"/>
      <x:c r="K28" s="189" t="str">
        <x:v>低保证可能影响销售转化，需用浮动分红弥补客户预期。</x:v>
      </x:c>
      <x:c r="L28" s="189"/>
      <x:c r="M28" s="189"/>
      <x:c r="N28" s="190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8" customHeight="1">
      <x:c r="A29" s="139"/>
      <x:c r="B29" s="146" t="str">
        <x:v>分享</x:v>
      </x:c>
      <x:c r="C29" s="149" t="str">
        <x:v>公司披露参与分红保单剩余中70%归保单持有人。</x:v>
      </x:c>
      <x:c r="D29" s="149"/>
      <x:c r="E29" s="149"/>
      <x:c r="F29" s="149"/>
      <x:c r="G29" s="188" t="str">
        <x:v>低收益年份，给客户的非保证分红可调节，资产负债更有弹性。</x:v>
      </x:c>
      <x:c r="H29" s="188"/>
      <x:c r="I29" s="188"/>
      <x:c r="J29" s="188"/>
      <x:c r="K29" s="189" t="str">
        <x:v>高收益也需分享，股东仅保留约30%剩余；并非全部投资上行都归股东。</x:v>
      </x:c>
      <x:c r="L29" s="189"/>
      <x:c r="M29" s="189"/>
      <x:c r="N29" s="190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8" customHeight="1">
      <x:c r="A30" s="139"/>
      <x:c r="B30" s="146" t="str">
        <x:v>规模</x:v>
      </x:c>
      <x:c r="C30" s="149" t="str">
        <x:v>2026H1分红险保费同比+165.4%，占比从15.1%升至37.4%。</x:v>
      </x:c>
      <x:c r="D30" s="149"/>
      <x:c r="E30" s="149"/>
      <x:c r="F30" s="149"/>
      <x:c r="G30" s="188" t="str">
        <x:v>转型速度足够快，未来新业务的负债成本结构可改善。</x:v>
      </x:c>
      <x:c r="H30" s="188"/>
      <x:c r="I30" s="188"/>
      <x:c r="J30" s="188"/>
      <x:c r="K30" s="189" t="str">
        <x:v>新业务在整个存量负债中仍然较小，老保单成本不会立即消失。</x:v>
      </x:c>
      <x:c r="L30" s="189"/>
      <x:c r="M30" s="189"/>
      <x:c r="N30" s="190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8" customHeight="1">
      <x:c r="A31" s="139"/>
      <x:c r="B31" s="146" t="str">
        <x:v>价值</x:v>
      </x:c>
      <x:c r="C31" s="149" t="str">
        <x:v>2026H1 NBV/FYP升至17.2%，新业务价值同比+11.9%。</x:v>
      </x:c>
      <x:c r="D31" s="149"/>
      <x:c r="E31" s="149"/>
      <x:c r="F31" s="149"/>
      <x:c r="G31" s="188" t="str">
        <x:v>产品结构与期交改善已经反映到新业务价值率。</x:v>
      </x:c>
      <x:c r="H31" s="188"/>
      <x:c r="I31" s="188"/>
      <x:c r="J31" s="188"/>
      <x:c r="K31" s="189" t="str">
        <x:v>公司敏感性显示：长期投资回报下调50bp，VIF下陈48.8%、NBV下陈21.5%。</x:v>
      </x:c>
      <x:c r="L31" s="189"/>
      <x:c r="M31" s="189"/>
      <x:c r="N31" s="190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8" customHeight="1">
      <x:c r="A32" s="139"/>
      <x:c r="B32" s="146" t="str">
        <x:v>利润</x:v>
      </x:c>
      <x:c r="C32" s="149" t="str">
        <x:v>CSM由2025年末1,817亿元增至2026H1的1,939亿元，H1释放88亿元。</x:v>
      </x:c>
      <x:c r="D32" s="149"/>
      <x:c r="E32" s="149"/>
      <x:c r="F32" s="149"/>
      <x:c r="G32" s="188" t="str">
        <x:v>利润池扩大、释放可见度提升。</x:v>
      </x:c>
      <x:c r="H32" s="188"/>
      <x:c r="I32" s="188"/>
      <x:c r="J32" s="188"/>
      <x:c r="K32" s="189" t="str">
        <x:v>CSM不是现金，会随继续率、费用、死差和金融假设变化。</x:v>
      </x:c>
      <x:c r="L32" s="189"/>
      <x:c r="M32" s="189"/>
      <x:c r="N32" s="190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8" customHeight="1">
      <x:c r="A33" s="139"/>
      <x:c r="B33" s="146" t="str">
        <x:v>结论</x:v>
      </x:c>
      <x:c r="C33" s="149" t="str">
        <x:v>分红险把一部分投资风险从保险公司单方承担，变成与客户共享。</x:v>
      </x:c>
      <x:c r="D33" s="149"/>
      <x:c r="E33" s="149"/>
      <x:c r="F33" s="149"/>
      <x:c r="G33" s="188" t="str">
        <x:v>它是降低尾部风险、平滑长期回报的机制。</x:v>
      </x:c>
      <x:c r="H33" s="188"/>
      <x:c r="I33" s="188"/>
      <x:c r="J33" s="188"/>
      <x:c r="K33" s="189" t="str">
        <x:v>它不保证未来利润，也不保证现金分红；只是提高“可预测性”。</x:v>
      </x:c>
      <x:c r="L33" s="189"/>
      <x:c r="M33" s="189"/>
      <x:c r="N33" s="190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B5:G5"/>
    <x:mergeCell ref="I5:N5"/>
    <x:mergeCell ref="B14:G14"/>
    <x:mergeCell ref="I14:N14"/>
    <x:mergeCell ref="B26:N26"/>
    <x:mergeCell ref="C27:F27"/>
    <x:mergeCell ref="G27:J27"/>
    <x:mergeCell ref="K27:N27"/>
    <x:mergeCell ref="C28:F28"/>
    <x:mergeCell ref="G28:J28"/>
    <x:mergeCell ref="K28:N28"/>
    <x:mergeCell ref="C29:F29"/>
    <x:mergeCell ref="G29:J29"/>
    <x:mergeCell ref="K29:N29"/>
    <x:mergeCell ref="C30:F30"/>
    <x:mergeCell ref="G30:J30"/>
    <x:mergeCell ref="K30:N30"/>
    <x:mergeCell ref="C31:F31"/>
    <x:mergeCell ref="G31:J31"/>
    <x:mergeCell ref="K31:N31"/>
    <x:mergeCell ref="C32:F32"/>
    <x:mergeCell ref="G32:J32"/>
    <x:mergeCell ref="K32:N32"/>
    <x:mergeCell ref="C33:F33"/>
    <x:mergeCell ref="G33:J33"/>
    <x:mergeCell ref="K33:N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3" hidden="0" customWidth="1"/>
    <x:col min="11" max="11" width="23" hidden="0" customWidth="1"/>
    <x:col min="12" max="12" width="14" hidden="0" customWidth="1"/>
    <x:col min="13" max="13" width="14" hidden="0" customWidth="1"/>
    <x:col min="14" max="14" width="27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新华保险：历史财务、价值增长与股东回报</x:v>
      </x:c>
      <x:c r="B2" s="140" t="str">
        <x:v>新华保险：历史财务、价值增长与股东回报</x:v>
      </x:c>
      <x:c r="C2" s="140" t="str">
        <x:v>新华保险：历史财务、价值增长与股东回报</x:v>
      </x:c>
      <x:c r="D2" s="140" t="str">
        <x:v>新华保险：历史财务、价值增长与股东回报</x:v>
      </x:c>
      <x:c r="E2" s="140" t="str">
        <x:v>新华保险：历史财务、价值增长与股东回报</x:v>
      </x:c>
      <x:c r="F2" s="140" t="str">
        <x:v>新华保险：历史财务、价值增长与股东回报</x:v>
      </x:c>
      <x:c r="G2" s="140" t="str">
        <x:v>新华保险：历史财务、价值增长与股东回报</x:v>
      </x:c>
      <x:c r="H2" s="140" t="str">
        <x:v>新华保险：历史财务、价值增长与股东回报</x:v>
      </x:c>
      <x:c r="I2" s="140" t="str">
        <x:v>新华保险：历史财务、价值增长与股东回报</x:v>
      </x:c>
      <x:c r="J2" s="140" t="str">
        <x:v>新华保险：历史财务、价值增长与股东回报</x:v>
      </x:c>
      <x:c r="K2" s="140" t="str">
        <x:v>新华保险：历史财务、价值增长与股东回报</x:v>
      </x:c>
      <x:c r="L2" s="140" t="str">
        <x:v>新华保险：历史财务、价值增长与股东回报</x:v>
      </x:c>
      <x:c r="M2" s="140" t="str">
        <x:v>新华保险：历史财务、价值增长与股东回报</x:v>
      </x:c>
      <x:c r="N2" s="140" t="str">
        <x:v>新华保险：历史财务、价值增长与股东回报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先看五年稳定性，再看2026H1拐点。保险股的单年净利润会被资本市场放大，不宜用TTM PE单独估值。</x:v>
      </x:c>
      <x:c r="B3" s="141" t="str">
        <x:v>先看五年稳定性，再看2026H1拐点。保险股的单年净利润会被资本市场放大，不宜用TTM PE单独估值。</x:v>
      </x:c>
      <x:c r="C3" s="141" t="str">
        <x:v>先看五年稳定性，再看2026H1拐点。保险股的单年净利润会被资本市场放大，不宜用TTM PE单独估值。</x:v>
      </x:c>
      <x:c r="D3" s="141" t="str">
        <x:v>先看五年稳定性，再看2026H1拐点。保险股的单年净利润会被资本市场放大，不宜用TTM PE单独估值。</x:v>
      </x:c>
      <x:c r="E3" s="141" t="str">
        <x:v>先看五年稳定性，再看2026H1拐点。保险股的单年净利润会被资本市场放大，不宜用TTM PE单独估值。</x:v>
      </x:c>
      <x:c r="F3" s="141" t="str">
        <x:v>先看五年稳定性，再看2026H1拐点。保险股的单年净利润会被资本市场放大，不宜用TTM PE单独估值。</x:v>
      </x:c>
      <x:c r="G3" s="141" t="str">
        <x:v>先看五年稳定性，再看2026H1拐点。保险股的单年净利润会被资本市场放大，不宜用TTM PE单独估值。</x:v>
      </x:c>
      <x:c r="H3" s="141" t="str">
        <x:v>先看五年稳定性，再看2026H1拐点。保险股的单年净利润会被资本市场放大，不宜用TTM PE单独估值。</x:v>
      </x:c>
      <x:c r="I3" s="141" t="str">
        <x:v>先看五年稳定性，再看2026H1拐点。保险股的单年净利润会被资本市场放大，不宜用TTM PE单独估值。</x:v>
      </x:c>
      <x:c r="J3" s="141" t="str">
        <x:v>先看五年稳定性，再看2026H1拐点。保险股的单年净利润会被资本市场放大，不宜用TTM PE单独估值。</x:v>
      </x:c>
      <x:c r="K3" s="141" t="str">
        <x:v>先看五年稳定性，再看2026H1拐点。保险股的单年净利润会被资本市场放大，不宜用TTM PE单独估值。</x:v>
      </x:c>
      <x:c r="L3" s="141" t="str">
        <x:v>先看五年稳定性，再看2026H1拐点。保险股的单年净利润会被资本市场放大，不宜用TTM PE单独估值。</x:v>
      </x:c>
      <x:c r="M3" s="141" t="str">
        <x:v>先看五年稳定性，再看2026H1拐点。保险股的单年净利润会被资本市场放大，不宜用TTM PE单独估值。</x:v>
      </x:c>
      <x:c r="N3" s="141" t="str">
        <x:v>先看五年稳定性，再看2026H1拐点。保险股的单年净利润会被资本市场放大，不宜用TTM PE单独估值。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39"/>
      <x:c r="B5" s="142" t="str">
        <x:v>2021—2025年度历史</x:v>
      </x:c>
      <x:c r="C5" s="143" t="str">
        <x:v>2021—2025年度历史</x:v>
      </x:c>
      <x:c r="D5" s="143" t="str">
        <x:v>2021—2025年度历史</x:v>
      </x:c>
      <x:c r="E5" s="143" t="str">
        <x:v>2021—2025年度历史</x:v>
      </x:c>
      <x:c r="F5" s="143" t="str">
        <x:v>2021—2025年度历史</x:v>
      </x:c>
      <x:c r="G5" s="143" t="str">
        <x:v>2021—2025年度历史</x:v>
      </x:c>
      <x:c r="H5" s="143" t="str">
        <x:v>2021—2025年度历史</x:v>
      </x:c>
      <x:c r="I5" s="144" t="str">
        <x:v>2021—2025年度历史</x:v>
      </x:c>
      <x:c r="J5" s="139"/>
      <x:c r="K5" s="142" t="str">
        <x:v>2026H1与最新估值</x:v>
      </x:c>
      <x:c r="L5" s="143" t="str">
        <x:v>2026H1与最新估值</x:v>
      </x:c>
      <x:c r="M5" s="143" t="str">
        <x:v>2026H1与最新估值</x:v>
      </x:c>
      <x:c r="N5" s="144" t="str">
        <x:v>2026H1与最新估值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39"/>
      <x:c r="B6" s="17" t="str">
        <x:v>年份</x:v>
      </x:c>
      <x:c r="C6" s="17" t="str">
        <x:v>原保费</x:v>
      </x:c>
      <x:c r="D6" s="17" t="str">
        <x:v>归母净利润</x:v>
      </x:c>
      <x:c r="E6" s="17" t="str">
        <x:v>内含价值</x:v>
      </x:c>
      <x:c r="F6" s="17" t="str">
        <x:v>现金分红</x:v>
      </x:c>
      <x:c r="G6" s="17" t="str">
        <x:v>DPS</x:v>
      </x:c>
      <x:c r="H6" s="17" t="str">
        <x:v>股利支付率</x:v>
      </x:c>
      <x:c r="I6" s="17" t="str">
        <x:v>总资产</x:v>
      </x:c>
      <x:c r="J6" s="139"/>
      <x:c r="K6" s="17" t="str">
        <x:v>指标</x:v>
      </x:c>
      <x:c r="L6" s="17" t="str">
        <x:v>数值</x:v>
      </x:c>
      <x:c r="M6" s="17" t="str">
        <x:v>同比/参照</x:v>
      </x:c>
      <x:c r="N6" s="17" t="str">
        <x:v>评价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39"/>
      <x:c r="B7" s="146" t="n">
        <x:v>2021</x:v>
      </x:c>
      <x:c r="C7" s="152" t="n">
        <x:v>1634.7</x:v>
      </x:c>
      <x:c r="D7" s="152" t="n">
        <x:v>149.47</x:v>
      </x:c>
      <x:c r="E7" s="152" t="n">
        <x:v>2588.24</x:v>
      </x:c>
      <x:c r="F7" s="152" t="n">
        <x:v>44.92</x:v>
      </x:c>
      <x:c r="G7" s="152" t="n">
        <x:v>1.44</x:v>
      </x:c>
      <x:c r="H7" s="153" t="n">
        <x:f>F7/D7</x:f>
        <x:v>0.3005285341540109</x:v>
      </x:c>
      <x:c r="I7" s="175" t="n">
        <x:v>11277.21</x:v>
      </x:c>
      <x:c r="J7" s="139"/>
      <x:c r="K7" s="146" t="str">
        <x:v>归母净利润</x:v>
      </x:c>
      <x:c r="L7" s="148" t="n">
        <x:v>227.93</x:v>
      </x:c>
      <x:c r="M7" s="153" t="n">
        <x:v>0.54</x:v>
      </x:c>
      <x:c r="N7" s="150" t="str">
        <x:v>强，但投资贡献较大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39"/>
      <x:c r="B8" s="146" t="n">
        <x:v>2022</x:v>
      </x:c>
      <x:c r="C8" s="152" t="n">
        <x:v>1630.99</x:v>
      </x:c>
      <x:c r="D8" s="152" t="n">
        <x:v>98.22</x:v>
      </x:c>
      <x:c r="E8" s="152" t="n">
        <x:v>2555.82</x:v>
      </x:c>
      <x:c r="F8" s="152" t="n">
        <x:v>33.69</x:v>
      </x:c>
      <x:c r="G8" s="152" t="n">
        <x:v>1.08</x:v>
      </x:c>
      <x:c r="H8" s="153" t="n">
        <x:f>F8/D8</x:f>
        <x:v>0.34300549786194257</x:v>
      </x:c>
      <x:c r="I8" s="175" t="n">
        <x:v>12550.44</x:v>
      </x:c>
      <x:c r="J8" s="139"/>
      <x:c r="K8" s="146" t="str">
        <x:v>原保险保费</x:v>
      </x:c>
      <x:c r="L8" s="148" t="n">
        <x:v>1295.7</x:v>
      </x:c>
      <x:c r="M8" s="153" t="n">
        <x:v>0.069</x:v>
      </x:c>
      <x:c r="N8" s="150" t="str">
        <x:v>稳健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39"/>
      <x:c r="B9" s="146" t="n">
        <x:v>2023</x:v>
      </x:c>
      <x:c r="C9" s="152" t="n">
        <x:v>1659.03</x:v>
      </x:c>
      <x:c r="D9" s="152" t="n">
        <x:v>87.12</x:v>
      </x:c>
      <x:c r="E9" s="152" t="n">
        <x:v>2505.1</x:v>
      </x:c>
      <x:c r="F9" s="152" t="n">
        <x:v>26.52</x:v>
      </x:c>
      <x:c r="G9" s="152" t="n">
        <x:v>0.85</x:v>
      </x:c>
      <x:c r="H9" s="153" t="n">
        <x:f>F9/D9</x:f>
        <x:v>0.30440771349862256</x:v>
      </x:c>
      <x:c r="I9" s="175" t="n">
        <x:v>14032.57</x:v>
      </x:c>
      <x:c r="J9" s="139"/>
      <x:c r="K9" s="146" t="str">
        <x:v>新业务价值</x:v>
      </x:c>
      <x:c r="L9" s="148" t="n">
        <x:v>69.16</x:v>
      </x:c>
      <x:c r="M9" s="153" t="n">
        <x:v>0.119</x:v>
      </x:c>
      <x:c r="N9" s="150" t="str">
        <x:v>价值同步改善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39"/>
      <x:c r="B10" s="146" t="n">
        <x:v>2024</x:v>
      </x:c>
      <x:c r="C10" s="152" t="n">
        <x:v>1705.11</x:v>
      </x:c>
      <x:c r="D10" s="152" t="n">
        <x:v>262.29</x:v>
      </x:c>
      <x:c r="E10" s="152" t="n">
        <x:v>2584.48</x:v>
      </x:c>
      <x:c r="F10" s="152" t="n">
        <x:v>78.93</x:v>
      </x:c>
      <x:c r="G10" s="152" t="n">
        <x:v>2.53</x:v>
      </x:c>
      <x:c r="H10" s="153" t="n">
        <x:f>F10/D10</x:f>
        <x:v>0.30092645545007435</x:v>
      </x:c>
      <x:c r="I10" s="175" t="n">
        <x:v>16922.97</x:v>
      </x:c>
      <x:c r="J10" s="139"/>
      <x:c r="K10" s="146" t="str">
        <x:v>内含价值</x:v>
      </x:c>
      <x:c r="L10" s="148" t="n">
        <x:v>3103.84</x:v>
      </x:c>
      <x:c r="M10" s="153" t="n">
        <x:v>0.078</x:v>
      </x:c>
      <x:c r="N10" s="150" t="str">
        <x:v>半年增长7.8%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39"/>
      <x:c r="B11" s="146" t="n">
        <x:v>2025</x:v>
      </x:c>
      <x:c r="C11" s="152" t="n">
        <x:v>1958.71</x:v>
      </x:c>
      <x:c r="D11" s="152" t="n">
        <x:v>362.84</x:v>
      </x:c>
      <x:c r="E11" s="152" t="n">
        <x:v>2878.4</x:v>
      </x:c>
      <x:c r="F11" s="152" t="n">
        <x:v>85.16</x:v>
      </x:c>
      <x:c r="G11" s="152" t="n">
        <x:v>2.73</x:v>
      </x:c>
      <x:c r="H11" s="153" t="n">
        <x:f>F11/D11</x:f>
        <x:v>0.23470400176386286</x:v>
      </x:c>
      <x:c r="I11" s="175" t="n">
        <x:v>18994.84</x:v>
      </x:c>
      <x:c r="J11" s="139"/>
      <x:c r="K11" s="146" t="str">
        <x:v>总投资收益率</x:v>
      </x:c>
      <x:c r="L11" s="153" t="n">
        <x:v>0.067</x:v>
      </x:c>
      <x:c r="M11" s="153" t="n">
        <x:v>0.008</x:v>
      </x:c>
      <x:c r="N11" s="150" t="str">
        <x:v>高位，不宜外推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46" t="str">
        <x:v>当前P/EV</x:v>
      </x:c>
      <x:c r="L12" s="151" t="n">
        <x:f>'数据与来源'!B7/('数据与来源'!B9/'数据与来源'!B8)</x:f>
        <x:v>0.5105706714263621</x:v>
      </x:c>
      <x:c r="M12" s="148"/>
      <x:c r="N12" s="150" t="str">
        <x:v>显著折价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46" t="str">
        <x:v>当前P/B</x:v>
      </x:c>
      <x:c r="L13" s="151" t="n">
        <x:f>'数据与来源'!B7/('数据与来源'!B10/'数据与来源'!B8)</x:f>
        <x:v>1.2823720021363025</x:v>
      </x:c>
      <x:c r="M13" s="148"/>
      <x:c r="N13" s="150" t="str">
        <x:v>约略高于净资产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3" customHeight="1">
      <x:c r="A14" s="139"/>
      <x:c r="B14" s="142" t="str">
        <x:v>分红账本：已实施、待审和可持续门槛分开</x:v>
      </x:c>
      <x:c r="C14" s="143" t="str">
        <x:v>分红账本：已实施、待审和可持续门槛分开</x:v>
      </x:c>
      <x:c r="D14" s="143" t="str">
        <x:v>分红账本：已实施、待审和可持续门槛分开</x:v>
      </x:c>
      <x:c r="E14" s="143" t="str">
        <x:v>分红账本：已实施、待审和可持续门槛分开</x:v>
      </x:c>
      <x:c r="F14" s="143" t="str">
        <x:v>分红账本：已实施、待审和可持续门槛分开</x:v>
      </x:c>
      <x:c r="G14" s="143" t="str">
        <x:v>分红账本：已实施、待审和可持续门槛分开</x:v>
      </x:c>
      <x:c r="H14" s="143" t="str">
        <x:v>分红账本：已实施、待审和可持续门槛分开</x:v>
      </x:c>
      <x:c r="I14" s="144" t="str">
        <x:v>分红账本：已实施、待审和可持续门槛分开</x:v>
      </x:c>
      <x:c r="J14" s="139"/>
      <x:c r="K14" s="146" t="str">
        <x:v>当前TTM PE</x:v>
      </x:c>
      <x:c r="L14" s="151" t="n">
        <x:f>'数据与来源'!B7/('数据与来源'!B11/'数据与来源'!B8)</x:f>
        <x:v>3.579045288405077</x:v>
      </x:c>
      <x:c r="M14" s="148"/>
      <x:c r="N14" s="150" t="str">
        <x:v>低，但利润具周期性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139"/>
      <x:c r="B15" s="17" t="str">
        <x:v>项目</x:v>
      </x:c>
      <x:c r="C15" s="17" t="str">
        <x:v>数值</x:v>
      </x:c>
      <x:c r="D15" s="17" t="str">
        <x:v>单位</x:v>
      </x:c>
      <x:c r="E15" s="17" t="str">
        <x:v>状态</x:v>
      </x:c>
      <x:c r="F15" s="17" t="str">
        <x:v>计算/依据</x:v>
      </x:c>
      <x:c r="G15" s="17" t="str">
        <x:v>意义</x:v>
      </x:c>
      <x:c r="H15" s="17"/>
      <x:c r="I15" s="17"/>
      <x:c r="J15" s="139"/>
      <x:c r="K15" s="146" t="str">
        <x:v>已实施LTM股息率</x:v>
      </x:c>
      <x:c r="L15" s="147" t="n">
        <x:f>'数据与来源'!B12/'数据与来源'!B7</x:f>
        <x:v>0.053740157480314965</x:v>
      </x:c>
      <x:c r="M15" s="148"/>
      <x:c r="N15" s="150" t="str">
        <x:v>高于10年国债约3.75ppt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39"/>
      <x:c r="B16" s="146" t="str">
        <x:v>2025中期DPS</x:v>
      </x:c>
      <x:c r="C16" s="152" t="n">
        <x:v>0.67</x:v>
      </x:c>
      <x:c r="D16" s="148" t="str">
        <x:v>元/股</x:v>
      </x:c>
      <x:c r="E16" s="148" t="str">
        <x:v>已实施</x:v>
      </x:c>
      <x:c r="F16" s="149" t="str">
        <x:v>2025-12-12派发</x:v>
      </x:c>
      <x:c r="G16" s="149" t="str">
        <x:v>LTM可用</x:v>
      </x:c>
      <x:c r="H16" s="149"/>
      <x:c r="I16" s="150"/>
      <x:c r="J16" s="139"/>
      <x:c r="K16" s="139"/>
      <x:c r="L16" s="139"/>
      <x:c r="M16" s="139"/>
      <x:c r="N16" s="139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139"/>
      <x:c r="B17" s="146" t="str">
        <x:v>2025末期DPS</x:v>
      </x:c>
      <x:c r="C17" s="152" t="n">
        <x:v>2.06</x:v>
      </x:c>
      <x:c r="D17" s="148" t="str">
        <x:v>元/股</x:v>
      </x:c>
      <x:c r="E17" s="148" t="str">
        <x:v>已实施</x:v>
      </x:c>
      <x:c r="F17" s="149" t="str">
        <x:v>2026-08-07派发</x:v>
      </x:c>
      <x:c r="G17" s="149" t="str">
        <x:v>LTM可用</x:v>
      </x:c>
      <x:c r="H17" s="149"/>
      <x:c r="I17" s="150"/>
      <x:c r="J17" s="139"/>
      <x:c r="K17" s="139"/>
      <x:c r="L17" s="139"/>
      <x:c r="M17" s="139"/>
      <x:c r="N17" s="139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3" customHeight="1">
      <x:c r="A18" s="139"/>
      <x:c r="B18" s="155" t="str">
        <x:v>LTM已实施DPS</x:v>
      </x:c>
      <x:c r="C18" s="156" t="n">
        <x:f>C16+C17</x:f>
        <x:v>2.73</x:v>
      </x:c>
      <x:c r="D18" s="191" t="str">
        <x:v>元/股</x:v>
      </x:c>
      <x:c r="E18" s="191" t="str">
        <x:v>已实施</x:v>
      </x:c>
      <x:c r="F18" s="188" t="str">
        <x:v>中期+末期</x:v>
      </x:c>
      <x:c r="G18" s="188" t="str">
        <x:v>不含待审0.73元</x:v>
      </x:c>
      <x:c r="H18" s="188"/>
      <x:c r="I18" s="192"/>
      <x:c r="J18" s="139"/>
      <x:c r="K18" s="142" t="str">
        <x:v>投资收益率趋势</x:v>
      </x:c>
      <x:c r="L18" s="143" t="str">
        <x:v>投资收益率趋势</x:v>
      </x:c>
      <x:c r="M18" s="143" t="str">
        <x:v>投资收益率趋势</x:v>
      </x:c>
      <x:c r="N18" s="144" t="str">
        <x:v>投资收益率趋势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8" customHeight="1">
      <x:c r="A19" s="139"/>
      <x:c r="B19" s="155" t="str">
        <x:v>LTM已实施股息率</x:v>
      </x:c>
      <x:c r="C19" s="193" t="n">
        <x:f>C18/'数据与来源'!B7</x:f>
        <x:v>0.053740157480314965</x:v>
      </x:c>
      <x:c r="D19" s="191" t="str">
        <x:v>%</x:v>
      </x:c>
      <x:c r="E19" s="191" t="str">
        <x:v>已实施</x:v>
      </x:c>
      <x:c r="F19" s="188" t="str">
        <x:v>DPS÷当前价</x:v>
      </x:c>
      <x:c r="G19" s="188" t="str">
        <x:v>用户所述5.5%在当前价附近基本成立</x:v>
      </x:c>
      <x:c r="H19" s="188"/>
      <x:c r="I19" s="192"/>
      <x:c r="J19" s="139"/>
      <x:c r="K19" s="17" t="str">
        <x:v>期间</x:v>
      </x:c>
      <x:c r="L19" s="17" t="str">
        <x:v>总投资收益率</x:v>
      </x:c>
      <x:c r="M19" s="17" t="str">
        <x:v>综合投资收益率</x:v>
      </x:c>
      <x:c r="N19" s="17" t="str">
        <x:v>注意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139"/>
      <x:c r="B20" s="146" t="str">
        <x:v>2026中期DPS</x:v>
      </x:c>
      <x:c r="C20" s="152" t="n">
        <x:v>0.73</x:v>
      </x:c>
      <x:c r="D20" s="148" t="str">
        <x:v>元/股</x:v>
      </x:c>
      <x:c r="E20" s="148" t="str">
        <x:v>股东会待审</x:v>
      </x:c>
      <x:c r="F20" s="149" t="str">
        <x:v>2026-10-22审议，计划12-10派发</x:v>
      </x:c>
      <x:c r="G20" s="149" t="str">
        <x:v>未实施，不计入LTM</x:v>
      </x:c>
      <x:c r="H20" s="149"/>
      <x:c r="I20" s="150"/>
      <x:c r="J20" s="139"/>
      <x:c r="K20" s="146" t="str">
        <x:v>2023A</x:v>
      </x:c>
      <x:c r="L20" s="153" t="n">
        <x:v>0.018</x:v>
      </x:c>
      <x:c r="M20" s="153"/>
      <x:c r="N20" s="159" t="str">
        <x:v>弱市低点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139"/>
      <x:c r="B21" s="146" t="str">
        <x:v>维持2.73元DPS所需利润（25%支付率）</x:v>
      </x:c>
      <x:c r="C21" s="152" t="n">
        <x:f>C18*'数据与来源'!B8/25%</x:f>
        <x:v>340.65448872</x:v>
      </x:c>
      <x:c r="D21" s="148" t="str">
        <x:v>亿元</x:v>
      </x:c>
      <x:c r="E21" s="148" t="str">
        <x:v>模型门槛</x:v>
      </x:c>
      <x:c r="F21" s="149" t="str">
        <x:v>DPS×股本÷25%</x:v>
      </x:c>
      <x:c r="G21" s="149" t="str">
        <x:v>约341亿元</x:v>
      </x:c>
      <x:c r="H21" s="149"/>
      <x:c r="I21" s="150"/>
      <x:c r="J21" s="139"/>
      <x:c r="K21" s="146" t="str">
        <x:v>2024A</x:v>
      </x:c>
      <x:c r="L21" s="153" t="n">
        <x:v>0.058</x:v>
      </x:c>
      <x:c r="M21" s="153" t="n">
        <x:v>0.085</x:v>
      </x:c>
      <x:c r="N21" s="159" t="str">
        <x:v>权益与债券共振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139"/>
      <x:c r="B22" s="146" t="str">
        <x:v>维持2.73元DPS所需利润（30%支付率）</x:v>
      </x:c>
      <x:c r="C22" s="152" t="n">
        <x:f>C18*'数据与来源'!B8/30%</x:f>
        <x:v>283.8787406</x:v>
      </x:c>
      <x:c r="D22" s="148" t="str">
        <x:v>亿元</x:v>
      </x:c>
      <x:c r="E22" s="148" t="str">
        <x:v>模型门槛</x:v>
      </x:c>
      <x:c r="F22" s="149" t="str">
        <x:v>DPS×股本÷30%</x:v>
      </x:c>
      <x:c r="G22" s="149" t="str">
        <x:v>约284亿元</x:v>
      </x:c>
      <x:c r="H22" s="149"/>
      <x:c r="I22" s="150"/>
      <x:c r="J22" s="139"/>
      <x:c r="K22" s="146" t="str">
        <x:v>2025A</x:v>
      </x:c>
      <x:c r="L22" s="153" t="n">
        <x:v>0.066</x:v>
      </x:c>
      <x:c r="M22" s="153" t="n">
        <x:v>0.05</x:v>
      </x:c>
      <x:c r="N22" s="159" t="str">
        <x:v>交易收益较高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139"/>
      <x:c r="B23" s="146" t="str">
        <x:v>5.5%股息率对应股价</x:v>
      </x:c>
      <x:c r="C23" s="152" t="n">
        <x:f>C18/5.5%</x:f>
        <x:v>49.63636363636363</x:v>
      </x:c>
      <x:c r="D23" s="148" t="str">
        <x:v>元/股</x:v>
      </x:c>
      <x:c r="E23" s="148" t="str">
        <x:v>反推</x:v>
      </x:c>
      <x:c r="F23" s="149" t="str">
        <x:v>2.73÷5.5%</x:v>
      </x:c>
      <x:c r="G23" s="149" t="str">
        <x:v>约49.64元</x:v>
      </x:c>
      <x:c r="H23" s="149"/>
      <x:c r="I23" s="150"/>
      <x:c r="J23" s="139"/>
      <x:c r="K23" s="146" t="str">
        <x:v>2026H1年化</x:v>
      </x:c>
      <x:c r="L23" s="153" t="n">
        <x:v>0.067</x:v>
      </x:c>
      <x:c r="M23" s="153" t="n">
        <x:v>0.064</x:v>
      </x:c>
      <x:c r="N23" s="159" t="str">
        <x:v>不可线性外推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B5:I5"/>
    <x:mergeCell ref="K5:N5"/>
    <x:mergeCell ref="B14:I14"/>
    <x:mergeCell ref="G15:I15"/>
    <x:mergeCell ref="G16:I16"/>
    <x:mergeCell ref="G17:I17"/>
    <x:mergeCell ref="G18:I18"/>
    <x:mergeCell ref="G19:I19"/>
    <x:mergeCell ref="G20:I20"/>
    <x:mergeCell ref="G21:I21"/>
    <x:mergeCell ref="G22:I22"/>
    <x:mergeCell ref="G23:I23"/>
    <x:mergeCell ref="K18:N18"/>
  </x:mergeCells>
  <x:pageMargins left="0.7" right="0.7" top="0.75" bottom="0.75" header="0.3" footer="0.3"/>
  <x:drawing xmlns:r="http://schemas.openxmlformats.org/officeDocument/2006/relationships" r:id="Rb7f40e6651114556"/>
</x:worksheet>
</file>

<file path=xl/worksheets/sheet5.xml><?xml version="1.0" encoding="utf-8"?>
<x:worksheet xmlns:x="http://schemas.openxmlformats.org/spreadsheetml/2006/main">
  <x:sheetPr>
    <x:tabColor rgb="FFBF9000"/>
  </x:sheetPr>
  <x:sheetViews>
    <x:sheetView showGridLines="0" workbookViewId="0"/>
  </x:sheetViews>
  <x:sheetFormatPr defaultRowHeight="15"/>
  <x:cols>
    <x:col min="1" max="1" width="3" hidden="0" customWidth="1"/>
    <x:col min="2" max="2" width="6" hidden="0" customWidth="1"/>
    <x:col min="3" max="3" width="16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6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5" hidden="0" customWidth="1"/>
    <x:col min="14" max="14" width="24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新华保险：巴菲特框架下的质量、护城河与价格</x:v>
      </x:c>
      <x:c r="B2" s="140" t="str">
        <x:v>新华保险：巴菲特框架下的质量、护城河与价格</x:v>
      </x:c>
      <x:c r="C2" s="140" t="str">
        <x:v>新华保险：巴菲特框架下的质量、护城河与价格</x:v>
      </x:c>
      <x:c r="D2" s="140" t="str">
        <x:v>新华保险：巴菲特框架下的质量、护城河与价格</x:v>
      </x:c>
      <x:c r="E2" s="140" t="str">
        <x:v>新华保险：巴菲特框架下的质量、护城河与价格</x:v>
      </x:c>
      <x:c r="F2" s="140" t="str">
        <x:v>新华保险：巴菲特框架下的质量、护城河与价格</x:v>
      </x:c>
      <x:c r="G2" s="140" t="str">
        <x:v>新华保险：巴菲特框架下的质量、护城河与价格</x:v>
      </x:c>
      <x:c r="H2" s="140" t="str">
        <x:v>新华保险：巴菲特框架下的质量、护城河与价格</x:v>
      </x:c>
      <x:c r="I2" s="140" t="str">
        <x:v>新华保险：巴菲特框架下的质量、护城河与价格</x:v>
      </x:c>
      <x:c r="J2" s="140" t="str">
        <x:v>新华保险：巴菲特框架下的质量、护城河与价格</x:v>
      </x:c>
      <x:c r="K2" s="140" t="str">
        <x:v>新华保险：巴菲特框架下的质量、护城河与价格</x:v>
      </x:c>
      <x:c r="L2" s="140" t="str">
        <x:v>新华保险：巴菲特框架下的质量、护城河与价格</x:v>
      </x:c>
      <x:c r="M2" s="140" t="str">
        <x:v>新华保险：巴菲特框架下的质量、护城河与价格</x:v>
      </x:c>
      <x:c r="N2" s="140" t="str">
        <x:v>新华保险：巴菲特框架下的质量、护城河与价格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保险业用“好生意+好管理+好价格”框架，但把传统制造业的FCF/ROIC换成NBV、CSM、EV、偿付能力和资产负债匹配。</x:v>
      </x:c>
      <x:c r="B3" s="141" t="str">
        <x:v>保险业用“好生意+好管理+好价格”框架，但把传统制造业的FCF/ROIC换成NBV、CSM、EV、偿付能力和资产负债匹配。</x:v>
      </x:c>
      <x:c r="C3" s="141" t="str">
        <x:v>保险业用“好生意+好管理+好价格”框架，但把传统制造业的FCF/ROIC换成NBV、CSM、EV、偿付能力和资产负债匹配。</x:v>
      </x:c>
      <x:c r="D3" s="141" t="str">
        <x:v>保险业用“好生意+好管理+好价格”框架，但把传统制造业的FCF/ROIC换成NBV、CSM、EV、偿付能力和资产负债匹配。</x:v>
      </x:c>
      <x:c r="E3" s="141" t="str">
        <x:v>保险业用“好生意+好管理+好价格”框架，但把传统制造业的FCF/ROIC换成NBV、CSM、EV、偿付能力和资产负债匹配。</x:v>
      </x:c>
      <x:c r="F3" s="141" t="str">
        <x:v>保险业用“好生意+好管理+好价格”框架，但把传统制造业的FCF/ROIC换成NBV、CSM、EV、偿付能力和资产负债匹配。</x:v>
      </x:c>
      <x:c r="G3" s="141" t="str">
        <x:v>保险业用“好生意+好管理+好价格”框架，但把传统制造业的FCF/ROIC换成NBV、CSM、EV、偿付能力和资产负债匹配。</x:v>
      </x:c>
      <x:c r="H3" s="141" t="str">
        <x:v>保险业用“好生意+好管理+好价格”框架，但把传统制造业的FCF/ROIC换成NBV、CSM、EV、偿付能力和资产负债匹配。</x:v>
      </x:c>
      <x:c r="I3" s="141" t="str">
        <x:v>保险业用“好生意+好管理+好价格”框架，但把传统制造业的FCF/ROIC换成NBV、CSM、EV、偿付能力和资产负债匹配。</x:v>
      </x:c>
      <x:c r="J3" s="141" t="str">
        <x:v>保险业用“好生意+好管理+好价格”框架，但把传统制造业的FCF/ROIC换成NBV、CSM、EV、偿付能力和资产负债匹配。</x:v>
      </x:c>
      <x:c r="K3" s="141" t="str">
        <x:v>保险业用“好生意+好管理+好价格”框架，但把传统制造业的FCF/ROIC换成NBV、CSM、EV、偿付能力和资产负债匹配。</x:v>
      </x:c>
      <x:c r="L3" s="141" t="str">
        <x:v>保险业用“好生意+好管理+好价格”框架，但把传统制造业的FCF/ROIC换成NBV、CSM、EV、偿付能力和资产负债匹配。</x:v>
      </x:c>
      <x:c r="M3" s="141" t="str">
        <x:v>保险业用“好生意+好管理+好价格”框架，但把传统制造业的FCF/ROIC换成NBV、CSM、EV、偿付能力和资产负债匹配。</x:v>
      </x:c>
      <x:c r="N3" s="141" t="str">
        <x:v>保险业用“好生意+好管理+好价格”框架，但把传统制造业的FCF/ROIC换成NBV、CSM、EV、偿付能力和资产负债匹配。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39"/>
      <x:c r="B5" s="142" t="str">
        <x:v>八个问题：事实、判断与可验证指标</x:v>
      </x:c>
      <x:c r="C5" s="143" t="str">
        <x:v>八个问题：事实、判断与可验证指标</x:v>
      </x:c>
      <x:c r="D5" s="143" t="str">
        <x:v>八个问题：事实、判断与可验证指标</x:v>
      </x:c>
      <x:c r="E5" s="143" t="str">
        <x:v>八个问题：事实、判断与可验证指标</x:v>
      </x:c>
      <x:c r="F5" s="143" t="str">
        <x:v>八个问题：事实、判断与可验证指标</x:v>
      </x:c>
      <x:c r="G5" s="143" t="str">
        <x:v>八个问题：事实、判断与可验证指标</x:v>
      </x:c>
      <x:c r="H5" s="143" t="str">
        <x:v>八个问题：事实、判断与可验证指标</x:v>
      </x:c>
      <x:c r="I5" s="143" t="str">
        <x:v>八个问题：事实、判断与可验证指标</x:v>
      </x:c>
      <x:c r="J5" s="143" t="str">
        <x:v>八个问题：事实、判断与可验证指标</x:v>
      </x:c>
      <x:c r="K5" s="143" t="str">
        <x:v>八个问题：事实、判断与可验证指标</x:v>
      </x:c>
      <x:c r="L5" s="143" t="str">
        <x:v>八个问题：事实、判断与可验证指标</x:v>
      </x:c>
      <x:c r="M5" s="143" t="str">
        <x:v>八个问题：事实、判断与可验证指标</x:v>
      </x:c>
      <x:c r="N5" s="144" t="str">
        <x:v>八个问题：事实、判断与可验证指标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39"/>
      <x:c r="B6" s="17" t="str">
        <x:v>#</x:v>
      </x:c>
      <x:c r="C6" s="17" t="str">
        <x:v>问题</x:v>
      </x:c>
      <x:c r="D6" s="17"/>
      <x:c r="E6" s="17" t="str">
        <x:v>客观证据</x:v>
      </x:c>
      <x:c r="F6" s="17"/>
      <x:c r="G6" s="17"/>
      <x:c r="H6" s="17"/>
      <x:c r="I6" s="17" t="str">
        <x:v>研究判断</x:v>
      </x:c>
      <x:c r="J6" s="17"/>
      <x:c r="K6" s="17"/>
      <x:c r="L6" s="17" t="str">
        <x:v>评级</x:v>
      </x:c>
      <x:c r="M6" s="17" t="str">
        <x:v>下次验证</x:v>
      </x:c>
      <x:c r="N6" s="17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4" customHeight="1">
      <x:c r="A7" s="139"/>
      <x:c r="B7" s="146" t="n">
        <x:v>1</x:v>
      </x:c>
      <x:c r="C7" s="149" t="str">
        <x:v>生意易懂吗？</x:v>
      </x:c>
      <x:c r="D7" s="149"/>
      <x:c r="E7" s="149" t="str">
        <x:v>保费流入形成负债，资产端投资，利润由承保结果、CSM释放和投资利差共同决定。</x:v>
      </x:c>
      <x:c r="F7" s="149"/>
      <x:c r="G7" s="149"/>
      <x:c r="H7" s="149"/>
      <x:c r="I7" s="149" t="str">
        <x:v>业务逻辑可理解，会计和精算复杂。</x:v>
      </x:c>
      <x:c r="J7" s="149"/>
      <x:c r="K7" s="149"/>
      <x:c r="L7" s="149" t="str">
        <x:v>中高</x:v>
      </x:c>
      <x:c r="M7" s="149" t="str">
        <x:v>利润来源分拆</x:v>
      </x:c>
      <x:c r="N7" s="150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4" customHeight="1">
      <x:c r="A8" s="139"/>
      <x:c r="B8" s="146" t="n">
        <x:v>2</x:v>
      </x:c>
      <x:c r="C8" s="149" t="str">
        <x:v>护城河持久吗？</x:v>
      </x:c>
      <x:c r="D8" s="149"/>
      <x:c r="E8" s="149" t="str">
        <x:v>全国品牌、银保+个险渠道、1.9万亿资产平台和监管准入。</x:v>
      </x:c>
      <x:c r="F8" s="149"/>
      <x:c r="G8" s="149"/>
      <x:c r="H8" s="149"/>
      <x:c r="I8" s="149" t="str">
        <x:v>护城河存在，但产品同质化使定价权受限。</x:v>
      </x:c>
      <x:c r="J8" s="149"/>
      <x:c r="K8" s="149"/>
      <x:c r="L8" s="149" t="str">
        <x:v>中</x:v>
      </x:c>
      <x:c r="M8" s="149" t="str">
        <x:v>新业务价值率和继续率</x:v>
      </x:c>
      <x:c r="N8" s="150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4" customHeight="1">
      <x:c r="A9" s="139"/>
      <x:c r="B9" s="146" t="n">
        <x:v>3</x:v>
      </x:c>
      <x:c r="C9" s="149" t="str">
        <x:v>有定价权吗？</x:v>
      </x:c>
      <x:c r="D9" s="149"/>
      <x:c r="E9" s="149" t="str">
        <x:v>预定利率上限由监管和市场共同约束，分红险可以通过非保证红利调整。</x:v>
      </x:c>
      <x:c r="F9" s="149"/>
      <x:c r="G9" s="149"/>
      <x:c r="H9" s="149"/>
      <x:c r="I9" s="149" t="str">
        <x:v>精算定价有空间，但不是强定价权行业。</x:v>
      </x:c>
      <x:c r="J9" s="149"/>
      <x:c r="K9" s="149"/>
      <x:c r="L9" s="149" t="str">
        <x:v>中低</x:v>
      </x:c>
      <x:c r="M9" s="149" t="str">
        <x:v>产品利润率与渠道费用</x:v>
      </x:c>
      <x:c r="N9" s="150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4" customHeight="1">
      <x:c r="A10" s="139"/>
      <x:c r="B10" s="146" t="n">
        <x:v>4</x:v>
      </x:c>
      <x:c r="C10" s="149" t="str">
        <x:v>资本效率如何？</x:v>
      </x:c>
      <x:c r="D10" s="149"/>
      <x:c r="E10" s="149" t="str">
        <x:v>核心/综合偿付能力126%/196%，资本充足但已较年初下降。</x:v>
      </x:c>
      <x:c r="F10" s="149"/>
      <x:c r="G10" s="149"/>
      <x:c r="H10" s="149"/>
      <x:c r="I10" s="149" t="str">
        <x:v>资本密集，回报取决于利润、资产增长与分红平衡。</x:v>
      </x:c>
      <x:c r="J10" s="149"/>
      <x:c r="K10" s="149"/>
      <x:c r="L10" s="149" t="str">
        <x:v>中</x:v>
      </x:c>
      <x:c r="M10" s="149" t="str">
        <x:v>核心偿付率&gt;120%</x:v>
      </x:c>
      <x:c r="N10" s="150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4" customHeight="1">
      <x:c r="A11" s="139"/>
      <x:c r="B11" s="146" t="n">
        <x:v>5</x:v>
      </x:c>
      <x:c r="C11" s="149" t="str">
        <x:v>管理层与资本配置？</x:v>
      </x:c>
      <x:c r="D11" s="149"/>
      <x:c r="E11" s="149" t="str">
        <x:v>中央汇金控股，自2024年起增加中期分红，业务策略向价值与期交倾斜。</x:v>
      </x:c>
      <x:c r="F11" s="149"/>
      <x:c r="G11" s="149"/>
      <x:c r="H11" s="149"/>
      <x:c r="I11" s="149" t="str">
        <x:v>稳定性较强，但需监测激进股权配置对偿付能力的压力。</x:v>
      </x:c>
      <x:c r="J11" s="149"/>
      <x:c r="K11" s="149"/>
      <x:c r="L11" s="149" t="str">
        <x:v>中高</x:v>
      </x:c>
      <x:c r="M11" s="149" t="str">
        <x:v>分红政策、偿付能力</x:v>
      </x:c>
      <x:c r="N11" s="150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4" customHeight="1">
      <x:c r="A12" s="139"/>
      <x:c r="B12" s="146" t="n">
        <x:v>6</x:v>
      </x:c>
      <x:c r="C12" s="149" t="str">
        <x:v>成长跑道足吗？</x:v>
      </x:c>
      <x:c r="D12" s="149"/>
      <x:c r="E12" s="149" t="str">
        <x:v>老龄化、储蓄需求、养老与健康保障为长期需求；保费和NBV同步增长。</x:v>
      </x:c>
      <x:c r="F12" s="149"/>
      <x:c r="G12" s="149"/>
      <x:c r="H12" s="149"/>
      <x:c r="I12" s="149" t="str">
        <x:v>跑道长，但增长需以价值率而非规模为准。</x:v>
      </x:c>
      <x:c r="J12" s="149"/>
      <x:c r="K12" s="149"/>
      <x:c r="L12" s="149" t="str">
        <x:v>中高</x:v>
      </x:c>
      <x:c r="M12" s="149" t="str">
        <x:v>NBV增速高于保费</x:v>
      </x:c>
      <x:c r="N12" s="150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4" customHeight="1">
      <x:c r="A13" s="139"/>
      <x:c r="B13" s="146" t="n">
        <x:v>7</x:v>
      </x:c>
      <x:c r="C13" s="149" t="str">
        <x:v>盈利质量稳定吗？</x:v>
      </x:c>
      <x:c r="D13" s="149"/>
      <x:c r="E13" s="149" t="str">
        <x:v>2026H1投资结果占税前利润约67%，总投资收益率6.7%远高于净投资收益率2.6%。</x:v>
      </x:c>
      <x:c r="F13" s="149"/>
      <x:c r="G13" s="149"/>
      <x:c r="H13" s="149"/>
      <x:c r="I13" s="149" t="str">
        <x:v>利润波动仍高，CSM改善但尚不能抹消资本市场周期。</x:v>
      </x:c>
      <x:c r="J13" s="149"/>
      <x:c r="K13" s="149"/>
      <x:c r="L13" s="149" t="str">
        <x:v>中低</x:v>
      </x:c>
      <x:c r="M13" s="149" t="str">
        <x:v>总投资-净投资利差</x:v>
      </x:c>
      <x:c r="N13" s="150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4" customHeight="1">
      <x:c r="A14" s="139"/>
      <x:c r="B14" s="146" t="n">
        <x:v>8</x:v>
      </x:c>
      <x:c r="C14" s="149" t="str">
        <x:v>当前价格有吸引力吗？</x:v>
      </x:c>
      <x:c r="D14" s="149"/>
      <x:c r="E14" s="149" t="str">
        <x:v>约0.51x P/EV、3.58x TTM PE、5.37%已实施LTM股息率。</x:v>
      </x:c>
      <x:c r="F14" s="149"/>
      <x:c r="G14" s="149"/>
      <x:c r="H14" s="149"/>
      <x:c r="I14" s="149" t="str">
        <x:v>估值有条件吸引，宜分批；不应把高股息当作固息债券。</x:v>
      </x:c>
      <x:c r="J14" s="149"/>
      <x:c r="K14" s="149"/>
      <x:c r="L14" s="149" t="str">
        <x:v>中高</x:v>
      </x:c>
      <x:c r="M14" s="149" t="str">
        <x:v>基准价值、分红门槛</x:v>
      </x:c>
      <x:c r="N14" s="150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3" customHeight="1">
      <x:c r="A17" s="139"/>
      <x:c r="B17" s="142" t="str">
        <x:v>护城河、经营质量与阻力</x:v>
      </x:c>
      <x:c r="C17" s="143" t="str">
        <x:v>护城河、经营质量与阻力</x:v>
      </x:c>
      <x:c r="D17" s="143" t="str">
        <x:v>护城河、经营质量与阻力</x:v>
      </x:c>
      <x:c r="E17" s="143" t="str">
        <x:v>护城河、经营质量与阻力</x:v>
      </x:c>
      <x:c r="F17" s="143" t="str">
        <x:v>护城河、经营质量与阻力</x:v>
      </x:c>
      <x:c r="G17" s="143" t="str">
        <x:v>护城河、经营质量与阻力</x:v>
      </x:c>
      <x:c r="H17" s="144" t="str">
        <x:v>护城河、经营质量与阻力</x:v>
      </x:c>
      <x:c r="I17" s="139"/>
      <x:c r="J17" s="142" t="str">
        <x:v>A股市场特性：如何改写保险股收益</x:v>
      </x:c>
      <x:c r="K17" s="143" t="str">
        <x:v>A股市场特性：如何改写保险股收益</x:v>
      </x:c>
      <x:c r="L17" s="143" t="str">
        <x:v>A股市场特性：如何改写保险股收益</x:v>
      </x:c>
      <x:c r="M17" s="143" t="str">
        <x:v>A股市场特性：如何改写保险股收益</x:v>
      </x:c>
      <x:c r="N17" s="144" t="str">
        <x:v>A股市场特性：如何改写保险股收益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8" customHeight="1">
      <x:c r="A18" s="139"/>
      <x:c r="B18" s="17" t="str">
        <x:v>要素</x:v>
      </x:c>
      <x:c r="C18" s="17" t="str">
        <x:v>强度</x:v>
      </x:c>
      <x:c r="D18" s="17" t="str">
        <x:v>证据</x:v>
      </x:c>
      <x:c r="E18" s="17"/>
      <x:c r="F18" s="17"/>
      <x:c r="G18" s="17" t="str">
        <x:v>风险</x:v>
      </x:c>
      <x:c r="H18" s="17"/>
      <x:c r="I18" s="139"/>
      <x:c r="J18" s="17" t="str">
        <x:v>特性</x:v>
      </x:c>
      <x:c r="K18" s="17" t="str">
        <x:v>传导方式</x:v>
      </x:c>
      <x:c r="L18" s="17"/>
      <x:c r="M18" s="17" t="str">
        <x:v>对新华保险</x:v>
      </x:c>
      <x:c r="N18" s="17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customHeight="1">
      <x:c r="A19" s="139"/>
      <x:c r="B19" s="146" t="str">
        <x:v>品牌与信任</x:v>
      </x:c>
      <x:c r="C19" s="148" t="str">
        <x:v>中高</x:v>
      </x:c>
      <x:c r="D19" s="149" t="str">
        <x:v>寿险长期合同需要资本和品牌信用。</x:v>
      </x:c>
      <x:c r="E19" s="149"/>
      <x:c r="F19" s="149"/>
      <x:c r="G19" s="149" t="str">
        <x:v>行业产品易同质化。</x:v>
      </x:c>
      <x:c r="H19" s="150"/>
      <x:c r="I19" s="139"/>
      <x:c r="J19" s="146" t="str">
        <x:v>风格轮动</x:v>
      </x:c>
      <x:c r="K19" s="149" t="str">
        <x:v>红利风格占优时，高股息率提供估值下限预期。</x:v>
      </x:c>
      <x:c r="L19" s="149"/>
      <x:c r="M19" s="149" t="str">
        <x:v>有利估值修复，但不消除除息和业绩波动。</x:v>
      </x:c>
      <x:c r="N19" s="150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customHeight="1">
      <x:c r="A20" s="139"/>
      <x:c r="B20" s="146" t="str">
        <x:v>渠道</x:v>
      </x:c>
      <x:c r="C20" s="148" t="str">
        <x:v>中</x:v>
      </x:c>
      <x:c r="D20" s="149" t="str">
        <x:v>银保和个险双核驱动，新业务价值均有贡献。</x:v>
      </x:c>
      <x:c r="E20" s="149"/>
      <x:c r="F20" s="149"/>
      <x:c r="G20" s="149" t="str">
        <x:v>渠道费用、人力稳定性和销售质量。</x:v>
      </x:c>
      <x:c r="H20" s="150"/>
      <x:c r="I20" s="139"/>
      <x:c r="J20" s="146" t="str">
        <x:v>权益Beta</x:v>
      </x:c>
      <x:c r="K20" s="149" t="str">
        <x:v>股票+基金+长股投合计超过28%。</x:v>
      </x:c>
      <x:c r="L20" s="149"/>
      <x:c r="M20" s="149" t="str">
        <x:v>A股上涨放大交易收益与OCI，下跌则反向。</x:v>
      </x:c>
      <x:c r="N20" s="150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customHeight="1">
      <x:c r="A21" s="139"/>
      <x:c r="B21" s="146" t="str">
        <x:v>资产平台</x:v>
      </x:c>
      <x:c r="C21" s="148" t="str">
        <x:v>中高</x:v>
      </x:c>
      <x:c r="D21" s="149" t="str">
        <x:v>1.90万亿投资资产提供规模和多元化。</x:v>
      </x:c>
      <x:c r="E21" s="149"/>
      <x:c r="F21" s="149"/>
      <x:c r="G21" s="149" t="str">
        <x:v>规模也放大市场波动和信用风险。</x:v>
      </x:c>
      <x:c r="H21" s="150"/>
      <x:c r="I21" s="139"/>
      <x:c r="J21" s="146" t="str">
        <x:v>会计波动</x:v>
      </x:c>
      <x:c r="K21" s="149" t="str">
        <x:v>IFRS9/17下已实现、公允价值与保险金融损益相互作用。</x:v>
      </x:c>
      <x:c r="L21" s="149"/>
      <x:c r="M21" s="149" t="str">
        <x:v>TTM PE可在景气高点看似异常低。</x:v>
      </x:c>
      <x:c r="N21" s="150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customHeight="1">
      <x:c r="A22" s="139"/>
      <x:c r="B22" s="146" t="str">
        <x:v>客户黏性</x:v>
      </x:c>
      <x:c r="C22" s="148" t="str">
        <x:v>中高</x:v>
      </x:c>
      <x:c r="D22" s="149" t="str">
        <x:v>13/25月继续率升至97.5%/93.6%。</x:v>
      </x:c>
      <x:c r="E22" s="149"/>
      <x:c r="F22" s="149"/>
      <x:c r="G22" s="149" t="str">
        <x:v>长期保单投诉、退保和分红预期管理。</x:v>
      </x:c>
      <x:c r="H22" s="150"/>
      <x:c r="I22" s="139"/>
      <x:c r="J22" s="146" t="str">
        <x:v>政策资金</x:v>
      </x:c>
      <x:c r="K22" s="149" t="str">
        <x:v>中长期资金入市政策为保险资金扩大权益配置提供空间。</x:v>
      </x:c>
      <x:c r="L22" s="149"/>
      <x:c r="M22" s="149" t="str">
        <x:v>潜在提升长期回报，也会占用更多偿付能力资本。</x:v>
      </x:c>
      <x:c r="N22" s="150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2" customHeight="1">
      <x:c r="A23" s="139"/>
      <x:c r="B23" s="146" t="str">
        <x:v>产品结构</x:v>
      </x:c>
      <x:c r="C23" s="148" t="str">
        <x:v>改善中</x:v>
      </x:c>
      <x:c r="D23" s="149" t="str">
        <x:v>分红险占比升至37.4%，NBV利润率升至17.2%。</x:v>
      </x:c>
      <x:c r="E23" s="149"/>
      <x:c r="F23" s="149"/>
      <x:c r="G23" s="149" t="str">
        <x:v>转型仍处早期，存量高预定利率负债仍在。</x:v>
      </x:c>
      <x:c r="H23" s="150"/>
      <x:c r="I23" s="139"/>
      <x:c r="J23" s="146" t="str">
        <x:v>散户定价</x:v>
      </x:c>
      <x:c r="K23" s="149" t="str">
        <x:v>市场容易把高股息误当成固息。</x:v>
      </x:c>
      <x:c r="L23" s="149"/>
      <x:c r="M23" s="149" t="str">
        <x:v>必须把“收益率”拆成利润门槛、支付率和偿付能力。</x:v>
      </x:c>
      <x:c r="N23" s="150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2" customHeight="1">
      <x:c r="A24" s="139"/>
      <x:c r="B24" s="146" t="str">
        <x:v>资本约束</x:v>
      </x:c>
      <x:c r="C24" s="148" t="str">
        <x:v>中</x:v>
      </x:c>
      <x:c r="D24" s="149" t="str">
        <x:v>综合偿付能力195.7%仍充足。</x:v>
      </x:c>
      <x:c r="E24" s="149"/>
      <x:c r="F24" s="149"/>
      <x:c r="G24" s="149" t="str">
        <x:v>核心偿付率已降至126.2%，高分红并非无限。</x:v>
      </x:c>
      <x:c r="H24" s="150"/>
      <x:c r="I24" s="139"/>
      <x:c r="J24" s="146" t="str">
        <x:v>适合的估值顺序</x:v>
      </x:c>
      <x:c r="K24" s="149" t="str">
        <x:v>P/EV→可持续股息率→调整PB→TTM PE。</x:v>
      </x:c>
      <x:c r="L24" s="149"/>
      <x:c r="M24" s="149" t="str">
        <x:v>先看长期价值，再用当期利润交叉验证。</x:v>
      </x:c>
      <x:c r="N24" s="150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3" customHeight="1">
      <x:c r="A27" s="139"/>
      <x:c r="B27" s="142" t="str">
        <x:v>最后一句</x:v>
      </x:c>
      <x:c r="C27" s="143" t="str">
        <x:v>最后一句</x:v>
      </x:c>
      <x:c r="D27" s="143" t="str">
        <x:v>最后一句</x:v>
      </x:c>
      <x:c r="E27" s="143" t="str">
        <x:v>最后一句</x:v>
      </x:c>
      <x:c r="F27" s="143" t="str">
        <x:v>最后一句</x:v>
      </x:c>
      <x:c r="G27" s="143" t="str">
        <x:v>最后一句</x:v>
      </x:c>
      <x:c r="H27" s="143" t="str">
        <x:v>最后一句</x:v>
      </x:c>
      <x:c r="I27" s="143" t="str">
        <x:v>最后一句</x:v>
      </x:c>
      <x:c r="J27" s="143" t="str">
        <x:v>最后一句</x:v>
      </x:c>
      <x:c r="K27" s="143" t="str">
        <x:v>最后一句</x:v>
      </x:c>
      <x:c r="L27" s="143" t="str">
        <x:v>最后一句</x:v>
      </x:c>
      <x:c r="M27" s="143" t="str">
        <x:v>最后一句</x:v>
      </x:c>
      <x:c r="N27" s="144" t="str">
        <x:v>最后一句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139"/>
      <x:c r="B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C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D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E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F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G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H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I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J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K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L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M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N28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139"/>
      <x:c r="B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C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D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E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F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G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H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I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J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K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L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M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N29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139"/>
      <x:c r="B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C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D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E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F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G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H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I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J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K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L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M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N30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139"/>
      <x:c r="B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C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D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E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F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G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H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I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J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K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L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M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N31" s="194" t="str">
        <x:v>新华保险是“低估值+业务转型+高分红”的有条件吸引型标的，不是无风险高息债。分红险转型降低了长期利差损的尾部风险，但股东回报仍受投资收益、新业务价值率、支付率和偿付能力共同限制。在50.80元附近，适合用条件单和分批仓位做决策。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B5:N5"/>
    <x:mergeCell ref="C6:D6"/>
    <x:mergeCell ref="E6:H6"/>
    <x:mergeCell ref="I6:K6"/>
    <x:mergeCell ref="M6:N6"/>
    <x:mergeCell ref="C7:D7"/>
    <x:mergeCell ref="E7:H7"/>
    <x:mergeCell ref="I7:K7"/>
    <x:mergeCell ref="M7:N7"/>
    <x:mergeCell ref="C8:D8"/>
    <x:mergeCell ref="E8:H8"/>
    <x:mergeCell ref="I8:K8"/>
    <x:mergeCell ref="M8:N8"/>
    <x:mergeCell ref="C9:D9"/>
    <x:mergeCell ref="E9:H9"/>
    <x:mergeCell ref="I9:K9"/>
    <x:mergeCell ref="M9:N9"/>
    <x:mergeCell ref="C10:D10"/>
    <x:mergeCell ref="E10:H10"/>
    <x:mergeCell ref="I10:K10"/>
    <x:mergeCell ref="M10:N10"/>
    <x:mergeCell ref="C11:D11"/>
    <x:mergeCell ref="E11:H11"/>
    <x:mergeCell ref="I11:K11"/>
    <x:mergeCell ref="M11:N11"/>
    <x:mergeCell ref="C12:D12"/>
    <x:mergeCell ref="E12:H12"/>
    <x:mergeCell ref="I12:K12"/>
    <x:mergeCell ref="M12:N12"/>
    <x:mergeCell ref="C13:D13"/>
    <x:mergeCell ref="E13:H13"/>
    <x:mergeCell ref="I13:K13"/>
    <x:mergeCell ref="M13:N13"/>
    <x:mergeCell ref="C14:D14"/>
    <x:mergeCell ref="E14:H14"/>
    <x:mergeCell ref="I14:K14"/>
    <x:mergeCell ref="M14:N14"/>
    <x:mergeCell ref="B17:H17"/>
    <x:mergeCell ref="D18:F18"/>
    <x:mergeCell ref="G18:H18"/>
    <x:mergeCell ref="D19:F19"/>
    <x:mergeCell ref="G19:H19"/>
    <x:mergeCell ref="D20:F20"/>
    <x:mergeCell ref="G20:H20"/>
    <x:mergeCell ref="D21:F21"/>
    <x:mergeCell ref="G21:H21"/>
    <x:mergeCell ref="D22:F22"/>
    <x:mergeCell ref="G22:H22"/>
    <x:mergeCell ref="D23:F23"/>
    <x:mergeCell ref="G23:H23"/>
    <x:mergeCell ref="D24:F24"/>
    <x:mergeCell ref="G24:H24"/>
    <x:mergeCell ref="J17:N17"/>
    <x:mergeCell ref="K18:M18"/>
    <x:mergeCell ref="K19:M19"/>
    <x:mergeCell ref="K20:M20"/>
    <x:mergeCell ref="K21:M21"/>
    <x:mergeCell ref="K22:M22"/>
    <x:mergeCell ref="K23:M23"/>
    <x:mergeCell ref="K24:M24"/>
    <x:mergeCell ref="B27:N27"/>
    <x:mergeCell ref="B28:N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RowHeight="15"/>
  <x:cols>
    <x:col min="1" max="1" width="3" hidden="0" customWidth="1"/>
    <x:col min="2" max="2" width="6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26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新华保险：风险登记表与定期跟踪仪表盘</x:v>
      </x:c>
      <x:c r="B2" s="140" t="str">
        <x:v>新华保险：风险登记表与定期跟踪仪表盘</x:v>
      </x:c>
      <x:c r="C2" s="140" t="str">
        <x:v>新华保险：风险登记表与定期跟踪仪表盘</x:v>
      </x:c>
      <x:c r="D2" s="140" t="str">
        <x:v>新华保险：风险登记表与定期跟踪仪表盘</x:v>
      </x:c>
      <x:c r="E2" s="140" t="str">
        <x:v>新华保险：风险登记表与定期跟踪仪表盘</x:v>
      </x:c>
      <x:c r="F2" s="140" t="str">
        <x:v>新华保险：风险登记表与定期跟踪仪表盘</x:v>
      </x:c>
      <x:c r="G2" s="140" t="str">
        <x:v>新华保险：风险登记表与定期跟踪仪表盘</x:v>
      </x:c>
      <x:c r="H2" s="140" t="str">
        <x:v>新华保险：风险登记表与定期跟踪仪表盘</x:v>
      </x:c>
      <x:c r="I2" s="140" t="str">
        <x:v>新华保险：风险登记表与定期跟踪仪表盘</x:v>
      </x:c>
      <x:c r="J2" s="140" t="str">
        <x:v>新华保险：风险登记表与定期跟踪仪表盘</x:v>
      </x:c>
      <x:c r="K2" s="140" t="str">
        <x:v>新华保险：风险登记表与定期跟踪仪表盘</x:v>
      </x:c>
      <x:c r="L2" s="140" t="str">
        <x:v>新华保险：风险登记表与定期跟踪仪表盘</x:v>
      </x:c>
      <x:c r="M2" s="140" t="str">
        <x:v>新华保险：风险登记表与定期跟踪仪表盘</x:v>
      </x:c>
      <x:c r="N2" s="140" t="str">
        <x:v>新华保险：风险登记表与定期跟踪仪表盘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高股息逻辑只有在“利润、资本、价值、支付”同时过关时才成立。</x:v>
      </x:c>
      <x:c r="B3" s="141" t="str">
        <x:v>高股息逻辑只有在“利润、资本、价值、支付”同时过关时才成立。</x:v>
      </x:c>
      <x:c r="C3" s="141" t="str">
        <x:v>高股息逻辑只有在“利润、资本、价值、支付”同时过关时才成立。</x:v>
      </x:c>
      <x:c r="D3" s="141" t="str">
        <x:v>高股息逻辑只有在“利润、资本、价值、支付”同时过关时才成立。</x:v>
      </x:c>
      <x:c r="E3" s="141" t="str">
        <x:v>高股息逻辑只有在“利润、资本、价值、支付”同时过关时才成立。</x:v>
      </x:c>
      <x:c r="F3" s="141" t="str">
        <x:v>高股息逻辑只有在“利润、资本、价值、支付”同时过关时才成立。</x:v>
      </x:c>
      <x:c r="G3" s="141" t="str">
        <x:v>高股息逻辑只有在“利润、资本、价值、支付”同时过关时才成立。</x:v>
      </x:c>
      <x:c r="H3" s="141" t="str">
        <x:v>高股息逻辑只有在“利润、资本、价值、支付”同时过关时才成立。</x:v>
      </x:c>
      <x:c r="I3" s="141" t="str">
        <x:v>高股息逻辑只有在“利润、资本、价值、支付”同时过关时才成立。</x:v>
      </x:c>
      <x:c r="J3" s="141" t="str">
        <x:v>高股息逻辑只有在“利润、资本、价值、支付”同时过关时才成立。</x:v>
      </x:c>
      <x:c r="K3" s="141" t="str">
        <x:v>高股息逻辑只有在“利润、资本、价值、支付”同时过关时才成立。</x:v>
      </x:c>
      <x:c r="L3" s="141" t="str">
        <x:v>高股息逻辑只有在“利润、资本、价值、支付”同时过关时才成立。</x:v>
      </x:c>
      <x:c r="M3" s="141" t="str">
        <x:v>高股息逻辑只有在“利润、资本、价值、支付”同时过关时才成立。</x:v>
      </x:c>
      <x:c r="N3" s="141" t="str">
        <x:v>高股息逻辑只有在“利润、资本、价值、支付”同时过关时才成立。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39"/>
      <x:c r="B5" s="142" t="str">
        <x:v>风险登记表</x:v>
      </x:c>
      <x:c r="C5" s="143" t="str">
        <x:v>风险登记表</x:v>
      </x:c>
      <x:c r="D5" s="143" t="str">
        <x:v>风险登记表</x:v>
      </x:c>
      <x:c r="E5" s="143" t="str">
        <x:v>风险登记表</x:v>
      </x:c>
      <x:c r="F5" s="143" t="str">
        <x:v>风险登记表</x:v>
      </x:c>
      <x:c r="G5" s="143" t="str">
        <x:v>风险登记表</x:v>
      </x:c>
      <x:c r="H5" s="143" t="str">
        <x:v>风险登记表</x:v>
      </x:c>
      <x:c r="I5" s="143" t="str">
        <x:v>风险登记表</x:v>
      </x:c>
      <x:c r="J5" s="143" t="str">
        <x:v>风险登记表</x:v>
      </x:c>
      <x:c r="K5" s="143" t="str">
        <x:v>风险登记表</x:v>
      </x:c>
      <x:c r="L5" s="143" t="str">
        <x:v>风险登记表</x:v>
      </x:c>
      <x:c r="M5" s="143" t="str">
        <x:v>风险登记表</x:v>
      </x:c>
      <x:c r="N5" s="144" t="str">
        <x:v>风险登记表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39"/>
      <x:c r="B6" s="17" t="str">
        <x:v>#</x:v>
      </x:c>
      <x:c r="C6" s="17" t="str">
        <x:v>风险</x:v>
      </x:c>
      <x:c r="D6" s="17"/>
      <x:c r="E6" s="17" t="str">
        <x:v>概率</x:v>
      </x:c>
      <x:c r="F6" s="17" t="str">
        <x:v>影响</x:v>
      </x:c>
      <x:c r="G6" s="17" t="str">
        <x:v>早期信号</x:v>
      </x:c>
      <x:c r="H6" s="17"/>
      <x:c r="I6" s="17" t="str">
        <x:v>量化触发线</x:v>
      </x:c>
      <x:c r="J6" s="17"/>
      <x:c r="K6" s="17" t="str">
        <x:v>应对/观察</x:v>
      </x:c>
      <x:c r="L6" s="17"/>
      <x:c r="M6" s="17"/>
      <x:c r="N6" s="17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4" customHeight="1">
      <x:c r="A7" s="139"/>
      <x:c r="B7" s="146" t="n">
        <x:v>1</x:v>
      </x:c>
      <x:c r="C7" s="149" t="str">
        <x:v>长期利率持续下行</x:v>
      </x:c>
      <x:c r="D7" s="149"/>
      <x:c r="E7" s="149" t="str">
        <x:v>高</x:v>
      </x:c>
      <x:c r="F7" s="149" t="str">
        <x:v>高</x:v>
      </x:c>
      <x:c r="G7" s="149" t="str">
        <x:v>净投资收益率下行、再投资券息降低</x:v>
      </x:c>
      <x:c r="H7" s="149"/>
      <x:c r="I7" s="149" t="str">
        <x:v>净投资收益率&lt;2.3%</x:v>
      </x:c>
      <x:c r="J7" s="149"/>
      <x:c r="K7" s="149" t="str">
        <x:v>关注负债成本下行是否同步</x:v>
      </x:c>
      <x:c r="L7" s="149"/>
      <x:c r="M7" s="149"/>
      <x:c r="N7" s="150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4" customHeight="1">
      <x:c r="A8" s="139"/>
      <x:c r="B8" s="146" t="n">
        <x:v>2</x:v>
      </x:c>
      <x:c r="C8" s="149" t="str">
        <x:v>A股/港股下跌</x:v>
      </x:c>
      <x:c r="D8" s="149"/>
      <x:c r="E8" s="149" t="str">
        <x:v>中高</x:v>
      </x:c>
      <x:c r="F8" s="149" t="str">
        <x:v>高</x:v>
      </x:c>
      <x:c r="G8" s="149" t="str">
        <x:v>总投资收益率与OCI转负</x:v>
      </x:c>
      <x:c r="H8" s="149"/>
      <x:c r="I8" s="149" t="str">
        <x:v>总投资收益率&lt;2.5%</x:v>
      </x:c>
      <x:c r="J8" s="149"/>
      <x:c r="K8" s="149" t="str">
        <x:v>不用TTM PE底部化，改看P/EV</x:v>
      </x:c>
      <x:c r="L8" s="149"/>
      <x:c r="M8" s="149"/>
      <x:c r="N8" s="150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4" customHeight="1">
      <x:c r="A9" s="139"/>
      <x:c r="B9" s="146" t="n">
        <x:v>3</x:v>
      </x:c>
      <x:c r="C9" s="149" t="str">
        <x:v>分红险销售不及预期</x:v>
      </x:c>
      <x:c r="D9" s="149"/>
      <x:c r="E9" s="149" t="str">
        <x:v>中</x:v>
      </x:c>
      <x:c r="F9" s="149" t="str">
        <x:v>中高</x:v>
      </x:c>
      <x:c r="G9" s="149" t="str">
        <x:v>保费增长但NBV利润率下降</x:v>
      </x:c>
      <x:c r="H9" s="149"/>
      <x:c r="I9" s="149" t="str">
        <x:v>NBV/FYP&lt;15%</x:v>
      </x:c>
      <x:c r="J9" s="149"/>
      <x:c r="K9" s="149" t="str">
        <x:v>跟踪产品、渠道、续期结构</x:v>
      </x:c>
      <x:c r="L9" s="149"/>
      <x:c r="M9" s="149"/>
      <x:c r="N9" s="150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4" customHeight="1">
      <x:c r="A10" s="139"/>
      <x:c r="B10" s="146" t="n">
        <x:v>4</x:v>
      </x:c>
      <x:c r="C10" s="149" t="str">
        <x:v>存量负债成本压力</x:v>
      </x:c>
      <x:c r="D10" s="149"/>
      <x:c r="E10" s="149" t="str">
        <x:v>中高</x:v>
      </x:c>
      <x:c r="F10" s="149" t="str">
        <x:v>高</x:v>
      </x:c>
      <x:c r="G10" s="149" t="str">
        <x:v>EV经济偏差转负、VIF下调</x:v>
      </x:c>
      <x:c r="H10" s="149"/>
      <x:c r="I10" s="149" t="str">
        <x:v>VIF一年下降&gt;10%</x:v>
      </x:c>
      <x:c r="J10" s="149"/>
      <x:c r="K10" s="149" t="str">
        <x:v>看EV假设变更和敏感性</x:v>
      </x:c>
      <x:c r="L10" s="149"/>
      <x:c r="M10" s="149"/>
      <x:c r="N10" s="150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4" customHeight="1">
      <x:c r="A11" s="139"/>
      <x:c r="B11" s="146" t="n">
        <x:v>5</x:v>
      </x:c>
      <x:c r="C11" s="149" t="str">
        <x:v>偿付能力下降</x:v>
      </x:c>
      <x:c r="D11" s="149"/>
      <x:c r="E11" s="149" t="str">
        <x:v>中</x:v>
      </x:c>
      <x:c r="F11" s="149" t="str">
        <x:v>高</x:v>
      </x:c>
      <x:c r="G11" s="149" t="str">
        <x:v>核心偿付率持续下滑</x:v>
      </x:c>
      <x:c r="H11" s="149"/>
      <x:c r="I11" s="149" t="str">
        <x:v>核心偿付率&lt;120%</x:v>
      </x:c>
      <x:c r="J11" s="149"/>
      <x:c r="K11" s="149" t="str">
        <x:v>降低对高支付率的假设</x:v>
      </x:c>
      <x:c r="L11" s="149"/>
      <x:c r="M11" s="149"/>
      <x:c r="N11" s="150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4" customHeight="1">
      <x:c r="A12" s="139"/>
      <x:c r="B12" s="146" t="n">
        <x:v>6</x:v>
      </x:c>
      <x:c r="C12" s="149" t="str">
        <x:v>分红下调</x:v>
      </x:c>
      <x:c r="D12" s="149"/>
      <x:c r="E12" s="149" t="str">
        <x:v>中</x:v>
      </x:c>
      <x:c r="F12" s="149" t="str">
        <x:v>高</x:v>
      </x:c>
      <x:c r="G12" s="149" t="str">
        <x:v>全年支付率低于历史区间</x:v>
      </x:c>
      <x:c r="H12" s="149"/>
      <x:c r="I12" s="149" t="str">
        <x:v>支付率&lt;22%</x:v>
      </x:c>
      <x:c r="J12" s="149"/>
      <x:c r="K12" s="149" t="str">
        <x:v>检查利润、资本与新业务资金需求</x:v>
      </x:c>
      <x:c r="L12" s="149"/>
      <x:c r="M12" s="149"/>
      <x:c r="N12" s="150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4" customHeight="1">
      <x:c r="A13" s="139"/>
      <x:c r="B13" s="146" t="n">
        <x:v>7</x:v>
      </x:c>
      <x:c r="C13" s="149" t="str">
        <x:v>信用/非标资产恶化</x:v>
      </x:c>
      <x:c r="D13" s="149"/>
      <x:c r="E13" s="149" t="str">
        <x:v>中低</x:v>
      </x:c>
      <x:c r="F13" s="149" t="str">
        <x:v>中高</x:v>
      </x:c>
      <x:c r="G13" s="149" t="str">
        <x:v>减值损失上升、非标逾期</x:v>
      </x:c>
      <x:c r="H13" s="149"/>
      <x:c r="I13" s="149" t="str">
        <x:v>非标占比&gt;5%且减值上升</x:v>
      </x:c>
      <x:c r="J13" s="149"/>
      <x:c r="K13" s="149" t="str">
        <x:v>跟踪信用质量而非只看占比</x:v>
      </x:c>
      <x:c r="L13" s="149"/>
      <x:c r="M13" s="149"/>
      <x:c r="N13" s="150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4" customHeight="1">
      <x:c r="A14" s="139"/>
      <x:c r="B14" s="146" t="n">
        <x:v>8</x:v>
      </x:c>
      <x:c r="C14" s="149" t="str">
        <x:v>会计利润与现金错位</x:v>
      </x:c>
      <x:c r="D14" s="149"/>
      <x:c r="E14" s="149" t="str">
        <x:v>中</x:v>
      </x:c>
      <x:c r="F14" s="149" t="str">
        <x:v>中</x:v>
      </x:c>
      <x:c r="G14" s="149" t="str">
        <x:v>利润大增但CSM、偿付率不同步</x:v>
      </x:c>
      <x:c r="H14" s="149"/>
      <x:c r="I14" s="149" t="str">
        <x:v>CSM负增长</x:v>
      </x:c>
      <x:c r="J14" s="149"/>
      <x:c r="K14" s="149" t="str">
        <x:v>把利润、CSM和资本三表合看</x:v>
      </x:c>
      <x:c r="L14" s="149"/>
      <x:c r="M14" s="149"/>
      <x:c r="N14" s="150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3" customHeight="1">
      <x:c r="A17" s="139"/>
      <x:c r="B17" s="142" t="str">
        <x:v>高股息逻辑：六道门槛</x:v>
      </x:c>
      <x:c r="C17" s="143" t="str">
        <x:v>高股息逻辑：六道门槛</x:v>
      </x:c>
      <x:c r="D17" s="143" t="str">
        <x:v>高股息逻辑：六道门槛</x:v>
      </x:c>
      <x:c r="E17" s="143" t="str">
        <x:v>高股息逻辑：六道门槛</x:v>
      </x:c>
      <x:c r="F17" s="143" t="str">
        <x:v>高股息逻辑：六道门槛</x:v>
      </x:c>
      <x:c r="G17" s="143" t="str">
        <x:v>高股息逻辑：六道门槛</x:v>
      </x:c>
      <x:c r="H17" s="143" t="str">
        <x:v>高股息逻辑：六道门槛</x:v>
      </x:c>
      <x:c r="I17" s="143" t="str">
        <x:v>高股息逻辑：六道门槛</x:v>
      </x:c>
      <x:c r="J17" s="143" t="str">
        <x:v>高股息逻辑：六道门槛</x:v>
      </x:c>
      <x:c r="K17" s="143" t="str">
        <x:v>高股息逻辑：六道门槛</x:v>
      </x:c>
      <x:c r="L17" s="143" t="str">
        <x:v>高股息逻辑：六道门槛</x:v>
      </x:c>
      <x:c r="M17" s="143" t="str">
        <x:v>高股息逻辑：六道门槛</x:v>
      </x:c>
      <x:c r="N17" s="144" t="str">
        <x:v>高股息逻辑：六道门槛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8" customHeight="1">
      <x:c r="A18" s="139"/>
      <x:c r="B18" s="17" t="str">
        <x:v>门槛</x:v>
      </x:c>
      <x:c r="C18" s="17" t="str">
        <x:v>最新值</x:v>
      </x:c>
      <x:c r="D18" s="17" t="str">
        <x:v>绿灯</x:v>
      </x:c>
      <x:c r="E18" s="17" t="str">
        <x:v>黄灯</x:v>
      </x:c>
      <x:c r="F18" s="17" t="str">
        <x:v>红灯</x:v>
      </x:c>
      <x:c r="G18" s="17" t="str">
        <x:v>当前判定</x:v>
      </x:c>
      <x:c r="H18" s="17"/>
      <x:c r="I18" s="17" t="str">
        <x:v>如何使用</x:v>
      </x:c>
      <x:c r="J18" s="17"/>
      <x:c r="K18" s="17"/>
      <x:c r="L18" s="17"/>
      <x:c r="M18" s="17"/>
      <x:c r="N18" s="17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5" customHeight="1">
      <x:c r="A19" s="139"/>
      <x:c r="B19" s="146" t="str">
        <x:v>归一化归母净利润</x:v>
      </x:c>
      <x:c r="C19" s="148" t="n">
        <x:v>362.84</x:v>
      </x:c>
      <x:c r="D19" s="148" t="str">
        <x:v>&gt;340</x:v>
      </x:c>
      <x:c r="E19" s="148" t="str">
        <x:v>284—340</x:v>
      </x:c>
      <x:c r="F19" s="148" t="str">
        <x:v>&lt;284</x:v>
      </x:c>
      <x:c r="G19" s="195" t="str">
        <x:f>IF(C19&gt;340,"绿灯",IF(C19&gt;=284,"黄灯","红灯"))</x:f>
        <x:v>绿灯</x:v>
      </x:c>
      <x:c r="H19" s="195"/>
      <x:c r="I19" s="149" t="str">
        <x:v>2.73元DPS在25%/30%支付率下的分界</x:v>
      </x:c>
      <x:c r="J19" s="149"/>
      <x:c r="K19" s="149"/>
      <x:c r="L19" s="149"/>
      <x:c r="M19" s="149"/>
      <x:c r="N19" s="150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5" customHeight="1">
      <x:c r="A20" s="139"/>
      <x:c r="B20" s="146" t="str">
        <x:v>核心偿付能力</x:v>
      </x:c>
      <x:c r="C20" s="153" t="n">
        <x:f>'数据与来源'!B27</x:f>
        <x:v>1.2621</x:v>
      </x:c>
      <x:c r="D20" s="148" t="str">
        <x:v>&gt;125%</x:v>
      </x:c>
      <x:c r="E20" s="148" t="str">
        <x:v>120%—125%</x:v>
      </x:c>
      <x:c r="F20" s="148" t="str">
        <x:v>&lt;120%</x:v>
      </x:c>
      <x:c r="G20" s="195" t="str">
        <x:f>IF(C20&gt;125%,"绿灯",IF(C20&gt;=120%,"黄灯","红灯"))</x:f>
        <x:v>绿灯</x:v>
      </x:c>
      <x:c r="H20" s="195"/>
      <x:c r="I20" s="149" t="str">
        <x:v>分红和权益投资的资本约束</x:v>
      </x:c>
      <x:c r="J20" s="149"/>
      <x:c r="K20" s="149"/>
      <x:c r="L20" s="149"/>
      <x:c r="M20" s="149"/>
      <x:c r="N20" s="150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5" customHeight="1">
      <x:c r="A21" s="139"/>
      <x:c r="B21" s="146" t="str">
        <x:v>NBV/首年保费</x:v>
      </x:c>
      <x:c r="C21" s="153" t="n">
        <x:f>'数据与来源'!B18/'数据与来源'!B19</x:f>
        <x:v>0.1716640190627482</x:v>
      </x:c>
      <x:c r="D21" s="148" t="str">
        <x:v>&gt;=17%</x:v>
      </x:c>
      <x:c r="E21" s="148" t="str">
        <x:v>15%—17%</x:v>
      </x:c>
      <x:c r="F21" s="148" t="str">
        <x:v>&lt;15%</x:v>
      </x:c>
      <x:c r="G21" s="195" t="str">
        <x:f>IF(C21&gt;=17%,"绿灯",IF(C21&gt;=15%,"黄灯","红灯"))</x:f>
        <x:v>绿灯</x:v>
      </x:c>
      <x:c r="H21" s="195"/>
      <x:c r="I21" s="149" t="str">
        <x:v>检查保费是否真正转化为新业务价值</x:v>
      </x:c>
      <x:c r="J21" s="149"/>
      <x:c r="K21" s="149"/>
      <x:c r="L21" s="149"/>
      <x:c r="M21" s="149"/>
      <x:c r="N21" s="150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5" customHeight="1">
      <x:c r="A22" s="139"/>
      <x:c r="B22" s="146" t="str">
        <x:v>CSM增速</x:v>
      </x:c>
      <x:c r="C22" s="153" t="n">
        <x:f>'数据与来源'!B25/'数据与来源'!B34-1</x:f>
        <x:v>0.06677195511850442</x:v>
      </x:c>
      <x:c r="D22" s="148" t="str">
        <x:v>&gt;5%</x:v>
      </x:c>
      <x:c r="E22" s="148" t="str">
        <x:v>0—5%</x:v>
      </x:c>
      <x:c r="F22" s="148" t="str">
        <x:v>&lt;0%</x:v>
      </x:c>
      <x:c r="G22" s="195" t="str">
        <x:f>IF(C22&gt;5%,"绿灯",IF(C22&gt;=0%,"黄灯","红灯"))</x:f>
        <x:v>绿灯</x:v>
      </x:c>
      <x:c r="H22" s="195"/>
      <x:c r="I22" s="149" t="str">
        <x:v>未来利润池是否扩大</x:v>
      </x:c>
      <x:c r="J22" s="149"/>
      <x:c r="K22" s="149"/>
      <x:c r="L22" s="149"/>
      <x:c r="M22" s="149"/>
      <x:c r="N22" s="150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5" customHeight="1">
      <x:c r="A23" s="139"/>
      <x:c r="B23" s="146" t="str">
        <x:v>净投资收益率</x:v>
      </x:c>
      <x:c r="C23" s="153" t="n">
        <x:v>0.026</x:v>
      </x:c>
      <x:c r="D23" s="148" t="str">
        <x:v>&gt;=2.5%</x:v>
      </x:c>
      <x:c r="E23" s="148" t="str">
        <x:v>2.3%—2.5%</x:v>
      </x:c>
      <x:c r="F23" s="148" t="str">
        <x:v>&lt;2.3%</x:v>
      </x:c>
      <x:c r="G23" s="195" t="str">
        <x:f>IF(C23&gt;=2.5%,"绿灯",IF(C23&gt;=2.3%,"黄灯","红灯"))</x:f>
        <x:v>绿灯</x:v>
      </x:c>
      <x:c r="H23" s="195"/>
      <x:c r="I23" s="149" t="str">
        <x:v>判断存量利息收益底盘</x:v>
      </x:c>
      <x:c r="J23" s="149"/>
      <x:c r="K23" s="149"/>
      <x:c r="L23" s="149"/>
      <x:c r="M23" s="149"/>
      <x:c r="N23" s="150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5" customHeight="1">
      <x:c r="A24" s="139"/>
      <x:c r="B24" s="146" t="str">
        <x:v>已实施LTM股息率</x:v>
      </x:c>
      <x:c r="C24" s="153" t="n">
        <x:f>'数据与来源'!B12/'数据与来源'!B7</x:f>
        <x:v>0.053740157480314965</x:v>
      </x:c>
      <x:c r="D24" s="148" t="str">
        <x:v>&gt;=5.5%</x:v>
      </x:c>
      <x:c r="E24" s="148" t="str">
        <x:v>4.5%—5.5%</x:v>
      </x:c>
      <x:c r="F24" s="148" t="str">
        <x:v>&lt;4.5%</x:v>
      </x:c>
      <x:c r="G24" s="195" t="str">
        <x:f>IF(C24&gt;=5.5%,"绿灯",IF(C24&gt;=4.5%,"黄灯","红灯"))</x:f>
        <x:v>黄灯</x:v>
      </x:c>
      <x:c r="H24" s="195"/>
      <x:c r="I24" s="149" t="str">
        <x:v>必须和上述五项同时达标，不能单独使用</x:v>
      </x:c>
      <x:c r="J24" s="149"/>
      <x:c r="K24" s="149"/>
      <x:c r="L24" s="149"/>
      <x:c r="M24" s="149"/>
      <x:c r="N24" s="150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3" customHeight="1">
      <x:c r="A27" s="139"/>
      <x:c r="B27" s="142" t="str">
        <x:v>论点失效条件</x:v>
      </x:c>
      <x:c r="C27" s="143" t="str">
        <x:v>论点失效条件</x:v>
      </x:c>
      <x:c r="D27" s="143" t="str">
        <x:v>论点失效条件</x:v>
      </x:c>
      <x:c r="E27" s="143" t="str">
        <x:v>论点失效条件</x:v>
      </x:c>
      <x:c r="F27" s="143" t="str">
        <x:v>论点失效条件</x:v>
      </x:c>
      <x:c r="G27" s="143" t="str">
        <x:v>论点失效条件</x:v>
      </x:c>
      <x:c r="H27" s="143" t="str">
        <x:v>论点失效条件</x:v>
      </x:c>
      <x:c r="I27" s="143" t="str">
        <x:v>论点失效条件</x:v>
      </x:c>
      <x:c r="J27" s="143" t="str">
        <x:v>论点失效条件</x:v>
      </x:c>
      <x:c r="K27" s="143" t="str">
        <x:v>论点失效条件</x:v>
      </x:c>
      <x:c r="L27" s="143" t="str">
        <x:v>论点失效条件</x:v>
      </x:c>
      <x:c r="M27" s="143" t="str">
        <x:v>论点失效条件</x:v>
      </x:c>
      <x:c r="N27" s="144" t="str">
        <x:v>论点失效条件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139"/>
      <x:c r="B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C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D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E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F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G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H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I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J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K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L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M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N28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139"/>
      <x:c r="B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C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D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E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F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G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H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I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J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K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L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M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N29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139"/>
      <x:c r="B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C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D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E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F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G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H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I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J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K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L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M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N30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139"/>
      <x:c r="B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C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D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E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F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G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H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I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J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K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L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M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N31" s="196" t="str">
        <x:v>任意两项持续两个报告期触发，应重做投资论点：① NBV/FYP低于15%；② CSM转为负增长；③ 核心偿付率低于120%；④ 净投资收益率低于2.3%；⑤ 归一化净利润低于284亿元；⑥ 年度支付率低于22%且无明确资本用途。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B5:N5"/>
    <x:mergeCell ref="C6:D6"/>
    <x:mergeCell ref="F6:H6"/>
    <x:mergeCell ref="I6:J6"/>
    <x:mergeCell ref="K6:N6"/>
    <x:mergeCell ref="C7:D7"/>
    <x:mergeCell ref="F7:H7"/>
    <x:mergeCell ref="I7:J7"/>
    <x:mergeCell ref="K7:N7"/>
    <x:mergeCell ref="C8:D8"/>
    <x:mergeCell ref="F8:H8"/>
    <x:mergeCell ref="I8:J8"/>
    <x:mergeCell ref="K8:N8"/>
    <x:mergeCell ref="C9:D9"/>
    <x:mergeCell ref="F9:H9"/>
    <x:mergeCell ref="I9:J9"/>
    <x:mergeCell ref="K9:N9"/>
    <x:mergeCell ref="C10:D10"/>
    <x:mergeCell ref="F10:H10"/>
    <x:mergeCell ref="I10:J10"/>
    <x:mergeCell ref="K10:N10"/>
    <x:mergeCell ref="C11:D11"/>
    <x:mergeCell ref="F11:H11"/>
    <x:mergeCell ref="I11:J11"/>
    <x:mergeCell ref="K11:N11"/>
    <x:mergeCell ref="C12:D12"/>
    <x:mergeCell ref="F12:H12"/>
    <x:mergeCell ref="I12:J12"/>
    <x:mergeCell ref="K12:N12"/>
    <x:mergeCell ref="C13:D13"/>
    <x:mergeCell ref="F13:H13"/>
    <x:mergeCell ref="I13:J13"/>
    <x:mergeCell ref="K13:N13"/>
    <x:mergeCell ref="C14:D14"/>
    <x:mergeCell ref="F14:H14"/>
    <x:mergeCell ref="I14:J14"/>
    <x:mergeCell ref="K14:N14"/>
    <x:mergeCell ref="B17:N17"/>
    <x:mergeCell ref="G18:H18"/>
    <x:mergeCell ref="I18:N18"/>
    <x:mergeCell ref="G19:H19"/>
    <x:mergeCell ref="I19:N19"/>
    <x:mergeCell ref="G20:H20"/>
    <x:mergeCell ref="I20:N20"/>
    <x:mergeCell ref="G21:H21"/>
    <x:mergeCell ref="I21:N21"/>
    <x:mergeCell ref="G22:H22"/>
    <x:mergeCell ref="I22:N22"/>
    <x:mergeCell ref="G23:H23"/>
    <x:mergeCell ref="I23:N23"/>
    <x:mergeCell ref="G24:H24"/>
    <x:mergeCell ref="I24:N24"/>
    <x:mergeCell ref="B27:N27"/>
    <x:mergeCell ref="B28:N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1" hidden="0" customWidth="1"/>
    <x:col min="4" max="4" width="16" hidden="0" customWidth="1"/>
    <x:col min="5" max="5" width="16" hidden="0" customWidth="1"/>
    <x:col min="6" max="6" width="30" hidden="0" customWidth="1"/>
    <x:col min="7" max="7" width="17" hidden="0" customWidth="1"/>
    <x:col min="8" max="8" width="3" hidden="0" customWidth="1"/>
    <x:col min="9" max="9" width="6" hidden="0" customWidth="1"/>
    <x:col min="10" max="10" width="28" hidden="0" customWidth="1"/>
    <x:col min="11" max="11" width="15" hidden="0" customWidth="1"/>
    <x:col min="12" max="12" width="17" hidden="0" customWidth="1"/>
    <x:col min="13" max="13" width="28" hidden="0" customWidth="1"/>
    <x:col min="14" max="14" width="52" hidden="0" customWidth="1"/>
  </x:cols>
  <x:sheetData>
    <x:row r="1">
      <x:c r="A1" s="139"/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40" t="str">
        <x:v>新华保险：数据与来源</x:v>
      </x:c>
      <x:c r="B2" s="140" t="str">
        <x:v>新华保险：数据与来源</x:v>
      </x:c>
      <x:c r="C2" s="140" t="str">
        <x:v>新华保险：数据与来源</x:v>
      </x:c>
      <x:c r="D2" s="140" t="str">
        <x:v>新华保险：数据与来源</x:v>
      </x:c>
      <x:c r="E2" s="140" t="str">
        <x:v>新华保险：数据与来源</x:v>
      </x:c>
      <x:c r="F2" s="140" t="str">
        <x:v>新华保险：数据与来源</x:v>
      </x:c>
      <x:c r="G2" s="140" t="str">
        <x:v>新华保险：数据与来源</x:v>
      </x:c>
      <x:c r="H2" s="140" t="str">
        <x:v>新华保险：数据与来源</x:v>
      </x:c>
      <x:c r="I2" s="140" t="str">
        <x:v>新华保险：数据与来源</x:v>
      </x:c>
      <x:c r="J2" s="140" t="str">
        <x:v>新华保险：数据与来源</x:v>
      </x:c>
      <x:c r="K2" s="140" t="str">
        <x:v>新华保险：数据与来源</x:v>
      </x:c>
      <x:c r="L2" s="140" t="str">
        <x:v>新华保险：数据与来源</x:v>
      </x:c>
      <x:c r="M2" s="140" t="str">
        <x:v>新华保险：数据与来源</x:v>
      </x:c>
      <x:c r="N2" s="140" t="str">
        <x:v>新华保险：数据与来源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141" t="str">
        <x:v>研究日 2026-10-22；最新完整交易日收盘价为 2026-10-21。蓝字=可更新输入，绿字=跨表公式，黑字=表内公式。金额默认单位为亿元。</x:v>
      </x:c>
      <x:c r="B3" s="141" t="str">
        <x:v>研究日 2026-10-22；最新完整交易日收盘价为 2026-10-21。蓝字=可更新输入，绿字=跨表公式，黑字=表内公式。金额默认单位为亿元。</x:v>
      </x:c>
      <x:c r="C3" s="141" t="str">
        <x:v>研究日 2026-10-22；最新完整交易日收盘价为 2026-10-21。蓝字=可更新输入，绿字=跨表公式，黑字=表内公式。金额默认单位为亿元。</x:v>
      </x:c>
      <x:c r="D3" s="141" t="str">
        <x:v>研究日 2026-10-22；最新完整交易日收盘价为 2026-10-21。蓝字=可更新输入，绿字=跨表公式，黑字=表内公式。金额默认单位为亿元。</x:v>
      </x:c>
      <x:c r="E3" s="141" t="str">
        <x:v>研究日 2026-10-22；最新完整交易日收盘价为 2026-10-21。蓝字=可更新输入，绿字=跨表公式，黑字=表内公式。金额默认单位为亿元。</x:v>
      </x:c>
      <x:c r="F3" s="141" t="str">
        <x:v>研究日 2026-10-22；最新完整交易日收盘价为 2026-10-21。蓝字=可更新输入，绿字=跨表公式，黑字=表内公式。金额默认单位为亿元。</x:v>
      </x:c>
      <x:c r="G3" s="141" t="str">
        <x:v>研究日 2026-10-22；最新完整交易日收盘价为 2026-10-21。蓝字=可更新输入，绿字=跨表公式，黑字=表内公式。金额默认单位为亿元。</x:v>
      </x:c>
      <x:c r="H3" s="141" t="str">
        <x:v>研究日 2026-10-22；最新完整交易日收盘价为 2026-10-21。蓝字=可更新输入，绿字=跨表公式，黑字=表内公式。金额默认单位为亿元。</x:v>
      </x:c>
      <x:c r="I3" s="141" t="str">
        <x:v>研究日 2026-10-22；最新完整交易日收盘价为 2026-10-21。蓝字=可更新输入，绿字=跨表公式，黑字=表内公式。金额默认单位为亿元。</x:v>
      </x:c>
      <x:c r="J3" s="141" t="str">
        <x:v>研究日 2026-10-22；最新完整交易日收盘价为 2026-10-21。蓝字=可更新输入，绿字=跨表公式，黑字=表内公式。金额默认单位为亿元。</x:v>
      </x:c>
      <x:c r="K3" s="141" t="str">
        <x:v>研究日 2026-10-22；最新完整交易日收盘价为 2026-10-21。蓝字=可更新输入，绿字=跨表公式，黑字=表内公式。金额默认单位为亿元。</x:v>
      </x:c>
      <x:c r="L3" s="141" t="str">
        <x:v>研究日 2026-10-22；最新完整交易日收盘价为 2026-10-21。蓝字=可更新输入，绿字=跨表公式，黑字=表内公式。金额默认单位为亿元。</x:v>
      </x:c>
      <x:c r="M3" s="141" t="str">
        <x:v>研究日 2026-10-22；最新完整交易日收盘价为 2026-10-21。蓝字=可更新输入，绿字=跨表公式，黑字=表内公式。金额默认单位为亿元。</x:v>
      </x:c>
      <x:c r="N3" s="141" t="str">
        <x:v>研究日 2026-10-22；最新完整交易日收盘价为 2026-10-21。蓝字=可更新输入，绿字=跨表公式，黑字=表内公式。金额默认单位为亿元。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39"/>
      <x:c r="B4" s="139"/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139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142" t="str">
        <x:v>市场、资产负债与当期经营快照</x:v>
      </x:c>
      <x:c r="B5" s="143" t="str">
        <x:v>市场、资产负债与当期经营快照</x:v>
      </x:c>
      <x:c r="C5" s="143" t="str">
        <x:v>市场、资产负债与当期经营快照</x:v>
      </x:c>
      <x:c r="D5" s="143" t="str">
        <x:v>市场、资产负债与当期经营快照</x:v>
      </x:c>
      <x:c r="E5" s="143" t="str">
        <x:v>市场、资产负债与当期经营快照</x:v>
      </x:c>
      <x:c r="F5" s="143" t="str">
        <x:v>市场、资产负债与当期经营快照</x:v>
      </x:c>
      <x:c r="G5" s="144" t="str">
        <x:v>市场、资产负债与当期经营快照</x:v>
      </x:c>
      <x:c r="H5" s="139"/>
      <x:c r="I5" s="142" t="str">
        <x:v>原始历史数据（2021—2025）</x:v>
      </x:c>
      <x:c r="J5" s="143" t="str">
        <x:v>原始历史数据（2021—2025）</x:v>
      </x:c>
      <x:c r="K5" s="143" t="str">
        <x:v>原始历史数据（2021—2025）</x:v>
      </x:c>
      <x:c r="L5" s="143" t="str">
        <x:v>原始历史数据（2021—2025）</x:v>
      </x:c>
      <x:c r="M5" s="143" t="str">
        <x:v>原始历史数据（2021—2025）</x:v>
      </x:c>
      <x:c r="N5" s="144" t="str">
        <x:v>原始历史数据（2021—2025）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7" t="str">
        <x:v>指标</x:v>
      </x:c>
      <x:c r="B6" s="17" t="str">
        <x:v>数值</x:v>
      </x:c>
      <x:c r="C6" s="17" t="str">
        <x:v>单位</x:v>
      </x:c>
      <x:c r="D6" s="17" t="str">
        <x:v>期间/状态</x:v>
      </x:c>
      <x:c r="E6" s="17" t="str">
        <x:v>事实性质</x:v>
      </x:c>
      <x:c r="F6" s="17" t="str">
        <x:v>来源页码/说明</x:v>
      </x:c>
      <x:c r="G6" s="17" t="str">
        <x:v>用途</x:v>
      </x:c>
      <x:c r="H6" s="139"/>
      <x:c r="I6" s="17" t="str">
        <x:v>年份</x:v>
      </x:c>
      <x:c r="J6" s="17" t="str">
        <x:v>原保费</x:v>
      </x:c>
      <x:c r="K6" s="17" t="str">
        <x:v>归母净利润</x:v>
      </x:c>
      <x:c r="L6" s="17" t="str">
        <x:v>内含价值</x:v>
      </x:c>
      <x:c r="M6" s="17" t="str">
        <x:v>现金分红</x:v>
      </x:c>
      <x:c r="N6" s="17" t="str">
        <x:v>总资产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46" t="str">
        <x:v>A股收盘价</x:v>
      </x:c>
      <x:c r="B7" s="197" t="n">
        <x:v>50.8</x:v>
      </x:c>
      <x:c r="C7" s="148" t="str">
        <x:v>元</x:v>
      </x:c>
      <x:c r="D7" s="149" t="str">
        <x:v>2026-10-21</x:v>
      </x:c>
      <x:c r="E7" s="149" t="str">
        <x:v>市场数据</x:v>
      </x:c>
      <x:c r="F7" s="149" t="str">
        <x:v>Investing.com历史行情</x:v>
      </x:c>
      <x:c r="G7" s="150" t="str">
        <x:v>估值基准</x:v>
      </x:c>
      <x:c r="H7" s="139"/>
      <x:c r="I7" s="198" t="n">
        <x:v>2021</x:v>
      </x:c>
      <x:c r="J7" s="152" t="n">
        <x:v>1634.7</x:v>
      </x:c>
      <x:c r="K7" s="152" t="n">
        <x:v>149.47</x:v>
      </x:c>
      <x:c r="L7" s="152" t="n">
        <x:v>2588.24</x:v>
      </x:c>
      <x:c r="M7" s="152" t="n">
        <x:v>44.92</x:v>
      </x:c>
      <x:c r="N7" s="175" t="n">
        <x:v>11277.21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46" t="str">
        <x:v>总股本</x:v>
      </x:c>
      <x:c r="B8" s="197" t="n">
        <x:v>31.195466</x:v>
      </x:c>
      <x:c r="C8" s="148" t="str">
        <x:v>亿股</x:v>
      </x:c>
      <x:c r="D8" s="149" t="str">
        <x:v>2026-06-30</x:v>
      </x:c>
      <x:c r="E8" s="149" t="str">
        <x:v>披露事实</x:v>
      </x:c>
      <x:c r="F8" s="149" t="str">
        <x:v>2026半年报</x:v>
      </x:c>
      <x:c r="G8" s="150" t="str">
        <x:v>每股换算</x:v>
      </x:c>
      <x:c r="H8" s="139"/>
      <x:c r="I8" s="198" t="n">
        <x:v>2022</x:v>
      </x:c>
      <x:c r="J8" s="152" t="n">
        <x:v>1630.99</x:v>
      </x:c>
      <x:c r="K8" s="152" t="n">
        <x:v>98.22</x:v>
      </x:c>
      <x:c r="L8" s="152" t="n">
        <x:v>2555.82</x:v>
      </x:c>
      <x:c r="M8" s="152" t="n">
        <x:v>33.69</x:v>
      </x:c>
      <x:c r="N8" s="175" t="n">
        <x:v>12550.44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46" t="str">
        <x:v>内含价值</x:v>
      </x:c>
      <x:c r="B9" s="197" t="n">
        <x:v>3103.84</x:v>
      </x:c>
      <x:c r="C9" s="148" t="str">
        <x:v>亿元</x:v>
      </x:c>
      <x:c r="D9" s="149" t="str">
        <x:v>2026-06-30</x:v>
      </x:c>
      <x:c r="E9" s="149" t="str">
        <x:v>披露事实</x:v>
      </x:c>
      <x:c r="F9" s="149" t="str">
        <x:v>2026半年报 p13/p46</x:v>
      </x:c>
      <x:c r="G9" s="150" t="str">
        <x:v>P/EV</x:v>
      </x:c>
      <x:c r="H9" s="139"/>
      <x:c r="I9" s="198" t="n">
        <x:v>2023</x:v>
      </x:c>
      <x:c r="J9" s="152" t="n">
        <x:v>1659.03</x:v>
      </x:c>
      <x:c r="K9" s="152" t="n">
        <x:v>87.12</x:v>
      </x:c>
      <x:c r="L9" s="152" t="n">
        <x:v>2505.1</x:v>
      </x:c>
      <x:c r="M9" s="152" t="n">
        <x:v>26.52</x:v>
      </x:c>
      <x:c r="N9" s="175" t="n">
        <x:v>14032.57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46" t="str">
        <x:v>归母净资产</x:v>
      </x:c>
      <x:c r="B10" s="197" t="n">
        <x:v>1235.78</x:v>
      </x:c>
      <x:c r="C10" s="148" t="str">
        <x:v>亿元</x:v>
      </x:c>
      <x:c r="D10" s="149" t="str">
        <x:v>2026-06-30</x:v>
      </x:c>
      <x:c r="E10" s="149" t="str">
        <x:v>披露事实</x:v>
      </x:c>
      <x:c r="F10" s="149" t="str">
        <x:v>2026半年报资产负债表</x:v>
      </x:c>
      <x:c r="G10" s="150" t="str">
        <x:v>P/B</x:v>
      </x:c>
      <x:c r="H10" s="139"/>
      <x:c r="I10" s="198" t="n">
        <x:v>2024</x:v>
      </x:c>
      <x:c r="J10" s="152" t="n">
        <x:v>1705.11</x:v>
      </x:c>
      <x:c r="K10" s="152" t="n">
        <x:v>262.29</x:v>
      </x:c>
      <x:c r="L10" s="152" t="n">
        <x:v>2584.48</x:v>
      </x:c>
      <x:c r="M10" s="152" t="n">
        <x:v>78.93</x:v>
      </x:c>
      <x:c r="N10" s="175" t="n">
        <x:v>16922.97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46" t="str">
        <x:v>TTM归母净利润</x:v>
      </x:c>
      <x:c r="B11" s="197" t="n">
        <x:v>442.78</x:v>
      </x:c>
      <x:c r="C11" s="148" t="str">
        <x:v>亿元</x:v>
      </x:c>
      <x:c r="D11" s="149" t="str">
        <x:v>2025H2+2026H1</x:v>
      </x:c>
      <x:c r="E11" s="149" t="str">
        <x:v>计算结果</x:v>
      </x:c>
      <x:c r="F11" s="149" t="str">
        <x:v>362.84+227.93-147.99</x:v>
      </x:c>
      <x:c r="G11" s="150" t="str">
        <x:v>TTM PE</x:v>
      </x:c>
      <x:c r="H11" s="139"/>
      <x:c r="I11" s="198" t="n">
        <x:v>2025</x:v>
      </x:c>
      <x:c r="J11" s="152" t="n">
        <x:v>1958.71</x:v>
      </x:c>
      <x:c r="K11" s="152" t="n">
        <x:v>362.84</x:v>
      </x:c>
      <x:c r="L11" s="152" t="n">
        <x:v>2878.4</x:v>
      </x:c>
      <x:c r="M11" s="152" t="n">
        <x:v>85.16</x:v>
      </x:c>
      <x:c r="N11" s="175" t="n">
        <x:v>18994.84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46" t="str">
        <x:v>已实施LTM每股股息</x:v>
      </x:c>
      <x:c r="B12" s="197" t="n">
        <x:v>2.73</x:v>
      </x:c>
      <x:c r="C12" s="148" t="str">
        <x:v>元/股</x:v>
      </x:c>
      <x:c r="D12" s="149" t="str">
        <x:v>近12个月</x:v>
      </x:c>
      <x:c r="E12" s="149" t="str">
        <x:v>已实施</x:v>
      </x:c>
      <x:c r="F12" s="149" t="str">
        <x:v>2025中期0.67+末期2.06</x:v>
      </x:c>
      <x:c r="G12" s="150" t="str">
        <x:v>股息率</x:v>
      </x:c>
      <x:c r="H12" s="139"/>
      <x:c r="I12" s="139"/>
      <x:c r="J12" s="139"/>
      <x:c r="K12" s="139"/>
      <x:c r="L12" s="139"/>
      <x:c r="M12" s="139"/>
      <x:c r="N12" s="139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46" t="str">
        <x:v>10年国债到期收益率</x:v>
      </x:c>
      <x:c r="B13" s="199" t="n">
        <x:v>0.016245</x:v>
      </x:c>
      <x:c r="C13" s="148" t="str">
        <x:v>%</x:v>
      </x:c>
      <x:c r="D13" s="149" t="str">
        <x:v>2026-10-21</x:v>
      </x:c>
      <x:c r="E13" s="149" t="str">
        <x:v>市场数据</x:v>
      </x:c>
      <x:c r="F13" s="149" t="str">
        <x:v>26附息国债16；新华财经</x:v>
      </x:c>
      <x:c r="G13" s="150" t="str">
        <x:v>无风险参照</x:v>
      </x:c>
      <x:c r="H13" s="139"/>
      <x:c r="I13" s="139"/>
      <x:c r="J13" s="139"/>
      <x:c r="K13" s="139"/>
      <x:c r="L13" s="139"/>
      <x:c r="M13" s="139"/>
      <x:c r="N13" s="139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3" customHeight="1">
      <x:c r="A14" s="146" t="str">
        <x:v>2026H1归母净利润</x:v>
      </x:c>
      <x:c r="B14" s="197" t="n">
        <x:v>227.93</x:v>
      </x:c>
      <x:c r="C14" s="148" t="str">
        <x:v>亿元</x:v>
      </x:c>
      <x:c r="D14" s="149" t="str">
        <x:v>2026H1</x:v>
      </x:c>
      <x:c r="E14" s="149" t="str">
        <x:v>披露事实</x:v>
      </x:c>
      <x:c r="F14" s="149" t="str">
        <x:v>2026半年报 p13</x:v>
      </x:c>
      <x:c r="G14" s="150" t="str">
        <x:v>盈利</x:v>
      </x:c>
      <x:c r="H14" s="139"/>
      <x:c r="I14" s="142" t="str">
        <x:v>证据索引：可回溯来源</x:v>
      </x:c>
      <x:c r="J14" s="143" t="str">
        <x:v>证据索引：可回溯来源</x:v>
      </x:c>
      <x:c r="K14" s="143" t="str">
        <x:v>证据索引：可回溯来源</x:v>
      </x:c>
      <x:c r="L14" s="143" t="str">
        <x:v>证据索引：可回溯来源</x:v>
      </x:c>
      <x:c r="M14" s="143" t="str">
        <x:v>证据索引：可回溯来源</x:v>
      </x:c>
      <x:c r="N14" s="144" t="str">
        <x:v>证据索引：可回溯来源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146" t="str">
        <x:v>2025H1归母净利润</x:v>
      </x:c>
      <x:c r="B15" s="197" t="n">
        <x:v>147.99</x:v>
      </x:c>
      <x:c r="C15" s="148" t="str">
        <x:v>亿元</x:v>
      </x:c>
      <x:c r="D15" s="149" t="str">
        <x:v>2025H1</x:v>
      </x:c>
      <x:c r="E15" s="149" t="str">
        <x:v>披露事实</x:v>
      </x:c>
      <x:c r="F15" s="149" t="str">
        <x:v>2026半年报比较数</x:v>
      </x:c>
      <x:c r="G15" s="150" t="str">
        <x:v>TTM计算</x:v>
      </x:c>
      <x:c r="H15" s="139"/>
      <x:c r="I15" s="17" t="str">
        <x:v>#</x:v>
      </x:c>
      <x:c r="J15" s="17" t="str">
        <x:v>来源</x:v>
      </x:c>
      <x:c r="K15" s="17" t="str">
        <x:v>日期/期间</x:v>
      </x:c>
      <x:c r="L15" s="17" t="str">
        <x:v>状态</x:v>
      </x:c>
      <x:c r="M15" s="17" t="str">
        <x:v>用于支持</x:v>
      </x:c>
      <x:c r="N15" s="17" t="str">
        <x:v>URL/本地文件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8" customHeight="1">
      <x:c r="A16" s="146" t="str">
        <x:v>2025归母净利润</x:v>
      </x:c>
      <x:c r="B16" s="197" t="n">
        <x:v>362.84</x:v>
      </x:c>
      <x:c r="C16" s="148" t="str">
        <x:v>亿元</x:v>
      </x:c>
      <x:c r="D16" s="149" t="str">
        <x:v>2025A</x:v>
      </x:c>
      <x:c r="E16" s="149" t="str">
        <x:v>披露事实</x:v>
      </x:c>
      <x:c r="F16" s="149" t="str">
        <x:v>2025年报</x:v>
      </x:c>
      <x:c r="G16" s="150" t="str">
        <x:v>年度基准</x:v>
      </x:c>
      <x:c r="H16" s="139"/>
      <x:c r="I16" s="146" t="n">
        <x:v>1</x:v>
      </x:c>
      <x:c r="J16" s="149" t="str">
        <x:v>新华保险2026年半年度报告</x:v>
      </x:c>
      <x:c r="K16" s="149" t="str">
        <x:v>2026-06-30</x:v>
      </x:c>
      <x:c r="L16" s="149" t="str">
        <x:v>官方定期报告</x:v>
      </x:c>
      <x:c r="M16" s="149" t="str">
        <x:v>利润、保费、NBV、EV、CSM、投资、偿付能力</x:v>
      </x:c>
      <x:c r="N16" s="200" t="str">
        <x:v>https://static-cdn.newchinalife.com/ncl/pdf/20261012/4c999ecb-f3e8-4b32-ad77-a60cd6c884a5.pdf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8" customHeight="1">
      <x:c r="A17" s="146" t="str">
        <x:v>2026H1原保险保费</x:v>
      </x:c>
      <x:c r="B17" s="197" t="n">
        <x:v>1295.7</x:v>
      </x:c>
      <x:c r="C17" s="148" t="str">
        <x:v>亿元</x:v>
      </x:c>
      <x:c r="D17" s="149" t="str">
        <x:v>2026H1</x:v>
      </x:c>
      <x:c r="E17" s="149" t="str">
        <x:v>披露事实</x:v>
      </x:c>
      <x:c r="F17" s="149" t="str">
        <x:v>2026半年报 p13/p24</x:v>
      </x:c>
      <x:c r="G17" s="150" t="str">
        <x:v>业务规模</x:v>
      </x:c>
      <x:c r="H17" s="139"/>
      <x:c r="I17" s="146" t="n">
        <x:v>2</x:v>
      </x:c>
      <x:c r="J17" s="149" t="str">
        <x:v>新华保险2025年年度报告</x:v>
      </x:c>
      <x:c r="K17" s="149" t="str">
        <x:v>2025-12-31</x:v>
      </x:c>
      <x:c r="L17" s="149" t="str">
        <x:v>官方定期报告</x:v>
      </x:c>
      <x:c r="M17" s="149" t="str">
        <x:v>历史对比、分红、产品结构、CSM释放计划</x:v>
      </x:c>
      <x:c r="N17" s="200" t="str">
        <x:v>https://static-cdn.newchinalife.com/ncl/pdf/20260327/f629f022-d283-4100-a0b7-ee5b02486356.pdf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8" customHeight="1">
      <x:c r="A18" s="146" t="str">
        <x:v>2026H1新业务价值</x:v>
      </x:c>
      <x:c r="B18" s="197" t="n">
        <x:v>69.16</x:v>
      </x:c>
      <x:c r="C18" s="148" t="str">
        <x:v>亿元</x:v>
      </x:c>
      <x:c r="D18" s="149" t="str">
        <x:v>2026H1</x:v>
      </x:c>
      <x:c r="E18" s="149" t="str">
        <x:v>披露事实</x:v>
      </x:c>
      <x:c r="F18" s="149" t="str">
        <x:v>2026半年报 p13/p46</x:v>
      </x:c>
      <x:c r="G18" s="150" t="str">
        <x:v>价值增长</x:v>
      </x:c>
      <x:c r="H18" s="139"/>
      <x:c r="I18" s="146" t="n">
        <x:v>3</x:v>
      </x:c>
      <x:c r="J18" s="149" t="str">
        <x:v>新华保险2024年年度报告</x:v>
      </x:c>
      <x:c r="K18" s="149" t="str">
        <x:v>2024-12-31</x:v>
      </x:c>
      <x:c r="L18" s="149" t="str">
        <x:v>官方定期报告</x:v>
      </x:c>
      <x:c r="M18" s="149" t="str">
        <x:v>2024年历史数据</x:v>
      </x:c>
      <x:c r="N18" s="200" t="str">
        <x:v>https://static-cdn.newchinalife.com/ncl/pdf/20250327/c9418a2b-53f7-4a74-aef2-6efb4f785f6f.pdf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8" customHeight="1">
      <x:c r="A19" s="146" t="str">
        <x:v>2026H1首年保费</x:v>
      </x:c>
      <x:c r="B19" s="197" t="n">
        <x:v>402.88</x:v>
      </x:c>
      <x:c r="C19" s="148" t="str">
        <x:v>亿元</x:v>
      </x:c>
      <x:c r="D19" s="149" t="str">
        <x:v>2026H1</x:v>
      </x:c>
      <x:c r="E19" s="149" t="str">
        <x:v>披露事实</x:v>
      </x:c>
      <x:c r="F19" s="149" t="str">
        <x:v>2026半年报内含价值附注</x:v>
      </x:c>
      <x:c r="G19" s="150" t="str">
        <x:v>NBV利润率</x:v>
      </x:c>
      <x:c r="H19" s="139"/>
      <x:c r="I19" s="146" t="n">
        <x:v>4</x:v>
      </x:c>
      <x:c r="J19" s="149" t="str">
        <x:v>新华保险2023年年度报告</x:v>
      </x:c>
      <x:c r="K19" s="149" t="str">
        <x:v>2023-12-31</x:v>
      </x:c>
      <x:c r="L19" s="149" t="str">
        <x:v>官方定期报告</x:v>
      </x:c>
      <x:c r="M19" s="149" t="str">
        <x:v>2023年历史数据</x:v>
      </x:c>
      <x:c r="N19" s="200" t="str">
        <x:v>https://static-cdn.newchinalife.com/ncl/pdf/20240603/9e96b40a-f2b1-4f93-bc2a-1f3f709499f0.pdf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8" customHeight="1">
      <x:c r="A20" s="146" t="str">
        <x:v>2026H1保险服务业绩</x:v>
      </x:c>
      <x:c r="B20" s="197" t="n">
        <x:v>108.72</x:v>
      </x:c>
      <x:c r="C20" s="148" t="str">
        <x:v>亿元</x:v>
      </x:c>
      <x:c r="D20" s="149" t="str">
        <x:v>2026H1</x:v>
      </x:c>
      <x:c r="E20" s="149" t="str">
        <x:v>披露事实</x:v>
      </x:c>
      <x:c r="F20" s="149" t="str">
        <x:v>2026半年报 p13</x:v>
      </x:c>
      <x:c r="G20" s="150" t="str">
        <x:v>承保经济性</x:v>
      </x:c>
      <x:c r="H20" s="139"/>
      <x:c r="I20" s="146" t="n">
        <x:v>5</x:v>
      </x:c>
      <x:c r="J20" s="149" t="str">
        <x:v>上交所公司概况与公告</x:v>
      </x:c>
      <x:c r="K20" s="149" t="str">
        <x:v>截至2026-10-22</x:v>
      </x:c>
      <x:c r="L20" s="149" t="str">
        <x:v>官方公告</x:v>
      </x:c>
      <x:c r="M20" s="149" t="str">
        <x:v>分红实施/预案状态</x:v>
      </x:c>
      <x:c r="N20" s="200" t="str">
        <x:v>https://www.sse.com.cn/assortment/stock/list/info/company/index.shtml?COMPANY_CODE=601336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8" customHeight="1">
      <x:c r="A21" s="146" t="str">
        <x:v>2026H1保险服务收入</x:v>
      </x:c>
      <x:c r="B21" s="197" t="n">
        <x:v>264.42</x:v>
      </x:c>
      <x:c r="C21" s="148" t="str">
        <x:v>亿元</x:v>
      </x:c>
      <x:c r="D21" s="149" t="str">
        <x:v>2026H1</x:v>
      </x:c>
      <x:c r="E21" s="149" t="str">
        <x:v>披露事实</x:v>
      </x:c>
      <x:c r="F21" s="149" t="str">
        <x:v>2026半年报</x:v>
      </x:c>
      <x:c r="G21" s="150" t="str">
        <x:v>IFRS17利润率</x:v>
      </x:c>
      <x:c r="H21" s="139"/>
      <x:c r="I21" s="146" t="n">
        <x:v>6</x:v>
      </x:c>
      <x:c r="J21" s="149" t="str">
        <x:v>金融监管总局：寿险产品定价机制</x:v>
      </x:c>
      <x:c r="K21" s="149" t="str">
        <x:v>2024-08</x:v>
      </x:c>
      <x:c r="L21" s="149" t="str">
        <x:v>官方监管</x:v>
      </x:c>
      <x:c r="M21" s="149" t="str">
        <x:v>分红险风险分担、动态定价</x:v>
      </x:c>
      <x:c r="N21" s="200" t="str">
        <x:v>https://www.nfra.gov.cn/cn/view/pages/governmentDetail.html?docId=1175200&amp;generaltype=&amp;itemId=861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8" customHeight="1">
      <x:c r="A22" s="146" t="str">
        <x:v>2026H1投资资产</x:v>
      </x:c>
      <x:c r="B22" s="197" t="n">
        <x:v>19018.54</x:v>
      </x:c>
      <x:c r="C22" s="148" t="str">
        <x:v>亿元</x:v>
      </x:c>
      <x:c r="D22" s="149" t="str">
        <x:v>2026-06-30</x:v>
      </x:c>
      <x:c r="E22" s="149" t="str">
        <x:v>披露事实</x:v>
      </x:c>
      <x:c r="F22" s="149" t="str">
        <x:v>2026半年报 p36</x:v>
      </x:c>
      <x:c r="G22" s="150" t="str">
        <x:v>投资杠杆</x:v>
      </x:c>
      <x:c r="H22" s="139"/>
      <x:c r="I22" s="146" t="n">
        <x:v>7</x:v>
      </x:c>
      <x:c r="J22" s="149" t="str">
        <x:v>中国保险行业协会年度回顾</x:v>
      </x:c>
      <x:c r="K22" s="149" t="str">
        <x:v>2026-04-27</x:v>
      </x:c>
      <x:c r="L22" s="149" t="str">
        <x:v>行业来源</x:v>
      </x:c>
      <x:c r="M22" s="149" t="str">
        <x:v>新产品定价利率上限</x:v>
      </x:c>
      <x:c r="N22" s="200" t="str">
        <x:v>https://www.iachina.cn/art/2026/4/27/art_9997_109001.html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8" customHeight="1">
      <x:c r="A23" s="146" t="str">
        <x:v>2026H1总投资收益率</x:v>
      </x:c>
      <x:c r="B23" s="199" t="n">
        <x:v>0.067</x:v>
      </x:c>
      <x:c r="C23" s="148" t="str">
        <x:v>%</x:v>
      </x:c>
      <x:c r="D23" s="149" t="str">
        <x:v>2026H1年化</x:v>
      </x:c>
      <x:c r="E23" s="149" t="str">
        <x:v>披露事实</x:v>
      </x:c>
      <x:c r="F23" s="149" t="str">
        <x:v>2026半年报 p13/p38</x:v>
      </x:c>
      <x:c r="G23" s="150" t="str">
        <x:v>市场弹性</x:v>
      </x:c>
      <x:c r="H23" s="139"/>
      <x:c r="I23" s="146" t="n">
        <x:v>8</x:v>
      </x:c>
      <x:c r="J23" s="149" t="str">
        <x:v>Investing.com历史行情</x:v>
      </x:c>
      <x:c r="K23" s="149" t="str">
        <x:v>2026-10-21</x:v>
      </x:c>
      <x:c r="L23" s="149" t="str">
        <x:v>市场数据</x:v>
      </x:c>
      <x:c r="M23" s="149" t="str">
        <x:v>A股完整交易日收盘价</x:v>
      </x:c>
      <x:c r="N23" s="200" t="str">
        <x:v>https://cn.investing.com/equities/new-cn-insuran-historical-data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8" customHeight="1">
      <x:c r="A24" s="146" t="str">
        <x:v>2026H1净投资收益率</x:v>
      </x:c>
      <x:c r="B24" s="199" t="n">
        <x:v>0.026</x:v>
      </x:c>
      <x:c r="C24" s="148" t="str">
        <x:v>%</x:v>
      </x:c>
      <x:c r="D24" s="149" t="str">
        <x:v>2026H1年化</x:v>
      </x:c>
      <x:c r="E24" s="149" t="str">
        <x:v>披露事实</x:v>
      </x:c>
      <x:c r="F24" s="149" t="str">
        <x:v>2026半年报 p38</x:v>
      </x:c>
      <x:c r="G24" s="150" t="str">
        <x:v>底层收益</x:v>
      </x:c>
      <x:c r="H24" s="139"/>
      <x:c r="I24" s="146" t="n">
        <x:v>9</x:v>
      </x:c>
      <x:c r="J24" s="149" t="str">
        <x:v>新华财经/新浪转载：10年国债到期收益率</x:v>
      </x:c>
      <x:c r="K24" s="149" t="str">
        <x:v>2026-10-21</x:v>
      </x:c>
      <x:c r="L24" s="149" t="str">
        <x:v>市场数据</x:v>
      </x:c>
      <x:c r="M24" s="149" t="str">
        <x:v>股息率利差参照</x:v>
      </x:c>
      <x:c r="N24" s="200" t="str">
        <x:v>https://finance.sina.com.cn/jjxw/2026-10-21/doc-inivynsm5441940.shtml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8" customHeight="1">
      <x:c r="A25" s="146" t="str">
        <x:v>2026H1期末CSM</x:v>
      </x:c>
      <x:c r="B25" s="197" t="n">
        <x:v>1938.57</x:v>
      </x:c>
      <x:c r="C25" s="148" t="str">
        <x:v>亿元</x:v>
      </x:c>
      <x:c r="D25" s="149" t="str">
        <x:v>2026-06-30</x:v>
      </x:c>
      <x:c r="E25" s="149" t="str">
        <x:v>披露事实</x:v>
      </x:c>
      <x:c r="F25" s="149" t="str">
        <x:v>2026半年报</x:v>
      </x:c>
      <x:c r="G25" s="150" t="str">
        <x:v>未来利润储备</x:v>
      </x:c>
      <x:c r="H25" s="139"/>
      <x:c r="I25" s="146" t="n">
        <x:v>10</x:v>
      </x:c>
      <x:c r="J25" s="149" t="str">
        <x:v>新华保险官方投资者关系页</x:v>
      </x:c>
      <x:c r="K25" s="149" t="str">
        <x:v>截至2026-10-22</x:v>
      </x:c>
      <x:c r="L25" s="149" t="str">
        <x:v>官方入口</x:v>
      </x:c>
      <x:c r="M25" s="149" t="str">
        <x:v>定期报告、业绩推介材料</x:v>
      </x:c>
      <x:c r="N25" s="200" t="str">
        <x:v>https://www.newchinalife.com/spage/cn/investor/index.html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146" t="str">
        <x:v>2026H1 CSM释放</x:v>
      </x:c>
      <x:c r="B26" s="197" t="n">
        <x:v>87.91</x:v>
      </x:c>
      <x:c r="C26" s="148" t="str">
        <x:v>亿元</x:v>
      </x:c>
      <x:c r="D26" s="149" t="str">
        <x:v>2026H1</x:v>
      </x:c>
      <x:c r="E26" s="149" t="str">
        <x:v>披露事实</x:v>
      </x:c>
      <x:c r="F26" s="149" t="str">
        <x:v>2026半年报</x:v>
      </x:c>
      <x:c r="G26" s="150" t="str">
        <x:v>当期利润</x:v>
      </x:c>
      <x:c r="H26" s="139"/>
      <x:c r="I26" s="139"/>
      <x:c r="J26" s="139"/>
      <x:c r="K26" s="139"/>
      <x:c r="L26" s="139"/>
      <x:c r="M26" s="139"/>
      <x:c r="N26" s="13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46" t="str">
        <x:v>核心偿付能力充足率</x:v>
      </x:c>
      <x:c r="B27" s="199" t="n">
        <x:v>1.2621</x:v>
      </x:c>
      <x:c r="C27" s="148" t="str">
        <x:v>%</x:v>
      </x:c>
      <x:c r="D27" s="149" t="str">
        <x:v>2026-06-30</x:v>
      </x:c>
      <x:c r="E27" s="149" t="str">
        <x:v>披露事实</x:v>
      </x:c>
      <x:c r="F27" s="149" t="str">
        <x:v>2026半年报</x:v>
      </x:c>
      <x:c r="G27" s="150" t="str">
        <x:v>分红安全垫</x:v>
      </x:c>
      <x:c r="H27" s="139"/>
      <x:c r="I27" s="139"/>
      <x:c r="J27" s="139"/>
      <x:c r="K27" s="139"/>
      <x:c r="L27" s="139"/>
      <x:c r="M27" s="139"/>
      <x:c r="N27" s="139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3" customHeight="1">
      <x:c r="A28" s="146" t="str">
        <x:v>综合偿付能力充足率</x:v>
      </x:c>
      <x:c r="B28" s="199" t="n">
        <x:v>1.9574</x:v>
      </x:c>
      <x:c r="C28" s="148" t="str">
        <x:v>%</x:v>
      </x:c>
      <x:c r="D28" s="149" t="str">
        <x:v>2026-06-30</x:v>
      </x:c>
      <x:c r="E28" s="149" t="str">
        <x:v>披露事实</x:v>
      </x:c>
      <x:c r="F28" s="149" t="str">
        <x:v>2026半年报</x:v>
      </x:c>
      <x:c r="G28" s="150" t="str">
        <x:v>资本充足</x:v>
      </x:c>
      <x:c r="H28" s="139"/>
      <x:c r="I28" s="142" t="str">
        <x:v>口径、限制与使用边界</x:v>
      </x:c>
      <x:c r="J28" s="143" t="str">
        <x:v>口径、限制与使用边界</x:v>
      </x:c>
      <x:c r="K28" s="143" t="str">
        <x:v>口径、限制与使用边界</x:v>
      </x:c>
      <x:c r="L28" s="143" t="str">
        <x:v>口径、限制与使用边界</x:v>
      </x:c>
      <x:c r="M28" s="143" t="str">
        <x:v>口径、限制与使用边界</x:v>
      </x:c>
      <x:c r="N28" s="144" t="str">
        <x:v>口径、限制与使用边界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146" t="str">
        <x:v>2026H1分红险保费</x:v>
      </x:c>
      <x:c r="B29" s="197" t="n">
        <x:v>484.92</x:v>
      </x:c>
      <x:c r="C29" s="148" t="str">
        <x:v>亿元</x:v>
      </x:c>
      <x:c r="D29" s="149" t="str">
        <x:v>2026H1</x:v>
      </x:c>
      <x:c r="E29" s="149" t="str">
        <x:v>披露事实</x:v>
      </x:c>
      <x:c r="F29" s="149" t="str">
        <x:v>2026半年报 p24</x:v>
      </x:c>
      <x:c r="G29" s="150" t="str">
        <x:v>产品转型</x:v>
      </x:c>
      <x:c r="H29" s="139"/>
      <x:c r="I29" s="201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J29" s="202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K29" s="202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L29" s="202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M29" s="202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N29" s="203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146" t="str">
        <x:v>2026H1传统险保费</x:v>
      </x:c>
      <x:c r="B30" s="197" t="n">
        <x:v>533.91</x:v>
      </x:c>
      <x:c r="C30" s="148" t="str">
        <x:v>亿元</x:v>
      </x:c>
      <x:c r="D30" s="149" t="str">
        <x:v>2026H1</x:v>
      </x:c>
      <x:c r="E30" s="149" t="str">
        <x:v>披露事实</x:v>
      </x:c>
      <x:c r="F30" s="149" t="str">
        <x:v>2026半年报 p24</x:v>
      </x:c>
      <x:c r="G30" s="150" t="str">
        <x:v>产品结构</x:v>
      </x:c>
      <x:c r="H30" s="139"/>
      <x:c r="I30" s="204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J30" s="205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K30" s="205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L30" s="205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M30" s="205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N30" s="206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146" t="str">
        <x:v>2026H1健康险保费</x:v>
      </x:c>
      <x:c r="B31" s="197" t="n">
        <x:v>272.06</x:v>
      </x:c>
      <x:c r="C31" s="148" t="str">
        <x:v>亿元</x:v>
      </x:c>
      <x:c r="D31" s="149" t="str">
        <x:v>2026H1</x:v>
      </x:c>
      <x:c r="E31" s="149" t="str">
        <x:v>披露事实</x:v>
      </x:c>
      <x:c r="F31" s="149" t="str">
        <x:v>2026半年报 p24</x:v>
      </x:c>
      <x:c r="G31" s="150" t="str">
        <x:v>产品结构</x:v>
      </x:c>
      <x:c r="H31" s="139"/>
      <x:c r="I31" s="207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J31" s="208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K31" s="208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L31" s="208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M31" s="208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N31" s="209" t="str">
        <x:v>1）保险公司不用制造业FCF/ROIC结论；本稿以NBV、CSM、内含价值、资产负债匹配和偿付能力为主。2）保费不等于收入，“保费获利”只用NBV/首年保费、保险服务业绩/保费等转化指标近似，不当作会计利润率。3）2026H1总投资收益率6.7%年化，包含较大已实现交易收益，不宜线性外推。4）2026中期0.73元截止本稿为待审预案，不纳入已实施LTM股息。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146" t="str">
        <x:v>2026H1意外险保费</x:v>
      </x:c>
      <x:c r="B32" s="197" t="n">
        <x:v>4.45</x:v>
      </x:c>
      <x:c r="C32" s="148" t="str">
        <x:v>亿元</x:v>
      </x:c>
      <x:c r="D32" s="149" t="str">
        <x:v>2026H1</x:v>
      </x:c>
      <x:c r="E32" s="149" t="str">
        <x:v>披露事实</x:v>
      </x:c>
      <x:c r="F32" s="149" t="str">
        <x:v>2026半年报 p24</x:v>
      </x:c>
      <x:c r="G32" s="150" t="str">
        <x:v>产品结构</x:v>
      </x:c>
      <x:c r="H32" s="139"/>
      <x:c r="I32" s="139"/>
      <x:c r="J32" s="139"/>
      <x:c r="K32" s="139"/>
      <x:c r="L32" s="139"/>
      <x:c r="M32" s="139"/>
      <x:c r="N32" s="139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146" t="str">
        <x:v>2026H1万能险保费</x:v>
      </x:c>
      <x:c r="B33" s="197" t="n">
        <x:v>0.36</x:v>
      </x:c>
      <x:c r="C33" s="148" t="str">
        <x:v>亿元</x:v>
      </x:c>
      <x:c r="D33" s="149" t="str">
        <x:v>2026H1</x:v>
      </x:c>
      <x:c r="E33" s="149" t="str">
        <x:v>披露事实</x:v>
      </x:c>
      <x:c r="F33" s="149" t="str">
        <x:v>2026半年报 p24</x:v>
      </x:c>
      <x:c r="G33" s="150" t="str">
        <x:v>产品结构</x:v>
      </x:c>
      <x:c r="H33" s="139"/>
      <x:c r="I33" s="139"/>
      <x:c r="J33" s="139"/>
      <x:c r="K33" s="139"/>
      <x:c r="L33" s="139"/>
      <x:c r="M33" s="139"/>
      <x:c r="N33" s="139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146" t="str">
        <x:v>2025期末CSM</x:v>
      </x:c>
      <x:c r="B34" s="197" t="n">
        <x:v>1817.23</x:v>
      </x:c>
      <x:c r="C34" s="148" t="str">
        <x:v>亿元</x:v>
      </x:c>
      <x:c r="D34" s="149" t="str">
        <x:v>2025-12-31</x:v>
      </x:c>
      <x:c r="E34" s="149" t="str">
        <x:v>披露事实</x:v>
      </x:c>
      <x:c r="F34" s="149" t="str">
        <x:v>2025年报</x:v>
      </x:c>
      <x:c r="G34" s="150" t="str">
        <x:v>CSM增长基数</x:v>
      </x:c>
      <x:c r="H34" s="139"/>
      <x:c r="I34" s="139"/>
      <x:c r="J34" s="139"/>
      <x:c r="K34" s="139"/>
      <x:c r="L34" s="139"/>
      <x:c r="M34" s="139"/>
      <x:c r="N34" s="139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146" t="str">
        <x:v>2026H1投资结果</x:v>
      </x:c>
      <x:c r="B35" s="197" t="n">
        <x:v>179.61</x:v>
      </x:c>
      <x:c r="C35" s="148" t="str">
        <x:v>亿元</x:v>
      </x:c>
      <x:c r="D35" s="149" t="str">
        <x:v>2026H1</x:v>
      </x:c>
      <x:c r="E35" s="149" t="str">
        <x:v>披露事实</x:v>
      </x:c>
      <x:c r="F35" s="149" t="str">
        <x:v>2026半年报利润表分析</x:v>
      </x:c>
      <x:c r="G35" s="150" t="str">
        <x:v>利润来源</x:v>
      </x:c>
      <x:c r="H35" s="139"/>
      <x:c r="I35" s="139"/>
      <x:c r="J35" s="139"/>
      <x:c r="K35" s="139"/>
      <x:c r="L35" s="139"/>
      <x:c r="M35" s="139"/>
      <x:c r="N35" s="139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146" t="str">
        <x:v>2026H1有效业务价值</x:v>
      </x:c>
      <x:c r="B36" s="197" t="n">
        <x:v>834.39</x:v>
      </x:c>
      <x:c r="C36" s="148" t="str">
        <x:v>亿元</x:v>
      </x:c>
      <x:c r="D36" s="149" t="str">
        <x:v>2026-06-30</x:v>
      </x:c>
      <x:c r="E36" s="149" t="str">
        <x:v>披露事实</x:v>
      </x:c>
      <x:c r="F36" s="149" t="str">
        <x:v>2026半年报 p46-p47</x:v>
      </x:c>
      <x:c r="G36" s="150" t="str">
        <x:v>利率敏感性</x:v>
      </x:c>
      <x:c r="H36" s="139"/>
      <x:c r="I36" s="139"/>
      <x:c r="J36" s="139"/>
      <x:c r="K36" s="139"/>
      <x:c r="L36" s="139"/>
      <x:c r="M36" s="139"/>
      <x:c r="N36" s="139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146" t="str">
        <x:v>2026H1调整净资产</x:v>
      </x:c>
      <x:c r="B37" s="197" t="n">
        <x:v>2269.45</x:v>
      </x:c>
      <x:c r="C37" s="148" t="str">
        <x:v>亿元</x:v>
      </x:c>
      <x:c r="D37" s="149" t="str">
        <x:v>2026-06-30</x:v>
      </x:c>
      <x:c r="E37" s="149" t="str">
        <x:v>披露事实</x:v>
      </x:c>
      <x:c r="F37" s="149" t="str">
        <x:v>2026半年报 p46</x:v>
      </x:c>
      <x:c r="G37" s="150" t="str">
        <x:v>EV组成</x:v>
      </x:c>
      <x:c r="H37" s="139"/>
      <x:c r="I37" s="139"/>
      <x:c r="J37" s="139"/>
      <x:c r="K37" s="139"/>
      <x:c r="L37" s="139"/>
      <x:c r="M37" s="139"/>
      <x:c r="N37" s="139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146" t="str">
        <x:v>内含价值风险贴现率</x:v>
      </x:c>
      <x:c r="B38" s="199" t="n">
        <x:v>0.085</x:v>
      </x:c>
      <x:c r="C38" s="148" t="str">
        <x:v>%</x:v>
      </x:c>
      <x:c r="D38" s="149" t="str">
        <x:v>2026-06-30</x:v>
      </x:c>
      <x:c r="E38" s="149" t="str">
        <x:v>假设披露</x:v>
      </x:c>
      <x:c r="F38" s="149" t="str">
        <x:v>2026半年报 p46</x:v>
      </x:c>
      <x:c r="G38" s="150" t="str">
        <x:v>EV假设</x:v>
      </x:c>
      <x:c r="H38" s="139"/>
      <x:c r="I38" s="139"/>
      <x:c r="J38" s="139"/>
      <x:c r="K38" s="139"/>
      <x:c r="L38" s="139"/>
      <x:c r="M38" s="139"/>
      <x:c r="N38" s="139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146" t="str">
        <x:v>长期投资回报假设</x:v>
      </x:c>
      <x:c r="B39" s="199" t="n">
        <x:v>0.04</x:v>
      </x:c>
      <x:c r="C39" s="148" t="str">
        <x:v>%</x:v>
      </x:c>
      <x:c r="D39" s="149" t="str">
        <x:v>2026-06-30</x:v>
      </x:c>
      <x:c r="E39" s="149" t="str">
        <x:v>假设披露</x:v>
      </x:c>
      <x:c r="F39" s="149" t="str">
        <x:v>2026半年报 p46</x:v>
      </x:c>
      <x:c r="G39" s="150" t="str">
        <x:v>EV假设</x:v>
      </x:c>
      <x:c r="H39" s="139"/>
      <x:c r="I39" s="139"/>
      <x:c r="J39" s="139"/>
      <x:c r="K39" s="139"/>
      <x:c r="L39" s="139"/>
      <x:c r="M39" s="139"/>
      <x:c r="N39" s="139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146" t="str">
        <x:v>新分红险定价利率上限</x:v>
      </x:c>
      <x:c r="B40" s="199" t="n">
        <x:v>0.0175</x:v>
      </x:c>
      <x:c r="C40" s="148" t="str">
        <x:v>%</x:v>
      </x:c>
      <x:c r="D40" s="149" t="str">
        <x:v>2025调整后</x:v>
      </x:c>
      <x:c r="E40" s="149" t="str">
        <x:v>监管参数</x:v>
      </x:c>
      <x:c r="F40" s="149" t="str">
        <x:v>中保协行业回顾</x:v>
      </x:c>
      <x:c r="G40" s="150" t="str">
        <x:v>负债成本</x:v>
      </x:c>
      <x:c r="H40" s="139"/>
      <x:c r="I40" s="139"/>
      <x:c r="J40" s="139"/>
      <x:c r="K40" s="139"/>
      <x:c r="L40" s="139"/>
      <x:c r="M40" s="139"/>
      <x:c r="N40" s="139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146" t="str">
        <x:v>分红险参与人剩余分配比例</x:v>
      </x:c>
      <x:c r="B41" s="199" t="n">
        <x:v>0.7</x:v>
      </x:c>
      <x:c r="C41" s="148" t="str">
        <x:v>%</x:v>
      </x:c>
      <x:c r="D41" s="149" t="str">
        <x:v>当期披露</x:v>
      </x:c>
      <x:c r="E41" s="149" t="str">
        <x:v>会计/精算假设</x:v>
      </x:c>
      <x:c r="F41" s="149" t="str">
        <x:v>2025/2026定期报告</x:v>
      </x:c>
      <x:c r="G41" s="150" t="str">
        <x:v>利益共享</x:v>
      </x:c>
      <x:c r="H41" s="139"/>
      <x:c r="I41" s="139"/>
      <x:c r="J41" s="139"/>
      <x:c r="K41" s="139"/>
      <x:c r="L41" s="139"/>
      <x:c r="M41" s="139"/>
      <x:c r="N41" s="139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146" t="str">
        <x:v>2025已实施现金分红总额</x:v>
      </x:c>
      <x:c r="B42" s="197" t="n">
        <x:v>85.16</x:v>
      </x:c>
      <x:c r="C42" s="148" t="str">
        <x:v>亿元</x:v>
      </x:c>
      <x:c r="D42" s="149" t="str">
        <x:v>2025财年</x:v>
      </x:c>
      <x:c r="E42" s="149" t="str">
        <x:v>已实施</x:v>
      </x:c>
      <x:c r="F42" s="149" t="str">
        <x:v>2025年报/上交所实施公告</x:v>
      </x:c>
      <x:c r="G42" s="150" t="str">
        <x:v>股东回报</x:v>
      </x:c>
      <x:c r="H42" s="139"/>
      <x:c r="I42" s="139"/>
      <x:c r="J42" s="139"/>
      <x:c r="K42" s="139"/>
      <x:c r="L42" s="139"/>
      <x:c r="M42" s="139"/>
      <x:c r="N42" s="139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146" t="str">
        <x:v>2026中期拟分红DPS</x:v>
      </x:c>
      <x:c r="B43" s="197" t="n">
        <x:v>0.73</x:v>
      </x:c>
      <x:c r="C43" s="148" t="str">
        <x:v>元/股</x:v>
      </x:c>
      <x:c r="D43" s="149" t="str">
        <x:v>股东会待审</x:v>
      </x:c>
      <x:c r="E43" s="149" t="str">
        <x:v>董事会预案</x:v>
      </x:c>
      <x:c r="F43" s="149" t="str">
        <x:v>2026-10-22下午审议；计划12-10派发</x:v>
      </x:c>
      <x:c r="G43" s="150" t="str">
        <x:v>不纳入已实施LTM</x:v>
      </x:c>
      <x:c r="H43" s="139"/>
      <x:c r="I43" s="139"/>
      <x:c r="J43" s="139"/>
      <x:c r="K43" s="139"/>
      <x:c r="L43" s="139"/>
      <x:c r="M43" s="139"/>
      <x:c r="N43" s="139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146" t="str">
        <x:v>2025原保险保费</x:v>
      </x:c>
      <x:c r="B44" s="197" t="n">
        <x:v>1958.71</x:v>
      </x:c>
      <x:c r="C44" s="148" t="str">
        <x:v>亿元</x:v>
      </x:c>
      <x:c r="D44" s="149" t="str">
        <x:v>2025A</x:v>
      </x:c>
      <x:c r="E44" s="149" t="str">
        <x:v>披露事实</x:v>
      </x:c>
      <x:c r="F44" s="149" t="str">
        <x:v>2025年报</x:v>
      </x:c>
      <x:c r="G44" s="150" t="str">
        <x:v>情景模型基数</x:v>
      </x:c>
      <x:c r="H44" s="139"/>
      <x:c r="I44" s="139"/>
      <x:c r="J44" s="139"/>
      <x:c r="K44" s="139"/>
      <x:c r="L44" s="139"/>
      <x:c r="M44" s="139"/>
      <x:c r="N44" s="139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139" t="str">
        <x:v>2026H1总投资收益额</x:v>
      </x:c>
      <x:c r="B45" s="139" t="n">
        <x:v>575.25</x:v>
      </x:c>
      <x:c r="C45" s="139" t="str">
        <x:v>亿元</x:v>
      </x:c>
      <x:c r="D45" s="210" t="str">
        <x:v>2026H1</x:v>
      </x:c>
      <x:c r="E45" s="210" t="str">
        <x:v>披露事实</x:v>
      </x:c>
      <x:c r="F45" s="210" t="str">
        <x:v>2026半年报 p38</x:v>
      </x:c>
      <x:c r="G45" s="210" t="str">
        <x:v>投资结果</x:v>
      </x:c>
      <x:c r="H45" s="139"/>
      <x:c r="I45" s="139"/>
      <x:c r="J45" s="139"/>
      <x:c r="K45" s="139"/>
      <x:c r="L45" s="139"/>
      <x:c r="M45" s="139"/>
      <x:c r="N45" s="139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N2"/>
    <x:mergeCell ref="A3:N3"/>
    <x:mergeCell ref="A5:G5"/>
    <x:mergeCell ref="I5:N5"/>
    <x:mergeCell ref="I14:N14"/>
    <x:mergeCell ref="I28:N28"/>
    <x:mergeCell ref="I29:N31"/>
  </x:mergeCells>
  <x:pageMargins left="0.7" right="0.7" top="0.75" bottom="0.75" header="0.3" footer="0.3"/>
</x:worksheet>
</file>