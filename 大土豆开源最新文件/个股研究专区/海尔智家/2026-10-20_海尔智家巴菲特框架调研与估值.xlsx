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一图流" sheetId="1" state="visible" r:id="rId3"/>
    <sheet name="估值模型" sheetId="2" state="visible" r:id="rId4"/>
    <sheet name="估值敏感性" sheetId="3" state="visible" r:id="rId5"/>
    <sheet name="财务五年" sheetId="4" state="visible" r:id="rId6"/>
    <sheet name="分红与回报" sheetId="5" state="visible" r:id="rId7"/>
    <sheet name="生意拆解" sheetId="6" state="visible" r:id="rId8"/>
    <sheet name="巴菲特框架" sheetId="7" state="visible" r:id="rId9"/>
    <sheet name="风险与跟踪" sheetId="8" state="visible" r:id="rId10"/>
    <sheet name="同业比较" sheetId="9" state="visible" r:id="rId11"/>
    <sheet name="数据与来源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<sst xmlns="http://schemas.openxmlformats.org/spreadsheetml/2006/main" count="966" uniqueCount="754">
  <si>
    <r>
      <rPr>
        <b val="true"/>
        <sz val="18"/>
        <color rgb="FFFFFFFF"/>
        <rFont val="Noto Sans CJK SC"/>
        <family val="2"/>
      </rPr>
      <t xml:space="preserve">海尔智家（</t>
    </r>
    <r>
      <rPr>
        <b val="true"/>
        <sz val="18"/>
        <color rgb="FFFFFFFF"/>
        <rFont val="微软雅黑"/>
        <family val="0"/>
        <charset val="1"/>
      </rPr>
      <t xml:space="preserve">600690.SH / 06690.HK</t>
    </r>
    <r>
      <rPr>
        <b val="true"/>
        <sz val="18"/>
        <color rgb="FFFFFFFF"/>
        <rFont val="Noto Sans CJK SC"/>
        <family val="2"/>
      </rPr>
      <t xml:space="preserve">）</t>
    </r>
    <r>
      <rPr>
        <b val="true"/>
        <sz val="18"/>
        <color rgb="FFFFFFFF"/>
        <rFont val="微软雅黑"/>
        <family val="0"/>
        <charset val="1"/>
      </rPr>
      <t xml:space="preserve">· </t>
    </r>
    <r>
      <rPr>
        <b val="true"/>
        <sz val="18"/>
        <color rgb="FFFFFFFF"/>
        <rFont val="Noto Sans CJK SC"/>
        <family val="2"/>
      </rPr>
      <t xml:space="preserve">巴菲特框架调研与估值 </t>
    </r>
    <r>
      <rPr>
        <b val="true"/>
        <sz val="18"/>
        <color rgb="FFFFFFFF"/>
        <rFont val="微软雅黑"/>
        <family val="0"/>
        <charset val="1"/>
      </rPr>
      <t xml:space="preserve">· </t>
    </r>
    <r>
      <rPr>
        <b val="true"/>
        <sz val="18"/>
        <color rgb="FFFFFFFF"/>
        <rFont val="Noto Sans CJK SC"/>
        <family val="2"/>
      </rPr>
      <t xml:space="preserve">一图流</t>
    </r>
  </si>
  <si>
    <r>
      <rPr>
        <b val="true"/>
        <sz val="9"/>
        <color rgb="FF6B7280"/>
        <rFont val="微软雅黑"/>
        <family val="0"/>
        <charset val="1"/>
      </rPr>
      <t xml:space="preserve">A</t>
    </r>
    <r>
      <rPr>
        <b val="true"/>
        <sz val="9"/>
        <color rgb="FF6B7280"/>
        <rFont val="Noto Sans CJK SC"/>
        <family val="2"/>
      </rPr>
      <t xml:space="preserve">股现价</t>
    </r>
  </si>
  <si>
    <r>
      <rPr>
        <b val="true"/>
        <sz val="9"/>
        <color rgb="FF6B7280"/>
        <rFont val="微软雅黑"/>
        <family val="0"/>
        <charset val="1"/>
      </rPr>
      <t xml:space="preserve">H</t>
    </r>
    <r>
      <rPr>
        <b val="true"/>
        <sz val="9"/>
        <color rgb="FF6B7280"/>
        <rFont val="Noto Sans CJK SC"/>
        <family val="2"/>
      </rPr>
      <t xml:space="preserve">股现价</t>
    </r>
    <r>
      <rPr>
        <b val="true"/>
        <sz val="9"/>
        <color rgb="FF6B7280"/>
        <rFont val="微软雅黑"/>
        <family val="0"/>
        <charset val="1"/>
      </rPr>
      <t xml:space="preserve">(</t>
    </r>
    <r>
      <rPr>
        <b val="true"/>
        <sz val="9"/>
        <color rgb="FF6B7280"/>
        <rFont val="Noto Sans CJK SC"/>
        <family val="2"/>
      </rPr>
      <t xml:space="preserve">折人民币</t>
    </r>
    <r>
      <rPr>
        <b val="true"/>
        <sz val="9"/>
        <color rgb="FF6B7280"/>
        <rFont val="微软雅黑"/>
        <family val="0"/>
        <charset val="1"/>
      </rPr>
      <t xml:space="preserve">)</t>
    </r>
  </si>
  <si>
    <t xml:space="preserve">加权内在价值</t>
  </si>
  <si>
    <r>
      <rPr>
        <b val="true"/>
        <sz val="9"/>
        <color rgb="FF6B7280"/>
        <rFont val="微软雅黑"/>
        <family val="0"/>
        <charset val="1"/>
      </rPr>
      <t xml:space="preserve">A</t>
    </r>
    <r>
      <rPr>
        <b val="true"/>
        <sz val="9"/>
        <color rgb="FF6B7280"/>
        <rFont val="Noto Sans CJK SC"/>
        <family val="2"/>
      </rPr>
      <t xml:space="preserve">股安全边际</t>
    </r>
  </si>
  <si>
    <r>
      <rPr>
        <b val="true"/>
        <sz val="9"/>
        <color rgb="FF6B7280"/>
        <rFont val="微软雅黑"/>
        <family val="0"/>
        <charset val="1"/>
      </rPr>
      <t xml:space="preserve">H</t>
    </r>
    <r>
      <rPr>
        <b val="true"/>
        <sz val="9"/>
        <color rgb="FF6B7280"/>
        <rFont val="Noto Sans CJK SC"/>
        <family val="2"/>
      </rPr>
      <t xml:space="preserve">股安全边际</t>
    </r>
  </si>
  <si>
    <r>
      <rPr>
        <b val="true"/>
        <sz val="9"/>
        <color rgb="FF6B7280"/>
        <rFont val="微软雅黑"/>
        <family val="0"/>
        <charset val="1"/>
      </rPr>
      <t xml:space="preserve">LTM</t>
    </r>
    <r>
      <rPr>
        <b val="true"/>
        <sz val="9"/>
        <color rgb="FF6B7280"/>
        <rFont val="Noto Sans CJK SC"/>
        <family val="2"/>
      </rPr>
      <t xml:space="preserve">股息率</t>
    </r>
    <r>
      <rPr>
        <b val="true"/>
        <sz val="9"/>
        <color rgb="FF6B7280"/>
        <rFont val="微软雅黑"/>
        <family val="0"/>
        <charset val="1"/>
      </rPr>
      <t xml:space="preserve">(A/H</t>
    </r>
    <r>
      <rPr>
        <b val="true"/>
        <sz val="9"/>
        <color rgb="FF6B7280"/>
        <rFont val="Noto Sans CJK SC"/>
        <family val="2"/>
      </rPr>
      <t xml:space="preserve">税前</t>
    </r>
    <r>
      <rPr>
        <b val="true"/>
        <sz val="9"/>
        <color rgb="FF6B7280"/>
        <rFont val="微软雅黑"/>
        <family val="0"/>
        <charset val="1"/>
      </rPr>
      <t xml:space="preserve">)</t>
    </r>
  </si>
  <si>
    <r>
      <rPr>
        <sz val="8"/>
        <color rgb="FF6B7280"/>
        <rFont val="Noto Sans CJK SC"/>
        <family val="2"/>
      </rPr>
      <t xml:space="preserve">元</t>
    </r>
    <r>
      <rPr>
        <sz val="8"/>
        <color rgb="FF6B7280"/>
        <rFont val="微软雅黑"/>
        <family val="0"/>
        <charset val="1"/>
      </rPr>
      <t xml:space="preserve">/</t>
    </r>
    <r>
      <rPr>
        <sz val="8"/>
        <color rgb="FF6B7280"/>
        <rFont val="Noto Sans CJK SC"/>
        <family val="2"/>
      </rPr>
      <t xml:space="preserve">股 </t>
    </r>
    <r>
      <rPr>
        <sz val="8"/>
        <color rgb="FF6B7280"/>
        <rFont val="微软雅黑"/>
        <family val="0"/>
        <charset val="1"/>
      </rPr>
      <t xml:space="preserve">· 10-20</t>
    </r>
    <r>
      <rPr>
        <sz val="8"/>
        <color rgb="FF6B7280"/>
        <rFont val="Noto Sans CJK SC"/>
        <family val="2"/>
      </rPr>
      <t xml:space="preserve">收盘</t>
    </r>
  </si>
  <si>
    <r>
      <rPr>
        <sz val="8"/>
        <color rgb="FF6B7280"/>
        <rFont val="Noto Sans CJK SC"/>
        <family val="2"/>
      </rPr>
      <t xml:space="preserve">港股通个人股息税</t>
    </r>
    <r>
      <rPr>
        <sz val="8"/>
        <color rgb="FF6B7280"/>
        <rFont val="微软雅黑"/>
        <family val="0"/>
        <charset val="1"/>
      </rPr>
      <t xml:space="preserve">20%</t>
    </r>
  </si>
  <si>
    <r>
      <rPr>
        <sz val="10.5"/>
        <color rgb="FF1F2937"/>
        <rFont val="Noto Sans CJK SC"/>
        <family val="2"/>
      </rPr>
      <t xml:space="preserve">核心结论：价格有吸引力，但需条件验证（</t>
    </r>
    <r>
      <rPr>
        <sz val="10.5"/>
        <color rgb="FF1F2937"/>
        <rFont val="微软雅黑"/>
        <family val="0"/>
        <charset val="1"/>
      </rPr>
      <t xml:space="preserve">A</t>
    </r>
    <r>
      <rPr>
        <sz val="10.5"/>
        <color rgb="FF1F2937"/>
        <rFont val="Noto Sans CJK SC"/>
        <family val="2"/>
      </rPr>
      <t xml:space="preserve">股：观察</t>
    </r>
    <r>
      <rPr>
        <sz val="10.5"/>
        <color rgb="FF1F2937"/>
        <rFont val="微软雅黑"/>
        <family val="0"/>
        <charset val="1"/>
      </rPr>
      <t xml:space="preserve">/</t>
    </r>
    <r>
      <rPr>
        <sz val="10.5"/>
        <color rgb="FF1F2937"/>
        <rFont val="Noto Sans CJK SC"/>
        <family val="2"/>
      </rPr>
      <t xml:space="preserve">小仓分批；</t>
    </r>
    <r>
      <rPr>
        <sz val="10.5"/>
        <color rgb="FF1F2937"/>
        <rFont val="微软雅黑"/>
        <family val="0"/>
        <charset val="1"/>
      </rPr>
      <t xml:space="preserve">H</t>
    </r>
    <r>
      <rPr>
        <sz val="10.5"/>
        <color rgb="FF1F2937"/>
        <rFont val="Noto Sans CJK SC"/>
        <family val="2"/>
      </rPr>
      <t xml:space="preserve">股：更具性价比）。海尔是全球白电龙头，冰洗份额第一、海外收入占一半，利润能稳定变成现金（</t>
    </r>
    <r>
      <rPr>
        <sz val="10.5"/>
        <color rgb="FF1F2937"/>
        <rFont val="微软雅黑"/>
        <family val="0"/>
        <charset val="1"/>
      </rPr>
      <t xml:space="preserve">5</t>
    </r>
    <r>
      <rPr>
        <sz val="10.5"/>
        <color rgb="FF1F2937"/>
        <rFont val="Noto Sans CJK SC"/>
        <family val="2"/>
      </rPr>
      <t xml:space="preserve">年累计</t>
    </r>
    <r>
      <rPr>
        <sz val="10.5"/>
        <color rgb="FF1F2937"/>
        <rFont val="微软雅黑"/>
        <family val="0"/>
        <charset val="1"/>
      </rPr>
      <t xml:space="preserve">CFO</t>
    </r>
    <r>
      <rPr>
        <sz val="10.5"/>
        <color rgb="FF1F2937"/>
        <rFont val="Noto Sans CJK SC"/>
        <family val="2"/>
      </rPr>
      <t xml:space="preserve">为归母净利</t>
    </r>
    <r>
      <rPr>
        <sz val="10.5"/>
        <color rgb="FF1F2937"/>
        <rFont val="微软雅黑"/>
        <family val="0"/>
        <charset val="1"/>
      </rPr>
      <t xml:space="preserve">1.48</t>
    </r>
    <r>
      <rPr>
        <sz val="10.5"/>
        <color rgb="FF1F2937"/>
        <rFont val="Noto Sans CJK SC"/>
        <family val="2"/>
      </rPr>
      <t xml:space="preserve">倍），资产负债表净现金，派息率从</t>
    </r>
    <r>
      <rPr>
        <sz val="10.5"/>
        <color rgb="FF1F2937"/>
        <rFont val="微软雅黑"/>
        <family val="0"/>
        <charset val="1"/>
      </rPr>
      <t xml:space="preserve">33%</t>
    </r>
    <r>
      <rPr>
        <sz val="10.5"/>
        <color rgb="FF1F2937"/>
        <rFont val="Noto Sans CJK SC"/>
        <family val="2"/>
      </rPr>
      <t xml:space="preserve">提到</t>
    </r>
    <r>
      <rPr>
        <sz val="10.5"/>
        <color rgb="FF1F2937"/>
        <rFont val="微软雅黑"/>
        <family val="0"/>
        <charset val="1"/>
      </rPr>
      <t xml:space="preserve">55%</t>
    </r>
    <r>
      <rPr>
        <sz val="10.5"/>
        <color rgb="FF1F2937"/>
        <rFont val="Noto Sans CJK SC"/>
        <family val="2"/>
      </rPr>
      <t xml:space="preserve">并承诺</t>
    </r>
    <r>
      <rPr>
        <sz val="10.5"/>
        <color rgb="FF1F2937"/>
        <rFont val="微软雅黑"/>
        <family val="0"/>
        <charset val="1"/>
      </rPr>
      <t xml:space="preserve">2026</t>
    </r>
    <r>
      <rPr>
        <sz val="10.5"/>
        <color rgb="FF1F2937"/>
        <rFont val="Noto Sans CJK SC"/>
        <family val="2"/>
      </rPr>
      <t xml:space="preserve">年≥</t>
    </r>
    <r>
      <rPr>
        <sz val="10.5"/>
        <color rgb="FF1F2937"/>
        <rFont val="微软雅黑"/>
        <family val="0"/>
        <charset val="1"/>
      </rPr>
      <t xml:space="preserve">58%</t>
    </r>
    <r>
      <rPr>
        <sz val="10.5"/>
        <color rgb="FF1F2937"/>
        <rFont val="Noto Sans CJK SC"/>
        <family val="2"/>
      </rPr>
      <t xml:space="preserve">。但</t>
    </r>
    <r>
      <rPr>
        <sz val="10.5"/>
        <color rgb="FF1F2937"/>
        <rFont val="微软雅黑"/>
        <family val="0"/>
        <charset val="1"/>
      </rPr>
      <t xml:space="preserve">2026</t>
    </r>
    <r>
      <rPr>
        <sz val="10.5"/>
        <color rgb="FF1F2937"/>
        <rFont val="Noto Sans CJK SC"/>
        <family val="2"/>
      </rPr>
      <t xml:space="preserve">年上半年归母净利</t>
    </r>
    <r>
      <rPr>
        <sz val="10.5"/>
        <color rgb="FF1F2937"/>
        <rFont val="微软雅黑"/>
        <family val="0"/>
        <charset val="1"/>
      </rPr>
      <t xml:space="preserve">-14.3%</t>
    </r>
    <r>
      <rPr>
        <sz val="10.5"/>
        <color rgb="FF1F2937"/>
        <rFont val="Noto Sans CJK SC"/>
        <family val="2"/>
      </rPr>
      <t xml:space="preserve">（汇兑、北美关税与需求、国内补贴退坡），护城河是“规模</t>
    </r>
    <r>
      <rPr>
        <sz val="10.5"/>
        <color rgb="FF1F2937"/>
        <rFont val="微软雅黑"/>
        <family val="0"/>
        <charset val="1"/>
      </rPr>
      <t xml:space="preserve">+</t>
    </r>
    <r>
      <rPr>
        <sz val="10.5"/>
        <color rgb="FF1F2937"/>
        <rFont val="Noto Sans CJK SC"/>
        <family val="2"/>
      </rPr>
      <t xml:space="preserve">渠道”型而非定价权型。按所有者收益</t>
    </r>
    <r>
      <rPr>
        <sz val="10.5"/>
        <color rgb="FF1F2937"/>
        <rFont val="微软雅黑"/>
        <family val="0"/>
        <charset val="1"/>
      </rPr>
      <t xml:space="preserve">DCF</t>
    </r>
    <r>
      <rPr>
        <sz val="10.5"/>
        <color rgb="FF1F2937"/>
        <rFont val="Noto Sans CJK SC"/>
        <family val="2"/>
      </rPr>
      <t xml:space="preserve">、正常化</t>
    </r>
    <r>
      <rPr>
        <sz val="10.5"/>
        <color rgb="FF1F2937"/>
        <rFont val="微软雅黑"/>
        <family val="0"/>
        <charset val="1"/>
      </rPr>
      <t xml:space="preserve">PE</t>
    </r>
    <r>
      <rPr>
        <sz val="10.5"/>
        <color rgb="FF1F2937"/>
        <rFont val="Noto Sans CJK SC"/>
        <family val="2"/>
      </rPr>
      <t xml:space="preserve">、股息率三法，基准加权价值约</t>
    </r>
    <r>
      <rPr>
        <sz val="10.5"/>
        <color rgb="FF1F2937"/>
        <rFont val="微软雅黑"/>
        <family val="0"/>
        <charset val="1"/>
      </rPr>
      <t xml:space="preserve">24.4</t>
    </r>
    <r>
      <rPr>
        <sz val="10.5"/>
        <color rgb="FF1F2937"/>
        <rFont val="Noto Sans CJK SC"/>
        <family val="2"/>
      </rPr>
      <t xml:space="preserve">元</t>
    </r>
    <r>
      <rPr>
        <sz val="10.5"/>
        <color rgb="FF1F2937"/>
        <rFont val="微软雅黑"/>
        <family val="0"/>
        <charset val="1"/>
      </rPr>
      <t xml:space="preserve">/</t>
    </r>
    <r>
      <rPr>
        <sz val="10.5"/>
        <color rgb="FF1F2937"/>
        <rFont val="Noto Sans CJK SC"/>
        <family val="2"/>
      </rPr>
      <t xml:space="preserve">股：</t>
    </r>
    <r>
      <rPr>
        <sz val="10.5"/>
        <color rgb="FF1F2937"/>
        <rFont val="微软雅黑"/>
        <family val="0"/>
        <charset val="1"/>
      </rPr>
      <t xml:space="preserve">A</t>
    </r>
    <r>
      <rPr>
        <sz val="10.5"/>
        <color rgb="FF1F2937"/>
        <rFont val="Noto Sans CJK SC"/>
        <family val="2"/>
      </rPr>
      <t xml:space="preserve">股</t>
    </r>
    <r>
      <rPr>
        <sz val="10.5"/>
        <color rgb="FF1F2937"/>
        <rFont val="微软雅黑"/>
        <family val="0"/>
        <charset val="1"/>
      </rPr>
      <t xml:space="preserve">20.11</t>
    </r>
    <r>
      <rPr>
        <sz val="10.5"/>
        <color rgb="FF1F2937"/>
        <rFont val="Noto Sans CJK SC"/>
        <family val="2"/>
      </rPr>
      <t xml:space="preserve">元约有</t>
    </r>
    <r>
      <rPr>
        <sz val="10.5"/>
        <color rgb="FF1F2937"/>
        <rFont val="微软雅黑"/>
        <family val="0"/>
        <charset val="1"/>
      </rPr>
      <t xml:space="preserve">18%</t>
    </r>
    <r>
      <rPr>
        <sz val="10.5"/>
        <color rgb="FF1F2937"/>
        <rFont val="Noto Sans CJK SC"/>
        <family val="2"/>
      </rPr>
      <t xml:space="preserve">的安全边际、未达</t>
    </r>
    <r>
      <rPr>
        <sz val="10.5"/>
        <color rgb="FF1F2937"/>
        <rFont val="微软雅黑"/>
        <family val="0"/>
        <charset val="1"/>
      </rPr>
      <t xml:space="preserve">25%</t>
    </r>
    <r>
      <rPr>
        <sz val="10.5"/>
        <color rgb="FF1F2937"/>
        <rFont val="Noto Sans CJK SC"/>
        <family val="2"/>
      </rPr>
      <t xml:space="preserve">要求；</t>
    </r>
    <r>
      <rPr>
        <sz val="10.5"/>
        <color rgb="FF1F2937"/>
        <rFont val="微软雅黑"/>
        <family val="0"/>
        <charset val="1"/>
      </rPr>
      <t xml:space="preserve">H</t>
    </r>
    <r>
      <rPr>
        <sz val="10.5"/>
        <color rgb="FF1F2937"/>
        <rFont val="Noto Sans CJK SC"/>
        <family val="2"/>
      </rPr>
      <t xml:space="preserve">股折人民币约</t>
    </r>
    <r>
      <rPr>
        <sz val="10.5"/>
        <color rgb="FF1F2937"/>
        <rFont val="微软雅黑"/>
        <family val="0"/>
        <charset val="1"/>
      </rPr>
      <t xml:space="preserve">17.1</t>
    </r>
    <r>
      <rPr>
        <sz val="10.5"/>
        <color rgb="FF1F2937"/>
        <rFont val="Noto Sans CJK SC"/>
        <family val="2"/>
      </rPr>
      <t xml:space="preserve">元，折价约</t>
    </r>
    <r>
      <rPr>
        <sz val="10.5"/>
        <color rgb="FF1F2937"/>
        <rFont val="微软雅黑"/>
        <family val="0"/>
        <charset val="1"/>
      </rPr>
      <t xml:space="preserve">30%</t>
    </r>
    <r>
      <rPr>
        <sz val="10.5"/>
        <color rgb="FF1F2937"/>
        <rFont val="Noto Sans CJK SC"/>
        <family val="2"/>
      </rPr>
      <t xml:space="preserve">，但个人港股通股息税</t>
    </r>
    <r>
      <rPr>
        <sz val="10.5"/>
        <color rgb="FF1F2937"/>
        <rFont val="微软雅黑"/>
        <family val="0"/>
        <charset val="1"/>
      </rPr>
      <t xml:space="preserve">20%</t>
    </r>
    <r>
      <rPr>
        <sz val="10.5"/>
        <color rgb="FF1F2937"/>
        <rFont val="Noto Sans CJK SC"/>
        <family val="2"/>
      </rPr>
      <t xml:space="preserve">会吃掉部分收益。</t>
    </r>
  </si>
  <si>
    <t xml:space="preserve">生意与巴菲特八问</t>
  </si>
  <si>
    <r>
      <rPr>
        <b val="true"/>
        <sz val="12"/>
        <color rgb="FFFFFFFF"/>
        <rFont val="Noto Sans CJK SC"/>
        <family val="2"/>
      </rPr>
      <t xml:space="preserve">估值三法 </t>
    </r>
    <r>
      <rPr>
        <b val="true"/>
        <sz val="12"/>
        <color rgb="FFFFFFFF"/>
        <rFont val="微软雅黑"/>
        <family val="0"/>
        <charset val="1"/>
      </rPr>
      <t xml:space="preserve">× </t>
    </r>
    <r>
      <rPr>
        <b val="true"/>
        <sz val="12"/>
        <color rgb="FFFFFFFF"/>
        <rFont val="Noto Sans CJK SC"/>
        <family val="2"/>
      </rPr>
      <t xml:space="preserve">三情景（元</t>
    </r>
    <r>
      <rPr>
        <b val="true"/>
        <sz val="12"/>
        <color rgb="FFFFFFFF"/>
        <rFont val="微软雅黑"/>
        <family val="0"/>
        <charset val="1"/>
      </rPr>
      <t xml:space="preserve">/</t>
    </r>
    <r>
      <rPr>
        <b val="true"/>
        <sz val="12"/>
        <color rgb="FFFFFFFF"/>
        <rFont val="Noto Sans CJK SC"/>
        <family val="2"/>
      </rPr>
      <t xml:space="preserve">股）</t>
    </r>
  </si>
  <si>
    <t xml:space="preserve">#</t>
  </si>
  <si>
    <t xml:space="preserve">问题</t>
  </si>
  <si>
    <t xml:space="preserve">结论</t>
  </si>
  <si>
    <t xml:space="preserve">一句话依据</t>
  </si>
  <si>
    <t xml:space="preserve">方法</t>
  </si>
  <si>
    <t xml:space="preserve">悲观</t>
  </si>
  <si>
    <t xml:space="preserve">基准</t>
  </si>
  <si>
    <t xml:space="preserve">乐观</t>
  </si>
  <si>
    <t xml:space="preserve">权重</t>
  </si>
  <si>
    <t xml:space="preserve">能解释怎么赚钱吗？</t>
  </si>
  <si>
    <t xml:space="preserve">通过</t>
  </si>
  <si>
    <r>
      <rPr>
        <sz val="9"/>
        <color rgb="FF1F2937"/>
        <rFont val="Noto Sans CJK SC"/>
        <family val="2"/>
      </rPr>
      <t xml:space="preserve">收入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产品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地区清晰</t>
    </r>
  </si>
  <si>
    <r>
      <rPr>
        <sz val="9"/>
        <color rgb="FF1F2937"/>
        <rFont val="Noto Sans CJK SC"/>
        <family val="2"/>
      </rPr>
      <t xml:space="preserve">所有者收益</t>
    </r>
    <r>
      <rPr>
        <sz val="9"/>
        <color rgb="FF1F2937"/>
        <rFont val="微软雅黑"/>
        <family val="0"/>
        <charset val="1"/>
      </rPr>
      <t xml:space="preserve">DCF</t>
    </r>
  </si>
  <si>
    <t xml:space="preserve">十年后仍有需求吗？</t>
  </si>
  <si>
    <t xml:space="preserve">必需耐用品，更新刚性</t>
  </si>
  <si>
    <r>
      <rPr>
        <sz val="9"/>
        <color rgb="FF1F2937"/>
        <rFont val="Noto Sans CJK SC"/>
        <family val="2"/>
      </rPr>
      <t xml:space="preserve">正常化</t>
    </r>
    <r>
      <rPr>
        <sz val="9"/>
        <color rgb="FF1F2937"/>
        <rFont val="微软雅黑"/>
        <family val="0"/>
        <charset val="1"/>
      </rPr>
      <t xml:space="preserve">PE</t>
    </r>
  </si>
  <si>
    <t xml:space="preserve">对手难复制什么？</t>
  </si>
  <si>
    <t xml:space="preserve">存疑</t>
  </si>
  <si>
    <r>
      <rPr>
        <sz val="9"/>
        <color rgb="FF1F2937"/>
        <rFont val="Noto Sans CJK SC"/>
        <family val="2"/>
      </rPr>
      <t xml:space="preserve">规模</t>
    </r>
    <r>
      <rPr>
        <sz val="9"/>
        <color rgb="FF1F2937"/>
        <rFont val="微软雅黑"/>
        <family val="0"/>
        <charset val="1"/>
      </rPr>
      <t xml:space="preserve">+</t>
    </r>
    <r>
      <rPr>
        <sz val="9"/>
        <color rgb="FF1F2937"/>
        <rFont val="Noto Sans CJK SC"/>
        <family val="2"/>
      </rPr>
      <t xml:space="preserve">渠道，空调偏弱</t>
    </r>
  </si>
  <si>
    <t xml:space="preserve">股息率锚</t>
  </si>
  <si>
    <t xml:space="preserve">有定价或成本优势吗？</t>
  </si>
  <si>
    <t xml:space="preserve">高端撑毛利，关税难转嫁</t>
  </si>
  <si>
    <t xml:space="preserve">加权价值</t>
  </si>
  <si>
    <t xml:space="preserve">利润能变现金吗？</t>
  </si>
  <si>
    <r>
      <rPr>
        <sz val="9"/>
        <color rgb="FF1F2937"/>
        <rFont val="微软雅黑"/>
        <family val="0"/>
        <charset val="1"/>
      </rPr>
      <t xml:space="preserve">5</t>
    </r>
    <r>
      <rPr>
        <sz val="9"/>
        <color rgb="FF1F2937"/>
        <rFont val="Noto Sans CJK SC"/>
        <family val="2"/>
      </rPr>
      <t xml:space="preserve">年</t>
    </r>
    <r>
      <rPr>
        <sz val="9"/>
        <color rgb="FF1F2937"/>
        <rFont val="微软雅黑"/>
        <family val="0"/>
        <charset val="1"/>
      </rPr>
      <t xml:space="preserve">CFO≈1.48×</t>
    </r>
    <r>
      <rPr>
        <sz val="9"/>
        <color rgb="FF1F2937"/>
        <rFont val="Noto Sans CJK SC"/>
        <family val="2"/>
      </rPr>
      <t xml:space="preserve">净利</t>
    </r>
  </si>
  <si>
    <r>
      <rPr>
        <sz val="9"/>
        <color rgb="FF1F2937"/>
        <rFont val="微软雅黑"/>
        <family val="0"/>
        <charset val="1"/>
      </rPr>
      <t xml:space="preserve">A</t>
    </r>
    <r>
      <rPr>
        <sz val="9"/>
        <color rgb="FF1F2937"/>
        <rFont val="Noto Sans CJK SC"/>
        <family val="2"/>
      </rPr>
      <t xml:space="preserve">股安全边际</t>
    </r>
  </si>
  <si>
    <t xml:space="preserve">压力情景能存活吗？</t>
  </si>
  <si>
    <r>
      <rPr>
        <sz val="9"/>
        <color rgb="FF1F2937"/>
        <rFont val="Noto Sans CJK SC"/>
        <family val="2"/>
      </rPr>
      <t xml:space="preserve">净现金约</t>
    </r>
    <r>
      <rPr>
        <sz val="9"/>
        <color rgb="FF1F2937"/>
        <rFont val="微软雅黑"/>
        <family val="0"/>
        <charset val="1"/>
      </rPr>
      <t xml:space="preserve">161</t>
    </r>
    <r>
      <rPr>
        <sz val="9"/>
        <color rgb="FF1F2937"/>
        <rFont val="Noto Sans CJK SC"/>
        <family val="2"/>
      </rPr>
      <t xml:space="preserve">亿</t>
    </r>
  </si>
  <si>
    <r>
      <rPr>
        <sz val="9"/>
        <color rgb="FF1F2937"/>
        <rFont val="微软雅黑"/>
        <family val="0"/>
        <charset val="1"/>
      </rPr>
      <t xml:space="preserve">H</t>
    </r>
    <r>
      <rPr>
        <sz val="9"/>
        <color rgb="FF1F2937"/>
        <rFont val="Noto Sans CJK SC"/>
        <family val="2"/>
      </rPr>
      <t xml:space="preserve">股安全边际</t>
    </r>
  </si>
  <si>
    <t xml:space="preserve">管理层可信吗？</t>
  </si>
  <si>
    <t xml:space="preserve">分红兑现；关联方需跟踪</t>
  </si>
  <si>
    <t xml:space="preserve">条件观察价</t>
  </si>
  <si>
    <t xml:space="preserve">价格有余地吗？</t>
  </si>
  <si>
    <r>
      <rPr>
        <sz val="9"/>
        <color rgb="FF1F2937"/>
        <rFont val="微软雅黑"/>
        <family val="0"/>
        <charset val="1"/>
      </rPr>
      <t xml:space="preserve">A</t>
    </r>
    <r>
      <rPr>
        <sz val="9"/>
        <color rgb="FF1F2937"/>
        <rFont val="Noto Sans CJK SC"/>
        <family val="2"/>
      </rPr>
      <t xml:space="preserve">折价约</t>
    </r>
    <r>
      <rPr>
        <sz val="9"/>
        <color rgb="FF1F2937"/>
        <rFont val="微软雅黑"/>
        <family val="0"/>
        <charset val="1"/>
      </rPr>
      <t xml:space="preserve">18%</t>
    </r>
    <r>
      <rPr>
        <sz val="9"/>
        <color rgb="FF1F2937"/>
        <rFont val="Noto Sans CJK SC"/>
        <family val="2"/>
      </rPr>
      <t xml:space="preserve">，</t>
    </r>
    <r>
      <rPr>
        <sz val="9"/>
        <color rgb="FF1F2937"/>
        <rFont val="微软雅黑"/>
        <family val="0"/>
        <charset val="1"/>
      </rPr>
      <t xml:space="preserve">H</t>
    </r>
    <r>
      <rPr>
        <sz val="9"/>
        <color rgb="FF1F2937"/>
        <rFont val="Noto Sans CJK SC"/>
        <family val="2"/>
      </rPr>
      <t xml:space="preserve">约</t>
    </r>
    <r>
      <rPr>
        <sz val="9"/>
        <color rgb="FF1F2937"/>
        <rFont val="微软雅黑"/>
        <family val="0"/>
        <charset val="1"/>
      </rPr>
      <t xml:space="preserve">30%</t>
    </r>
  </si>
  <si>
    <r>
      <rPr>
        <sz val="9"/>
        <color rgb="FF1F2937"/>
        <rFont val="Noto Sans CJK SC"/>
        <family val="2"/>
      </rPr>
      <t xml:space="preserve">现价隐含</t>
    </r>
    <r>
      <rPr>
        <sz val="9"/>
        <color rgb="FF1F2937"/>
        <rFont val="微软雅黑"/>
        <family val="0"/>
        <charset val="1"/>
      </rPr>
      <t xml:space="preserve">PE</t>
    </r>
  </si>
  <si>
    <t xml:space="preserve">关键数据（亿元）</t>
  </si>
  <si>
    <r>
      <rPr>
        <b val="true"/>
        <sz val="8"/>
        <color rgb="FF6B7280"/>
        <rFont val="微软雅黑"/>
        <family val="0"/>
        <charset val="1"/>
      </rPr>
      <t xml:space="preserve">2025</t>
    </r>
    <r>
      <rPr>
        <b val="true"/>
        <sz val="8"/>
        <color rgb="FF6B7280"/>
        <rFont val="Noto Sans CJK SC"/>
        <family val="2"/>
      </rPr>
      <t xml:space="preserve">营收</t>
    </r>
  </si>
  <si>
    <r>
      <rPr>
        <b val="true"/>
        <sz val="8"/>
        <color rgb="FF6B7280"/>
        <rFont val="微软雅黑"/>
        <family val="0"/>
        <charset val="1"/>
      </rPr>
      <t xml:space="preserve">2025</t>
    </r>
    <r>
      <rPr>
        <b val="true"/>
        <sz val="8"/>
        <color rgb="FF6B7280"/>
        <rFont val="Noto Sans CJK SC"/>
        <family val="2"/>
      </rPr>
      <t xml:space="preserve">归母净利</t>
    </r>
  </si>
  <si>
    <r>
      <rPr>
        <b val="true"/>
        <sz val="8"/>
        <color rgb="FF6B7280"/>
        <rFont val="微软雅黑"/>
        <family val="0"/>
        <charset val="1"/>
      </rPr>
      <t xml:space="preserve">TTM</t>
    </r>
    <r>
      <rPr>
        <b val="true"/>
        <sz val="8"/>
        <color rgb="FF6B7280"/>
        <rFont val="Noto Sans CJK SC"/>
        <family val="2"/>
      </rPr>
      <t xml:space="preserve">归母净利</t>
    </r>
  </si>
  <si>
    <r>
      <rPr>
        <b val="true"/>
        <sz val="8"/>
        <color rgb="FF6B7280"/>
        <rFont val="微软雅黑"/>
        <family val="0"/>
        <charset val="1"/>
      </rPr>
      <t xml:space="preserve">2026H1</t>
    </r>
    <r>
      <rPr>
        <b val="true"/>
        <sz val="8"/>
        <color rgb="FF6B7280"/>
        <rFont val="Noto Sans CJK SC"/>
        <family val="2"/>
      </rPr>
      <t xml:space="preserve">营收同比</t>
    </r>
  </si>
  <si>
    <r>
      <rPr>
        <b val="true"/>
        <sz val="8"/>
        <color rgb="FF6B7280"/>
        <rFont val="微软雅黑"/>
        <family val="0"/>
        <charset val="1"/>
      </rPr>
      <t xml:space="preserve">2026H1</t>
    </r>
    <r>
      <rPr>
        <b val="true"/>
        <sz val="8"/>
        <color rgb="FF6B7280"/>
        <rFont val="Noto Sans CJK SC"/>
        <family val="2"/>
      </rPr>
      <t xml:space="preserve">归母同比</t>
    </r>
  </si>
  <si>
    <r>
      <rPr>
        <b val="true"/>
        <sz val="8"/>
        <color rgb="FF6B7280"/>
        <rFont val="微软雅黑"/>
        <family val="0"/>
        <charset val="1"/>
      </rPr>
      <t xml:space="preserve">2025 ROE(</t>
    </r>
    <r>
      <rPr>
        <b val="true"/>
        <sz val="8"/>
        <color rgb="FF6B7280"/>
        <rFont val="Noto Sans CJK SC"/>
        <family val="2"/>
      </rPr>
      <t xml:space="preserve">加权</t>
    </r>
    <r>
      <rPr>
        <b val="true"/>
        <sz val="8"/>
        <color rgb="FF6B7280"/>
        <rFont val="微软雅黑"/>
        <family val="0"/>
        <charset val="1"/>
      </rPr>
      <t xml:space="preserve">)</t>
    </r>
  </si>
  <si>
    <r>
      <rPr>
        <b val="true"/>
        <sz val="8"/>
        <color rgb="FF6B7280"/>
        <rFont val="微软雅黑"/>
        <family val="0"/>
        <charset val="1"/>
      </rPr>
      <t xml:space="preserve">2025 CFO/</t>
    </r>
    <r>
      <rPr>
        <b val="true"/>
        <sz val="8"/>
        <color rgb="FF6B7280"/>
        <rFont val="Noto Sans CJK SC"/>
        <family val="2"/>
      </rPr>
      <t xml:space="preserve">净利</t>
    </r>
  </si>
  <si>
    <r>
      <rPr>
        <b val="true"/>
        <sz val="8"/>
        <color rgb="FF6B7280"/>
        <rFont val="Noto Sans CJK SC"/>
        <family val="2"/>
      </rPr>
      <t xml:space="preserve">所有者收益</t>
    </r>
    <r>
      <rPr>
        <b val="true"/>
        <sz val="8"/>
        <color rgb="FF6B7280"/>
        <rFont val="微软雅黑"/>
        <family val="0"/>
        <charset val="1"/>
      </rPr>
      <t xml:space="preserve">(3</t>
    </r>
    <r>
      <rPr>
        <b val="true"/>
        <sz val="8"/>
        <color rgb="FF6B7280"/>
        <rFont val="Noto Sans CJK SC"/>
        <family val="2"/>
      </rPr>
      <t xml:space="preserve">年均</t>
    </r>
    <r>
      <rPr>
        <b val="true"/>
        <sz val="8"/>
        <color rgb="FF6B7280"/>
        <rFont val="微软雅黑"/>
        <family val="0"/>
        <charset val="1"/>
      </rPr>
      <t xml:space="preserve">)</t>
    </r>
  </si>
  <si>
    <t xml:space="preserve">净金融资产</t>
  </si>
  <si>
    <r>
      <rPr>
        <b val="true"/>
        <sz val="8"/>
        <color rgb="FF6B7280"/>
        <rFont val="微软雅黑"/>
        <family val="0"/>
        <charset val="1"/>
      </rPr>
      <t xml:space="preserve">2025</t>
    </r>
    <r>
      <rPr>
        <b val="true"/>
        <sz val="8"/>
        <color rgb="FF6B7280"/>
        <rFont val="Noto Sans CJK SC"/>
        <family val="2"/>
      </rPr>
      <t xml:space="preserve">派息率</t>
    </r>
  </si>
  <si>
    <t xml:space="preserve">TTM PE</t>
  </si>
  <si>
    <t xml:space="preserve">PB</t>
  </si>
  <si>
    <t xml:space="preserve">图表：价格贵吗？业绩变好了没？利润变现金了吗？分红稳吗？</t>
  </si>
  <si>
    <t xml:space="preserve">三大风险（永久损失路径）</t>
  </si>
  <si>
    <t xml:space="preserve">关键监控与触发线</t>
  </si>
  <si>
    <r>
      <rPr>
        <sz val="9.5"/>
        <color rgb="FF1F2937"/>
        <rFont val="Noto Sans CJK SC"/>
        <family val="2"/>
      </rPr>
      <t xml:space="preserve">① 北美利润池：关税成本</t>
    </r>
    <r>
      <rPr>
        <sz val="9.5"/>
        <color rgb="FF1F2937"/>
        <rFont val="微软雅黑"/>
        <family val="0"/>
        <charset val="1"/>
      </rPr>
      <t xml:space="preserve">+</t>
    </r>
    <r>
      <rPr>
        <sz val="9.5"/>
        <color rgb="FF1F2937"/>
        <rFont val="Noto Sans CJK SC"/>
        <family val="2"/>
      </rPr>
      <t xml:space="preserve">需求疲弱使</t>
    </r>
    <r>
      <rPr>
        <sz val="9.5"/>
        <color rgb="FF1F2937"/>
        <rFont val="微软雅黑"/>
        <family val="0"/>
        <charset val="1"/>
      </rPr>
      <t xml:space="preserve">GEA</t>
    </r>
    <r>
      <rPr>
        <sz val="9.5"/>
        <color rgb="FF1F2937"/>
        <rFont val="Noto Sans CJK SC"/>
        <family val="2"/>
      </rPr>
      <t xml:space="preserve">利润率下台阶（商誉集中在海外并购）</t>
    </r>
  </si>
  <si>
    <r>
      <rPr>
        <sz val="9.5"/>
        <color rgb="FF1F2937"/>
        <rFont val="Noto Sans CJK SC"/>
        <family val="2"/>
      </rPr>
      <t xml:space="preserve">三季报单季收入同比 ≥</t>
    </r>
    <r>
      <rPr>
        <sz val="9.5"/>
        <color rgb="FF1F2937"/>
        <rFont val="微软雅黑"/>
        <family val="0"/>
        <charset val="1"/>
      </rPr>
      <t xml:space="preserve">0</t>
    </r>
    <r>
      <rPr>
        <sz val="9.5"/>
        <color rgb="FF1F2937"/>
        <rFont val="Noto Sans CJK SC"/>
        <family val="2"/>
      </rPr>
      <t xml:space="preserve">；毛利率 ≥</t>
    </r>
    <r>
      <rPr>
        <sz val="9.5"/>
        <color rgb="FF1F2937"/>
        <rFont val="微软雅黑"/>
        <family val="0"/>
        <charset val="1"/>
      </rPr>
      <t xml:space="preserve">26%</t>
    </r>
  </si>
  <si>
    <r>
      <rPr>
        <sz val="9.5"/>
        <color rgb="FF1F2937"/>
        <rFont val="Noto Sans CJK SC"/>
        <family val="2"/>
      </rPr>
      <t xml:space="preserve">② 国内价格战：补贴退坡后行业量价齐跌（</t>
    </r>
    <r>
      <rPr>
        <sz val="9.5"/>
        <color rgb="FF1F2937"/>
        <rFont val="微软雅黑"/>
        <family val="0"/>
        <charset val="1"/>
      </rPr>
      <t xml:space="preserve">9</t>
    </r>
    <r>
      <rPr>
        <sz val="9.5"/>
        <color rgb="FF1F2937"/>
        <rFont val="Noto Sans CJK SC"/>
        <family val="2"/>
      </rPr>
      <t xml:space="preserve">月零售额</t>
    </r>
    <r>
      <rPr>
        <sz val="9.5"/>
        <color rgb="FF1F2937"/>
        <rFont val="微软雅黑"/>
        <family val="0"/>
        <charset val="1"/>
      </rPr>
      <t xml:space="preserve">-13%</t>
    </r>
    <r>
      <rPr>
        <sz val="9.5"/>
        <color rgb="FF1F2937"/>
        <rFont val="Noto Sans CJK SC"/>
        <family val="2"/>
      </rPr>
      <t xml:space="preserve">、均价</t>
    </r>
    <r>
      <rPr>
        <sz val="9.5"/>
        <color rgb="FF1F2937"/>
        <rFont val="微软雅黑"/>
        <family val="0"/>
        <charset val="1"/>
      </rPr>
      <t xml:space="preserve">-11%</t>
    </r>
    <r>
      <rPr>
        <sz val="9.5"/>
        <color rgb="FF1F2937"/>
        <rFont val="Noto Sans CJK SC"/>
        <family val="2"/>
      </rPr>
      <t xml:space="preserve">）</t>
    </r>
  </si>
  <si>
    <r>
      <rPr>
        <sz val="9.5"/>
        <color rgb="FF1F2937"/>
        <rFont val="微软雅黑"/>
        <family val="0"/>
        <charset val="1"/>
      </rPr>
      <t xml:space="preserve">TTM</t>
    </r>
    <r>
      <rPr>
        <sz val="9.5"/>
        <color rgb="FF1F2937"/>
        <rFont val="Noto Sans CJK SC"/>
        <family val="2"/>
      </rPr>
      <t xml:space="preserve">扣非归母 </t>
    </r>
    <r>
      <rPr>
        <sz val="9.5"/>
        <color rgb="FF1F2937"/>
        <rFont val="微软雅黑"/>
        <family val="0"/>
        <charset val="1"/>
      </rPr>
      <t xml:space="preserve">&lt;160</t>
    </r>
    <r>
      <rPr>
        <sz val="9.5"/>
        <color rgb="FF1F2937"/>
        <rFont val="Noto Sans CJK SC"/>
        <family val="2"/>
      </rPr>
      <t xml:space="preserve">亿 → 切换悲观情景</t>
    </r>
  </si>
  <si>
    <r>
      <rPr>
        <sz val="9.5"/>
        <color rgb="FF1F2937"/>
        <rFont val="Noto Sans CJK SC"/>
        <family val="2"/>
      </rPr>
      <t xml:space="preserve">③ 成本与资本开支：铜</t>
    </r>
    <r>
      <rPr>
        <sz val="9.5"/>
        <color rgb="FF1F2937"/>
        <rFont val="微软雅黑"/>
        <family val="0"/>
        <charset val="1"/>
      </rPr>
      <t xml:space="preserve">/</t>
    </r>
    <r>
      <rPr>
        <sz val="9.5"/>
        <color rgb="FF1F2937"/>
        <rFont val="Noto Sans CJK SC"/>
        <family val="2"/>
      </rPr>
      <t xml:space="preserve">冷媒涨价、汇兑损失，资本开支长期高于折旧</t>
    </r>
  </si>
  <si>
    <r>
      <rPr>
        <sz val="9.5"/>
        <color rgb="FF1F2937"/>
        <rFont val="微软雅黑"/>
        <family val="0"/>
        <charset val="1"/>
      </rPr>
      <t xml:space="preserve">CFO/</t>
    </r>
    <r>
      <rPr>
        <sz val="9.5"/>
        <color rgb="FF1F2937"/>
        <rFont val="Noto Sans CJK SC"/>
        <family val="2"/>
      </rPr>
      <t xml:space="preserve">净利 </t>
    </r>
    <r>
      <rPr>
        <sz val="9.5"/>
        <color rgb="FF1F2937"/>
        <rFont val="微软雅黑"/>
        <family val="0"/>
        <charset val="1"/>
      </rPr>
      <t xml:space="preserve">&lt;1.0x </t>
    </r>
    <r>
      <rPr>
        <sz val="9.5"/>
        <color rgb="FF1F2937"/>
        <rFont val="Noto Sans CJK SC"/>
        <family val="2"/>
      </rPr>
      <t xml:space="preserve">或 净金融资产 </t>
    </r>
    <r>
      <rPr>
        <sz val="9.5"/>
        <color rgb="FF1F2937"/>
        <rFont val="微软雅黑"/>
        <family val="0"/>
        <charset val="1"/>
      </rPr>
      <t xml:space="preserve">&lt;50</t>
    </r>
    <r>
      <rPr>
        <sz val="9.5"/>
        <color rgb="FF1F2937"/>
        <rFont val="Noto Sans CJK SC"/>
        <family val="2"/>
      </rPr>
      <t xml:space="preserve">亿 → 复核</t>
    </r>
  </si>
  <si>
    <r>
      <rPr>
        <sz val="9"/>
        <color rgb="FF6B7280"/>
        <rFont val="Noto Sans CJK SC"/>
        <family val="2"/>
      </rPr>
      <t xml:space="preserve">详见“风险与跟踪”表；三季报预计</t>
    </r>
    <r>
      <rPr>
        <sz val="9"/>
        <color rgb="FF6B7280"/>
        <rFont val="微软雅黑"/>
        <family val="0"/>
        <charset val="1"/>
      </rPr>
      <t xml:space="preserve">10</t>
    </r>
    <r>
      <rPr>
        <sz val="9"/>
        <color rgb="FF6B7280"/>
        <rFont val="Noto Sans CJK SC"/>
        <family val="2"/>
      </rPr>
      <t xml:space="preserve">月底前披露</t>
    </r>
  </si>
  <si>
    <r>
      <rPr>
        <sz val="9.5"/>
        <color rgb="FF1F2937"/>
        <rFont val="微软雅黑"/>
        <family val="0"/>
        <charset val="1"/>
      </rPr>
      <t xml:space="preserve">2026</t>
    </r>
    <r>
      <rPr>
        <sz val="9.5"/>
        <color rgb="FF1F2937"/>
        <rFont val="Noto Sans CJK SC"/>
        <family val="2"/>
      </rPr>
      <t xml:space="preserve">年度派息率 </t>
    </r>
    <r>
      <rPr>
        <sz val="9.5"/>
        <color rgb="FF1F2937"/>
        <rFont val="微软雅黑"/>
        <family val="0"/>
        <charset val="1"/>
      </rPr>
      <t xml:space="preserve">&lt;58% → </t>
    </r>
    <r>
      <rPr>
        <sz val="9.5"/>
        <color rgb="FF1F2937"/>
        <rFont val="Noto Sans CJK SC"/>
        <family val="2"/>
      </rPr>
      <t xml:space="preserve">红利逻辑受损</t>
    </r>
  </si>
  <si>
    <t xml:space="preserve">免责声明：本表为基于公开资料的研究框架与条件估值，不构成投资建议；情景价值不是收益承诺。财务数据为披露事实，估值参数为分析假设，结论为研究判断。</t>
  </si>
  <si>
    <r>
      <rPr>
        <b val="true"/>
        <sz val="18"/>
        <color rgb="FFFFFFFF"/>
        <rFont val="Noto Sans CJK SC"/>
        <family val="2"/>
      </rPr>
      <t xml:space="preserve">估值模型：所有者收益</t>
    </r>
    <r>
      <rPr>
        <b val="true"/>
        <sz val="18"/>
        <color rgb="FFFFFFFF"/>
        <rFont val="微软雅黑"/>
        <family val="0"/>
        <charset val="1"/>
      </rPr>
      <t xml:space="preserve">DCF + </t>
    </r>
    <r>
      <rPr>
        <b val="true"/>
        <sz val="18"/>
        <color rgb="FFFFFFFF"/>
        <rFont val="Noto Sans CJK SC"/>
        <family val="2"/>
      </rPr>
      <t xml:space="preserve">正常化</t>
    </r>
    <r>
      <rPr>
        <b val="true"/>
        <sz val="18"/>
        <color rgb="FFFFFFFF"/>
        <rFont val="微软雅黑"/>
        <family val="0"/>
        <charset val="1"/>
      </rPr>
      <t xml:space="preserve">PE + </t>
    </r>
    <r>
      <rPr>
        <b val="true"/>
        <sz val="18"/>
        <color rgb="FFFFFFFF"/>
        <rFont val="Noto Sans CJK SC"/>
        <family val="2"/>
      </rPr>
      <t xml:space="preserve">股息率锚</t>
    </r>
  </si>
  <si>
    <r>
      <rPr>
        <sz val="10"/>
        <color rgb="FF6B7280"/>
        <rFont val="Noto Sans CJK SC"/>
        <family val="2"/>
      </rPr>
      <t xml:space="preserve">唯一的假设输入区在本表（浅黄底蓝字）。改</t>
    </r>
    <r>
      <rPr>
        <sz val="10"/>
        <color rgb="FF6B7280"/>
        <rFont val="微软雅黑"/>
        <family val="0"/>
        <charset val="1"/>
      </rPr>
      <t xml:space="preserve">C4</t>
    </r>
    <r>
      <rPr>
        <sz val="10"/>
        <color rgb="FF6B7280"/>
        <rFont val="Noto Sans CJK SC"/>
        <family val="2"/>
      </rPr>
      <t xml:space="preserve">情景（</t>
    </r>
    <r>
      <rPr>
        <sz val="10"/>
        <color rgb="FF6B7280"/>
        <rFont val="微软雅黑"/>
        <family val="0"/>
        <charset val="1"/>
      </rPr>
      <t xml:space="preserve">1</t>
    </r>
    <r>
      <rPr>
        <sz val="10"/>
        <color rgb="FF6B7280"/>
        <rFont val="Noto Sans CJK SC"/>
        <family val="2"/>
      </rPr>
      <t xml:space="preserve">悲观</t>
    </r>
    <r>
      <rPr>
        <sz val="10"/>
        <color rgb="FF6B7280"/>
        <rFont val="微软雅黑"/>
        <family val="0"/>
        <charset val="1"/>
      </rPr>
      <t xml:space="preserve">/2</t>
    </r>
    <r>
      <rPr>
        <sz val="10"/>
        <color rgb="FF6B7280"/>
        <rFont val="Noto Sans CJK SC"/>
        <family val="2"/>
      </rPr>
      <t xml:space="preserve">基准</t>
    </r>
    <r>
      <rPr>
        <sz val="10"/>
        <color rgb="FF6B7280"/>
        <rFont val="微软雅黑"/>
        <family val="0"/>
        <charset val="1"/>
      </rPr>
      <t xml:space="preserve">/3</t>
    </r>
    <r>
      <rPr>
        <sz val="10"/>
        <color rgb="FF6B7280"/>
        <rFont val="Noto Sans CJK SC"/>
        <family val="2"/>
      </rPr>
      <t xml:space="preserve">乐观）即可联动一图流。金额单位：亿元；每股：元。</t>
    </r>
    <r>
      <rPr>
        <sz val="10"/>
        <color rgb="FF6B7280"/>
        <rFont val="微软雅黑"/>
        <family val="0"/>
        <charset val="1"/>
      </rPr>
      <t xml:space="preserve">PE</t>
    </r>
    <r>
      <rPr>
        <sz val="10"/>
        <color rgb="FF6B7280"/>
        <rFont val="Noto Sans CJK SC"/>
        <family val="2"/>
      </rPr>
      <t xml:space="preserve">法与股息率法共享“正常化净利润”假设，二者不是完全独立的证据。</t>
    </r>
  </si>
  <si>
    <r>
      <rPr>
        <sz val="9"/>
        <color rgb="FF1F4FD8"/>
        <rFont val="Noto Sans CJK SC"/>
        <family val="2"/>
      </rPr>
      <t xml:space="preserve">输入</t>
    </r>
    <r>
      <rPr>
        <sz val="9"/>
        <color rgb="FF1F4FD8"/>
        <rFont val="微软雅黑"/>
        <family val="0"/>
        <charset val="1"/>
      </rPr>
      <t xml:space="preserve">/</t>
    </r>
    <r>
      <rPr>
        <sz val="9"/>
        <color rgb="FF1F4FD8"/>
        <rFont val="Noto Sans CJK SC"/>
        <family val="2"/>
      </rPr>
      <t xml:space="preserve">可改</t>
    </r>
  </si>
  <si>
    <t xml:space="preserve">公式计算</t>
  </si>
  <si>
    <t xml:space="preserve">跨表引用</t>
  </si>
  <si>
    <t xml:space="preserve">分析假设</t>
  </si>
  <si>
    <r>
      <rPr>
        <sz val="9"/>
        <color rgb="FF1F2937"/>
        <rFont val="Noto Sans CJK SC"/>
        <family val="2"/>
      </rPr>
      <t xml:space="preserve">风险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警示</t>
    </r>
  </si>
  <si>
    <r>
      <rPr>
        <b val="true"/>
        <sz val="10"/>
        <color rgb="FF1F2937"/>
        <rFont val="Noto Sans CJK SC"/>
        <family val="2"/>
      </rPr>
      <t xml:space="preserve">情景选择（</t>
    </r>
    <r>
      <rPr>
        <b val="true"/>
        <sz val="10"/>
        <color rgb="FF1F2937"/>
        <rFont val="微软雅黑"/>
        <family val="0"/>
        <charset val="1"/>
      </rPr>
      <t xml:space="preserve">1=</t>
    </r>
    <r>
      <rPr>
        <b val="true"/>
        <sz val="10"/>
        <color rgb="FF1F2937"/>
        <rFont val="Noto Sans CJK SC"/>
        <family val="2"/>
      </rPr>
      <t xml:space="preserve">悲观 </t>
    </r>
    <r>
      <rPr>
        <b val="true"/>
        <sz val="10"/>
        <color rgb="FF1F2937"/>
        <rFont val="微软雅黑"/>
        <family val="0"/>
        <charset val="1"/>
      </rPr>
      <t xml:space="preserve">2=</t>
    </r>
    <r>
      <rPr>
        <b val="true"/>
        <sz val="10"/>
        <color rgb="FF1F2937"/>
        <rFont val="Noto Sans CJK SC"/>
        <family val="2"/>
      </rPr>
      <t xml:space="preserve">基准 </t>
    </r>
    <r>
      <rPr>
        <b val="true"/>
        <sz val="10"/>
        <color rgb="FF1F2937"/>
        <rFont val="微软雅黑"/>
        <family val="0"/>
        <charset val="1"/>
      </rPr>
      <t xml:space="preserve">3=</t>
    </r>
    <r>
      <rPr>
        <b val="true"/>
        <sz val="10"/>
        <color rgb="FF1F2937"/>
        <rFont val="Noto Sans CJK SC"/>
        <family val="2"/>
      </rPr>
      <t xml:space="preserve">乐观）</t>
    </r>
  </si>
  <si>
    <r>
      <rPr>
        <b val="true"/>
        <sz val="12"/>
        <color rgb="FFFFFFFF"/>
        <rFont val="微软雅黑"/>
        <family val="0"/>
        <charset val="1"/>
      </rPr>
      <t xml:space="preserve">1. </t>
    </r>
    <r>
      <rPr>
        <b val="true"/>
        <sz val="12"/>
        <color rgb="FFFFFFFF"/>
        <rFont val="Noto Sans CJK SC"/>
        <family val="2"/>
      </rPr>
      <t xml:space="preserve">核心假设（三情景由经营驱动推出）</t>
    </r>
  </si>
  <si>
    <t xml:space="preserve">参数</t>
  </si>
  <si>
    <t xml:space="preserve">单位</t>
  </si>
  <si>
    <t xml:space="preserve">当前情景</t>
  </si>
  <si>
    <t xml:space="preserve">依据（事实→判断）</t>
  </si>
  <si>
    <t xml:space="preserve">正常化归母净利润</t>
  </si>
  <si>
    <t xml:space="preserve">亿元</t>
  </si>
  <si>
    <r>
      <rPr>
        <sz val="9"/>
        <color rgb="FF1F2937"/>
        <rFont val="Noto Sans CJK SC"/>
        <family val="2"/>
      </rPr>
      <t xml:space="preserve">事实：</t>
    </r>
    <r>
      <rPr>
        <sz val="9"/>
        <color rgb="FF1F2937"/>
        <rFont val="微软雅黑"/>
        <family val="0"/>
        <charset val="1"/>
      </rPr>
      <t xml:space="preserve">2025</t>
    </r>
    <r>
      <rPr>
        <sz val="9"/>
        <color rgb="FF1F2937"/>
        <rFont val="Noto Sans CJK SC"/>
        <family val="2"/>
      </rPr>
      <t xml:space="preserve">年</t>
    </r>
    <r>
      <rPr>
        <sz val="9"/>
        <color rgb="FF1F2937"/>
        <rFont val="微软雅黑"/>
        <family val="0"/>
        <charset val="1"/>
      </rPr>
      <t xml:space="preserve">195.5</t>
    </r>
    <r>
      <rPr>
        <sz val="9"/>
        <color rgb="FF1F2937"/>
        <rFont val="Noto Sans CJK SC"/>
        <family val="2"/>
      </rPr>
      <t xml:space="preserve">；</t>
    </r>
    <r>
      <rPr>
        <sz val="9"/>
        <color rgb="FF1F2937"/>
        <rFont val="微软雅黑"/>
        <family val="0"/>
        <charset val="1"/>
      </rPr>
      <t xml:space="preserve">TTM 178.4</t>
    </r>
    <r>
      <rPr>
        <sz val="9"/>
        <color rgb="FF1F2937"/>
        <rFont val="Noto Sans CJK SC"/>
        <family val="2"/>
      </rPr>
      <t xml:space="preserve">；</t>
    </r>
    <r>
      <rPr>
        <sz val="9"/>
        <color rgb="FF1F2937"/>
        <rFont val="微软雅黑"/>
        <family val="0"/>
        <charset val="1"/>
      </rPr>
      <t xml:space="preserve">TTM</t>
    </r>
    <r>
      <rPr>
        <sz val="9"/>
        <color rgb="FF1F2937"/>
        <rFont val="Noto Sans CJK SC"/>
        <family val="2"/>
      </rPr>
      <t xml:space="preserve">扣非</t>
    </r>
    <r>
      <rPr>
        <sz val="9"/>
        <color rgb="FF1F2937"/>
        <rFont val="微软雅黑"/>
        <family val="0"/>
        <charset val="1"/>
      </rPr>
      <t xml:space="preserve">162.0</t>
    </r>
    <r>
      <rPr>
        <sz val="9"/>
        <color rgb="FF1F2937"/>
        <rFont val="Noto Sans CJK SC"/>
        <family val="2"/>
      </rPr>
      <t xml:space="preserve">；管理层目标</t>
    </r>
    <r>
      <rPr>
        <sz val="9"/>
        <color rgb="FF1F2937"/>
        <rFont val="微软雅黑"/>
        <family val="0"/>
        <charset val="1"/>
      </rPr>
      <t xml:space="preserve">2026</t>
    </r>
    <r>
      <rPr>
        <sz val="9"/>
        <color rgb="FF1F2937"/>
        <rFont val="Noto Sans CJK SC"/>
        <family val="2"/>
      </rPr>
      <t xml:space="preserve">年收入、净利</t>
    </r>
    <r>
      <rPr>
        <sz val="9"/>
        <color rgb="FF1F2937"/>
        <rFont val="微软雅黑"/>
        <family val="0"/>
        <charset val="1"/>
      </rPr>
      <t xml:space="preserve">(</t>
    </r>
    <r>
      <rPr>
        <sz val="9"/>
        <color rgb="FF1F2937"/>
        <rFont val="Noto Sans CJK SC"/>
        <family val="2"/>
      </rPr>
      <t xml:space="preserve">含关税退款</t>
    </r>
    <r>
      <rPr>
        <sz val="9"/>
        <color rgb="FF1F2937"/>
        <rFont val="微软雅黑"/>
        <family val="0"/>
        <charset val="1"/>
      </rPr>
      <t xml:space="preserve">)</t>
    </r>
    <r>
      <rPr>
        <sz val="9"/>
        <color rgb="FF1F2937"/>
        <rFont val="Noto Sans CJK SC"/>
        <family val="2"/>
      </rPr>
      <t xml:space="preserve">大致持平。判断：北美关税与国内补贴退坡压制，基准取</t>
    </r>
    <r>
      <rPr>
        <sz val="9"/>
        <color rgb="FF1F2937"/>
        <rFont val="微软雅黑"/>
        <family val="0"/>
        <charset val="1"/>
      </rPr>
      <t xml:space="preserve">185</t>
    </r>
    <r>
      <rPr>
        <sz val="9"/>
        <color rgb="FF1F2937"/>
        <rFont val="Noto Sans CJK SC"/>
        <family val="2"/>
      </rPr>
      <t xml:space="preserve">（略低于目标）。悲观</t>
    </r>
    <r>
      <rPr>
        <sz val="9"/>
        <color rgb="FF1F2937"/>
        <rFont val="微软雅黑"/>
        <family val="0"/>
        <charset val="1"/>
      </rPr>
      <t xml:space="preserve">=</t>
    </r>
    <r>
      <rPr>
        <sz val="9"/>
        <color rgb="FF1F2937"/>
        <rFont val="Noto Sans CJK SC"/>
        <family val="2"/>
      </rPr>
      <t xml:space="preserve">扣非</t>
    </r>
    <r>
      <rPr>
        <sz val="9"/>
        <color rgb="FF1F2937"/>
        <rFont val="微软雅黑"/>
        <family val="0"/>
        <charset val="1"/>
      </rPr>
      <t xml:space="preserve">TTM</t>
    </r>
    <r>
      <rPr>
        <sz val="9"/>
        <color rgb="FF1F2937"/>
        <rFont val="Noto Sans CJK SC"/>
        <family val="2"/>
      </rPr>
      <t xml:space="preserve">附近；乐观</t>
    </r>
    <r>
      <rPr>
        <sz val="9"/>
        <color rgb="FF1F2937"/>
        <rFont val="微软雅黑"/>
        <family val="0"/>
        <charset val="1"/>
      </rPr>
      <t xml:space="preserve">=</t>
    </r>
    <r>
      <rPr>
        <sz val="9"/>
        <color rgb="FF1F2937"/>
        <rFont val="Noto Sans CJK SC"/>
        <family val="2"/>
      </rPr>
      <t xml:space="preserve">恢复并小幅超过</t>
    </r>
    <r>
      <rPr>
        <sz val="9"/>
        <color rgb="FF1F2937"/>
        <rFont val="微软雅黑"/>
        <family val="0"/>
        <charset val="1"/>
      </rPr>
      <t xml:space="preserve">2025</t>
    </r>
    <r>
      <rPr>
        <sz val="9"/>
        <color rgb="FF1F2937"/>
        <rFont val="Noto Sans CJK SC"/>
        <family val="2"/>
      </rPr>
      <t xml:space="preserve">。</t>
    </r>
  </si>
  <si>
    <r>
      <rPr>
        <b val="true"/>
        <sz val="10"/>
        <color rgb="FF1F2937"/>
        <rFont val="Noto Sans CJK SC"/>
        <family val="2"/>
      </rPr>
      <t xml:space="preserve">正常化所有者收益（第</t>
    </r>
    <r>
      <rPr>
        <b val="true"/>
        <sz val="10"/>
        <color rgb="FF1F2937"/>
        <rFont val="微软雅黑"/>
        <family val="0"/>
        <charset val="1"/>
      </rPr>
      <t xml:space="preserve">1</t>
    </r>
    <r>
      <rPr>
        <b val="true"/>
        <sz val="10"/>
        <color rgb="FF1F2937"/>
        <rFont val="Noto Sans CJK SC"/>
        <family val="2"/>
      </rPr>
      <t xml:space="preserve">年基数）</t>
    </r>
  </si>
  <si>
    <r>
      <rPr>
        <sz val="9"/>
        <color rgb="FF1F2937"/>
        <rFont val="Noto Sans CJK SC"/>
        <family val="2"/>
      </rPr>
      <t xml:space="preserve">事实：所有者收益代理</t>
    </r>
    <r>
      <rPr>
        <sz val="9"/>
        <color rgb="FF1F2937"/>
        <rFont val="微软雅黑"/>
        <family val="0"/>
        <charset val="1"/>
      </rPr>
      <t xml:space="preserve">(</t>
    </r>
    <r>
      <rPr>
        <sz val="9"/>
        <color rgb="FF1F2937"/>
        <rFont val="Noto Sans CJK SC"/>
        <family val="2"/>
      </rPr>
      <t xml:space="preserve">扣全部资本开支与租赁</t>
    </r>
    <r>
      <rPr>
        <sz val="9"/>
        <color rgb="FF1F2937"/>
        <rFont val="微软雅黑"/>
        <family val="0"/>
        <charset val="1"/>
      </rPr>
      <t xml:space="preserve">)2023-2025</t>
    </r>
    <r>
      <rPr>
        <sz val="9"/>
        <color rgb="FF1F2937"/>
        <rFont val="Noto Sans CJK SC"/>
        <family val="2"/>
      </rPr>
      <t xml:space="preserve">为</t>
    </r>
    <r>
      <rPr>
        <sz val="9"/>
        <color rgb="FF1F2937"/>
        <rFont val="微软雅黑"/>
        <family val="0"/>
        <charset val="1"/>
      </rPr>
      <t xml:space="preserve">140/141/149</t>
    </r>
    <r>
      <rPr>
        <sz val="9"/>
        <color rgb="FF1F2937"/>
        <rFont val="Noto Sans CJK SC"/>
        <family val="2"/>
      </rPr>
      <t xml:space="preserve">，</t>
    </r>
    <r>
      <rPr>
        <sz val="9"/>
        <color rgb="FF1F2937"/>
        <rFont val="微软雅黑"/>
        <family val="0"/>
        <charset val="1"/>
      </rPr>
      <t xml:space="preserve">TTM</t>
    </r>
    <r>
      <rPr>
        <sz val="9"/>
        <color rgb="FF1F2937"/>
        <rFont val="Noto Sans CJK SC"/>
        <family val="2"/>
      </rPr>
      <t xml:space="preserve">约</t>
    </r>
    <r>
      <rPr>
        <sz val="9"/>
        <color rgb="FF1F2937"/>
        <rFont val="微软雅黑"/>
        <family val="0"/>
        <charset val="1"/>
      </rPr>
      <t xml:space="preserve">127</t>
    </r>
    <r>
      <rPr>
        <sz val="9"/>
        <color rgb="FF1F2937"/>
        <rFont val="Noto Sans CJK SC"/>
        <family val="2"/>
      </rPr>
      <t xml:space="preserve">。判断：海外工厂建设期资本开支高于折旧，扣全部开支偏保守；基准取三年均值附近</t>
    </r>
    <r>
      <rPr>
        <sz val="9"/>
        <color rgb="FF1F2937"/>
        <rFont val="微软雅黑"/>
        <family val="0"/>
        <charset val="1"/>
      </rPr>
      <t xml:space="preserve">145</t>
    </r>
    <r>
      <rPr>
        <sz val="9"/>
        <color rgb="FF1F2937"/>
        <rFont val="Noto Sans CJK SC"/>
        <family val="2"/>
      </rPr>
      <t xml:space="preserve">；乐观假设扩产期结束、资本开支回落至折旧水平。</t>
    </r>
  </si>
  <si>
    <r>
      <rPr>
        <b val="true"/>
        <sz val="10"/>
        <color rgb="FF1F2937"/>
        <rFont val="Noto Sans CJK SC"/>
        <family val="2"/>
      </rPr>
      <t xml:space="preserve">第</t>
    </r>
    <r>
      <rPr>
        <b val="true"/>
        <sz val="10"/>
        <color rgb="FF1F2937"/>
        <rFont val="微软雅黑"/>
        <family val="0"/>
        <charset val="1"/>
      </rPr>
      <t xml:space="preserve">1–5</t>
    </r>
    <r>
      <rPr>
        <b val="true"/>
        <sz val="10"/>
        <color rgb="FF1F2937"/>
        <rFont val="Noto Sans CJK SC"/>
        <family val="2"/>
      </rPr>
      <t xml:space="preserve">年增速</t>
    </r>
  </si>
  <si>
    <t xml:space="preserve">%</t>
  </si>
  <si>
    <r>
      <rPr>
        <sz val="9"/>
        <color rgb="FF1F2937"/>
        <rFont val="Noto Sans CJK SC"/>
        <family val="2"/>
      </rPr>
      <t xml:space="preserve">成熟家电：国内存量竞争</t>
    </r>
    <r>
      <rPr>
        <sz val="9"/>
        <color rgb="FF1F2937"/>
        <rFont val="微软雅黑"/>
        <family val="0"/>
        <charset val="1"/>
      </rPr>
      <t xml:space="preserve">+</t>
    </r>
    <r>
      <rPr>
        <sz val="9"/>
        <color rgb="FF1F2937"/>
        <rFont val="Noto Sans CJK SC"/>
        <family val="2"/>
      </rPr>
      <t xml:space="preserve">海外新兴市场增长。</t>
    </r>
    <r>
      <rPr>
        <sz val="9"/>
        <color rgb="FF1F2937"/>
        <rFont val="微软雅黑"/>
        <family val="0"/>
        <charset val="1"/>
      </rPr>
      <t xml:space="preserve">2021–2025</t>
    </r>
    <r>
      <rPr>
        <sz val="9"/>
        <color rgb="FF1F2937"/>
        <rFont val="Noto Sans CJK SC"/>
        <family val="2"/>
      </rPr>
      <t xml:space="preserve">收入</t>
    </r>
    <r>
      <rPr>
        <sz val="9"/>
        <color rgb="FF1F2937"/>
        <rFont val="微软雅黑"/>
        <family val="0"/>
        <charset val="1"/>
      </rPr>
      <t xml:space="preserve">CAGR</t>
    </r>
    <r>
      <rPr>
        <sz val="9"/>
        <color rgb="FF1F2937"/>
        <rFont val="Noto Sans CJK SC"/>
        <family val="2"/>
      </rPr>
      <t xml:space="preserve">约</t>
    </r>
    <r>
      <rPr>
        <sz val="9"/>
        <color rgb="FF1F2937"/>
        <rFont val="微软雅黑"/>
        <family val="0"/>
        <charset val="1"/>
      </rPr>
      <t xml:space="preserve">7.4%</t>
    </r>
    <r>
      <rPr>
        <sz val="9"/>
        <color rgb="FF1F2937"/>
        <rFont val="Noto Sans CJK SC"/>
        <family val="2"/>
      </rPr>
      <t xml:space="preserve">，但</t>
    </r>
    <r>
      <rPr>
        <sz val="9"/>
        <color rgb="FF1F2937"/>
        <rFont val="微软雅黑"/>
        <family val="0"/>
        <charset val="1"/>
      </rPr>
      <t xml:space="preserve">2026</t>
    </r>
    <r>
      <rPr>
        <sz val="9"/>
        <color rgb="FF1F2937"/>
        <rFont val="Noto Sans CJK SC"/>
        <family val="2"/>
      </rPr>
      <t xml:space="preserve">上半年转负。</t>
    </r>
  </si>
  <si>
    <r>
      <rPr>
        <b val="true"/>
        <sz val="10"/>
        <color rgb="FF1F2937"/>
        <rFont val="Noto Sans CJK SC"/>
        <family val="2"/>
      </rPr>
      <t xml:space="preserve">第</t>
    </r>
    <r>
      <rPr>
        <b val="true"/>
        <sz val="10"/>
        <color rgb="FF1F2937"/>
        <rFont val="微软雅黑"/>
        <family val="0"/>
        <charset val="1"/>
      </rPr>
      <t xml:space="preserve">6–10</t>
    </r>
    <r>
      <rPr>
        <b val="true"/>
        <sz val="10"/>
        <color rgb="FF1F2937"/>
        <rFont val="Noto Sans CJK SC"/>
        <family val="2"/>
      </rPr>
      <t xml:space="preserve">年增速</t>
    </r>
  </si>
  <si>
    <r>
      <rPr>
        <sz val="9"/>
        <color rgb="FF1F2937"/>
        <rFont val="Noto Sans CJK SC"/>
        <family val="2"/>
      </rPr>
      <t xml:space="preserve">向名义</t>
    </r>
    <r>
      <rPr>
        <sz val="9"/>
        <color rgb="FF1F2937"/>
        <rFont val="微软雅黑"/>
        <family val="0"/>
        <charset val="1"/>
      </rPr>
      <t xml:space="preserve">GDP</t>
    </r>
    <r>
      <rPr>
        <sz val="9"/>
        <color rgb="FF1F2937"/>
        <rFont val="Noto Sans CJK SC"/>
        <family val="2"/>
      </rPr>
      <t xml:space="preserve">收敛</t>
    </r>
  </si>
  <si>
    <t xml:space="preserve">永续增速</t>
  </si>
  <si>
    <t xml:space="preserve">低于长期名义增长，避免终值高估</t>
  </si>
  <si>
    <r>
      <rPr>
        <b val="true"/>
        <sz val="10"/>
        <color rgb="FF1F2937"/>
        <rFont val="Noto Sans CJK SC"/>
        <family val="2"/>
      </rPr>
      <t xml:space="preserve">股权成本 </t>
    </r>
    <r>
      <rPr>
        <b val="true"/>
        <sz val="10"/>
        <color rgb="FF1F2937"/>
        <rFont val="微软雅黑"/>
        <family val="0"/>
        <charset val="1"/>
      </rPr>
      <t xml:space="preserve">Ke</t>
    </r>
    <r>
      <rPr>
        <b val="true"/>
        <sz val="10"/>
        <color rgb="FF1F2937"/>
        <rFont val="Noto Sans CJK SC"/>
        <family val="2"/>
      </rPr>
      <t xml:space="preserve">（折现率）</t>
    </r>
  </si>
  <si>
    <r>
      <rPr>
        <sz val="9"/>
        <color rgb="FF1F2937"/>
        <rFont val="Noto Sans CJK SC"/>
        <family val="2"/>
      </rPr>
      <t xml:space="preserve">无风险利率约</t>
    </r>
    <r>
      <rPr>
        <sz val="9"/>
        <color rgb="FF1F2937"/>
        <rFont val="微软雅黑"/>
        <family val="0"/>
        <charset val="1"/>
      </rPr>
      <t xml:space="preserve">1.8–2%</t>
    </r>
    <r>
      <rPr>
        <sz val="9"/>
        <color rgb="FF1F2937"/>
        <rFont val="Noto Sans CJK SC"/>
        <family val="2"/>
      </rPr>
      <t xml:space="preserve">（中国</t>
    </r>
    <r>
      <rPr>
        <sz val="9"/>
        <color rgb="FF1F2937"/>
        <rFont val="微软雅黑"/>
        <family val="0"/>
        <charset val="1"/>
      </rPr>
      <t xml:space="preserve">10</t>
    </r>
    <r>
      <rPr>
        <sz val="9"/>
        <color rgb="FF1F2937"/>
        <rFont val="Noto Sans CJK SC"/>
        <family val="2"/>
      </rPr>
      <t xml:space="preserve">年国债）</t>
    </r>
    <r>
      <rPr>
        <sz val="9"/>
        <color rgb="FF1F2937"/>
        <rFont val="微软雅黑"/>
        <family val="0"/>
        <charset val="1"/>
      </rPr>
      <t xml:space="preserve">+ </t>
    </r>
    <r>
      <rPr>
        <sz val="9"/>
        <color rgb="FF1F2937"/>
        <rFont val="Noto Sans CJK SC"/>
        <family val="2"/>
      </rPr>
      <t xml:space="preserve">股权风险溢价；加上海外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关税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汇率与控股股东治理折价。公司净现金，所有者收益≈股东现金流，统一用</t>
    </r>
    <r>
      <rPr>
        <sz val="9"/>
        <color rgb="FF1F2937"/>
        <rFont val="微软雅黑"/>
        <family val="0"/>
        <charset val="1"/>
      </rPr>
      <t xml:space="preserve">Ke</t>
    </r>
    <r>
      <rPr>
        <sz val="9"/>
        <color rgb="FF1F2937"/>
        <rFont val="Noto Sans CJK SC"/>
        <family val="2"/>
      </rPr>
      <t xml:space="preserve">。</t>
    </r>
  </si>
  <si>
    <t xml:space="preserve">长期股权投资计入比例</t>
  </si>
  <si>
    <r>
      <rPr>
        <sz val="9"/>
        <color rgb="FF1F2937"/>
        <rFont val="Noto Sans CJK SC"/>
        <family val="2"/>
      </rPr>
      <t xml:space="preserve">长期股权投资约</t>
    </r>
    <r>
      <rPr>
        <sz val="9"/>
        <color rgb="FF1F2937"/>
        <rFont val="微软雅黑"/>
        <family val="0"/>
        <charset val="1"/>
      </rPr>
      <t xml:space="preserve">218.6</t>
    </r>
    <r>
      <rPr>
        <sz val="9"/>
        <color rgb="FF1F2937"/>
        <rFont val="Noto Sans CJK SC"/>
        <family val="2"/>
      </rPr>
      <t xml:space="preserve">亿，其投资收益不在现金流中；联营公司流动性与关联属性打折计入。</t>
    </r>
  </si>
  <si>
    <t xml:space="preserve">净金融资产计入比例</t>
  </si>
  <si>
    <r>
      <rPr>
        <sz val="9"/>
        <color rgb="FF1F2937"/>
        <rFont val="微软雅黑"/>
        <family val="0"/>
        <charset val="1"/>
      </rPr>
      <t xml:space="preserve">2026-06-30</t>
    </r>
    <r>
      <rPr>
        <sz val="9"/>
        <color rgb="FF1F2937"/>
        <rFont val="Noto Sans CJK SC"/>
        <family val="2"/>
      </rPr>
      <t xml:space="preserve">净金融资产约</t>
    </r>
    <r>
      <rPr>
        <sz val="9"/>
        <color rgb="FF1F2937"/>
        <rFont val="微软雅黑"/>
        <family val="0"/>
        <charset val="1"/>
      </rPr>
      <t xml:space="preserve">161</t>
    </r>
    <r>
      <rPr>
        <sz val="9"/>
        <color rgb="FF1F2937"/>
        <rFont val="Noto Sans CJK SC"/>
        <family val="2"/>
      </rPr>
      <t xml:space="preserve">亿</t>
    </r>
    <r>
      <rPr>
        <sz val="9"/>
        <color rgb="FF1F2937"/>
        <rFont val="微软雅黑"/>
        <family val="0"/>
        <charset val="1"/>
      </rPr>
      <t xml:space="preserve">(</t>
    </r>
    <r>
      <rPr>
        <sz val="9"/>
        <color rgb="FF1F2937"/>
        <rFont val="Noto Sans CJK SC"/>
        <family val="2"/>
      </rPr>
      <t xml:space="preserve">不含租赁</t>
    </r>
    <r>
      <rPr>
        <sz val="9"/>
        <color rgb="FF1F2937"/>
        <rFont val="微软雅黑"/>
        <family val="0"/>
        <charset val="1"/>
      </rPr>
      <t xml:space="preserve">)</t>
    </r>
    <r>
      <rPr>
        <sz val="9"/>
        <color rgb="FF1F2937"/>
        <rFont val="Noto Sans CJK SC"/>
        <family val="2"/>
      </rPr>
      <t xml:space="preserve">，但大额应付票据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应付账款是经营占款，现金有季节性，不全额计入。</t>
    </r>
  </si>
  <si>
    <r>
      <rPr>
        <b val="true"/>
        <sz val="10"/>
        <color rgb="FF1F2937"/>
        <rFont val="Noto Sans CJK SC"/>
        <family val="2"/>
      </rPr>
      <t xml:space="preserve">合理</t>
    </r>
    <r>
      <rPr>
        <b val="true"/>
        <sz val="10"/>
        <color rgb="FF1F2937"/>
        <rFont val="微软雅黑"/>
        <family val="0"/>
        <charset val="1"/>
      </rPr>
      <t xml:space="preserve">PE</t>
    </r>
    <r>
      <rPr>
        <b val="true"/>
        <sz val="10"/>
        <color rgb="FF1F2937"/>
        <rFont val="Noto Sans CJK SC"/>
        <family val="2"/>
      </rPr>
      <t xml:space="preserve">（对正常化利润）</t>
    </r>
  </si>
  <si>
    <t xml:space="preserve">倍</t>
  </si>
  <si>
    <r>
      <rPr>
        <sz val="9"/>
        <color rgb="FF1F2937"/>
        <rFont val="Noto Sans CJK SC"/>
        <family val="2"/>
      </rPr>
      <t xml:space="preserve">成熟制造</t>
    </r>
    <r>
      <rPr>
        <sz val="9"/>
        <color rgb="FF1F2937"/>
        <rFont val="微软雅黑"/>
        <family val="0"/>
        <charset val="1"/>
      </rPr>
      <t xml:space="preserve">+</t>
    </r>
    <r>
      <rPr>
        <sz val="9"/>
        <color rgb="FF1F2937"/>
        <rFont val="Noto Sans CJK SC"/>
        <family val="2"/>
      </rPr>
      <t xml:space="preserve">中等护城河</t>
    </r>
    <r>
      <rPr>
        <sz val="9"/>
        <color rgb="FF1F2937"/>
        <rFont val="微软雅黑"/>
        <family val="0"/>
        <charset val="1"/>
      </rPr>
      <t xml:space="preserve">+</t>
    </r>
    <r>
      <rPr>
        <sz val="9"/>
        <color rgb="FF1F2937"/>
        <rFont val="Noto Sans CJK SC"/>
        <family val="2"/>
      </rPr>
      <t xml:space="preserve">海外占比约</t>
    </r>
    <r>
      <rPr>
        <sz val="9"/>
        <color rgb="FF1F2937"/>
        <rFont val="微软雅黑"/>
        <family val="0"/>
        <charset val="1"/>
      </rPr>
      <t xml:space="preserve">50%</t>
    </r>
    <r>
      <rPr>
        <sz val="9"/>
        <color rgb="FF1F2937"/>
        <rFont val="Noto Sans CJK SC"/>
        <family val="2"/>
      </rPr>
      <t xml:space="preserve">的周期性；参考自身近年与美的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格力区间，不套“好公司</t>
    </r>
    <r>
      <rPr>
        <sz val="9"/>
        <color rgb="FF1F2937"/>
        <rFont val="微软雅黑"/>
        <family val="0"/>
        <charset val="1"/>
      </rPr>
      <t xml:space="preserve">20</t>
    </r>
    <r>
      <rPr>
        <sz val="9"/>
        <color rgb="FF1F2937"/>
        <rFont val="Noto Sans CJK SC"/>
        <family val="2"/>
      </rPr>
      <t xml:space="preserve">倍”。</t>
    </r>
  </si>
  <si>
    <t xml:space="preserve">可持续派息率</t>
  </si>
  <si>
    <r>
      <rPr>
        <sz val="9"/>
        <color rgb="FF1F2937"/>
        <rFont val="Noto Sans CJK SC"/>
        <family val="2"/>
      </rPr>
      <t xml:space="preserve">事实：</t>
    </r>
    <r>
      <rPr>
        <sz val="9"/>
        <color rgb="FF1F2937"/>
        <rFont val="微软雅黑"/>
        <family val="0"/>
        <charset val="1"/>
      </rPr>
      <t xml:space="preserve">2025</t>
    </r>
    <r>
      <rPr>
        <sz val="9"/>
        <color rgb="FF1F2937"/>
        <rFont val="Noto Sans CJK SC"/>
        <family val="2"/>
      </rPr>
      <t xml:space="preserve">年</t>
    </r>
    <r>
      <rPr>
        <sz val="9"/>
        <color rgb="FF1F2937"/>
        <rFont val="微软雅黑"/>
        <family val="0"/>
        <charset val="1"/>
      </rPr>
      <t xml:space="preserve">55%</t>
    </r>
    <r>
      <rPr>
        <sz val="9"/>
        <color rgb="FF1F2937"/>
        <rFont val="Noto Sans CJK SC"/>
        <family val="2"/>
      </rPr>
      <t xml:space="preserve">；公司规划</t>
    </r>
    <r>
      <rPr>
        <sz val="9"/>
        <color rgb="FF1F2937"/>
        <rFont val="微软雅黑"/>
        <family val="0"/>
        <charset val="1"/>
      </rPr>
      <t xml:space="preserve">2026</t>
    </r>
    <r>
      <rPr>
        <sz val="9"/>
        <color rgb="FF1F2937"/>
        <rFont val="Noto Sans CJK SC"/>
        <family val="2"/>
      </rPr>
      <t xml:space="preserve">年≥</t>
    </r>
    <r>
      <rPr>
        <sz val="9"/>
        <color rgb="FF1F2937"/>
        <rFont val="微软雅黑"/>
        <family val="0"/>
        <charset val="1"/>
      </rPr>
      <t xml:space="preserve">58%</t>
    </r>
    <r>
      <rPr>
        <sz val="9"/>
        <color rgb="FF1F2937"/>
        <rFont val="Noto Sans CJK SC"/>
        <family val="2"/>
      </rPr>
      <t xml:space="preserve">、</t>
    </r>
    <r>
      <rPr>
        <sz val="9"/>
        <color rgb="FF1F2937"/>
        <rFont val="微软雅黑"/>
        <family val="0"/>
        <charset val="1"/>
      </rPr>
      <t xml:space="preserve">2027–2028</t>
    </r>
    <r>
      <rPr>
        <sz val="9"/>
        <color rgb="FF1F2937"/>
        <rFont val="Noto Sans CJK SC"/>
        <family val="2"/>
      </rPr>
      <t xml:space="preserve">年≥</t>
    </r>
    <r>
      <rPr>
        <sz val="9"/>
        <color rgb="FF1F2937"/>
        <rFont val="微软雅黑"/>
        <family val="0"/>
        <charset val="1"/>
      </rPr>
      <t xml:space="preserve">60%</t>
    </r>
    <r>
      <rPr>
        <sz val="9"/>
        <color rgb="FF1F2937"/>
        <rFont val="Noto Sans CJK SC"/>
        <family val="2"/>
      </rPr>
      <t xml:space="preserve">。</t>
    </r>
  </si>
  <si>
    <t xml:space="preserve">要求税前股息率</t>
  </si>
  <si>
    <r>
      <rPr>
        <sz val="9"/>
        <color rgb="FF1F2937"/>
        <rFont val="Noto Sans CJK SC"/>
        <family val="2"/>
      </rPr>
      <t xml:space="preserve">红利投资者对低增长家电龙头的收益要求；</t>
    </r>
    <r>
      <rPr>
        <sz val="9"/>
        <color rgb="FF1F2937"/>
        <rFont val="微软雅黑"/>
        <family val="0"/>
        <charset val="1"/>
      </rPr>
      <t xml:space="preserve">A</t>
    </r>
    <r>
      <rPr>
        <sz val="9"/>
        <color rgb="FF1F2937"/>
        <rFont val="Noto Sans CJK SC"/>
        <family val="2"/>
      </rPr>
      <t xml:space="preserve">股个人持有</t>
    </r>
    <r>
      <rPr>
        <sz val="9"/>
        <color rgb="FF1F2937"/>
        <rFont val="微软雅黑"/>
        <family val="0"/>
        <charset val="1"/>
      </rPr>
      <t xml:space="preserve">&gt;1</t>
    </r>
    <r>
      <rPr>
        <sz val="9"/>
        <color rgb="FF1F2937"/>
        <rFont val="Noto Sans CJK SC"/>
        <family val="2"/>
      </rPr>
      <t xml:space="preserve">年免股息税。</t>
    </r>
  </si>
  <si>
    <t xml:space="preserve">估值用股数</t>
  </si>
  <si>
    <t xml:space="preserve">亿股</t>
  </si>
  <si>
    <t xml:space="preserve">扣回购专户后的在外股数</t>
  </si>
  <si>
    <r>
      <rPr>
        <sz val="10"/>
        <color rgb="FF1F2937"/>
        <rFont val="Noto Sans CJK SC"/>
        <family val="2"/>
      </rPr>
      <t xml:space="preserve">长期股权投资账面</t>
    </r>
    <r>
      <rPr>
        <sz val="10"/>
        <color rgb="FF1F2937"/>
        <rFont val="微软雅黑"/>
        <family val="0"/>
        <charset val="1"/>
      </rPr>
      <t xml:space="preserve">(2026-06-30)</t>
    </r>
  </si>
  <si>
    <t xml:space="preserve">资产负债表</t>
  </si>
  <si>
    <r>
      <rPr>
        <sz val="10"/>
        <color rgb="FF1F2937"/>
        <rFont val="Noto Sans CJK SC"/>
        <family val="2"/>
      </rPr>
      <t xml:space="preserve">净金融资产</t>
    </r>
    <r>
      <rPr>
        <sz val="10"/>
        <color rgb="FF1F2937"/>
        <rFont val="微软雅黑"/>
        <family val="0"/>
        <charset val="1"/>
      </rPr>
      <t xml:space="preserve">(2026-06-30</t>
    </r>
    <r>
      <rPr>
        <sz val="10"/>
        <color rgb="FF1F2937"/>
        <rFont val="Noto Sans CJK SC"/>
        <family val="2"/>
      </rPr>
      <t xml:space="preserve">，不含租赁</t>
    </r>
    <r>
      <rPr>
        <sz val="10"/>
        <color rgb="FF1F2937"/>
        <rFont val="微软雅黑"/>
        <family val="0"/>
        <charset val="1"/>
      </rPr>
      <t xml:space="preserve">)</t>
    </r>
  </si>
  <si>
    <r>
      <rPr>
        <sz val="9"/>
        <color rgb="FF6B7280"/>
        <rFont val="Noto Sans CJK SC"/>
        <family val="2"/>
      </rPr>
      <t xml:space="preserve">现金</t>
    </r>
    <r>
      <rPr>
        <sz val="9"/>
        <color rgb="FF6B7280"/>
        <rFont val="微软雅黑"/>
        <family val="0"/>
        <charset val="1"/>
      </rPr>
      <t xml:space="preserve">+</t>
    </r>
    <r>
      <rPr>
        <sz val="9"/>
        <color rgb="FF6B7280"/>
        <rFont val="Noto Sans CJK SC"/>
        <family val="2"/>
      </rPr>
      <t xml:space="preserve">交易性金融资产−有息负债</t>
    </r>
    <r>
      <rPr>
        <sz val="9"/>
        <color rgb="FF6B7280"/>
        <rFont val="微软雅黑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宽口径</t>
    </r>
    <r>
      <rPr>
        <sz val="9"/>
        <color rgb="FF6B7280"/>
        <rFont val="微软雅黑"/>
        <family val="0"/>
        <charset val="1"/>
      </rPr>
      <t xml:space="preserve">)</t>
    </r>
  </si>
  <si>
    <r>
      <rPr>
        <b val="true"/>
        <sz val="12"/>
        <color rgb="FFFFFFFF"/>
        <rFont val="微软雅黑"/>
        <family val="0"/>
        <charset val="1"/>
      </rPr>
      <t xml:space="preserve">2. </t>
    </r>
    <r>
      <rPr>
        <b val="true"/>
        <sz val="12"/>
        <color rgb="FFFFFFFF"/>
        <rFont val="Noto Sans CJK SC"/>
        <family val="2"/>
      </rPr>
      <t xml:space="preserve">方法权重与安全边际要求</t>
    </r>
  </si>
  <si>
    <t xml:space="preserve">项目</t>
  </si>
  <si>
    <t xml:space="preserve">取值</t>
  </si>
  <si>
    <t xml:space="preserve">说明</t>
  </si>
  <si>
    <r>
      <rPr>
        <b val="true"/>
        <sz val="10"/>
        <color rgb="FF1F2937"/>
        <rFont val="Noto Sans CJK SC"/>
        <family val="2"/>
      </rPr>
      <t xml:space="preserve">所有者收益</t>
    </r>
    <r>
      <rPr>
        <b val="true"/>
        <sz val="10"/>
        <color rgb="FF1F2937"/>
        <rFont val="微软雅黑"/>
        <family val="0"/>
        <charset val="1"/>
      </rPr>
      <t xml:space="preserve">DCF </t>
    </r>
    <r>
      <rPr>
        <b val="true"/>
        <sz val="10"/>
        <color rgb="FF1F2937"/>
        <rFont val="Noto Sans CJK SC"/>
        <family val="2"/>
      </rPr>
      <t xml:space="preserve">权重</t>
    </r>
  </si>
  <si>
    <t xml:space="preserve">最贴近巴菲特“现金流折现”思路，但对资本开支假设敏感</t>
  </si>
  <si>
    <r>
      <rPr>
        <b val="true"/>
        <sz val="10"/>
        <color rgb="FF1F2937"/>
        <rFont val="Noto Sans CJK SC"/>
        <family val="2"/>
      </rPr>
      <t xml:space="preserve">正常化</t>
    </r>
    <r>
      <rPr>
        <b val="true"/>
        <sz val="10"/>
        <color rgb="FF1F2937"/>
        <rFont val="微软雅黑"/>
        <family val="0"/>
        <charset val="1"/>
      </rPr>
      <t xml:space="preserve">PE </t>
    </r>
    <r>
      <rPr>
        <b val="true"/>
        <sz val="10"/>
        <color rgb="FF1F2937"/>
        <rFont val="Noto Sans CJK SC"/>
        <family val="2"/>
      </rPr>
      <t xml:space="preserve">权重</t>
    </r>
  </si>
  <si>
    <t xml:space="preserve">市场常用锚，依赖正常化利润判断</t>
  </si>
  <si>
    <t xml:space="preserve">股息率锚 权重</t>
  </si>
  <si>
    <r>
      <rPr>
        <sz val="9"/>
        <color rgb="FF1F2937"/>
        <rFont val="Noto Sans CJK SC"/>
        <family val="2"/>
      </rPr>
      <t xml:space="preserve">红利投资者视角；与</t>
    </r>
    <r>
      <rPr>
        <sz val="9"/>
        <color rgb="FF1F2937"/>
        <rFont val="微软雅黑"/>
        <family val="0"/>
        <charset val="1"/>
      </rPr>
      <t xml:space="preserve">PE</t>
    </r>
    <r>
      <rPr>
        <sz val="9"/>
        <color rgb="FF1F2937"/>
        <rFont val="Noto Sans CJK SC"/>
        <family val="2"/>
      </rPr>
      <t xml:space="preserve">法共享利润假设</t>
    </r>
  </si>
  <si>
    <r>
      <rPr>
        <b val="true"/>
        <sz val="10"/>
        <color rgb="FF1F2937"/>
        <rFont val="Noto Sans CJK SC"/>
        <family val="2"/>
      </rPr>
      <t xml:space="preserve">权重合计（须</t>
    </r>
    <r>
      <rPr>
        <b val="true"/>
        <sz val="10"/>
        <color rgb="FF1F2937"/>
        <rFont val="微软雅黑"/>
        <family val="0"/>
        <charset val="1"/>
      </rPr>
      <t xml:space="preserve">=100%</t>
    </r>
    <r>
      <rPr>
        <b val="true"/>
        <sz val="10"/>
        <color rgb="FF1F2937"/>
        <rFont val="Noto Sans CJK SC"/>
        <family val="2"/>
      </rPr>
      <t xml:space="preserve">）</t>
    </r>
  </si>
  <si>
    <t xml:space="preserve">要求安全边际</t>
  </si>
  <si>
    <r>
      <rPr>
        <sz val="9"/>
        <color rgb="FF1F2937"/>
        <rFont val="Noto Sans CJK SC"/>
        <family val="2"/>
      </rPr>
      <t xml:space="preserve">制造业</t>
    </r>
    <r>
      <rPr>
        <sz val="9"/>
        <color rgb="FF1F2937"/>
        <rFont val="微软雅黑"/>
        <family val="0"/>
        <charset val="1"/>
      </rPr>
      <t xml:space="preserve">+</t>
    </r>
    <r>
      <rPr>
        <sz val="9"/>
        <color rgb="FF1F2937"/>
        <rFont val="Noto Sans CJK SC"/>
        <family val="2"/>
      </rPr>
      <t xml:space="preserve">关税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汇率</t>
    </r>
    <r>
      <rPr>
        <sz val="9"/>
        <color rgb="FF1F2937"/>
        <rFont val="微软雅黑"/>
        <family val="0"/>
        <charset val="1"/>
      </rPr>
      <t xml:space="preserve">+</t>
    </r>
    <r>
      <rPr>
        <sz val="9"/>
        <color rgb="FF1F2937"/>
        <rFont val="Noto Sans CJK SC"/>
        <family val="2"/>
      </rPr>
      <t xml:space="preserve">补贴退坡不确定性；低于宇通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银行常用</t>
    </r>
    <r>
      <rPr>
        <sz val="9"/>
        <color rgb="FF1F2937"/>
        <rFont val="微软雅黑"/>
        <family val="0"/>
        <charset val="1"/>
      </rPr>
      <t xml:space="preserve">30–35%</t>
    </r>
    <r>
      <rPr>
        <sz val="9"/>
        <color rgb="FF1F2937"/>
        <rFont val="Noto Sans CJK SC"/>
        <family val="2"/>
      </rPr>
      <t xml:space="preserve">的原因：现金流与分红更稳。可自行调整</t>
    </r>
  </si>
  <si>
    <r>
      <rPr>
        <b val="true"/>
        <sz val="12"/>
        <color rgb="FFFFFFFF"/>
        <rFont val="微软雅黑"/>
        <family val="0"/>
        <charset val="1"/>
      </rPr>
      <t xml:space="preserve">3. </t>
    </r>
    <r>
      <rPr>
        <b val="true"/>
        <sz val="12"/>
        <color rgb="FFFFFFFF"/>
        <rFont val="Noto Sans CJK SC"/>
        <family val="2"/>
      </rPr>
      <t xml:space="preserve">方法一：所有者收益两阶段</t>
    </r>
    <r>
      <rPr>
        <b val="true"/>
        <sz val="12"/>
        <color rgb="FFFFFFFF"/>
        <rFont val="微软雅黑"/>
        <family val="0"/>
        <charset val="1"/>
      </rPr>
      <t xml:space="preserve">DCF</t>
    </r>
    <r>
      <rPr>
        <b val="true"/>
        <sz val="12"/>
        <color rgb="FFFFFFFF"/>
        <rFont val="Noto Sans CJK SC"/>
        <family val="2"/>
      </rPr>
      <t xml:space="preserve">（亿元）</t>
    </r>
  </si>
  <si>
    <t xml:space="preserve">年份</t>
  </si>
  <si>
    <t xml:space="preserve">t</t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</si>
  <si>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微软雅黑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年（</t>
    </r>
    <r>
      <rPr>
        <sz val="10"/>
        <color rgb="FF1F2937"/>
        <rFont val="微软雅黑"/>
        <family val="0"/>
        <charset val="1"/>
      </rPr>
      <t xml:space="preserve">2027E</t>
    </r>
    <r>
      <rPr>
        <sz val="10"/>
        <color rgb="FF1F2937"/>
        <rFont val="Noto Sans CJK SC"/>
        <family val="2"/>
      </rPr>
      <t xml:space="preserve">）</t>
    </r>
  </si>
  <si>
    <r>
      <rPr>
        <sz val="9"/>
        <color rgb="FF6B7280"/>
        <rFont val="Noto Sans CJK SC"/>
        <family val="2"/>
      </rPr>
      <t xml:space="preserve">第</t>
    </r>
    <r>
      <rPr>
        <sz val="9"/>
        <color rgb="FF6B7280"/>
        <rFont val="微软雅黑"/>
        <family val="0"/>
        <charset val="1"/>
      </rPr>
      <t xml:space="preserve">1–5</t>
    </r>
    <r>
      <rPr>
        <sz val="9"/>
        <color rgb="FF6B7280"/>
        <rFont val="Noto Sans CJK SC"/>
        <family val="2"/>
      </rPr>
      <t xml:space="preserve">年按</t>
    </r>
    <r>
      <rPr>
        <sz val="9"/>
        <color rgb="FF6B7280"/>
        <rFont val="微软雅黑"/>
        <family val="0"/>
        <charset val="1"/>
      </rPr>
      <t xml:space="preserve">g1</t>
    </r>
    <r>
      <rPr>
        <sz val="9"/>
        <color rgb="FF6B7280"/>
        <rFont val="Noto Sans CJK SC"/>
        <family val="2"/>
      </rPr>
      <t xml:space="preserve">增长，第</t>
    </r>
    <r>
      <rPr>
        <sz val="9"/>
        <color rgb="FF6B7280"/>
        <rFont val="微软雅黑"/>
        <family val="0"/>
        <charset val="1"/>
      </rPr>
      <t xml:space="preserve">6–10</t>
    </r>
    <r>
      <rPr>
        <sz val="9"/>
        <color rgb="FF6B7280"/>
        <rFont val="Noto Sans CJK SC"/>
        <family val="2"/>
      </rPr>
      <t xml:space="preserve">年按</t>
    </r>
    <r>
      <rPr>
        <sz val="9"/>
        <color rgb="FF6B7280"/>
        <rFont val="微软雅黑"/>
        <family val="0"/>
        <charset val="1"/>
      </rPr>
      <t xml:space="preserve">g2</t>
    </r>
    <r>
      <rPr>
        <sz val="9"/>
        <color rgb="FF6B7280"/>
        <rFont val="Noto Sans CJK SC"/>
        <family val="2"/>
      </rPr>
      <t xml:space="preserve">增长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</si>
  <si>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微软雅黑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年（</t>
    </r>
    <r>
      <rPr>
        <sz val="10"/>
        <color rgb="FF1F2937"/>
        <rFont val="微软雅黑"/>
        <family val="0"/>
        <charset val="1"/>
      </rPr>
      <t xml:space="preserve">2028E</t>
    </r>
    <r>
      <rPr>
        <sz val="10"/>
        <color rgb="FF1F2937"/>
        <rFont val="Noto Sans CJK SC"/>
        <family val="2"/>
      </rPr>
      <t xml:space="preserve">）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</si>
  <si>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微软雅黑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年（</t>
    </r>
    <r>
      <rPr>
        <sz val="10"/>
        <color rgb="FF1F2937"/>
        <rFont val="微软雅黑"/>
        <family val="0"/>
        <charset val="1"/>
      </rPr>
      <t xml:space="preserve">2029E</t>
    </r>
    <r>
      <rPr>
        <sz val="10"/>
        <color rgb="FF1F2937"/>
        <rFont val="Noto Sans CJK SC"/>
        <family val="2"/>
      </rPr>
      <t xml:space="preserve">）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</si>
  <si>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微软雅黑"/>
        <family val="0"/>
        <charset val="1"/>
      </rPr>
      <t xml:space="preserve">4</t>
    </r>
    <r>
      <rPr>
        <sz val="10"/>
        <color rgb="FF1F2937"/>
        <rFont val="Noto Sans CJK SC"/>
        <family val="2"/>
      </rPr>
      <t xml:space="preserve">年（</t>
    </r>
    <r>
      <rPr>
        <sz val="10"/>
        <color rgb="FF1F2937"/>
        <rFont val="微软雅黑"/>
        <family val="0"/>
        <charset val="1"/>
      </rPr>
      <t xml:space="preserve">2030E</t>
    </r>
    <r>
      <rPr>
        <sz val="10"/>
        <color rgb="FF1F2937"/>
        <rFont val="Noto Sans CJK SC"/>
        <family val="2"/>
      </rPr>
      <t xml:space="preserve">）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</si>
  <si>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微软雅黑"/>
        <family val="0"/>
        <charset val="1"/>
      </rPr>
      <t xml:space="preserve">5</t>
    </r>
    <r>
      <rPr>
        <sz val="10"/>
        <color rgb="FF1F2937"/>
        <rFont val="Noto Sans CJK SC"/>
        <family val="2"/>
      </rPr>
      <t xml:space="preserve">年（</t>
    </r>
    <r>
      <rPr>
        <sz val="10"/>
        <color rgb="FF1F2937"/>
        <rFont val="微软雅黑"/>
        <family val="0"/>
        <charset val="1"/>
      </rPr>
      <t xml:space="preserve">2031E</t>
    </r>
    <r>
      <rPr>
        <sz val="10"/>
        <color rgb="FF1F2937"/>
        <rFont val="Noto Sans CJK SC"/>
        <family val="2"/>
      </rPr>
      <t xml:space="preserve">）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</si>
  <si>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微软雅黑"/>
        <family val="0"/>
        <charset val="1"/>
      </rPr>
      <t xml:space="preserve">6</t>
    </r>
    <r>
      <rPr>
        <sz val="10"/>
        <color rgb="FF1F2937"/>
        <rFont val="Noto Sans CJK SC"/>
        <family val="2"/>
      </rPr>
      <t xml:space="preserve">年（</t>
    </r>
    <r>
      <rPr>
        <sz val="10"/>
        <color rgb="FF1F2937"/>
        <rFont val="微软雅黑"/>
        <family val="0"/>
        <charset val="1"/>
      </rPr>
      <t xml:space="preserve">2032E</t>
    </r>
    <r>
      <rPr>
        <sz val="10"/>
        <color rgb="FF1F2937"/>
        <rFont val="Noto Sans CJK SC"/>
        <family val="2"/>
      </rPr>
      <t xml:space="preserve">）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</si>
  <si>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微软雅黑"/>
        <family val="0"/>
        <charset val="1"/>
      </rPr>
      <t xml:space="preserve">7</t>
    </r>
    <r>
      <rPr>
        <sz val="10"/>
        <color rgb="FF1F2937"/>
        <rFont val="Noto Sans CJK SC"/>
        <family val="2"/>
      </rPr>
      <t xml:space="preserve">年（</t>
    </r>
    <r>
      <rPr>
        <sz val="10"/>
        <color rgb="FF1F2937"/>
        <rFont val="微软雅黑"/>
        <family val="0"/>
        <charset val="1"/>
      </rPr>
      <t xml:space="preserve">2033E</t>
    </r>
    <r>
      <rPr>
        <sz val="10"/>
        <color rgb="FF1F2937"/>
        <rFont val="Noto Sans CJK SC"/>
        <family val="2"/>
      </rPr>
      <t xml:space="preserve">）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</si>
  <si>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微软雅黑"/>
        <family val="0"/>
        <charset val="1"/>
      </rPr>
      <t xml:space="preserve">8</t>
    </r>
    <r>
      <rPr>
        <sz val="10"/>
        <color rgb="FF1F2937"/>
        <rFont val="Noto Sans CJK SC"/>
        <family val="2"/>
      </rPr>
      <t xml:space="preserve">年（</t>
    </r>
    <r>
      <rPr>
        <sz val="10"/>
        <color rgb="FF1F2937"/>
        <rFont val="微软雅黑"/>
        <family val="0"/>
        <charset val="1"/>
      </rPr>
      <t xml:space="preserve">2034E</t>
    </r>
    <r>
      <rPr>
        <sz val="10"/>
        <color rgb="FF1F2937"/>
        <rFont val="Noto Sans CJK SC"/>
        <family val="2"/>
      </rPr>
      <t xml:space="preserve">）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</si>
  <si>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微软雅黑"/>
        <family val="0"/>
        <charset val="1"/>
      </rPr>
      <t xml:space="preserve">9</t>
    </r>
    <r>
      <rPr>
        <sz val="10"/>
        <color rgb="FF1F2937"/>
        <rFont val="Noto Sans CJK SC"/>
        <family val="2"/>
      </rPr>
      <t xml:space="preserve">年（</t>
    </r>
    <r>
      <rPr>
        <sz val="10"/>
        <color rgb="FF1F2937"/>
        <rFont val="微软雅黑"/>
        <family val="0"/>
        <charset val="1"/>
      </rPr>
      <t xml:space="preserve">2035E</t>
    </r>
    <r>
      <rPr>
        <sz val="10"/>
        <color rgb="FF1F2937"/>
        <rFont val="Noto Sans CJK SC"/>
        <family val="2"/>
      </rPr>
      <t xml:space="preserve">）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</si>
  <si>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微软雅黑"/>
        <family val="0"/>
        <charset val="1"/>
      </rPr>
      <t xml:space="preserve">10</t>
    </r>
    <r>
      <rPr>
        <sz val="10"/>
        <color rgb="FF1F2937"/>
        <rFont val="Noto Sans CJK SC"/>
        <family val="2"/>
      </rPr>
      <t xml:space="preserve">年（</t>
    </r>
    <r>
      <rPr>
        <sz val="10"/>
        <color rgb="FF1F2937"/>
        <rFont val="微软雅黑"/>
        <family val="0"/>
        <charset val="1"/>
      </rPr>
      <t xml:space="preserve">2036E</t>
    </r>
    <r>
      <rPr>
        <sz val="10"/>
        <color rgb="FF1F2937"/>
        <rFont val="Noto Sans CJK SC"/>
        <family val="2"/>
      </rPr>
      <t xml:space="preserve">）</t>
    </r>
  </si>
  <si>
    <r>
      <rPr>
        <sz val="10"/>
        <color rgb="FF1F2937"/>
        <rFont val="微软雅黑"/>
        <family val="0"/>
        <charset val="1"/>
      </rPr>
      <t xml:space="preserve">10</t>
    </r>
    <r>
      <rPr>
        <sz val="10"/>
        <color rgb="FF1F2937"/>
        <rFont val="Noto Sans CJK SC"/>
        <family val="2"/>
      </rPr>
      <t xml:space="preserve">年现金流现值</t>
    </r>
  </si>
  <si>
    <t xml:space="preserve">按年末折现</t>
  </si>
  <si>
    <r>
      <rPr>
        <sz val="10"/>
        <color rgb="FF1F2937"/>
        <rFont val="Noto Sans CJK SC"/>
        <family val="2"/>
      </rPr>
      <t xml:space="preserve">终值（第</t>
    </r>
    <r>
      <rPr>
        <sz val="10"/>
        <color rgb="FF1F2937"/>
        <rFont val="微软雅黑"/>
        <family val="0"/>
        <charset val="1"/>
      </rPr>
      <t xml:space="preserve">10</t>
    </r>
    <r>
      <rPr>
        <sz val="10"/>
        <color rgb="FF1F2937"/>
        <rFont val="Noto Sans CJK SC"/>
        <family val="2"/>
      </rPr>
      <t xml:space="preserve">年末）</t>
    </r>
  </si>
  <si>
    <r>
      <rPr>
        <sz val="9"/>
        <color rgb="FF6B7280"/>
        <rFont val="微软雅黑"/>
        <family val="0"/>
        <charset val="1"/>
      </rPr>
      <t xml:space="preserve">Gordon</t>
    </r>
    <r>
      <rPr>
        <sz val="9"/>
        <color rgb="FF6B7280"/>
        <rFont val="Noto Sans CJK SC"/>
        <family val="2"/>
      </rPr>
      <t xml:space="preserve">：</t>
    </r>
    <r>
      <rPr>
        <sz val="9"/>
        <color rgb="FF6B7280"/>
        <rFont val="微软雅黑"/>
        <family val="0"/>
        <charset val="1"/>
      </rPr>
      <t xml:space="preserve">CF11/(Ke−g)</t>
    </r>
    <r>
      <rPr>
        <sz val="9"/>
        <color rgb="FF6B7280"/>
        <rFont val="Noto Sans CJK SC"/>
        <family val="2"/>
      </rPr>
      <t xml:space="preserve">，</t>
    </r>
    <r>
      <rPr>
        <sz val="9"/>
        <color rgb="FF6B7280"/>
        <rFont val="微软雅黑"/>
        <family val="0"/>
        <charset val="1"/>
      </rPr>
      <t xml:space="preserve">Ke&gt;g</t>
    </r>
  </si>
  <si>
    <t xml:space="preserve">终值现值</t>
  </si>
  <si>
    <t xml:space="preserve">经营价值</t>
  </si>
  <si>
    <t xml:space="preserve">终值占经营价值比例</t>
  </si>
  <si>
    <r>
      <rPr>
        <sz val="9"/>
        <color rgb="FF6B7280"/>
        <rFont val="Noto Sans CJK SC"/>
        <family val="2"/>
      </rPr>
      <t xml:space="preserve">超过</t>
    </r>
    <r>
      <rPr>
        <sz val="9"/>
        <color rgb="FF6B7280"/>
        <rFont val="微软雅黑"/>
        <family val="0"/>
        <charset val="1"/>
      </rPr>
      <t xml:space="preserve">60%</t>
    </r>
    <r>
      <rPr>
        <sz val="9"/>
        <color rgb="FF6B7280"/>
        <rFont val="Noto Sans CJK SC"/>
        <family val="2"/>
      </rPr>
      <t xml:space="preserve">说明结论高度依赖远期假设</t>
    </r>
  </si>
  <si>
    <r>
      <rPr>
        <sz val="10"/>
        <color rgb="FF1F2937"/>
        <rFont val="微软雅黑"/>
        <family val="0"/>
        <charset val="1"/>
      </rPr>
      <t xml:space="preserve">+ </t>
    </r>
    <r>
      <rPr>
        <sz val="10"/>
        <color rgb="FF1F2937"/>
        <rFont val="Noto Sans CJK SC"/>
        <family val="2"/>
      </rPr>
      <t xml:space="preserve">长期股权投资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打折</t>
    </r>
    <r>
      <rPr>
        <sz val="10"/>
        <color rgb="FF1F2937"/>
        <rFont val="微软雅黑"/>
        <family val="0"/>
        <charset val="1"/>
      </rPr>
      <t xml:space="preserve">)</t>
    </r>
  </si>
  <si>
    <r>
      <rPr>
        <sz val="10"/>
        <color rgb="FF1F2937"/>
        <rFont val="微软雅黑"/>
        <family val="0"/>
        <charset val="1"/>
      </rPr>
      <t xml:space="preserve">+ </t>
    </r>
    <r>
      <rPr>
        <sz val="10"/>
        <color rgb="FF1F2937"/>
        <rFont val="Noto Sans CJK SC"/>
        <family val="2"/>
      </rPr>
      <t xml:space="preserve">净金融资产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打折</t>
    </r>
    <r>
      <rPr>
        <sz val="10"/>
        <color rgb="FF1F2937"/>
        <rFont val="微软雅黑"/>
        <family val="0"/>
        <charset val="1"/>
      </rPr>
      <t xml:space="preserve">)</t>
    </r>
  </si>
  <si>
    <t xml:space="preserve">所有者收益已扣租赁，故不再扣租赁负债</t>
  </si>
  <si>
    <t xml:space="preserve">股权价值</t>
  </si>
  <si>
    <t xml:space="preserve">少数股东已通过归母比例在所有者收益中剔除</t>
  </si>
  <si>
    <r>
      <rPr>
        <b val="true"/>
        <sz val="10"/>
        <color rgb="FF1F2937"/>
        <rFont val="微软雅黑"/>
        <family val="0"/>
        <charset val="1"/>
      </rPr>
      <t xml:space="preserve">DCF</t>
    </r>
    <r>
      <rPr>
        <b val="true"/>
        <sz val="10"/>
        <color rgb="FF1F2937"/>
        <rFont val="Noto Sans CJK SC"/>
        <family val="2"/>
      </rPr>
      <t xml:space="preserve">每股价值（元）</t>
    </r>
  </si>
  <si>
    <r>
      <rPr>
        <b val="true"/>
        <sz val="12"/>
        <color rgb="FFFFFFFF"/>
        <rFont val="微软雅黑"/>
        <family val="0"/>
        <charset val="1"/>
      </rPr>
      <t xml:space="preserve">4. </t>
    </r>
    <r>
      <rPr>
        <b val="true"/>
        <sz val="12"/>
        <color rgb="FFFFFFFF"/>
        <rFont val="Noto Sans CJK SC"/>
        <family val="2"/>
      </rPr>
      <t xml:space="preserve">方法二：正常化</t>
    </r>
    <r>
      <rPr>
        <b val="true"/>
        <sz val="12"/>
        <color rgb="FFFFFFFF"/>
        <rFont val="微软雅黑"/>
        <family val="0"/>
        <charset val="1"/>
      </rPr>
      <t xml:space="preserve">PE</t>
    </r>
  </si>
  <si>
    <r>
      <rPr>
        <sz val="10"/>
        <color rgb="FF1F2937"/>
        <rFont val="Noto Sans CJK SC"/>
        <family val="2"/>
      </rPr>
      <t xml:space="preserve">正常化</t>
    </r>
    <r>
      <rPr>
        <sz val="10"/>
        <color rgb="FF1F2937"/>
        <rFont val="微软雅黑"/>
        <family val="0"/>
        <charset val="1"/>
      </rPr>
      <t xml:space="preserve">EPS</t>
    </r>
    <r>
      <rPr>
        <sz val="10"/>
        <color rgb="FF1F2937"/>
        <rFont val="Noto Sans CJK SC"/>
        <family val="2"/>
      </rPr>
      <t xml:space="preserve">（元）</t>
    </r>
  </si>
  <si>
    <r>
      <rPr>
        <sz val="9"/>
        <color rgb="FF6B7280"/>
        <rFont val="Noto Sans CJK SC"/>
        <family val="2"/>
      </rPr>
      <t xml:space="preserve">正常化归母净利</t>
    </r>
    <r>
      <rPr>
        <sz val="9"/>
        <color rgb="FF6B7280"/>
        <rFont val="微软雅黑"/>
        <family val="0"/>
        <charset val="1"/>
      </rPr>
      <t xml:space="preserve">÷</t>
    </r>
    <r>
      <rPr>
        <sz val="9"/>
        <color rgb="FF6B7280"/>
        <rFont val="Noto Sans CJK SC"/>
        <family val="2"/>
      </rPr>
      <t xml:space="preserve">在外股数</t>
    </r>
  </si>
  <si>
    <r>
      <rPr>
        <b val="true"/>
        <sz val="10"/>
        <color rgb="FF1F2937"/>
        <rFont val="微软雅黑"/>
        <family val="0"/>
        <charset val="1"/>
      </rPr>
      <t xml:space="preserve">PE</t>
    </r>
    <r>
      <rPr>
        <b val="true"/>
        <sz val="10"/>
        <color rgb="FF1F2937"/>
        <rFont val="Noto Sans CJK SC"/>
        <family val="2"/>
      </rPr>
      <t xml:space="preserve">法每股价值（元）</t>
    </r>
  </si>
  <si>
    <r>
      <rPr>
        <sz val="9"/>
        <color rgb="FF6B7280"/>
        <rFont val="微软雅黑"/>
        <family val="0"/>
        <charset val="1"/>
      </rPr>
      <t xml:space="preserve">EPS×</t>
    </r>
    <r>
      <rPr>
        <sz val="9"/>
        <color rgb="FF6B7280"/>
        <rFont val="Noto Sans CJK SC"/>
        <family val="2"/>
      </rPr>
      <t xml:space="preserve">合理</t>
    </r>
    <r>
      <rPr>
        <sz val="9"/>
        <color rgb="FF6B7280"/>
        <rFont val="微软雅黑"/>
        <family val="0"/>
        <charset val="1"/>
      </rPr>
      <t xml:space="preserve">PE</t>
    </r>
  </si>
  <si>
    <r>
      <rPr>
        <b val="true"/>
        <sz val="12"/>
        <color rgb="FFFFFFFF"/>
        <rFont val="微软雅黑"/>
        <family val="0"/>
        <charset val="1"/>
      </rPr>
      <t xml:space="preserve">5. </t>
    </r>
    <r>
      <rPr>
        <b val="true"/>
        <sz val="12"/>
        <color rgb="FFFFFFFF"/>
        <rFont val="Noto Sans CJK SC"/>
        <family val="2"/>
      </rPr>
      <t xml:space="preserve">方法三：股息率锚（红利视角）</t>
    </r>
  </si>
  <si>
    <r>
      <rPr>
        <sz val="10"/>
        <color rgb="FF1F2937"/>
        <rFont val="Noto Sans CJK SC"/>
        <family val="2"/>
      </rPr>
      <t xml:space="preserve">可持续</t>
    </r>
    <r>
      <rPr>
        <sz val="10"/>
        <color rgb="FF1F2937"/>
        <rFont val="微软雅黑"/>
        <family val="0"/>
        <charset val="1"/>
      </rPr>
      <t xml:space="preserve">DPS</t>
    </r>
    <r>
      <rPr>
        <sz val="10"/>
        <color rgb="FF1F2937"/>
        <rFont val="Noto Sans CJK SC"/>
        <family val="2"/>
      </rPr>
      <t xml:space="preserve">（元，税前）</t>
    </r>
  </si>
  <si>
    <r>
      <rPr>
        <sz val="9"/>
        <color rgb="FF6B7280"/>
        <rFont val="Noto Sans CJK SC"/>
        <family val="2"/>
      </rPr>
      <t xml:space="preserve">正常化净利</t>
    </r>
    <r>
      <rPr>
        <sz val="9"/>
        <color rgb="FF6B7280"/>
        <rFont val="微软雅黑"/>
        <family val="0"/>
        <charset val="1"/>
      </rPr>
      <t xml:space="preserve">×</t>
    </r>
    <r>
      <rPr>
        <sz val="9"/>
        <color rgb="FF6B7280"/>
        <rFont val="Noto Sans CJK SC"/>
        <family val="2"/>
      </rPr>
      <t xml:space="preserve">派息率</t>
    </r>
    <r>
      <rPr>
        <sz val="9"/>
        <color rgb="FF6B7280"/>
        <rFont val="微软雅黑"/>
        <family val="0"/>
        <charset val="1"/>
      </rPr>
      <t xml:space="preserve">÷</t>
    </r>
    <r>
      <rPr>
        <sz val="9"/>
        <color rgb="FF6B7280"/>
        <rFont val="Noto Sans CJK SC"/>
        <family val="2"/>
      </rPr>
      <t xml:space="preserve">股数；</t>
    </r>
    <r>
      <rPr>
        <sz val="9"/>
        <color rgb="FF6B7280"/>
        <rFont val="微软雅黑"/>
        <family val="0"/>
        <charset val="1"/>
      </rPr>
      <t xml:space="preserve">2025</t>
    </r>
    <r>
      <rPr>
        <sz val="9"/>
        <color rgb="FF6B7280"/>
        <rFont val="Noto Sans CJK SC"/>
        <family val="2"/>
      </rPr>
      <t xml:space="preserve">年实际</t>
    </r>
    <r>
      <rPr>
        <sz val="9"/>
        <color rgb="FF6B7280"/>
        <rFont val="微软雅黑"/>
        <family val="0"/>
        <charset val="1"/>
      </rPr>
      <t xml:space="preserve">1.161</t>
    </r>
    <r>
      <rPr>
        <sz val="9"/>
        <color rgb="FF6B7280"/>
        <rFont val="Noto Sans CJK SC"/>
        <family val="2"/>
      </rPr>
      <t xml:space="preserve">元</t>
    </r>
  </si>
  <si>
    <t xml:space="preserve">股息率法每股价值（元）</t>
  </si>
  <si>
    <r>
      <rPr>
        <sz val="9"/>
        <color rgb="FF6B7280"/>
        <rFont val="微软雅黑"/>
        <family val="0"/>
        <charset val="1"/>
      </rPr>
      <t xml:space="preserve">DPS÷</t>
    </r>
    <r>
      <rPr>
        <sz val="9"/>
        <color rgb="FF6B7280"/>
        <rFont val="Noto Sans CJK SC"/>
        <family val="2"/>
      </rPr>
      <t xml:space="preserve">要求股息率；只是收益要求的价格锚，不等于完整内在价值</t>
    </r>
  </si>
  <si>
    <r>
      <rPr>
        <b val="true"/>
        <sz val="12"/>
        <color rgb="FFFFFFFF"/>
        <rFont val="微软雅黑"/>
        <family val="0"/>
        <charset val="1"/>
      </rPr>
      <t xml:space="preserve">6. </t>
    </r>
    <r>
      <rPr>
        <b val="true"/>
        <sz val="12"/>
        <color rgb="FFFFFFFF"/>
        <rFont val="Noto Sans CJK SC"/>
        <family val="2"/>
      </rPr>
      <t xml:space="preserve">加权内在价值、安全边际与买价阶梯</t>
    </r>
  </si>
  <si>
    <r>
      <rPr>
        <b val="true"/>
        <sz val="10"/>
        <color rgb="FF1F2937"/>
        <rFont val="Noto Sans CJK SC"/>
        <family val="2"/>
      </rPr>
      <t xml:space="preserve">加权内在价值（元</t>
    </r>
    <r>
      <rPr>
        <b val="true"/>
        <sz val="10"/>
        <color rgb="FF1F2937"/>
        <rFont val="微软雅黑"/>
        <family val="0"/>
        <charset val="1"/>
      </rPr>
      <t xml:space="preserve">/</t>
    </r>
    <r>
      <rPr>
        <b val="true"/>
        <sz val="10"/>
        <color rgb="FF1F2937"/>
        <rFont val="Noto Sans CJK SC"/>
        <family val="2"/>
      </rPr>
      <t xml:space="preserve">股）</t>
    </r>
  </si>
  <si>
    <r>
      <rPr>
        <sz val="9"/>
        <color rgb="FF6B7280"/>
        <rFont val="Noto Sans CJK SC"/>
        <family val="2"/>
      </rPr>
      <t xml:space="preserve">三法</t>
    </r>
    <r>
      <rPr>
        <sz val="9"/>
        <color rgb="FF6B7280"/>
        <rFont val="微软雅黑"/>
        <family val="0"/>
        <charset val="1"/>
      </rPr>
      <t xml:space="preserve">×</t>
    </r>
    <r>
      <rPr>
        <sz val="9"/>
        <color rgb="FF6B7280"/>
        <rFont val="Noto Sans CJK SC"/>
        <family val="2"/>
      </rPr>
      <t xml:space="preserve">权重；权重合计须为</t>
    </r>
    <r>
      <rPr>
        <sz val="9"/>
        <color rgb="FF6B7280"/>
        <rFont val="微软雅黑"/>
        <family val="0"/>
        <charset val="1"/>
      </rPr>
      <t xml:space="preserve">100%</t>
    </r>
  </si>
  <si>
    <r>
      <rPr>
        <sz val="10"/>
        <color rgb="FF1F2937"/>
        <rFont val="微软雅黑"/>
        <family val="0"/>
        <charset val="1"/>
      </rPr>
      <t xml:space="preserve">A</t>
    </r>
    <r>
      <rPr>
        <sz val="10"/>
        <color rgb="FF1F2937"/>
        <rFont val="Noto Sans CJK SC"/>
        <family val="2"/>
      </rPr>
      <t xml:space="preserve">股现价（元）</t>
    </r>
  </si>
  <si>
    <r>
      <rPr>
        <sz val="9"/>
        <color rgb="FF6B7280"/>
        <rFont val="微软雅黑"/>
        <family val="0"/>
        <charset val="1"/>
      </rPr>
      <t xml:space="preserve">2026-10-20</t>
    </r>
    <r>
      <rPr>
        <sz val="9"/>
        <color rgb="FF6B7280"/>
        <rFont val="Noto Sans CJK SC"/>
        <family val="2"/>
      </rPr>
      <t xml:space="preserve">收盘</t>
    </r>
  </si>
  <si>
    <r>
      <rPr>
        <b val="true"/>
        <sz val="10"/>
        <color rgb="FF1F2937"/>
        <rFont val="微软雅黑"/>
        <family val="0"/>
        <charset val="1"/>
      </rPr>
      <t xml:space="preserve">A</t>
    </r>
    <r>
      <rPr>
        <b val="true"/>
        <sz val="10"/>
        <color rgb="FF1F2937"/>
        <rFont val="Noto Sans CJK SC"/>
        <family val="2"/>
      </rPr>
      <t xml:space="preserve">股安全边际</t>
    </r>
  </si>
  <si>
    <r>
      <rPr>
        <sz val="9"/>
        <color rgb="FF6B7280"/>
        <rFont val="Noto Sans CJK SC"/>
        <family val="2"/>
      </rPr>
      <t xml:space="preserve">安全边际</t>
    </r>
    <r>
      <rPr>
        <sz val="9"/>
        <color rgb="FF6B7280"/>
        <rFont val="微软雅黑"/>
        <family val="0"/>
        <charset val="1"/>
      </rPr>
      <t xml:space="preserve">=1−</t>
    </r>
    <r>
      <rPr>
        <sz val="9"/>
        <color rgb="FF6B7280"/>
        <rFont val="Noto Sans CJK SC"/>
        <family val="2"/>
      </rPr>
      <t xml:space="preserve">现价</t>
    </r>
    <r>
      <rPr>
        <sz val="9"/>
        <color rgb="FF6B7280"/>
        <rFont val="微软雅黑"/>
        <family val="0"/>
        <charset val="1"/>
      </rPr>
      <t xml:space="preserve">÷</t>
    </r>
    <r>
      <rPr>
        <sz val="9"/>
        <color rgb="FF6B7280"/>
        <rFont val="Noto Sans CJK SC"/>
        <family val="2"/>
      </rPr>
      <t xml:space="preserve">价值；负数</t>
    </r>
    <r>
      <rPr>
        <sz val="9"/>
        <color rgb="FF6B7280"/>
        <rFont val="微软雅黑"/>
        <family val="0"/>
        <charset val="1"/>
      </rPr>
      <t xml:space="preserve">=</t>
    </r>
    <r>
      <rPr>
        <sz val="9"/>
        <color rgb="FF6B7280"/>
        <rFont val="Noto Sans CJK SC"/>
        <family val="2"/>
      </rPr>
      <t xml:space="preserve">溢价</t>
    </r>
  </si>
  <si>
    <r>
      <rPr>
        <sz val="10"/>
        <color rgb="FF1F2937"/>
        <rFont val="微软雅黑"/>
        <family val="0"/>
        <charset val="1"/>
      </rPr>
      <t xml:space="preserve">A</t>
    </r>
    <r>
      <rPr>
        <sz val="10"/>
        <color rgb="FF1F2937"/>
        <rFont val="Noto Sans CJK SC"/>
        <family val="2"/>
      </rPr>
      <t xml:space="preserve">股上涨空间</t>
    </r>
  </si>
  <si>
    <r>
      <rPr>
        <sz val="9"/>
        <color rgb="FF6B7280"/>
        <rFont val="Noto Sans CJK SC"/>
        <family val="2"/>
      </rPr>
      <t xml:space="preserve">上涨空间</t>
    </r>
    <r>
      <rPr>
        <sz val="9"/>
        <color rgb="FF6B7280"/>
        <rFont val="微软雅黑"/>
        <family val="0"/>
        <charset val="1"/>
      </rPr>
      <t xml:space="preserve">=</t>
    </r>
    <r>
      <rPr>
        <sz val="9"/>
        <color rgb="FF6B7280"/>
        <rFont val="Noto Sans CJK SC"/>
        <family val="2"/>
      </rPr>
      <t xml:space="preserve">价值</t>
    </r>
    <r>
      <rPr>
        <sz val="9"/>
        <color rgb="FF6B7280"/>
        <rFont val="微软雅黑"/>
        <family val="0"/>
        <charset val="1"/>
      </rPr>
      <t xml:space="preserve">÷</t>
    </r>
    <r>
      <rPr>
        <sz val="9"/>
        <color rgb="FF6B7280"/>
        <rFont val="Noto Sans CJK SC"/>
        <family val="2"/>
      </rPr>
      <t xml:space="preserve">现价−</t>
    </r>
    <r>
      <rPr>
        <sz val="9"/>
        <color rgb="FF6B7280"/>
        <rFont val="微软雅黑"/>
        <family val="0"/>
        <charset val="1"/>
      </rPr>
      <t xml:space="preserve">1</t>
    </r>
    <r>
      <rPr>
        <sz val="9"/>
        <color rgb="FF6B7280"/>
        <rFont val="Noto Sans CJK SC"/>
        <family val="2"/>
      </rPr>
      <t xml:space="preserve">（与安全边际不同）</t>
    </r>
  </si>
  <si>
    <r>
      <rPr>
        <sz val="10"/>
        <color rgb="FF1F2937"/>
        <rFont val="微软雅黑"/>
        <family val="0"/>
        <charset val="1"/>
      </rPr>
      <t xml:space="preserve">H</t>
    </r>
    <r>
      <rPr>
        <sz val="10"/>
        <color rgb="FF1F2937"/>
        <rFont val="Noto Sans CJK SC"/>
        <family val="2"/>
      </rPr>
      <t xml:space="preserve">股现价折人民币（元）</t>
    </r>
  </si>
  <si>
    <r>
      <rPr>
        <sz val="9"/>
        <color rgb="FF6B7280"/>
        <rFont val="微软雅黑"/>
        <family val="0"/>
        <charset val="1"/>
      </rPr>
      <t xml:space="preserve">19.64</t>
    </r>
    <r>
      <rPr>
        <sz val="9"/>
        <color rgb="FF6B7280"/>
        <rFont val="Noto Sans CJK SC"/>
        <family val="2"/>
      </rPr>
      <t xml:space="preserve">港元</t>
    </r>
    <r>
      <rPr>
        <sz val="9"/>
        <color rgb="FF6B7280"/>
        <rFont val="微软雅黑"/>
        <family val="0"/>
        <charset val="1"/>
      </rPr>
      <t xml:space="preserve">×</t>
    </r>
    <r>
      <rPr>
        <sz val="9"/>
        <color rgb="FF6B7280"/>
        <rFont val="Noto Sans CJK SC"/>
        <family val="2"/>
      </rPr>
      <t xml:space="preserve">汇率</t>
    </r>
  </si>
  <si>
    <r>
      <rPr>
        <b val="true"/>
        <sz val="10"/>
        <color rgb="FF1F2937"/>
        <rFont val="微软雅黑"/>
        <family val="0"/>
        <charset val="1"/>
      </rPr>
      <t xml:space="preserve">H</t>
    </r>
    <r>
      <rPr>
        <b val="true"/>
        <sz val="10"/>
        <color rgb="FF1F2937"/>
        <rFont val="Noto Sans CJK SC"/>
        <family val="2"/>
      </rPr>
      <t xml:space="preserve">股安全边际</t>
    </r>
  </si>
  <si>
    <r>
      <rPr>
        <sz val="9"/>
        <color rgb="FF6B7280"/>
        <rFont val="Noto Sans CJK SC"/>
        <family val="2"/>
      </rPr>
      <t xml:space="preserve">同股同权同息，</t>
    </r>
    <r>
      <rPr>
        <sz val="9"/>
        <color rgb="FF6B7280"/>
        <rFont val="微软雅黑"/>
        <family val="0"/>
        <charset val="1"/>
      </rPr>
      <t xml:space="preserve">H</t>
    </r>
    <r>
      <rPr>
        <sz val="9"/>
        <color rgb="FF6B7280"/>
        <rFont val="Noto Sans CJK SC"/>
        <family val="2"/>
      </rPr>
      <t xml:space="preserve">股更便宜，但个人港股通股息税</t>
    </r>
    <r>
      <rPr>
        <sz val="9"/>
        <color rgb="FF6B7280"/>
        <rFont val="微软雅黑"/>
        <family val="0"/>
        <charset val="1"/>
      </rPr>
      <t xml:space="preserve">20%</t>
    </r>
  </si>
  <si>
    <t xml:space="preserve">条件观察价（满足要求安全边际）</t>
  </si>
  <si>
    <r>
      <rPr>
        <sz val="9"/>
        <color rgb="FF6B7280"/>
        <rFont val="Noto Sans CJK SC"/>
        <family val="2"/>
      </rPr>
      <t xml:space="preserve">价值</t>
    </r>
    <r>
      <rPr>
        <sz val="9"/>
        <color rgb="FF6B7280"/>
        <rFont val="微软雅黑"/>
        <family val="0"/>
        <charset val="1"/>
      </rPr>
      <t xml:space="preserve">×(1−</t>
    </r>
    <r>
      <rPr>
        <sz val="9"/>
        <color rgb="FF6B7280"/>
        <rFont val="Noto Sans CJK SC"/>
        <family val="2"/>
      </rPr>
      <t xml:space="preserve">要求安全边际</t>
    </r>
    <r>
      <rPr>
        <sz val="9"/>
        <color rgb="FF6B7280"/>
        <rFont val="微软雅黑"/>
        <family val="0"/>
        <charset val="1"/>
      </rPr>
      <t xml:space="preserve">)</t>
    </r>
  </si>
  <si>
    <r>
      <rPr>
        <sz val="10"/>
        <color rgb="FF1F2937"/>
        <rFont val="Noto Sans CJK SC"/>
        <family val="2"/>
      </rPr>
      <t xml:space="preserve">现价隐含</t>
    </r>
    <r>
      <rPr>
        <sz val="10"/>
        <color rgb="FF1F2937"/>
        <rFont val="微软雅黑"/>
        <family val="0"/>
        <charset val="1"/>
      </rPr>
      <t xml:space="preserve">PE</t>
    </r>
    <r>
      <rPr>
        <sz val="10"/>
        <color rgb="FF1F2937"/>
        <rFont val="Noto Sans CJK SC"/>
        <family val="2"/>
      </rPr>
      <t xml:space="preserve">（对正常化净利）</t>
    </r>
  </si>
  <si>
    <r>
      <rPr>
        <sz val="9"/>
        <color rgb="FF6B7280"/>
        <rFont val="Noto Sans CJK SC"/>
        <family val="2"/>
      </rPr>
      <t xml:space="preserve">全部股份按</t>
    </r>
    <r>
      <rPr>
        <sz val="9"/>
        <color rgb="FF6B7280"/>
        <rFont val="微软雅黑"/>
        <family val="0"/>
        <charset val="1"/>
      </rPr>
      <t xml:space="preserve">A</t>
    </r>
    <r>
      <rPr>
        <sz val="9"/>
        <color rgb="FF6B7280"/>
        <rFont val="Noto Sans CJK SC"/>
        <family val="2"/>
      </rPr>
      <t xml:space="preserve">股价计市值</t>
    </r>
    <r>
      <rPr>
        <sz val="9"/>
        <color rgb="FF6B7280"/>
        <rFont val="微软雅黑"/>
        <family val="0"/>
        <charset val="1"/>
      </rPr>
      <t xml:space="preserve">÷</t>
    </r>
    <r>
      <rPr>
        <sz val="9"/>
        <color rgb="FF6B7280"/>
        <rFont val="Noto Sans CJK SC"/>
        <family val="2"/>
      </rPr>
      <t xml:space="preserve">正常化净利</t>
    </r>
  </si>
  <si>
    <r>
      <rPr>
        <sz val="10"/>
        <color rgb="FF1F2937"/>
        <rFont val="Noto Sans CJK SC"/>
        <family val="2"/>
      </rPr>
      <t xml:space="preserve">现价对应可持续股息率（</t>
    </r>
    <r>
      <rPr>
        <sz val="10"/>
        <color rgb="FF1F2937"/>
        <rFont val="微软雅黑"/>
        <family val="0"/>
        <charset val="1"/>
      </rPr>
      <t xml:space="preserve">A</t>
    </r>
    <r>
      <rPr>
        <sz val="10"/>
        <color rgb="FF1F2937"/>
        <rFont val="Noto Sans CJK SC"/>
        <family val="2"/>
      </rPr>
      <t xml:space="preserve">）</t>
    </r>
  </si>
  <si>
    <t xml:space="preserve">买价阶梯（基于当前情景价值）</t>
  </si>
  <si>
    <t xml:space="preserve">安全边际</t>
  </si>
  <si>
    <t xml:space="preserve">对应价格</t>
  </si>
  <si>
    <r>
      <rPr>
        <b val="true"/>
        <sz val="10"/>
        <color rgb="FFFFFFFF"/>
        <rFont val="Noto Sans CJK SC"/>
        <family val="2"/>
      </rPr>
      <t xml:space="preserve">距</t>
    </r>
    <r>
      <rPr>
        <b val="true"/>
        <sz val="10"/>
        <color rgb="FFFFFFFF"/>
        <rFont val="微软雅黑"/>
        <family val="0"/>
        <charset val="1"/>
      </rPr>
      <t xml:space="preserve">A</t>
    </r>
    <r>
      <rPr>
        <b val="true"/>
        <sz val="10"/>
        <color rgb="FFFFFFFF"/>
        <rFont val="Noto Sans CJK SC"/>
        <family val="2"/>
      </rPr>
      <t xml:space="preserve">股现价</t>
    </r>
  </si>
  <si>
    <r>
      <rPr>
        <b val="true"/>
        <sz val="10"/>
        <color rgb="FFFFFFFF"/>
        <rFont val="Noto Sans CJK SC"/>
        <family val="2"/>
      </rPr>
      <t xml:space="preserve">距</t>
    </r>
    <r>
      <rPr>
        <b val="true"/>
        <sz val="10"/>
        <color rgb="FFFFFFFF"/>
        <rFont val="微软雅黑"/>
        <family val="0"/>
        <charset val="1"/>
      </rPr>
      <t xml:space="preserve">H</t>
    </r>
    <r>
      <rPr>
        <b val="true"/>
        <sz val="10"/>
        <color rgb="FFFFFFFF"/>
        <rFont val="Noto Sans CJK SC"/>
        <family val="2"/>
      </rPr>
      <t xml:space="preserve">股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人民币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</si>
  <si>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t xml:space="preserve">解读</t>
  </si>
  <si>
    <t xml:space="preserve">合理价值：不再便宜</t>
  </si>
  <si>
    <r>
      <rPr>
        <sz val="9"/>
        <color rgb="FF6B7280"/>
        <rFont val="Noto Sans CJK SC"/>
        <family val="2"/>
      </rPr>
      <t xml:space="preserve">距离为负</t>
    </r>
    <r>
      <rPr>
        <sz val="9"/>
        <color rgb="FF6B7280"/>
        <rFont val="微软雅黑"/>
        <family val="0"/>
        <charset val="1"/>
      </rPr>
      <t xml:space="preserve">=</t>
    </r>
    <r>
      <rPr>
        <sz val="9"/>
        <color rgb="FF6B7280"/>
        <rFont val="Noto Sans CJK SC"/>
        <family val="2"/>
      </rPr>
      <t xml:space="preserve">现价已低于该档价格</t>
    </r>
  </si>
  <si>
    <t xml:space="preserve">小幅折价：观察</t>
  </si>
  <si>
    <r>
      <rPr>
        <sz val="10"/>
        <color rgb="FF1F2937"/>
        <rFont val="Noto Sans CJK SC"/>
        <family val="2"/>
      </rPr>
      <t xml:space="preserve">开始有吸引力：研究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小仓</t>
    </r>
  </si>
  <si>
    <t xml:space="preserve">达到本模型要求安全边际</t>
  </si>
  <si>
    <t xml:space="preserve">明显低估：分批</t>
  </si>
  <si>
    <t xml:space="preserve">深度折价：需先排除生意恶化</t>
  </si>
  <si>
    <r>
      <rPr>
        <b val="true"/>
        <sz val="10"/>
        <color rgb="FFFFFFFF"/>
        <rFont val="Noto Sans CJK SC"/>
        <family val="2"/>
      </rPr>
      <t xml:space="preserve">方法对比（元</t>
    </r>
    <r>
      <rPr>
        <b val="true"/>
        <sz val="10"/>
        <color rgb="FFFFFFFF"/>
        <rFont val="微软雅黑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股）</t>
    </r>
  </si>
  <si>
    <r>
      <rPr>
        <sz val="10"/>
        <color rgb="FF1F2937"/>
        <rFont val="Noto Sans CJK SC"/>
        <family val="2"/>
      </rPr>
      <t xml:space="preserve">所有者收益</t>
    </r>
    <r>
      <rPr>
        <sz val="10"/>
        <color rgb="FF1F2937"/>
        <rFont val="微软雅黑"/>
        <family val="0"/>
        <charset val="1"/>
      </rPr>
      <t xml:space="preserve">DCF</t>
    </r>
  </si>
  <si>
    <r>
      <rPr>
        <sz val="10"/>
        <color rgb="FF1F2937"/>
        <rFont val="Noto Sans CJK SC"/>
        <family val="2"/>
      </rPr>
      <t xml:space="preserve">正常化</t>
    </r>
    <r>
      <rPr>
        <sz val="10"/>
        <color rgb="FF1F2937"/>
        <rFont val="微软雅黑"/>
        <family val="0"/>
        <charset val="1"/>
      </rPr>
      <t xml:space="preserve">PE</t>
    </r>
  </si>
  <si>
    <r>
      <rPr>
        <sz val="10"/>
        <color rgb="FF1F2937"/>
        <rFont val="微软雅黑"/>
        <family val="0"/>
        <charset val="1"/>
      </rPr>
      <t xml:space="preserve">A</t>
    </r>
    <r>
      <rPr>
        <sz val="10"/>
        <color rgb="FF1F2937"/>
        <rFont val="Noto Sans CJK SC"/>
        <family val="2"/>
      </rPr>
      <t xml:space="preserve">股现价</t>
    </r>
  </si>
  <si>
    <t xml:space="preserve">估值敏感性：哪个变量最关键？</t>
  </si>
  <si>
    <r>
      <rPr>
        <sz val="10"/>
        <color rgb="FF6B7280"/>
        <rFont val="Noto Sans CJK SC"/>
        <family val="2"/>
      </rPr>
      <t xml:space="preserve">每格都是真实公式计算（元</t>
    </r>
    <r>
      <rPr>
        <sz val="10"/>
        <color rgb="FF6B7280"/>
        <rFont val="微软雅黑"/>
        <family val="0"/>
        <charset val="1"/>
      </rPr>
      <t xml:space="preserve">/</t>
    </r>
    <r>
      <rPr>
        <sz val="10"/>
        <color rgb="FF6B7280"/>
        <rFont val="Noto Sans CJK SC"/>
        <family val="2"/>
      </rPr>
      <t xml:space="preserve">股）。绿色</t>
    </r>
    <r>
      <rPr>
        <sz val="10"/>
        <color rgb="FF6B7280"/>
        <rFont val="微软雅黑"/>
        <family val="0"/>
        <charset val="1"/>
      </rPr>
      <t xml:space="preserve">=</t>
    </r>
    <r>
      <rPr>
        <sz val="10"/>
        <color rgb="FF6B7280"/>
        <rFont val="Noto Sans CJK SC"/>
        <family val="2"/>
      </rPr>
      <t xml:space="preserve">达到要求安全边际（≤条件观察价对应的现价），浅绿</t>
    </r>
    <r>
      <rPr>
        <sz val="10"/>
        <color rgb="FF6B7280"/>
        <rFont val="微软雅黑"/>
        <family val="0"/>
        <charset val="1"/>
      </rPr>
      <t xml:space="preserve">=</t>
    </r>
    <r>
      <rPr>
        <sz val="10"/>
        <color rgb="FF6B7280"/>
        <rFont val="Noto Sans CJK SC"/>
        <family val="2"/>
      </rPr>
      <t xml:space="preserve">高于</t>
    </r>
    <r>
      <rPr>
        <sz val="10"/>
        <color rgb="FF6B7280"/>
        <rFont val="微软雅黑"/>
        <family val="0"/>
        <charset val="1"/>
      </rPr>
      <t xml:space="preserve">A</t>
    </r>
    <r>
      <rPr>
        <sz val="10"/>
        <color rgb="FF6B7280"/>
        <rFont val="Noto Sans CJK SC"/>
        <family val="2"/>
      </rPr>
      <t xml:space="preserve">股现价，红色</t>
    </r>
    <r>
      <rPr>
        <sz val="10"/>
        <color rgb="FF6B7280"/>
        <rFont val="微软雅黑"/>
        <family val="0"/>
        <charset val="1"/>
      </rPr>
      <t xml:space="preserve">=</t>
    </r>
    <r>
      <rPr>
        <sz val="10"/>
        <color rgb="FF6B7280"/>
        <rFont val="Noto Sans CJK SC"/>
        <family val="2"/>
      </rPr>
      <t xml:space="preserve">低于</t>
    </r>
    <r>
      <rPr>
        <sz val="10"/>
        <color rgb="FF6B7280"/>
        <rFont val="微软雅黑"/>
        <family val="0"/>
        <charset val="1"/>
      </rPr>
      <t xml:space="preserve">A</t>
    </r>
    <r>
      <rPr>
        <sz val="10"/>
        <color rgb="FF6B7280"/>
        <rFont val="Noto Sans CJK SC"/>
        <family val="2"/>
      </rPr>
      <t xml:space="preserve">股现价。</t>
    </r>
    <r>
      <rPr>
        <sz val="10"/>
        <color rgb="FF6B7280"/>
        <rFont val="微软雅黑"/>
        <family val="0"/>
        <charset val="1"/>
      </rPr>
      <t xml:space="preserve">DCF</t>
    </r>
    <r>
      <rPr>
        <sz val="10"/>
        <color rgb="FF6B7280"/>
        <rFont val="Noto Sans CJK SC"/>
        <family val="2"/>
      </rPr>
      <t xml:space="preserve">表使用“基准”情景的现金流路径，只改动行列变量。</t>
    </r>
  </si>
  <si>
    <r>
      <rPr>
        <b val="true"/>
        <sz val="10"/>
        <color rgb="FF1F2937"/>
        <rFont val="微软雅黑"/>
        <family val="0"/>
        <charset val="1"/>
      </rPr>
      <t xml:space="preserve">A</t>
    </r>
    <r>
      <rPr>
        <b val="true"/>
        <sz val="10"/>
        <color rgb="FF1F2937"/>
        <rFont val="Noto Sans CJK SC"/>
        <family val="2"/>
      </rPr>
      <t xml:space="preserve">股现价</t>
    </r>
  </si>
  <si>
    <t xml:space="preserve">达标价值线</t>
  </si>
  <si>
    <r>
      <rPr>
        <b val="true"/>
        <sz val="12"/>
        <color rgb="FFFFFFFF"/>
        <rFont val="Noto Sans CJK SC"/>
        <family val="2"/>
      </rPr>
      <t xml:space="preserve">表</t>
    </r>
    <r>
      <rPr>
        <b val="true"/>
        <sz val="12"/>
        <color rgb="FFFFFFFF"/>
        <rFont val="微软雅黑"/>
        <family val="0"/>
        <charset val="1"/>
      </rPr>
      <t xml:space="preserve">1  DCF</t>
    </r>
    <r>
      <rPr>
        <b val="true"/>
        <sz val="12"/>
        <color rgb="FFFFFFFF"/>
        <rFont val="Noto Sans CJK SC"/>
        <family val="2"/>
      </rPr>
      <t xml:space="preserve">每股价值：股权成本</t>
    </r>
    <r>
      <rPr>
        <b val="true"/>
        <sz val="12"/>
        <color rgb="FFFFFFFF"/>
        <rFont val="微软雅黑"/>
        <family val="0"/>
        <charset val="1"/>
      </rPr>
      <t xml:space="preserve">Ke × </t>
    </r>
    <r>
      <rPr>
        <b val="true"/>
        <sz val="12"/>
        <color rgb="FFFFFFFF"/>
        <rFont val="Noto Sans CJK SC"/>
        <family val="2"/>
      </rPr>
      <t xml:space="preserve">永续增速</t>
    </r>
    <r>
      <rPr>
        <b val="true"/>
        <sz val="12"/>
        <color rgb="FFFFFFFF"/>
        <rFont val="微软雅黑"/>
        <family val="0"/>
        <charset val="1"/>
      </rPr>
      <t xml:space="preserve">g</t>
    </r>
    <r>
      <rPr>
        <b val="true"/>
        <sz val="12"/>
        <color rgb="FFFFFFFF"/>
        <rFont val="Noto Sans CJK SC"/>
        <family val="2"/>
      </rPr>
      <t xml:space="preserve">（基准现金流）</t>
    </r>
  </si>
  <si>
    <t xml:space="preserve">Ke ↓  /  g →</t>
  </si>
  <si>
    <r>
      <rPr>
        <sz val="9"/>
        <color rgb="FF1F2937"/>
        <rFont val="Noto Sans CJK SC"/>
        <family val="2"/>
      </rPr>
      <t xml:space="preserve">读法：基准</t>
    </r>
    <r>
      <rPr>
        <sz val="9"/>
        <color rgb="FF1F2937"/>
        <rFont val="微软雅黑"/>
        <family val="0"/>
        <charset val="1"/>
      </rPr>
      <t xml:space="preserve">Ke 9%</t>
    </r>
    <r>
      <rPr>
        <sz val="9"/>
        <color rgb="FF1F2937"/>
        <rFont val="Noto Sans CJK SC"/>
        <family val="2"/>
      </rPr>
      <t xml:space="preserve">、</t>
    </r>
    <r>
      <rPr>
        <sz val="9"/>
        <color rgb="FF1F2937"/>
        <rFont val="微软雅黑"/>
        <family val="0"/>
        <charset val="1"/>
      </rPr>
      <t xml:space="preserve">g 2%</t>
    </r>
    <r>
      <rPr>
        <sz val="9"/>
        <color rgb="FF1F2937"/>
        <rFont val="Noto Sans CJK SC"/>
        <family val="2"/>
      </rPr>
      <t xml:space="preserve">对应估值模型的</t>
    </r>
    <r>
      <rPr>
        <sz val="9"/>
        <color rgb="FF1F2937"/>
        <rFont val="微软雅黑"/>
        <family val="0"/>
        <charset val="1"/>
      </rPr>
      <t xml:space="preserve">DCF</t>
    </r>
    <r>
      <rPr>
        <sz val="9"/>
        <color rgb="FF1F2937"/>
        <rFont val="Noto Sans CJK SC"/>
        <family val="2"/>
      </rPr>
      <t xml:space="preserve">基准值。</t>
    </r>
    <r>
      <rPr>
        <sz val="9"/>
        <color rgb="FF1F2937"/>
        <rFont val="微软雅黑"/>
        <family val="0"/>
        <charset val="1"/>
      </rPr>
      <t xml:space="preserve">Ke</t>
    </r>
    <r>
      <rPr>
        <sz val="9"/>
        <color rgb="FF1F2937"/>
        <rFont val="Noto Sans CJK SC"/>
        <family val="2"/>
      </rPr>
      <t xml:space="preserve">每降</t>
    </r>
    <r>
      <rPr>
        <sz val="9"/>
        <color rgb="FF1F2937"/>
        <rFont val="微软雅黑"/>
        <family val="0"/>
        <charset val="1"/>
      </rPr>
      <t xml:space="preserve">0.5</t>
    </r>
    <r>
      <rPr>
        <sz val="9"/>
        <color rgb="FF1F2937"/>
        <rFont val="Noto Sans CJK SC"/>
        <family val="2"/>
      </rPr>
      <t xml:space="preserve">个百分点，价值约升</t>
    </r>
    <r>
      <rPr>
        <sz val="9"/>
        <color rgb="FF1F2937"/>
        <rFont val="微软雅黑"/>
        <family val="0"/>
        <charset val="1"/>
      </rPr>
      <t xml:space="preserve">8–10%</t>
    </r>
    <r>
      <rPr>
        <sz val="9"/>
        <color rgb="FF1F2937"/>
        <rFont val="Noto Sans CJK SC"/>
        <family val="2"/>
      </rPr>
      <t xml:space="preserve">；这是</t>
    </r>
    <r>
      <rPr>
        <sz val="9"/>
        <color rgb="FF1F2937"/>
        <rFont val="微软雅黑"/>
        <family val="0"/>
        <charset val="1"/>
      </rPr>
      <t xml:space="preserve">DCF</t>
    </r>
    <r>
      <rPr>
        <sz val="9"/>
        <color rgb="FF1F2937"/>
        <rFont val="Noto Sans CJK SC"/>
        <family val="2"/>
      </rPr>
      <t xml:space="preserve">最大的不确定性来源。</t>
    </r>
  </si>
  <si>
    <r>
      <rPr>
        <b val="true"/>
        <sz val="12"/>
        <color rgb="FFFFFFFF"/>
        <rFont val="Noto Sans CJK SC"/>
        <family val="2"/>
      </rPr>
      <t xml:space="preserve">表</t>
    </r>
    <r>
      <rPr>
        <b val="true"/>
        <sz val="12"/>
        <color rgb="FFFFFFFF"/>
        <rFont val="微软雅黑"/>
        <family val="0"/>
        <charset val="1"/>
      </rPr>
      <t xml:space="preserve">2  DCF</t>
    </r>
    <r>
      <rPr>
        <b val="true"/>
        <sz val="12"/>
        <color rgb="FFFFFFFF"/>
        <rFont val="Noto Sans CJK SC"/>
        <family val="2"/>
      </rPr>
      <t xml:space="preserve">每股价值：所有者收益基数 </t>
    </r>
    <r>
      <rPr>
        <b val="true"/>
        <sz val="12"/>
        <color rgb="FFFFFFFF"/>
        <rFont val="微软雅黑"/>
        <family val="0"/>
        <charset val="1"/>
      </rPr>
      <t xml:space="preserve">× Ke</t>
    </r>
    <r>
      <rPr>
        <b val="true"/>
        <sz val="12"/>
        <color rgb="FFFFFFFF"/>
        <rFont val="Noto Sans CJK SC"/>
        <family val="2"/>
      </rPr>
      <t xml:space="preserve">（</t>
    </r>
    <r>
      <rPr>
        <b val="true"/>
        <sz val="12"/>
        <color rgb="FFFFFFFF"/>
        <rFont val="微软雅黑"/>
        <family val="0"/>
        <charset val="1"/>
      </rPr>
      <t xml:space="preserve">g=</t>
    </r>
    <r>
      <rPr>
        <b val="true"/>
        <sz val="12"/>
        <color rgb="FFFFFFFF"/>
        <rFont val="Noto Sans CJK SC"/>
        <family val="2"/>
      </rPr>
      <t xml:space="preserve">基准）</t>
    </r>
  </si>
  <si>
    <r>
      <rPr>
        <b val="true"/>
        <sz val="10"/>
        <color rgb="FFFFFFFF"/>
        <rFont val="Noto Sans CJK SC"/>
        <family val="2"/>
      </rPr>
      <t xml:space="preserve">所有者收益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亿</t>
    </r>
    <r>
      <rPr>
        <b val="true"/>
        <sz val="10"/>
        <color rgb="FFFFFFFF"/>
        <rFont val="微软雅黑"/>
        <family val="0"/>
        <charset val="1"/>
      </rPr>
      <t xml:space="preserve">) ↓ / Ke →</t>
    </r>
  </si>
  <si>
    <r>
      <rPr>
        <sz val="9"/>
        <color rgb="FF1F2937"/>
        <rFont val="Noto Sans CJK SC"/>
        <family val="2"/>
      </rPr>
      <t xml:space="preserve">读法：所有者收益每变动</t>
    </r>
    <r>
      <rPr>
        <sz val="9"/>
        <color rgb="FF1F2937"/>
        <rFont val="微软雅黑"/>
        <family val="0"/>
        <charset val="1"/>
      </rPr>
      <t xml:space="preserve">10</t>
    </r>
    <r>
      <rPr>
        <sz val="9"/>
        <color rgb="FF1F2937"/>
        <rFont val="Noto Sans CJK SC"/>
        <family val="2"/>
      </rPr>
      <t xml:space="preserve">亿元，每股价值约变动</t>
    </r>
    <r>
      <rPr>
        <sz val="9"/>
        <color rgb="FF1F2937"/>
        <rFont val="微软雅黑"/>
        <family val="0"/>
        <charset val="1"/>
      </rPr>
      <t xml:space="preserve">1.1–1.5</t>
    </r>
    <r>
      <rPr>
        <sz val="9"/>
        <color rgb="FF1F2937"/>
        <rFont val="Noto Sans CJK SC"/>
        <family val="2"/>
      </rPr>
      <t xml:space="preserve">元。关键是海外扩产结束后资本开支能否回落、关税成本能否转嫁。</t>
    </r>
  </si>
  <si>
    <r>
      <rPr>
        <b val="true"/>
        <sz val="12"/>
        <color rgb="FFFFFFFF"/>
        <rFont val="Noto Sans CJK SC"/>
        <family val="2"/>
      </rPr>
      <t xml:space="preserve">表</t>
    </r>
    <r>
      <rPr>
        <b val="true"/>
        <sz val="12"/>
        <color rgb="FFFFFFFF"/>
        <rFont val="微软雅黑"/>
        <family val="0"/>
        <charset val="1"/>
      </rPr>
      <t xml:space="preserve">3  PE</t>
    </r>
    <r>
      <rPr>
        <b val="true"/>
        <sz val="12"/>
        <color rgb="FFFFFFFF"/>
        <rFont val="Noto Sans CJK SC"/>
        <family val="2"/>
      </rPr>
      <t xml:space="preserve">法每股价值：正常化归母净利润 </t>
    </r>
    <r>
      <rPr>
        <b val="true"/>
        <sz val="12"/>
        <color rgb="FFFFFFFF"/>
        <rFont val="微软雅黑"/>
        <family val="0"/>
        <charset val="1"/>
      </rPr>
      <t xml:space="preserve">× PE</t>
    </r>
  </si>
  <si>
    <r>
      <rPr>
        <b val="true"/>
        <sz val="10"/>
        <color rgb="FFFFFFFF"/>
        <rFont val="Noto Sans CJK SC"/>
        <family val="2"/>
      </rPr>
      <t xml:space="preserve">净利润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亿</t>
    </r>
    <r>
      <rPr>
        <b val="true"/>
        <sz val="10"/>
        <color rgb="FFFFFFFF"/>
        <rFont val="微软雅黑"/>
        <family val="0"/>
        <charset val="1"/>
      </rPr>
      <t xml:space="preserve">) ↓ / PE →</t>
    </r>
  </si>
  <si>
    <r>
      <rPr>
        <sz val="9"/>
        <color rgb="FF1F2937"/>
        <rFont val="Noto Sans CJK SC"/>
        <family val="2"/>
      </rPr>
      <t xml:space="preserve">读法：现价≈正常化净利</t>
    </r>
    <r>
      <rPr>
        <sz val="9"/>
        <color rgb="FF1F2937"/>
        <rFont val="微软雅黑"/>
        <family val="0"/>
        <charset val="1"/>
      </rPr>
      <t xml:space="preserve">185</t>
    </r>
    <r>
      <rPr>
        <sz val="9"/>
        <color rgb="FF1F2937"/>
        <rFont val="Noto Sans CJK SC"/>
        <family val="2"/>
      </rPr>
      <t xml:space="preserve">亿</t>
    </r>
    <r>
      <rPr>
        <sz val="9"/>
        <color rgb="FF1F2937"/>
        <rFont val="微软雅黑"/>
        <family val="0"/>
        <charset val="1"/>
      </rPr>
      <t xml:space="preserve">×10</t>
    </r>
    <r>
      <rPr>
        <sz val="9"/>
        <color rgb="FF1F2937"/>
        <rFont val="Noto Sans CJK SC"/>
        <family val="2"/>
      </rPr>
      <t xml:space="preserve">倍。市场只给</t>
    </r>
    <r>
      <rPr>
        <sz val="9"/>
        <color rgb="FF1F2937"/>
        <rFont val="微软雅黑"/>
        <family val="0"/>
        <charset val="1"/>
      </rPr>
      <t xml:space="preserve">10</t>
    </r>
    <r>
      <rPr>
        <sz val="9"/>
        <color rgb="FF1F2937"/>
        <rFont val="Noto Sans CJK SC"/>
        <family val="2"/>
      </rPr>
      <t xml:space="preserve">倍左右，隐含“利润不增长甚至下滑”的预期。</t>
    </r>
  </si>
  <si>
    <r>
      <rPr>
        <b val="true"/>
        <sz val="12"/>
        <color rgb="FFFFFFFF"/>
        <rFont val="Noto Sans CJK SC"/>
        <family val="2"/>
      </rPr>
      <t xml:space="preserve">表</t>
    </r>
    <r>
      <rPr>
        <b val="true"/>
        <sz val="12"/>
        <color rgb="FFFFFFFF"/>
        <rFont val="微软雅黑"/>
        <family val="0"/>
        <charset val="1"/>
      </rPr>
      <t xml:space="preserve">4  </t>
    </r>
    <r>
      <rPr>
        <b val="true"/>
        <sz val="12"/>
        <color rgb="FFFFFFFF"/>
        <rFont val="Noto Sans CJK SC"/>
        <family val="2"/>
      </rPr>
      <t xml:space="preserve">股息率法：税前</t>
    </r>
    <r>
      <rPr>
        <b val="true"/>
        <sz val="12"/>
        <color rgb="FFFFFFFF"/>
        <rFont val="微软雅黑"/>
        <family val="0"/>
        <charset val="1"/>
      </rPr>
      <t xml:space="preserve">DPS × </t>
    </r>
    <r>
      <rPr>
        <b val="true"/>
        <sz val="12"/>
        <color rgb="FFFFFFFF"/>
        <rFont val="Noto Sans CJK SC"/>
        <family val="2"/>
      </rPr>
      <t xml:space="preserve">要求股息率；以及现价对应股息率</t>
    </r>
  </si>
  <si>
    <r>
      <rPr>
        <b val="true"/>
        <sz val="10"/>
        <color rgb="FFFFFFFF"/>
        <rFont val="微软雅黑"/>
        <family val="0"/>
        <charset val="1"/>
      </rPr>
      <t xml:space="preserve">DPS(</t>
    </r>
    <r>
      <rPr>
        <b val="true"/>
        <sz val="10"/>
        <color rgb="FFFFFFFF"/>
        <rFont val="Noto Sans CJK SC"/>
        <family val="2"/>
      </rPr>
      <t xml:space="preserve">元</t>
    </r>
    <r>
      <rPr>
        <b val="true"/>
        <sz val="10"/>
        <color rgb="FFFFFFFF"/>
        <rFont val="微软雅黑"/>
        <family val="0"/>
        <charset val="1"/>
      </rPr>
      <t xml:space="preserve">) ↓ / </t>
    </r>
    <r>
      <rPr>
        <b val="true"/>
        <sz val="10"/>
        <color rgb="FFFFFFFF"/>
        <rFont val="Noto Sans CJK SC"/>
        <family val="2"/>
      </rPr>
      <t xml:space="preserve">要求股息率 →</t>
    </r>
  </si>
  <si>
    <t xml:space="preserve">现价股息率</t>
  </si>
  <si>
    <r>
      <rPr>
        <sz val="9"/>
        <color rgb="FF1F2937"/>
        <rFont val="Noto Sans CJK SC"/>
        <family val="2"/>
      </rPr>
      <t xml:space="preserve">读法：</t>
    </r>
    <r>
      <rPr>
        <sz val="9"/>
        <color rgb="FF1F2937"/>
        <rFont val="微软雅黑"/>
        <family val="0"/>
        <charset val="1"/>
      </rPr>
      <t xml:space="preserve">1.16</t>
    </r>
    <r>
      <rPr>
        <sz val="9"/>
        <color rgb="FF1F2937"/>
        <rFont val="Noto Sans CJK SC"/>
        <family val="2"/>
      </rPr>
      <t xml:space="preserve">元≈</t>
    </r>
    <r>
      <rPr>
        <sz val="9"/>
        <color rgb="FF1F2937"/>
        <rFont val="微软雅黑"/>
        <family val="0"/>
        <charset val="1"/>
      </rPr>
      <t xml:space="preserve">2025</t>
    </r>
    <r>
      <rPr>
        <sz val="9"/>
        <color rgb="FF1F2937"/>
        <rFont val="Noto Sans CJK SC"/>
        <family val="2"/>
      </rPr>
      <t xml:space="preserve">年实际</t>
    </r>
    <r>
      <rPr>
        <sz val="9"/>
        <color rgb="FF1F2937"/>
        <rFont val="微软雅黑"/>
        <family val="0"/>
        <charset val="1"/>
      </rPr>
      <t xml:space="preserve">DPS</t>
    </r>
    <r>
      <rPr>
        <sz val="9"/>
        <color rgb="FF1F2937"/>
        <rFont val="Noto Sans CJK SC"/>
        <family val="2"/>
      </rPr>
      <t xml:space="preserve">（</t>
    </r>
    <r>
      <rPr>
        <sz val="9"/>
        <color rgb="FF1F2937"/>
        <rFont val="微软雅黑"/>
        <family val="0"/>
        <charset val="1"/>
      </rPr>
      <t xml:space="preserve">0.2692</t>
    </r>
    <r>
      <rPr>
        <sz val="9"/>
        <color rgb="FF1F2937"/>
        <rFont val="Noto Sans CJK SC"/>
        <family val="2"/>
      </rPr>
      <t xml:space="preserve">中期</t>
    </r>
    <r>
      <rPr>
        <sz val="9"/>
        <color rgb="FF1F2937"/>
        <rFont val="微软雅黑"/>
        <family val="0"/>
        <charset val="1"/>
      </rPr>
      <t xml:space="preserve">+0.8915</t>
    </r>
    <r>
      <rPr>
        <sz val="9"/>
        <color rgb="FF1F2937"/>
        <rFont val="Noto Sans CJK SC"/>
        <family val="2"/>
      </rPr>
      <t xml:space="preserve">末期）。若派息率升到</t>
    </r>
    <r>
      <rPr>
        <sz val="9"/>
        <color rgb="FF1F2937"/>
        <rFont val="微软雅黑"/>
        <family val="0"/>
        <charset val="1"/>
      </rPr>
      <t xml:space="preserve">58–60%</t>
    </r>
    <r>
      <rPr>
        <sz val="9"/>
        <color rgb="FF1F2937"/>
        <rFont val="Noto Sans CJK SC"/>
        <family val="2"/>
      </rPr>
      <t xml:space="preserve">且利润不降，</t>
    </r>
    <r>
      <rPr>
        <sz val="9"/>
        <color rgb="FF1F2937"/>
        <rFont val="微软雅黑"/>
        <family val="0"/>
        <charset val="1"/>
      </rPr>
      <t xml:space="preserve">DPS</t>
    </r>
    <r>
      <rPr>
        <sz val="9"/>
        <color rgb="FF1F2937"/>
        <rFont val="Noto Sans CJK SC"/>
        <family val="2"/>
      </rPr>
      <t xml:space="preserve">可到</t>
    </r>
    <r>
      <rPr>
        <sz val="9"/>
        <color rgb="FF1F2937"/>
        <rFont val="微软雅黑"/>
        <family val="0"/>
        <charset val="1"/>
      </rPr>
      <t xml:space="preserve">1.2</t>
    </r>
    <r>
      <rPr>
        <sz val="9"/>
        <color rgb="FF1F2937"/>
        <rFont val="Noto Sans CJK SC"/>
        <family val="2"/>
      </rPr>
      <t xml:space="preserve">元左右。</t>
    </r>
  </si>
  <si>
    <t xml:space="preserve">财务五年：业绩、现金与资产负债（亿元）</t>
  </si>
  <si>
    <r>
      <rPr>
        <sz val="10"/>
        <color rgb="FF6B7280"/>
        <rFont val="Noto Sans CJK SC"/>
        <family val="2"/>
      </rPr>
      <t xml:space="preserve">年度</t>
    </r>
    <r>
      <rPr>
        <sz val="10"/>
        <color rgb="FF6B7280"/>
        <rFont val="微软雅黑"/>
        <family val="0"/>
        <charset val="1"/>
      </rPr>
      <t xml:space="preserve">=</t>
    </r>
    <r>
      <rPr>
        <sz val="10"/>
        <color rgb="FF6B7280"/>
        <rFont val="Noto Sans CJK SC"/>
        <family val="2"/>
      </rPr>
      <t xml:space="preserve">完整财年；</t>
    </r>
    <r>
      <rPr>
        <sz val="10"/>
        <color rgb="FF6B7280"/>
        <rFont val="微软雅黑"/>
        <family val="0"/>
        <charset val="1"/>
      </rPr>
      <t xml:space="preserve">H1=</t>
    </r>
    <r>
      <rPr>
        <sz val="10"/>
        <color rgb="FF6B7280"/>
        <rFont val="Noto Sans CJK SC"/>
        <family val="2"/>
      </rPr>
      <t xml:space="preserve">半年度实际（不年化）；</t>
    </r>
    <r>
      <rPr>
        <sz val="10"/>
        <color rgb="FF6B7280"/>
        <rFont val="微软雅黑"/>
        <family val="0"/>
        <charset val="1"/>
      </rPr>
      <t xml:space="preserve">TTM=2025</t>
    </r>
    <r>
      <rPr>
        <sz val="10"/>
        <color rgb="FF6B7280"/>
        <rFont val="Noto Sans CJK SC"/>
        <family val="2"/>
      </rPr>
      <t xml:space="preserve">年报</t>
    </r>
    <r>
      <rPr>
        <sz val="10"/>
        <color rgb="FF6B7280"/>
        <rFont val="微软雅黑"/>
        <family val="0"/>
        <charset val="1"/>
      </rPr>
      <t xml:space="preserve">+2026H1−2025H1</t>
    </r>
    <r>
      <rPr>
        <sz val="10"/>
        <color rgb="FF6B7280"/>
        <rFont val="Noto Sans CJK SC"/>
        <family val="2"/>
      </rPr>
      <t xml:space="preserve">，资产负债为</t>
    </r>
    <r>
      <rPr>
        <sz val="10"/>
        <color rgb="FF6B7280"/>
        <rFont val="微软雅黑"/>
        <family val="0"/>
        <charset val="1"/>
      </rPr>
      <t xml:space="preserve">2026-06-30</t>
    </r>
    <r>
      <rPr>
        <sz val="10"/>
        <color rgb="FF6B7280"/>
        <rFont val="Noto Sans CJK SC"/>
        <family val="2"/>
      </rPr>
      <t xml:space="preserve">时点。毛利率：</t>
    </r>
    <r>
      <rPr>
        <sz val="10"/>
        <color rgb="FF6B7280"/>
        <rFont val="微软雅黑"/>
        <family val="0"/>
        <charset val="1"/>
      </rPr>
      <t xml:space="preserve">2023</t>
    </r>
    <r>
      <rPr>
        <sz val="10"/>
        <color rgb="FF6B7280"/>
        <rFont val="Noto Sans CJK SC"/>
        <family val="2"/>
      </rPr>
      <t xml:space="preserve">年起部分费用重分类进营业成本，</t>
    </r>
    <r>
      <rPr>
        <sz val="10"/>
        <color rgb="FF6B7280"/>
        <rFont val="微软雅黑"/>
        <family val="0"/>
        <charset val="1"/>
      </rPr>
      <t xml:space="preserve">2022</t>
    </r>
    <r>
      <rPr>
        <sz val="10"/>
        <color rgb="FF6B7280"/>
        <rFont val="Noto Sans CJK SC"/>
        <family val="2"/>
      </rPr>
      <t xml:space="preserve">及以前不可比。</t>
    </r>
  </si>
  <si>
    <r>
      <rPr>
        <b val="true"/>
        <sz val="10"/>
        <color rgb="FFFFFFFF"/>
        <rFont val="Noto Sans CJK SC"/>
        <family val="2"/>
      </rPr>
      <t xml:space="preserve">指标（亿元</t>
    </r>
    <r>
      <rPr>
        <b val="true"/>
        <sz val="10"/>
        <color rgb="FFFFFFFF"/>
        <rFont val="微软雅黑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比率）</t>
    </r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</si>
  <si>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</si>
  <si>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</si>
  <si>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</si>
  <si>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</si>
  <si>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</si>
  <si>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2025H1</t>
  </si>
  <si>
    <t xml:space="preserve">2026H1</t>
  </si>
  <si>
    <t xml:space="preserve">TTM</t>
  </si>
  <si>
    <t xml:space="preserve">一、成长与利润</t>
  </si>
  <si>
    <t xml:space="preserve">营业收入</t>
  </si>
  <si>
    <t xml:space="preserve">营收同比</t>
  </si>
  <si>
    <t xml:space="preserve">—</t>
  </si>
  <si>
    <r>
      <rPr>
        <sz val="9"/>
        <color rgb="FF6B7280"/>
        <rFont val="微软雅黑"/>
        <family val="0"/>
        <charset val="1"/>
      </rPr>
      <t xml:space="preserve">H1</t>
    </r>
    <r>
      <rPr>
        <sz val="9"/>
        <color rgb="FF6B7280"/>
        <rFont val="Noto Sans CJK SC"/>
        <family val="2"/>
      </rPr>
      <t xml:space="preserve">对上年同期；</t>
    </r>
    <r>
      <rPr>
        <sz val="9"/>
        <color rgb="FF6B7280"/>
        <rFont val="微软雅黑"/>
        <family val="0"/>
        <charset val="1"/>
      </rPr>
      <t xml:space="preserve">TTM</t>
    </r>
    <r>
      <rPr>
        <sz val="9"/>
        <color rgb="FF6B7280"/>
        <rFont val="Noto Sans CJK SC"/>
        <family val="2"/>
      </rPr>
      <t xml:space="preserve">不计同比</t>
    </r>
  </si>
  <si>
    <t xml:space="preserve">毛利率</t>
  </si>
  <si>
    <r>
      <rPr>
        <sz val="9"/>
        <color rgb="FF6B7280"/>
        <rFont val="微软雅黑"/>
        <family val="0"/>
        <charset val="1"/>
      </rPr>
      <t xml:space="preserve">2023</t>
    </r>
    <r>
      <rPr>
        <sz val="9"/>
        <color rgb="FF6B7280"/>
        <rFont val="Noto Sans CJK SC"/>
        <family val="2"/>
      </rPr>
      <t xml:space="preserve">起口径变化</t>
    </r>
  </si>
  <si>
    <t xml:space="preserve">销售费用率</t>
  </si>
  <si>
    <t xml:space="preserve">管理费用率</t>
  </si>
  <si>
    <t xml:space="preserve">研发费用率</t>
  </si>
  <si>
    <t xml:space="preserve">归母净利润</t>
  </si>
  <si>
    <t xml:space="preserve">归母净利同比</t>
  </si>
  <si>
    <r>
      <rPr>
        <sz val="9"/>
        <color rgb="FF6B7280"/>
        <rFont val="微软雅黑"/>
        <family val="0"/>
        <charset val="1"/>
      </rPr>
      <t xml:space="preserve">2021</t>
    </r>
    <r>
      <rPr>
        <sz val="9"/>
        <color rgb="FF6B7280"/>
        <rFont val="Noto Sans CJK SC"/>
        <family val="2"/>
      </rPr>
      <t xml:space="preserve">同比基数含私有化前少数股东影响，偏高</t>
    </r>
  </si>
  <si>
    <t xml:space="preserve">扣非归母净利润</t>
  </si>
  <si>
    <r>
      <rPr>
        <sz val="10"/>
        <color rgb="FF1F2937"/>
        <rFont val="Noto Sans CJK SC"/>
        <family val="2"/>
      </rPr>
      <t xml:space="preserve">扣非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归母</t>
    </r>
  </si>
  <si>
    <r>
      <rPr>
        <sz val="9"/>
        <color rgb="FF6B7280"/>
        <rFont val="微软雅黑"/>
        <family val="0"/>
        <charset val="1"/>
      </rPr>
      <t xml:space="preserve">2026H1</t>
    </r>
    <r>
      <rPr>
        <sz val="9"/>
        <color rgb="FF6B7280"/>
        <rFont val="Noto Sans CJK SC"/>
        <family val="2"/>
      </rPr>
      <t xml:space="preserve">非经常性损益约</t>
    </r>
    <r>
      <rPr>
        <sz val="9"/>
        <color rgb="FF6B7280"/>
        <rFont val="微软雅黑"/>
        <family val="0"/>
        <charset val="1"/>
      </rPr>
      <t xml:space="preserve">10</t>
    </r>
    <r>
      <rPr>
        <sz val="9"/>
        <color rgb="FF6B7280"/>
        <rFont val="Noto Sans CJK SC"/>
        <family val="2"/>
      </rPr>
      <t xml:space="preserve">亿，扣非占比明显下降</t>
    </r>
  </si>
  <si>
    <t xml:space="preserve">归母净利率</t>
  </si>
  <si>
    <r>
      <rPr>
        <sz val="10"/>
        <color rgb="FF1F2937"/>
        <rFont val="Noto Sans CJK SC"/>
        <family val="2"/>
      </rPr>
      <t xml:space="preserve">加权</t>
    </r>
    <r>
      <rPr>
        <sz val="10"/>
        <color rgb="FF1F2937"/>
        <rFont val="微软雅黑"/>
        <family val="0"/>
        <charset val="1"/>
      </rPr>
      <t xml:space="preserve">ROE(</t>
    </r>
    <r>
      <rPr>
        <sz val="10"/>
        <color rgb="FF1F2937"/>
        <rFont val="Noto Sans CJK SC"/>
        <family val="2"/>
      </rPr>
      <t xml:space="preserve">披露</t>
    </r>
    <r>
      <rPr>
        <sz val="10"/>
        <color rgb="FF1F2937"/>
        <rFont val="微软雅黑"/>
        <family val="0"/>
        <charset val="1"/>
      </rPr>
      <t xml:space="preserve">)</t>
    </r>
  </si>
  <si>
    <r>
      <rPr>
        <sz val="9"/>
        <color rgb="FF6B7280"/>
        <rFont val="微软雅黑"/>
        <family val="0"/>
        <charset val="1"/>
      </rPr>
      <t xml:space="preserve">H1</t>
    </r>
    <r>
      <rPr>
        <sz val="9"/>
        <color rgb="FF6B7280"/>
        <rFont val="Noto Sans CJK SC"/>
        <family val="2"/>
      </rPr>
      <t xml:space="preserve">为半年值，不年化</t>
    </r>
  </si>
  <si>
    <r>
      <rPr>
        <sz val="10"/>
        <color rgb="FF1F2937"/>
        <rFont val="Noto Sans CJK SC"/>
        <family val="2"/>
      </rPr>
      <t xml:space="preserve">近似</t>
    </r>
    <r>
      <rPr>
        <sz val="10"/>
        <color rgb="FF1F2937"/>
        <rFont val="微软雅黑"/>
        <family val="0"/>
        <charset val="1"/>
      </rPr>
      <t xml:space="preserve">ROIC</t>
    </r>
  </si>
  <si>
    <r>
      <rPr>
        <sz val="9"/>
        <color rgb="FF6B7280"/>
        <rFont val="微软雅黑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利润总额</t>
    </r>
    <r>
      <rPr>
        <sz val="9"/>
        <color rgb="FF6B7280"/>
        <rFont val="微软雅黑"/>
        <family val="0"/>
        <charset val="1"/>
      </rPr>
      <t xml:space="preserve">+</t>
    </r>
    <r>
      <rPr>
        <sz val="9"/>
        <color rgb="FF6B7280"/>
        <rFont val="Noto Sans CJK SC"/>
        <family val="2"/>
      </rPr>
      <t xml:space="preserve">利息</t>
    </r>
    <r>
      <rPr>
        <sz val="9"/>
        <color rgb="FF6B7280"/>
        <rFont val="微软雅黑"/>
        <family val="0"/>
        <charset val="1"/>
      </rPr>
      <t xml:space="preserve">)×(1−</t>
    </r>
    <r>
      <rPr>
        <sz val="9"/>
        <color rgb="FF6B7280"/>
        <rFont val="Noto Sans CJK SC"/>
        <family val="2"/>
      </rPr>
      <t xml:space="preserve">实际税率</t>
    </r>
    <r>
      <rPr>
        <sz val="9"/>
        <color rgb="FF6B7280"/>
        <rFont val="微软雅黑"/>
        <family val="0"/>
        <charset val="1"/>
      </rPr>
      <t xml:space="preserve">)÷</t>
    </r>
    <r>
      <rPr>
        <sz val="9"/>
        <color rgb="FF6B7280"/>
        <rFont val="Noto Sans CJK SC"/>
        <family val="2"/>
      </rPr>
      <t xml:space="preserve">平均</t>
    </r>
    <r>
      <rPr>
        <sz val="9"/>
        <color rgb="FF6B7280"/>
        <rFont val="微软雅黑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权益</t>
    </r>
    <r>
      <rPr>
        <sz val="9"/>
        <color rgb="FF6B7280"/>
        <rFont val="微软雅黑"/>
        <family val="0"/>
        <charset val="1"/>
      </rPr>
      <t xml:space="preserve">+</t>
    </r>
    <r>
      <rPr>
        <sz val="9"/>
        <color rgb="FF6B7280"/>
        <rFont val="Noto Sans CJK SC"/>
        <family val="2"/>
      </rPr>
      <t xml:space="preserve">有息负债−现金及交易性金融资产</t>
    </r>
    <r>
      <rPr>
        <sz val="9"/>
        <color rgb="FF6B7280"/>
        <rFont val="微软雅黑"/>
        <family val="0"/>
        <charset val="1"/>
      </rPr>
      <t xml:space="preserve">)</t>
    </r>
    <r>
      <rPr>
        <sz val="9"/>
        <color rgb="FF6B7280"/>
        <rFont val="Noto Sans CJK SC"/>
        <family val="2"/>
      </rPr>
      <t xml:space="preserve">；含商誉；不含租赁负债</t>
    </r>
  </si>
  <si>
    <t xml:space="preserve">二、利润变现金（所有者收益）</t>
  </si>
  <si>
    <t xml:space="preserve">经营现金流</t>
  </si>
  <si>
    <r>
      <rPr>
        <sz val="10"/>
        <color rgb="FF1F2937"/>
        <rFont val="Noto Sans CJK SC"/>
        <family val="2"/>
      </rPr>
      <t xml:space="preserve">经营现金流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合并净利润</t>
    </r>
  </si>
  <si>
    <r>
      <rPr>
        <sz val="9"/>
        <color rgb="FF6B7280"/>
        <rFont val="微软雅黑"/>
        <family val="0"/>
        <charset val="1"/>
      </rPr>
      <t xml:space="preserve">CFO</t>
    </r>
    <r>
      <rPr>
        <sz val="9"/>
        <color rgb="FF6B7280"/>
        <rFont val="Noto Sans CJK SC"/>
        <family val="2"/>
      </rPr>
      <t xml:space="preserve">为合并口径，故对比合并净利润</t>
    </r>
  </si>
  <si>
    <t xml:space="preserve">资本开支</t>
  </si>
  <si>
    <r>
      <rPr>
        <b val="true"/>
        <sz val="10"/>
        <color rgb="FF1F2937"/>
        <rFont val="Noto Sans CJK SC"/>
        <family val="2"/>
      </rPr>
      <t xml:space="preserve">自由现金流</t>
    </r>
    <r>
      <rPr>
        <b val="true"/>
        <sz val="10"/>
        <color rgb="FF1F2937"/>
        <rFont val="微软雅黑"/>
        <family val="0"/>
        <charset val="1"/>
      </rPr>
      <t xml:space="preserve">(CFO−</t>
    </r>
    <r>
      <rPr>
        <b val="true"/>
        <sz val="10"/>
        <color rgb="FF1F2937"/>
        <rFont val="Noto Sans CJK SC"/>
        <family val="2"/>
      </rPr>
      <t xml:space="preserve">资本开支</t>
    </r>
    <r>
      <rPr>
        <b val="true"/>
        <sz val="10"/>
        <color rgb="FF1F2937"/>
        <rFont val="微软雅黑"/>
        <family val="0"/>
        <charset val="1"/>
      </rPr>
      <t xml:space="preserve">)</t>
    </r>
  </si>
  <si>
    <r>
      <rPr>
        <sz val="10"/>
        <color rgb="FF1F2937"/>
        <rFont val="Noto Sans CJK SC"/>
        <family val="2"/>
      </rPr>
      <t xml:space="preserve">使用权资产折旧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租赁现金代理</t>
    </r>
    <r>
      <rPr>
        <sz val="10"/>
        <color rgb="FF1F2937"/>
        <rFont val="微软雅黑"/>
        <family val="0"/>
        <charset val="1"/>
      </rPr>
      <t xml:space="preserve">)</t>
    </r>
  </si>
  <si>
    <t xml:space="preserve">租赁本金在筹资现金流，需另扣</t>
  </si>
  <si>
    <t xml:space="preserve">所有者收益代理</t>
  </si>
  <si>
    <r>
      <rPr>
        <sz val="9"/>
        <color rgb="FF6B7280"/>
        <rFont val="微软雅黑"/>
        <family val="0"/>
        <charset val="1"/>
      </rPr>
      <t xml:space="preserve">(CFO−</t>
    </r>
    <r>
      <rPr>
        <sz val="9"/>
        <color rgb="FF6B7280"/>
        <rFont val="Noto Sans CJK SC"/>
        <family val="2"/>
      </rPr>
      <t xml:space="preserve">全部资本开支−租赁</t>
    </r>
    <r>
      <rPr>
        <sz val="9"/>
        <color rgb="FF6B7280"/>
        <rFont val="微软雅黑"/>
        <family val="0"/>
        <charset val="1"/>
      </rPr>
      <t xml:space="preserve">)×</t>
    </r>
    <r>
      <rPr>
        <sz val="9"/>
        <color rgb="FF6B7280"/>
        <rFont val="Noto Sans CJK SC"/>
        <family val="2"/>
      </rPr>
      <t xml:space="preserve">归母</t>
    </r>
    <r>
      <rPr>
        <sz val="9"/>
        <color rgb="FF6B7280"/>
        <rFont val="微软雅黑"/>
        <family val="0"/>
        <charset val="1"/>
      </rPr>
      <t xml:space="preserve">/</t>
    </r>
    <r>
      <rPr>
        <sz val="9"/>
        <color rgb="FF6B7280"/>
        <rFont val="Noto Sans CJK SC"/>
        <family val="2"/>
      </rPr>
      <t xml:space="preserve">合并；扣全部资本开支</t>
    </r>
    <r>
      <rPr>
        <sz val="9"/>
        <color rgb="FF6B7280"/>
        <rFont val="微软雅黑"/>
        <family val="0"/>
        <charset val="1"/>
      </rPr>
      <t xml:space="preserve">=</t>
    </r>
    <r>
      <rPr>
        <sz val="9"/>
        <color rgb="FF6B7280"/>
        <rFont val="Noto Sans CJK SC"/>
        <family val="2"/>
      </rPr>
      <t xml:space="preserve">保守口径</t>
    </r>
  </si>
  <si>
    <r>
      <rPr>
        <sz val="10"/>
        <color rgb="FF1F2937"/>
        <rFont val="Noto Sans CJK SC"/>
        <family val="2"/>
      </rPr>
      <t xml:space="preserve">所有者收益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归母净利</t>
    </r>
  </si>
  <si>
    <t xml:space="preserve">折旧摊销合计</t>
  </si>
  <si>
    <r>
      <rPr>
        <sz val="9"/>
        <color rgb="FF6B7280"/>
        <rFont val="Noto Sans CJK SC"/>
        <family val="2"/>
      </rPr>
      <t xml:space="preserve">固定资产折旧</t>
    </r>
    <r>
      <rPr>
        <sz val="9"/>
        <color rgb="FF6B7280"/>
        <rFont val="微软雅黑"/>
        <family val="0"/>
        <charset val="1"/>
      </rPr>
      <t xml:space="preserve">+</t>
    </r>
    <r>
      <rPr>
        <sz val="9"/>
        <color rgb="FF6B7280"/>
        <rFont val="Noto Sans CJK SC"/>
        <family val="2"/>
      </rPr>
      <t xml:space="preserve">无形摊销</t>
    </r>
    <r>
      <rPr>
        <sz val="9"/>
        <color rgb="FF6B7280"/>
        <rFont val="微软雅黑"/>
        <family val="0"/>
        <charset val="1"/>
      </rPr>
      <t xml:space="preserve">+</t>
    </r>
    <r>
      <rPr>
        <sz val="9"/>
        <color rgb="FF6B7280"/>
        <rFont val="Noto Sans CJK SC"/>
        <family val="2"/>
      </rPr>
      <t xml:space="preserve">长摊</t>
    </r>
    <r>
      <rPr>
        <sz val="9"/>
        <color rgb="FF6B7280"/>
        <rFont val="微软雅黑"/>
        <family val="0"/>
        <charset val="1"/>
      </rPr>
      <t xml:space="preserve">+</t>
    </r>
    <r>
      <rPr>
        <sz val="9"/>
        <color rgb="FF6B7280"/>
        <rFont val="Noto Sans CJK SC"/>
        <family val="2"/>
      </rPr>
      <t xml:space="preserve">使用权</t>
    </r>
  </si>
  <si>
    <r>
      <rPr>
        <sz val="10"/>
        <color rgb="FF1F2937"/>
        <rFont val="Noto Sans CJK SC"/>
        <family val="2"/>
      </rPr>
      <t xml:space="preserve">资本开支</t>
    </r>
    <r>
      <rPr>
        <sz val="10"/>
        <color rgb="FF1F2937"/>
        <rFont val="微软雅黑"/>
        <family val="0"/>
        <charset val="1"/>
      </rPr>
      <t xml:space="preserve">/(</t>
    </r>
    <r>
      <rPr>
        <sz val="10"/>
        <color rgb="FF1F2937"/>
        <rFont val="Noto Sans CJK SC"/>
        <family val="2"/>
      </rPr>
      <t xml:space="preserve">折旧</t>
    </r>
    <r>
      <rPr>
        <sz val="10"/>
        <color rgb="FF1F2937"/>
        <rFont val="微软雅黑"/>
        <family val="0"/>
        <charset val="1"/>
      </rPr>
      <t xml:space="preserve">+</t>
    </r>
    <r>
      <rPr>
        <sz val="10"/>
        <color rgb="FF1F2937"/>
        <rFont val="Noto Sans CJK SC"/>
        <family val="2"/>
      </rPr>
      <t xml:space="preserve">无形摊销</t>
    </r>
    <r>
      <rPr>
        <sz val="10"/>
        <color rgb="FF1F2937"/>
        <rFont val="微软雅黑"/>
        <family val="0"/>
        <charset val="1"/>
      </rPr>
      <t xml:space="preserve">)</t>
    </r>
  </si>
  <si>
    <r>
      <rPr>
        <sz val="9"/>
        <color rgb="FF6B7280"/>
        <rFont val="微软雅黑"/>
        <family val="0"/>
        <charset val="1"/>
      </rPr>
      <t xml:space="preserve">&gt;1</t>
    </r>
    <r>
      <rPr>
        <sz val="9"/>
        <color rgb="FF6B7280"/>
        <rFont val="Noto Sans CJK SC"/>
        <family val="2"/>
      </rPr>
      <t xml:space="preserve">说明仍在扩产（海外工厂建设）</t>
    </r>
  </si>
  <si>
    <t xml:space="preserve">三、营运资金与资产负债（时点数）</t>
  </si>
  <si>
    <r>
      <rPr>
        <sz val="10"/>
        <color rgb="FF1F2937"/>
        <rFont val="Noto Sans CJK SC"/>
        <family val="2"/>
      </rPr>
      <t xml:space="preserve">应收账款</t>
    </r>
    <r>
      <rPr>
        <sz val="10"/>
        <color rgb="FF1F2937"/>
        <rFont val="微软雅黑"/>
        <family val="0"/>
        <charset val="1"/>
      </rPr>
      <t xml:space="preserve">+</t>
    </r>
    <r>
      <rPr>
        <sz val="10"/>
        <color rgb="FF1F2937"/>
        <rFont val="Noto Sans CJK SC"/>
        <family val="2"/>
      </rPr>
      <t xml:space="preserve">应收票据</t>
    </r>
  </si>
  <si>
    <r>
      <rPr>
        <sz val="9"/>
        <color rgb="FF6B7280"/>
        <rFont val="微软雅黑"/>
        <family val="0"/>
        <charset val="1"/>
      </rPr>
      <t xml:space="preserve">2021</t>
    </r>
    <r>
      <rPr>
        <sz val="9"/>
        <color rgb="FF6B7280"/>
        <rFont val="Noto Sans CJK SC"/>
        <family val="2"/>
      </rPr>
      <t xml:space="preserve">无票据数据</t>
    </r>
  </si>
  <si>
    <t xml:space="preserve">存货</t>
  </si>
  <si>
    <r>
      <rPr>
        <sz val="10"/>
        <color rgb="FF1F2937"/>
        <rFont val="Noto Sans CJK SC"/>
        <family val="2"/>
      </rPr>
      <t xml:space="preserve">应付账款</t>
    </r>
    <r>
      <rPr>
        <sz val="10"/>
        <color rgb="FF1F2937"/>
        <rFont val="微软雅黑"/>
        <family val="0"/>
        <charset val="1"/>
      </rPr>
      <t xml:space="preserve">+</t>
    </r>
    <r>
      <rPr>
        <sz val="10"/>
        <color rgb="FF1F2937"/>
        <rFont val="Noto Sans CJK SC"/>
        <family val="2"/>
      </rPr>
      <t xml:space="preserve">应付票据</t>
    </r>
  </si>
  <si>
    <t xml:space="preserve">供应链占款是现金流的重要来源</t>
  </si>
  <si>
    <r>
      <rPr>
        <sz val="10"/>
        <color rgb="FF1F2937"/>
        <rFont val="Noto Sans CJK SC"/>
        <family val="2"/>
      </rPr>
      <t xml:space="preserve">存货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营收</t>
    </r>
  </si>
  <si>
    <r>
      <rPr>
        <sz val="9"/>
        <color rgb="FF6B7280"/>
        <rFont val="微软雅黑"/>
        <family val="0"/>
        <charset val="1"/>
      </rPr>
      <t xml:space="preserve">TTM</t>
    </r>
    <r>
      <rPr>
        <sz val="9"/>
        <color rgb="FF6B7280"/>
        <rFont val="Noto Sans CJK SC"/>
        <family val="2"/>
      </rPr>
      <t xml:space="preserve">用</t>
    </r>
    <r>
      <rPr>
        <sz val="9"/>
        <color rgb="FF6B7280"/>
        <rFont val="微软雅黑"/>
        <family val="0"/>
        <charset val="1"/>
      </rPr>
      <t xml:space="preserve">2026-06-30</t>
    </r>
    <r>
      <rPr>
        <sz val="9"/>
        <color rgb="FF6B7280"/>
        <rFont val="Noto Sans CJK SC"/>
        <family val="2"/>
      </rPr>
      <t xml:space="preserve">存货</t>
    </r>
    <r>
      <rPr>
        <sz val="9"/>
        <color rgb="FF6B7280"/>
        <rFont val="微软雅黑"/>
        <family val="0"/>
        <charset val="1"/>
      </rPr>
      <t xml:space="preserve">÷TTM</t>
    </r>
    <r>
      <rPr>
        <sz val="9"/>
        <color rgb="FF6B7280"/>
        <rFont val="Noto Sans CJK SC"/>
        <family val="2"/>
      </rPr>
      <t xml:space="preserve">营收</t>
    </r>
  </si>
  <si>
    <r>
      <rPr>
        <sz val="10"/>
        <color rgb="FF1F2937"/>
        <rFont val="Noto Sans CJK SC"/>
        <family val="2"/>
      </rPr>
      <t xml:space="preserve">现金</t>
    </r>
    <r>
      <rPr>
        <sz val="10"/>
        <color rgb="FF1F2937"/>
        <rFont val="微软雅黑"/>
        <family val="0"/>
        <charset val="1"/>
      </rPr>
      <t xml:space="preserve">+</t>
    </r>
    <r>
      <rPr>
        <sz val="10"/>
        <color rgb="FF1F2937"/>
        <rFont val="Noto Sans CJK SC"/>
        <family val="2"/>
      </rPr>
      <t xml:space="preserve">交易性金融资产</t>
    </r>
  </si>
  <si>
    <r>
      <rPr>
        <sz val="10"/>
        <color rgb="FF1F2937"/>
        <rFont val="Noto Sans CJK SC"/>
        <family val="2"/>
      </rPr>
      <t xml:space="preserve">有息负债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宽口径</t>
    </r>
    <r>
      <rPr>
        <sz val="10"/>
        <color rgb="FF1F2937"/>
        <rFont val="微软雅黑"/>
        <family val="0"/>
        <charset val="1"/>
      </rPr>
      <t xml:space="preserve">)</t>
    </r>
  </si>
  <si>
    <r>
      <rPr>
        <sz val="9"/>
        <color rgb="FF6B7280"/>
        <rFont val="Noto Sans CJK SC"/>
        <family val="2"/>
      </rPr>
      <t xml:space="preserve">短借</t>
    </r>
    <r>
      <rPr>
        <sz val="9"/>
        <color rgb="FF6B7280"/>
        <rFont val="微软雅黑"/>
        <family val="0"/>
        <charset val="1"/>
      </rPr>
      <t xml:space="preserve">+</t>
    </r>
    <r>
      <rPr>
        <sz val="9"/>
        <color rgb="FF6B7280"/>
        <rFont val="Noto Sans CJK SC"/>
        <family val="2"/>
      </rPr>
      <t xml:space="preserve">一年内到期</t>
    </r>
    <r>
      <rPr>
        <sz val="9"/>
        <color rgb="FF6B7280"/>
        <rFont val="微软雅黑"/>
        <family val="0"/>
        <charset val="1"/>
      </rPr>
      <t xml:space="preserve">+</t>
    </r>
    <r>
      <rPr>
        <sz val="9"/>
        <color rgb="FF6B7280"/>
        <rFont val="Noto Sans CJK SC"/>
        <family val="2"/>
      </rPr>
      <t xml:space="preserve">长借</t>
    </r>
    <r>
      <rPr>
        <sz val="9"/>
        <color rgb="FF6B7280"/>
        <rFont val="微软雅黑"/>
        <family val="0"/>
        <charset val="1"/>
      </rPr>
      <t xml:space="preserve">+</t>
    </r>
    <r>
      <rPr>
        <sz val="9"/>
        <color rgb="FF6B7280"/>
        <rFont val="Noto Sans CJK SC"/>
        <family val="2"/>
      </rPr>
      <t xml:space="preserve">债券；港股中报口径借款</t>
    </r>
    <r>
      <rPr>
        <sz val="9"/>
        <color rgb="FF6B7280"/>
        <rFont val="微软雅黑"/>
        <family val="0"/>
        <charset val="1"/>
      </rPr>
      <t xml:space="preserve">383.2</t>
    </r>
    <r>
      <rPr>
        <sz val="9"/>
        <color rgb="FF6B7280"/>
        <rFont val="Noto Sans CJK SC"/>
        <family val="2"/>
      </rPr>
      <t xml:space="preserve">亿</t>
    </r>
  </si>
  <si>
    <r>
      <rPr>
        <b val="true"/>
        <sz val="10"/>
        <color rgb="FF1F2937"/>
        <rFont val="Noto Sans CJK SC"/>
        <family val="2"/>
      </rPr>
      <t xml:space="preserve">净金融资产</t>
    </r>
    <r>
      <rPr>
        <b val="true"/>
        <sz val="10"/>
        <color rgb="FF1F2937"/>
        <rFont val="微软雅黑"/>
        <family val="0"/>
        <charset val="1"/>
      </rPr>
      <t xml:space="preserve">(</t>
    </r>
    <r>
      <rPr>
        <b val="true"/>
        <sz val="10"/>
        <color rgb="FF1F2937"/>
        <rFont val="Noto Sans CJK SC"/>
        <family val="2"/>
      </rPr>
      <t xml:space="preserve">不含租赁</t>
    </r>
    <r>
      <rPr>
        <b val="true"/>
        <sz val="10"/>
        <color rgb="FF1F2937"/>
        <rFont val="微软雅黑"/>
        <family val="0"/>
        <charset val="1"/>
      </rPr>
      <t xml:space="preserve">)</t>
    </r>
  </si>
  <si>
    <r>
      <rPr>
        <sz val="9"/>
        <color rgb="FF6B7280"/>
        <rFont val="Noto Sans CJK SC"/>
        <family val="2"/>
      </rPr>
      <t xml:space="preserve">正数</t>
    </r>
    <r>
      <rPr>
        <sz val="9"/>
        <color rgb="FF6B7280"/>
        <rFont val="微软雅黑"/>
        <family val="0"/>
        <charset val="1"/>
      </rPr>
      <t xml:space="preserve">=</t>
    </r>
    <r>
      <rPr>
        <sz val="9"/>
        <color rgb="FF6B7280"/>
        <rFont val="Noto Sans CJK SC"/>
        <family val="2"/>
      </rPr>
      <t xml:space="preserve">净现金</t>
    </r>
  </si>
  <si>
    <r>
      <rPr>
        <sz val="10"/>
        <color rgb="FF1F2937"/>
        <rFont val="Noto Sans CJK SC"/>
        <family val="2"/>
      </rPr>
      <t xml:space="preserve">商誉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归母权益</t>
    </r>
  </si>
  <si>
    <r>
      <rPr>
        <sz val="9"/>
        <color rgb="FF6B7280"/>
        <rFont val="微软雅黑"/>
        <family val="0"/>
        <charset val="1"/>
      </rPr>
      <t xml:space="preserve">GEA</t>
    </r>
    <r>
      <rPr>
        <sz val="9"/>
        <color rgb="FF6B7280"/>
        <rFont val="Noto Sans CJK SC"/>
        <family val="2"/>
      </rPr>
      <t xml:space="preserve">、</t>
    </r>
    <r>
      <rPr>
        <sz val="9"/>
        <color rgb="FF6B7280"/>
        <rFont val="微软雅黑"/>
        <family val="0"/>
        <charset val="1"/>
      </rPr>
      <t xml:space="preserve">Candy</t>
    </r>
    <r>
      <rPr>
        <sz val="9"/>
        <color rgb="FF6B7280"/>
        <rFont val="Noto Sans CJK SC"/>
        <family val="2"/>
      </rPr>
      <t xml:space="preserve">、</t>
    </r>
    <r>
      <rPr>
        <sz val="9"/>
        <color rgb="FF6B7280"/>
        <rFont val="微软雅黑"/>
        <family val="0"/>
        <charset val="1"/>
      </rPr>
      <t xml:space="preserve">Fisher&amp;Paykel</t>
    </r>
    <r>
      <rPr>
        <sz val="9"/>
        <color rgb="FF6B7280"/>
        <rFont val="Noto Sans CJK SC"/>
        <family val="2"/>
      </rPr>
      <t xml:space="preserve">、开利商用冷链等并购形成</t>
    </r>
  </si>
  <si>
    <t xml:space="preserve">资产负债率</t>
  </si>
  <si>
    <r>
      <rPr>
        <sz val="10"/>
        <color rgb="FF1F2937"/>
        <rFont val="Noto Sans CJK SC"/>
        <family val="2"/>
      </rPr>
      <t xml:space="preserve">每股净资产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元</t>
    </r>
    <r>
      <rPr>
        <sz val="10"/>
        <color rgb="FF1F2937"/>
        <rFont val="微软雅黑"/>
        <family val="0"/>
        <charset val="1"/>
      </rPr>
      <t xml:space="preserve">)</t>
    </r>
  </si>
  <si>
    <r>
      <rPr>
        <sz val="9"/>
        <color rgb="FF6B7280"/>
        <rFont val="Noto Sans CJK SC"/>
        <family val="2"/>
      </rPr>
      <t xml:space="preserve">历年用归母净利</t>
    </r>
    <r>
      <rPr>
        <sz val="9"/>
        <color rgb="FF6B7280"/>
        <rFont val="微软雅黑"/>
        <family val="0"/>
        <charset val="1"/>
      </rPr>
      <t xml:space="preserve">/EPS</t>
    </r>
    <r>
      <rPr>
        <sz val="9"/>
        <color rgb="FF6B7280"/>
        <rFont val="Noto Sans CJK SC"/>
        <family val="2"/>
      </rPr>
      <t xml:space="preserve">推得的加权股数；</t>
    </r>
    <r>
      <rPr>
        <sz val="9"/>
        <color rgb="FF6B7280"/>
        <rFont val="微软雅黑"/>
        <family val="0"/>
        <charset val="1"/>
      </rPr>
      <t xml:space="preserve">2026H1</t>
    </r>
    <r>
      <rPr>
        <sz val="9"/>
        <color rgb="FF6B7280"/>
        <rFont val="Noto Sans CJK SC"/>
        <family val="2"/>
      </rPr>
      <t xml:space="preserve">用在外股数</t>
    </r>
  </si>
  <si>
    <r>
      <rPr>
        <b val="true"/>
        <sz val="18"/>
        <color rgb="FFFFFFFF"/>
        <rFont val="Noto Sans CJK SC"/>
        <family val="2"/>
      </rPr>
      <t xml:space="preserve">分红与股东回报：</t>
    </r>
    <r>
      <rPr>
        <b val="true"/>
        <sz val="18"/>
        <color rgb="FFFFFFFF"/>
        <rFont val="微软雅黑"/>
        <family val="0"/>
        <charset val="1"/>
      </rPr>
      <t xml:space="preserve">DPS</t>
    </r>
    <r>
      <rPr>
        <b val="true"/>
        <sz val="18"/>
        <color rgb="FFFFFFFF"/>
        <rFont val="Noto Sans CJK SC"/>
        <family val="2"/>
      </rPr>
      <t xml:space="preserve">、派息率、</t>
    </r>
    <r>
      <rPr>
        <b val="true"/>
        <sz val="18"/>
        <color rgb="FFFFFFFF"/>
        <rFont val="微软雅黑"/>
        <family val="0"/>
        <charset val="1"/>
      </rPr>
      <t xml:space="preserve">A/H</t>
    </r>
    <r>
      <rPr>
        <b val="true"/>
        <sz val="18"/>
        <color rgb="FFFFFFFF"/>
        <rFont val="Noto Sans CJK SC"/>
        <family val="2"/>
      </rPr>
      <t xml:space="preserve">收息对比、回购</t>
    </r>
  </si>
  <si>
    <r>
      <rPr>
        <sz val="10"/>
        <color rgb="FF6B7280"/>
        <rFont val="微软雅黑"/>
        <family val="0"/>
        <charset val="1"/>
      </rPr>
      <t xml:space="preserve">A</t>
    </r>
    <r>
      <rPr>
        <sz val="10"/>
        <color rgb="FF6B7280"/>
        <rFont val="Noto Sans CJK SC"/>
        <family val="2"/>
      </rPr>
      <t xml:space="preserve">股口径每股税前股利（元）。派息率</t>
    </r>
    <r>
      <rPr>
        <sz val="10"/>
        <color rgb="FF6B7280"/>
        <rFont val="微软雅黑"/>
        <family val="0"/>
        <charset val="1"/>
      </rPr>
      <t xml:space="preserve">(</t>
    </r>
    <r>
      <rPr>
        <sz val="10"/>
        <color rgb="FF6B7280"/>
        <rFont val="Noto Sans CJK SC"/>
        <family val="2"/>
      </rPr>
      <t xml:space="preserve">计算</t>
    </r>
    <r>
      <rPr>
        <sz val="10"/>
        <color rgb="FF6B7280"/>
        <rFont val="微软雅黑"/>
        <family val="0"/>
        <charset val="1"/>
      </rPr>
      <t xml:space="preserve">)=</t>
    </r>
    <r>
      <rPr>
        <sz val="10"/>
        <color rgb="FF6B7280"/>
        <rFont val="Noto Sans CJK SC"/>
        <family val="2"/>
      </rPr>
      <t xml:space="preserve">合计</t>
    </r>
    <r>
      <rPr>
        <sz val="10"/>
        <color rgb="FF6B7280"/>
        <rFont val="微软雅黑"/>
        <family val="0"/>
        <charset val="1"/>
      </rPr>
      <t xml:space="preserve">DPS/</t>
    </r>
    <r>
      <rPr>
        <sz val="10"/>
        <color rgb="FF6B7280"/>
        <rFont val="Noto Sans CJK SC"/>
        <family val="2"/>
      </rPr>
      <t xml:space="preserve">基本</t>
    </r>
    <r>
      <rPr>
        <sz val="10"/>
        <color rgb="FF6B7280"/>
        <rFont val="微软雅黑"/>
        <family val="0"/>
        <charset val="1"/>
      </rPr>
      <t xml:space="preserve">EPS</t>
    </r>
    <r>
      <rPr>
        <sz val="10"/>
        <color rgb="FF6B7280"/>
        <rFont val="Noto Sans CJK SC"/>
        <family val="2"/>
      </rPr>
      <t xml:space="preserve">；披露值来自公司公告。</t>
    </r>
    <r>
      <rPr>
        <sz val="10"/>
        <color rgb="FF6B7280"/>
        <rFont val="微软雅黑"/>
        <family val="0"/>
        <charset val="1"/>
      </rPr>
      <t xml:space="preserve">2026E</t>
    </r>
    <r>
      <rPr>
        <sz val="10"/>
        <color rgb="FF6B7280"/>
        <rFont val="Noto Sans CJK SC"/>
        <family val="2"/>
      </rPr>
      <t xml:space="preserve">为模型假设，未宣告。股息率以</t>
    </r>
    <r>
      <rPr>
        <sz val="10"/>
        <color rgb="FF6B7280"/>
        <rFont val="微软雅黑"/>
        <family val="0"/>
        <charset val="1"/>
      </rPr>
      <t xml:space="preserve">2026-10-20</t>
    </r>
    <r>
      <rPr>
        <sz val="10"/>
        <color rgb="FF6B7280"/>
        <rFont val="Noto Sans CJK SC"/>
        <family val="2"/>
      </rPr>
      <t xml:space="preserve">现价计算。</t>
    </r>
  </si>
  <si>
    <t xml:space="preserve">财年</t>
  </si>
  <si>
    <r>
      <rPr>
        <b val="true"/>
        <sz val="10"/>
        <color rgb="FFFFFFFF"/>
        <rFont val="Noto Sans CJK SC"/>
        <family val="2"/>
      </rPr>
      <t xml:space="preserve">中期</t>
    </r>
    <r>
      <rPr>
        <b val="true"/>
        <sz val="10"/>
        <color rgb="FFFFFFFF"/>
        <rFont val="微软雅黑"/>
        <family val="0"/>
        <charset val="1"/>
      </rPr>
      <t xml:space="preserve">DPS</t>
    </r>
  </si>
  <si>
    <r>
      <rPr>
        <b val="true"/>
        <sz val="10"/>
        <color rgb="FFFFFFFF"/>
        <rFont val="Noto Sans CJK SC"/>
        <family val="2"/>
      </rPr>
      <t xml:space="preserve">末期</t>
    </r>
    <r>
      <rPr>
        <b val="true"/>
        <sz val="10"/>
        <color rgb="FFFFFFFF"/>
        <rFont val="微软雅黑"/>
        <family val="0"/>
        <charset val="1"/>
      </rPr>
      <t xml:space="preserve">DPS</t>
    </r>
  </si>
  <si>
    <r>
      <rPr>
        <b val="true"/>
        <sz val="10"/>
        <color rgb="FFFFFFFF"/>
        <rFont val="Noto Sans CJK SC"/>
        <family val="2"/>
      </rPr>
      <t xml:space="preserve">合计</t>
    </r>
    <r>
      <rPr>
        <b val="true"/>
        <sz val="10"/>
        <color rgb="FFFFFFFF"/>
        <rFont val="微软雅黑"/>
        <family val="0"/>
        <charset val="1"/>
      </rPr>
      <t xml:space="preserve">DPS</t>
    </r>
  </si>
  <si>
    <r>
      <rPr>
        <b val="true"/>
        <sz val="10"/>
        <color rgb="FFFFFFFF"/>
        <rFont val="Noto Sans CJK SC"/>
        <family val="2"/>
      </rPr>
      <t xml:space="preserve">基本</t>
    </r>
    <r>
      <rPr>
        <b val="true"/>
        <sz val="10"/>
        <color rgb="FFFFFFFF"/>
        <rFont val="微软雅黑"/>
        <family val="0"/>
        <charset val="1"/>
      </rPr>
      <t xml:space="preserve">EPS</t>
    </r>
  </si>
  <si>
    <r>
      <rPr>
        <b val="true"/>
        <sz val="10"/>
        <color rgb="FFFFFFFF"/>
        <rFont val="Noto Sans CJK SC"/>
        <family val="2"/>
      </rPr>
      <t xml:space="preserve">派息率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计算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</si>
  <si>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派息率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披露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</si>
  <si>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t xml:space="preserve">状态</t>
  </si>
  <si>
    <r>
      <rPr>
        <b val="true"/>
        <sz val="10"/>
        <color rgb="FFFFFFFF"/>
        <rFont val="微软雅黑"/>
        <family val="0"/>
        <charset val="1"/>
      </rPr>
      <t xml:space="preserve">A</t>
    </r>
    <r>
      <rPr>
        <b val="true"/>
        <sz val="10"/>
        <color rgb="FFFFFFFF"/>
        <rFont val="Noto Sans CJK SC"/>
        <family val="2"/>
      </rPr>
      <t xml:space="preserve">股现价股息率</t>
    </r>
  </si>
  <si>
    <t xml:space="preserve">来源</t>
  </si>
  <si>
    <t xml:space="preserve">未取得</t>
  </si>
  <si>
    <t xml:space="preserve">已实施</t>
  </si>
  <si>
    <r>
      <rPr>
        <sz val="9"/>
        <color rgb="FF6B7280"/>
        <rFont val="Noto Sans CJK SC"/>
        <family val="2"/>
      </rPr>
      <t xml:space="preserve">华盛通分红记录</t>
    </r>
    <r>
      <rPr>
        <sz val="9"/>
        <color rgb="FF6B7280"/>
        <rFont val="微软雅黑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第三方，派息日</t>
    </r>
    <r>
      <rPr>
        <sz val="9"/>
        <color rgb="FF6B7280"/>
        <rFont val="微软雅黑"/>
        <family val="0"/>
        <charset val="1"/>
      </rPr>
      <t xml:space="preserve">2022-08-23)</t>
    </r>
    <r>
      <rPr>
        <sz val="9"/>
        <color rgb="FF6B7280"/>
        <rFont val="Noto Sans CJK SC"/>
        <family val="2"/>
      </rPr>
      <t xml:space="preserve">；披露派息率未取得</t>
    </r>
  </si>
  <si>
    <r>
      <rPr>
        <sz val="9"/>
        <color rgb="FF6B7280"/>
        <rFont val="微软雅黑"/>
        <family val="0"/>
        <charset val="1"/>
      </rPr>
      <t xml:space="preserve">2022</t>
    </r>
    <r>
      <rPr>
        <sz val="9"/>
        <color rgb="FF6B7280"/>
        <rFont val="Noto Sans CJK SC"/>
        <family val="2"/>
      </rPr>
      <t xml:space="preserve">年度利润分配预案</t>
    </r>
    <r>
      <rPr>
        <sz val="9"/>
        <color rgb="FF6B7280"/>
        <rFont val="微软雅黑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派息率</t>
    </r>
    <r>
      <rPr>
        <sz val="9"/>
        <color rgb="FF6B7280"/>
        <rFont val="微软雅黑"/>
        <family val="0"/>
        <charset val="1"/>
      </rPr>
      <t xml:space="preserve">36.01%)</t>
    </r>
    <r>
      <rPr>
        <sz val="9"/>
        <color rgb="FF6B7280"/>
        <rFont val="Noto Sans CJK SC"/>
        <family val="2"/>
      </rPr>
      <t xml:space="preserve">及</t>
    </r>
    <r>
      <rPr>
        <sz val="9"/>
        <color rgb="FF6B7280"/>
        <rFont val="微软雅黑"/>
        <family val="0"/>
        <charset val="1"/>
      </rPr>
      <t xml:space="preserve">2023-08-15</t>
    </r>
    <r>
      <rPr>
        <sz val="9"/>
        <color rgb="FF6B7280"/>
        <rFont val="Noto Sans CJK SC"/>
        <family val="2"/>
      </rPr>
      <t xml:space="preserve">调整公告</t>
    </r>
  </si>
  <si>
    <r>
      <rPr>
        <sz val="9"/>
        <color rgb="FF6B7280"/>
        <rFont val="微软雅黑"/>
        <family val="0"/>
        <charset val="1"/>
      </rPr>
      <t xml:space="preserve">2023</t>
    </r>
    <r>
      <rPr>
        <sz val="9"/>
        <color rgb="FF6B7280"/>
        <rFont val="Noto Sans CJK SC"/>
        <family val="2"/>
      </rPr>
      <t xml:space="preserve">年年度</t>
    </r>
    <r>
      <rPr>
        <sz val="9"/>
        <color rgb="FF6B7280"/>
        <rFont val="微软雅黑"/>
        <family val="0"/>
        <charset val="1"/>
      </rPr>
      <t xml:space="preserve">A</t>
    </r>
    <r>
      <rPr>
        <sz val="9"/>
        <color rgb="FF6B7280"/>
        <rFont val="Noto Sans CJK SC"/>
        <family val="2"/>
      </rPr>
      <t xml:space="preserve">股权益分派实施公告</t>
    </r>
    <r>
      <rPr>
        <sz val="9"/>
        <color rgb="FF6B7280"/>
        <rFont val="微软雅黑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上证报</t>
    </r>
    <r>
      <rPr>
        <sz val="9"/>
        <color rgb="FF6B7280"/>
        <rFont val="微软雅黑"/>
        <family val="0"/>
        <charset val="1"/>
      </rPr>
      <t xml:space="preserve">2024-08-10)</t>
    </r>
  </si>
  <si>
    <r>
      <rPr>
        <sz val="9"/>
        <color rgb="FF6B7280"/>
        <rFont val="微软雅黑"/>
        <family val="0"/>
        <charset val="1"/>
      </rPr>
      <t xml:space="preserve">2024</t>
    </r>
    <r>
      <rPr>
        <sz val="9"/>
        <color rgb="FF6B7280"/>
        <rFont val="Noto Sans CJK SC"/>
        <family val="2"/>
      </rPr>
      <t xml:space="preserve">年年度</t>
    </r>
    <r>
      <rPr>
        <sz val="9"/>
        <color rgb="FF6B7280"/>
        <rFont val="微软雅黑"/>
        <family val="0"/>
        <charset val="1"/>
      </rPr>
      <t xml:space="preserve">A</t>
    </r>
    <r>
      <rPr>
        <sz val="9"/>
        <color rgb="FF6B7280"/>
        <rFont val="Noto Sans CJK SC"/>
        <family val="2"/>
      </rPr>
      <t xml:space="preserve">股权益分派实施公告</t>
    </r>
    <r>
      <rPr>
        <sz val="9"/>
        <color rgb="FF6B7280"/>
        <rFont val="微软雅黑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上证报</t>
    </r>
    <r>
      <rPr>
        <sz val="9"/>
        <color rgb="FF6B7280"/>
        <rFont val="微软雅黑"/>
        <family val="0"/>
        <charset val="1"/>
      </rPr>
      <t xml:space="preserve">2025-07-19)</t>
    </r>
    <r>
      <rPr>
        <sz val="9"/>
        <color rgb="FF6B7280"/>
        <rFont val="Noto Sans CJK SC"/>
        <family val="2"/>
      </rPr>
      <t xml:space="preserve">；派息率</t>
    </r>
    <r>
      <rPr>
        <sz val="9"/>
        <color rgb="FF6B7280"/>
        <rFont val="微软雅黑"/>
        <family val="0"/>
        <charset val="1"/>
      </rPr>
      <t xml:space="preserve">48.01%</t>
    </r>
  </si>
  <si>
    <r>
      <rPr>
        <sz val="9"/>
        <color rgb="FF6B7280"/>
        <rFont val="微软雅黑"/>
        <family val="0"/>
        <charset val="1"/>
      </rPr>
      <t xml:space="preserve">2025</t>
    </r>
    <r>
      <rPr>
        <sz val="9"/>
        <color rgb="FF6B7280"/>
        <rFont val="Noto Sans CJK SC"/>
        <family val="2"/>
      </rPr>
      <t xml:space="preserve">中期实施公告</t>
    </r>
    <r>
      <rPr>
        <sz val="9"/>
        <color rgb="FF6B7280"/>
        <rFont val="微软雅黑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上证报</t>
    </r>
    <r>
      <rPr>
        <sz val="9"/>
        <color rgb="FF6B7280"/>
        <rFont val="微软雅黑"/>
        <family val="0"/>
        <charset val="1"/>
      </rPr>
      <t xml:space="preserve">2025-11-01)</t>
    </r>
    <r>
      <rPr>
        <sz val="9"/>
        <color rgb="FF6B7280"/>
        <rFont val="Noto Sans CJK SC"/>
        <family val="2"/>
      </rPr>
      <t xml:space="preserve">；</t>
    </r>
    <r>
      <rPr>
        <sz val="9"/>
        <color rgb="FF6B7280"/>
        <rFont val="微软雅黑"/>
        <family val="0"/>
        <charset val="1"/>
      </rPr>
      <t xml:space="preserve">2025</t>
    </r>
    <r>
      <rPr>
        <sz val="9"/>
        <color rgb="FF6B7280"/>
        <rFont val="Noto Sans CJK SC"/>
        <family val="2"/>
      </rPr>
      <t xml:space="preserve">年度实施公告</t>
    </r>
    <r>
      <rPr>
        <sz val="9"/>
        <color rgb="FF6B7280"/>
        <rFont val="微软雅黑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上证报</t>
    </r>
    <r>
      <rPr>
        <sz val="9"/>
        <color rgb="FF6B7280"/>
        <rFont val="微软雅黑"/>
        <family val="0"/>
        <charset val="1"/>
      </rPr>
      <t xml:space="preserve">2026-08-15)</t>
    </r>
    <r>
      <rPr>
        <sz val="9"/>
        <color rgb="FF6B7280"/>
        <rFont val="Noto Sans CJK SC"/>
        <family val="2"/>
      </rPr>
      <t xml:space="preserve">；合计派息率</t>
    </r>
    <r>
      <rPr>
        <sz val="9"/>
        <color rgb="FF6B7280"/>
        <rFont val="微软雅黑"/>
        <family val="0"/>
        <charset val="1"/>
      </rPr>
      <t xml:space="preserve">55.0%</t>
    </r>
  </si>
  <si>
    <t xml:space="preserve">2026E</t>
  </si>
  <si>
    <r>
      <rPr>
        <sz val="9"/>
        <color rgb="FF1F2937"/>
        <rFont val="Noto Sans CJK SC"/>
        <family val="2"/>
      </rPr>
      <t xml:space="preserve">规划≥</t>
    </r>
    <r>
      <rPr>
        <sz val="9"/>
        <color rgb="FF1F2937"/>
        <rFont val="微软雅黑"/>
        <family val="0"/>
        <charset val="1"/>
      </rPr>
      <t xml:space="preserve">58%</t>
    </r>
  </si>
  <si>
    <r>
      <rPr>
        <sz val="9"/>
        <color rgb="FF1F2937"/>
        <rFont val="Noto Sans CJK SC"/>
        <family val="2"/>
      </rPr>
      <t xml:space="preserve">假设</t>
    </r>
    <r>
      <rPr>
        <sz val="9"/>
        <color rgb="FF1F2937"/>
        <rFont val="微软雅黑"/>
        <family val="0"/>
        <charset val="1"/>
      </rPr>
      <t xml:space="preserve">(</t>
    </r>
    <r>
      <rPr>
        <sz val="9"/>
        <color rgb="FF1F2937"/>
        <rFont val="Noto Sans CJK SC"/>
        <family val="2"/>
      </rPr>
      <t xml:space="preserve">未宣告</t>
    </r>
    <r>
      <rPr>
        <sz val="9"/>
        <color rgb="FF1F2937"/>
        <rFont val="微软雅黑"/>
        <family val="0"/>
        <charset val="1"/>
      </rPr>
      <t xml:space="preserve">)</t>
    </r>
  </si>
  <si>
    <r>
      <rPr>
        <sz val="9"/>
        <color rgb="FF6B7280"/>
        <rFont val="微软雅黑"/>
        <family val="0"/>
        <charset val="1"/>
      </rPr>
      <t xml:space="preserve">2026</t>
    </r>
    <r>
      <rPr>
        <sz val="9"/>
        <color rgb="FF6B7280"/>
        <rFont val="Noto Sans CJK SC"/>
        <family val="2"/>
      </rPr>
      <t xml:space="preserve">年中报明确不派中期股息；全年按当前情景正常化净利</t>
    </r>
    <r>
      <rPr>
        <sz val="9"/>
        <color rgb="FF6B7280"/>
        <rFont val="微软雅黑"/>
        <family val="0"/>
        <charset val="1"/>
      </rPr>
      <t xml:space="preserve">×</t>
    </r>
    <r>
      <rPr>
        <sz val="9"/>
        <color rgb="FF6B7280"/>
        <rFont val="Noto Sans CJK SC"/>
        <family val="2"/>
      </rPr>
      <t xml:space="preserve">派息率估算，需等</t>
    </r>
    <r>
      <rPr>
        <sz val="9"/>
        <color rgb="FF6B7280"/>
        <rFont val="微软雅黑"/>
        <family val="0"/>
        <charset val="1"/>
      </rPr>
      <t xml:space="preserve">2026</t>
    </r>
    <r>
      <rPr>
        <sz val="9"/>
        <color rgb="FF6B7280"/>
        <rFont val="Noto Sans CJK SC"/>
        <family val="2"/>
      </rPr>
      <t xml:space="preserve">年报确认</t>
    </r>
  </si>
  <si>
    <r>
      <rPr>
        <b val="true"/>
        <sz val="12"/>
        <color rgb="FFFFFFFF"/>
        <rFont val="微软雅黑"/>
        <family val="0"/>
        <charset val="1"/>
      </rPr>
      <t xml:space="preserve">A</t>
    </r>
    <r>
      <rPr>
        <b val="true"/>
        <sz val="12"/>
        <color rgb="FFFFFFFF"/>
        <rFont val="Noto Sans CJK SC"/>
        <family val="2"/>
      </rPr>
      <t xml:space="preserve">股 </t>
    </r>
    <r>
      <rPr>
        <b val="true"/>
        <sz val="12"/>
        <color rgb="FFFFFFFF"/>
        <rFont val="微软雅黑"/>
        <family val="0"/>
        <charset val="1"/>
      </rPr>
      <t xml:space="preserve">vs H</t>
    </r>
    <r>
      <rPr>
        <b val="true"/>
        <sz val="12"/>
        <color rgb="FFFFFFFF"/>
        <rFont val="Noto Sans CJK SC"/>
        <family val="2"/>
      </rPr>
      <t xml:space="preserve">股：个人投资者收息对比（同股同息，税负不同）</t>
    </r>
  </si>
  <si>
    <r>
      <rPr>
        <b val="true"/>
        <sz val="10"/>
        <color rgb="FFFFFFFF"/>
        <rFont val="微软雅黑"/>
        <family val="0"/>
        <charset val="1"/>
      </rPr>
      <t xml:space="preserve">A</t>
    </r>
    <r>
      <rPr>
        <b val="true"/>
        <sz val="10"/>
        <color rgb="FFFFFFFF"/>
        <rFont val="Noto Sans CJK SC"/>
        <family val="2"/>
      </rPr>
      <t xml:space="preserve">股</t>
    </r>
  </si>
  <si>
    <r>
      <rPr>
        <b val="true"/>
        <sz val="10"/>
        <color rgb="FFFFFFFF"/>
        <rFont val="微软雅黑"/>
        <family val="0"/>
        <charset val="1"/>
      </rPr>
      <t xml:space="preserve">H</t>
    </r>
    <r>
      <rPr>
        <b val="true"/>
        <sz val="10"/>
        <color rgb="FFFFFFFF"/>
        <rFont val="Noto Sans CJK SC"/>
        <family val="2"/>
      </rPr>
      <t xml:space="preserve">股</t>
    </r>
  </si>
  <si>
    <r>
      <rPr>
        <b val="true"/>
        <sz val="10"/>
        <color rgb="FF1F2937"/>
        <rFont val="Noto Sans CJK SC"/>
        <family val="2"/>
      </rPr>
      <t xml:space="preserve">现价</t>
    </r>
    <r>
      <rPr>
        <b val="true"/>
        <sz val="10"/>
        <color rgb="FF1F2937"/>
        <rFont val="微软雅黑"/>
        <family val="0"/>
        <charset val="1"/>
      </rPr>
      <t xml:space="preserve">(</t>
    </r>
    <r>
      <rPr>
        <b val="true"/>
        <sz val="10"/>
        <color rgb="FF1F2937"/>
        <rFont val="Noto Sans CJK SC"/>
        <family val="2"/>
      </rPr>
      <t xml:space="preserve">元</t>
    </r>
    <r>
      <rPr>
        <b val="true"/>
        <sz val="10"/>
        <color rgb="FF1F2937"/>
        <rFont val="微软雅黑"/>
        <family val="0"/>
        <charset val="1"/>
      </rPr>
      <t xml:space="preserve">)</t>
    </r>
  </si>
  <si>
    <r>
      <rPr>
        <sz val="9"/>
        <color rgb="FF6B7280"/>
        <rFont val="微软雅黑"/>
        <family val="0"/>
        <charset val="1"/>
      </rPr>
      <t xml:space="preserve">H</t>
    </r>
    <r>
      <rPr>
        <sz val="9"/>
        <color rgb="FF6B7280"/>
        <rFont val="Noto Sans CJK SC"/>
        <family val="2"/>
      </rPr>
      <t xml:space="preserve">股按港元</t>
    </r>
    <r>
      <rPr>
        <sz val="9"/>
        <color rgb="FF6B7280"/>
        <rFont val="微软雅黑"/>
        <family val="0"/>
        <charset val="1"/>
      </rPr>
      <t xml:space="preserve">×</t>
    </r>
    <r>
      <rPr>
        <sz val="9"/>
        <color rgb="FF6B7280"/>
        <rFont val="Noto Sans CJK SC"/>
        <family val="2"/>
      </rPr>
      <t xml:space="preserve">汇率折算</t>
    </r>
  </si>
  <si>
    <r>
      <rPr>
        <b val="true"/>
        <sz val="10"/>
        <color rgb="FF1F2937"/>
        <rFont val="微软雅黑"/>
        <family val="0"/>
        <charset val="1"/>
      </rPr>
      <t xml:space="preserve">LTM</t>
    </r>
    <r>
      <rPr>
        <b val="true"/>
        <sz val="10"/>
        <color rgb="FF1F2937"/>
        <rFont val="Noto Sans CJK SC"/>
        <family val="2"/>
      </rPr>
      <t xml:space="preserve">税前</t>
    </r>
    <r>
      <rPr>
        <b val="true"/>
        <sz val="10"/>
        <color rgb="FF1F2937"/>
        <rFont val="微软雅黑"/>
        <family val="0"/>
        <charset val="1"/>
      </rPr>
      <t xml:space="preserve">DPS(</t>
    </r>
    <r>
      <rPr>
        <b val="true"/>
        <sz val="10"/>
        <color rgb="FF1F2937"/>
        <rFont val="Noto Sans CJK SC"/>
        <family val="2"/>
      </rPr>
      <t xml:space="preserve">元</t>
    </r>
    <r>
      <rPr>
        <b val="true"/>
        <sz val="10"/>
        <color rgb="FF1F2937"/>
        <rFont val="微软雅黑"/>
        <family val="0"/>
        <charset val="1"/>
      </rPr>
      <t xml:space="preserve">)</t>
    </r>
  </si>
  <si>
    <r>
      <rPr>
        <sz val="9"/>
        <color rgb="FF6B7280"/>
        <rFont val="Noto Sans CJK SC"/>
        <family val="2"/>
      </rPr>
      <t xml:space="preserve">过去</t>
    </r>
    <r>
      <rPr>
        <sz val="9"/>
        <color rgb="FF6B7280"/>
        <rFont val="微软雅黑"/>
        <family val="0"/>
        <charset val="1"/>
      </rPr>
      <t xml:space="preserve">12</t>
    </r>
    <r>
      <rPr>
        <sz val="9"/>
        <color rgb="FF6B7280"/>
        <rFont val="Noto Sans CJK SC"/>
        <family val="2"/>
      </rPr>
      <t xml:space="preserve">个月实际派发：</t>
    </r>
    <r>
      <rPr>
        <sz val="9"/>
        <color rgb="FF6B7280"/>
        <rFont val="微软雅黑"/>
        <family val="0"/>
        <charset val="1"/>
      </rPr>
      <t xml:space="preserve">2025</t>
    </r>
    <r>
      <rPr>
        <sz val="9"/>
        <color rgb="FF6B7280"/>
        <rFont val="Noto Sans CJK SC"/>
        <family val="2"/>
      </rPr>
      <t xml:space="preserve">中期</t>
    </r>
    <r>
      <rPr>
        <sz val="9"/>
        <color rgb="FF6B7280"/>
        <rFont val="微软雅黑"/>
        <family val="0"/>
        <charset val="1"/>
      </rPr>
      <t xml:space="preserve">(2025-11) + 2025</t>
    </r>
    <r>
      <rPr>
        <sz val="9"/>
        <color rgb="FF6B7280"/>
        <rFont val="Noto Sans CJK SC"/>
        <family val="2"/>
      </rPr>
      <t xml:space="preserve">末期</t>
    </r>
    <r>
      <rPr>
        <sz val="9"/>
        <color rgb="FF6B7280"/>
        <rFont val="微软雅黑"/>
        <family val="0"/>
        <charset val="1"/>
      </rPr>
      <t xml:space="preserve">(2026-08)</t>
    </r>
  </si>
  <si>
    <t xml:space="preserve">税前股息率</t>
  </si>
  <si>
    <t xml:space="preserve">个人股息税率</t>
  </si>
  <si>
    <r>
      <rPr>
        <sz val="9"/>
        <color rgb="FF6B7280"/>
        <rFont val="微软雅黑"/>
        <family val="0"/>
        <charset val="1"/>
      </rPr>
      <t xml:space="preserve">A</t>
    </r>
    <r>
      <rPr>
        <sz val="9"/>
        <color rgb="FF6B7280"/>
        <rFont val="Noto Sans CJK SC"/>
        <family val="2"/>
      </rPr>
      <t xml:space="preserve">股持股</t>
    </r>
    <r>
      <rPr>
        <sz val="9"/>
        <color rgb="FF6B7280"/>
        <rFont val="微软雅黑"/>
        <family val="0"/>
        <charset val="1"/>
      </rPr>
      <t xml:space="preserve">&gt;1</t>
    </r>
    <r>
      <rPr>
        <sz val="9"/>
        <color rgb="FF6B7280"/>
        <rFont val="Noto Sans CJK SC"/>
        <family val="2"/>
      </rPr>
      <t xml:space="preserve">年免征；港股通个人持有</t>
    </r>
    <r>
      <rPr>
        <sz val="9"/>
        <color rgb="FF6B7280"/>
        <rFont val="微软雅黑"/>
        <family val="0"/>
        <charset val="1"/>
      </rPr>
      <t xml:space="preserve">H</t>
    </r>
    <r>
      <rPr>
        <sz val="9"/>
        <color rgb="FF6B7280"/>
        <rFont val="Noto Sans CJK SC"/>
        <family val="2"/>
      </rPr>
      <t xml:space="preserve">股由公司按</t>
    </r>
    <r>
      <rPr>
        <sz val="9"/>
        <color rgb="FF6B7280"/>
        <rFont val="微软雅黑"/>
        <family val="0"/>
        <charset val="1"/>
      </rPr>
      <t xml:space="preserve">20%</t>
    </r>
    <r>
      <rPr>
        <sz val="9"/>
        <color rgb="FF6B7280"/>
        <rFont val="Noto Sans CJK SC"/>
        <family val="2"/>
      </rPr>
      <t xml:space="preserve">代扣（以实际政策为准，可修改）</t>
    </r>
  </si>
  <si>
    <t xml:space="preserve">税后股息率</t>
  </si>
  <si>
    <t xml:space="preserve">红利账户实际到手口径</t>
  </si>
  <si>
    <r>
      <rPr>
        <b val="true"/>
        <sz val="10"/>
        <color rgb="FF1F2937"/>
        <rFont val="微软雅黑"/>
        <family val="0"/>
        <charset val="1"/>
      </rPr>
      <t xml:space="preserve">2026E</t>
    </r>
    <r>
      <rPr>
        <b val="true"/>
        <sz val="10"/>
        <color rgb="FF1F2937"/>
        <rFont val="Noto Sans CJK SC"/>
        <family val="2"/>
      </rPr>
      <t xml:space="preserve">税前股息率</t>
    </r>
    <r>
      <rPr>
        <b val="true"/>
        <sz val="10"/>
        <color rgb="FF1F2937"/>
        <rFont val="微软雅黑"/>
        <family val="0"/>
        <charset val="1"/>
      </rPr>
      <t xml:space="preserve">(</t>
    </r>
    <r>
      <rPr>
        <b val="true"/>
        <sz val="10"/>
        <color rgb="FF1F2937"/>
        <rFont val="Noto Sans CJK SC"/>
        <family val="2"/>
      </rPr>
      <t xml:space="preserve">当前情景</t>
    </r>
    <r>
      <rPr>
        <b val="true"/>
        <sz val="10"/>
        <color rgb="FF1F2937"/>
        <rFont val="微软雅黑"/>
        <family val="0"/>
        <charset val="1"/>
      </rPr>
      <t xml:space="preserve">)</t>
    </r>
  </si>
  <si>
    <t xml:space="preserve">模型估算，非公司宣告</t>
  </si>
  <si>
    <t xml:space="preserve">分红能被现金覆盖吗？（亿元）</t>
  </si>
  <si>
    <t xml:space="preserve">归母净利</t>
  </si>
  <si>
    <r>
      <rPr>
        <b val="true"/>
        <sz val="10"/>
        <color rgb="FFFFFFFF"/>
        <rFont val="Noto Sans CJK SC"/>
        <family val="2"/>
      </rPr>
      <t xml:space="preserve">分红总额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估算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</si>
  <si>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t xml:space="preserve">自由现金流</t>
  </si>
  <si>
    <r>
      <rPr>
        <b val="true"/>
        <sz val="10"/>
        <color rgb="FFFFFFFF"/>
        <rFont val="微软雅黑"/>
        <family val="0"/>
        <charset val="1"/>
      </rPr>
      <t xml:space="preserve">FCF</t>
    </r>
    <r>
      <rPr>
        <b val="true"/>
        <sz val="10"/>
        <color rgb="FFFFFFFF"/>
        <rFont val="Noto Sans CJK SC"/>
        <family val="2"/>
      </rPr>
      <t xml:space="preserve">覆盖倍数</t>
    </r>
  </si>
  <si>
    <t xml:space="preserve">所有者收益覆盖</t>
  </si>
  <si>
    <r>
      <rPr>
        <sz val="9"/>
        <color rgb="FF6B7280"/>
        <rFont val="Noto Sans CJK SC"/>
        <family val="2"/>
      </rPr>
      <t xml:space="preserve">分红总额≈派息率</t>
    </r>
    <r>
      <rPr>
        <sz val="9"/>
        <color rgb="FF6B7280"/>
        <rFont val="微软雅黑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计算</t>
    </r>
    <r>
      <rPr>
        <sz val="9"/>
        <color rgb="FF6B7280"/>
        <rFont val="微软雅黑"/>
        <family val="0"/>
        <charset val="1"/>
      </rPr>
      <t xml:space="preserve">)×</t>
    </r>
    <r>
      <rPr>
        <sz val="9"/>
        <color rgb="FF6B7280"/>
        <rFont val="Noto Sans CJK SC"/>
        <family val="2"/>
      </rPr>
      <t xml:space="preserve">归母净利；</t>
    </r>
    <r>
      <rPr>
        <sz val="9"/>
        <color rgb="FF6B7280"/>
        <rFont val="微软雅黑"/>
        <family val="0"/>
        <charset val="1"/>
      </rPr>
      <t xml:space="preserve">2025</t>
    </r>
    <r>
      <rPr>
        <sz val="9"/>
        <color rgb="FF6B7280"/>
        <rFont val="Noto Sans CJK SC"/>
        <family val="2"/>
      </rPr>
      <t xml:space="preserve">年披露约</t>
    </r>
    <r>
      <rPr>
        <sz val="9"/>
        <color rgb="FF6B7280"/>
        <rFont val="微软雅黑"/>
        <family val="0"/>
        <charset val="1"/>
      </rPr>
      <t xml:space="preserve">107.5</t>
    </r>
    <r>
      <rPr>
        <sz val="9"/>
        <color rgb="FF6B7280"/>
        <rFont val="Noto Sans CJK SC"/>
        <family val="2"/>
      </rPr>
      <t xml:space="preserve">亿</t>
    </r>
    <r>
      <rPr>
        <sz val="9"/>
        <color rgb="FF6B7280"/>
        <rFont val="微软雅黑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中期约</t>
    </r>
    <r>
      <rPr>
        <sz val="9"/>
        <color rgb="FF6B7280"/>
        <rFont val="微软雅黑"/>
        <family val="0"/>
        <charset val="1"/>
      </rPr>
      <t xml:space="preserve">25</t>
    </r>
    <r>
      <rPr>
        <sz val="9"/>
        <color rgb="FF6B7280"/>
        <rFont val="Noto Sans CJK SC"/>
        <family val="2"/>
      </rPr>
      <t xml:space="preserve">亿</t>
    </r>
    <r>
      <rPr>
        <sz val="9"/>
        <color rgb="FF6B7280"/>
        <rFont val="微软雅黑"/>
        <family val="0"/>
        <charset val="1"/>
      </rPr>
      <t xml:space="preserve">+</t>
    </r>
    <r>
      <rPr>
        <sz val="9"/>
        <color rgb="FF6B7280"/>
        <rFont val="Noto Sans CJK SC"/>
        <family val="2"/>
      </rPr>
      <t xml:space="preserve">末期</t>
    </r>
    <r>
      <rPr>
        <sz val="9"/>
        <color rgb="FF6B7280"/>
        <rFont val="微软雅黑"/>
        <family val="0"/>
        <charset val="1"/>
      </rPr>
      <t xml:space="preserve">82.48</t>
    </r>
    <r>
      <rPr>
        <sz val="9"/>
        <color rgb="FF6B7280"/>
        <rFont val="Noto Sans CJK SC"/>
        <family val="2"/>
      </rPr>
      <t xml:space="preserve">亿</t>
    </r>
    <r>
      <rPr>
        <sz val="9"/>
        <color rgb="FF6B7280"/>
        <rFont val="微软雅黑"/>
        <family val="0"/>
        <charset val="1"/>
      </rPr>
      <t xml:space="preserve">)</t>
    </r>
  </si>
  <si>
    <t xml:space="preserve">回购与股本：用于员工持股，非注销（研究判断：只按部分股东回报看待）</t>
  </si>
  <si>
    <t xml:space="preserve">时间</t>
  </si>
  <si>
    <t xml:space="preserve">事项</t>
  </si>
  <si>
    <t xml:space="preserve">2026-03</t>
  </si>
  <si>
    <r>
      <rPr>
        <sz val="10"/>
        <color rgb="FF1F2937"/>
        <rFont val="微软雅黑"/>
        <family val="0"/>
        <charset val="1"/>
      </rPr>
      <t xml:space="preserve">A</t>
    </r>
    <r>
      <rPr>
        <sz val="10"/>
        <color rgb="FF1F2937"/>
        <rFont val="Noto Sans CJK SC"/>
        <family val="2"/>
      </rPr>
      <t xml:space="preserve">股回购方案：</t>
    </r>
    <r>
      <rPr>
        <sz val="10"/>
        <color rgb="FF1F2937"/>
        <rFont val="微软雅黑"/>
        <family val="0"/>
        <charset val="1"/>
      </rPr>
      <t xml:space="preserve">30–60</t>
    </r>
    <r>
      <rPr>
        <sz val="10"/>
        <color rgb="FF1F2937"/>
        <rFont val="Noto Sans CJK SC"/>
        <family val="2"/>
      </rPr>
      <t xml:space="preserve">亿元，集中竞价，</t>
    </r>
    <r>
      <rPr>
        <sz val="10"/>
        <color rgb="FF1F2937"/>
        <rFont val="微软雅黑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年内实施，用途为员工持股计划；另获</t>
    </r>
    <r>
      <rPr>
        <sz val="10"/>
        <color rgb="FF1F2937"/>
        <rFont val="微软雅黑"/>
        <family val="0"/>
        <charset val="1"/>
      </rPr>
      <t xml:space="preserve">H</t>
    </r>
    <r>
      <rPr>
        <sz val="10"/>
        <color rgb="FF1F2937"/>
        <rFont val="Noto Sans CJK SC"/>
        <family val="2"/>
      </rPr>
      <t xml:space="preserve">股≤</t>
    </r>
    <r>
      <rPr>
        <sz val="10"/>
        <color rgb="FF1F2937"/>
        <rFont val="微软雅黑"/>
        <family val="0"/>
        <charset val="1"/>
      </rPr>
      <t xml:space="preserve">10%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微软雅黑"/>
        <family val="0"/>
        <charset val="1"/>
      </rPr>
      <t xml:space="preserve">D</t>
    </r>
    <r>
      <rPr>
        <sz val="10"/>
        <color rgb="FF1F2937"/>
        <rFont val="Noto Sans CJK SC"/>
        <family val="2"/>
      </rPr>
      <t xml:space="preserve">股≤</t>
    </r>
    <r>
      <rPr>
        <sz val="10"/>
        <color rgb="FF1F2937"/>
        <rFont val="微软雅黑"/>
        <family val="0"/>
        <charset val="1"/>
      </rPr>
      <t xml:space="preserve">5%</t>
    </r>
    <r>
      <rPr>
        <sz val="10"/>
        <color rgb="FF1F2937"/>
        <rFont val="Noto Sans CJK SC"/>
        <family val="2"/>
      </rPr>
      <t xml:space="preserve">回购授权</t>
    </r>
  </si>
  <si>
    <r>
      <rPr>
        <sz val="9"/>
        <color rgb="FF6B7280"/>
        <rFont val="Noto Sans CJK SC"/>
        <family val="2"/>
      </rPr>
      <t xml:space="preserve">公司公告</t>
    </r>
    <r>
      <rPr>
        <sz val="9"/>
        <color rgb="FF6B7280"/>
        <rFont val="微软雅黑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搜狐转述</t>
    </r>
    <r>
      <rPr>
        <sz val="9"/>
        <color rgb="FF6B7280"/>
        <rFont val="微软雅黑"/>
        <family val="0"/>
        <charset val="1"/>
      </rPr>
      <t xml:space="preserve">)/</t>
    </r>
    <r>
      <rPr>
        <sz val="9"/>
        <color rgb="FF6B7280"/>
        <rFont val="Noto Sans CJK SC"/>
        <family val="2"/>
      </rPr>
      <t xml:space="preserve">第一财经</t>
    </r>
  </si>
  <si>
    <t xml:space="preserve">2026-03→2026-08</t>
  </si>
  <si>
    <r>
      <rPr>
        <sz val="10"/>
        <color rgb="FF1F2937"/>
        <rFont val="微软雅黑"/>
        <family val="0"/>
        <charset val="1"/>
      </rPr>
      <t xml:space="preserve">A</t>
    </r>
    <r>
      <rPr>
        <sz val="10"/>
        <color rgb="FF1F2937"/>
        <rFont val="Noto Sans CJK SC"/>
        <family val="2"/>
      </rPr>
      <t xml:space="preserve">股回购专户：</t>
    </r>
    <r>
      <rPr>
        <sz val="10"/>
        <color rgb="FF1F2937"/>
        <rFont val="微软雅黑"/>
        <family val="0"/>
        <charset val="1"/>
      </rPr>
      <t xml:space="preserve">74,541,486</t>
    </r>
    <r>
      <rPr>
        <sz val="10"/>
        <color rgb="FF1F2937"/>
        <rFont val="Noto Sans CJK SC"/>
        <family val="2"/>
      </rPr>
      <t xml:space="preserve">股 → </t>
    </r>
    <r>
      <rPr>
        <sz val="10"/>
        <color rgb="FF1F2937"/>
        <rFont val="微软雅黑"/>
        <family val="0"/>
        <charset val="1"/>
      </rPr>
      <t xml:space="preserve">124,683,686</t>
    </r>
    <r>
      <rPr>
        <sz val="10"/>
        <color rgb="FF1F2937"/>
        <rFont val="Noto Sans CJK SC"/>
        <family val="2"/>
      </rPr>
      <t xml:space="preserve">股（净增约</t>
    </r>
    <r>
      <rPr>
        <sz val="10"/>
        <color rgb="FF1F2937"/>
        <rFont val="微软雅黑"/>
        <family val="0"/>
        <charset val="1"/>
      </rPr>
      <t xml:space="preserve">5,014</t>
    </r>
    <r>
      <rPr>
        <sz val="10"/>
        <color rgb="FF1F2937"/>
        <rFont val="Noto Sans CJK SC"/>
        <family val="2"/>
      </rPr>
      <t xml:space="preserve">万股）</t>
    </r>
  </si>
  <si>
    <r>
      <rPr>
        <sz val="9"/>
        <color rgb="FF6B7280"/>
        <rFont val="Noto Sans CJK SC"/>
        <family val="2"/>
      </rPr>
      <t xml:space="preserve">观点网：调整</t>
    </r>
    <r>
      <rPr>
        <sz val="9"/>
        <color rgb="FF6B7280"/>
        <rFont val="微软雅黑"/>
        <family val="0"/>
        <charset val="1"/>
      </rPr>
      <t xml:space="preserve">2025</t>
    </r>
    <r>
      <rPr>
        <sz val="9"/>
        <color rgb="FF6B7280"/>
        <rFont val="Noto Sans CJK SC"/>
        <family val="2"/>
      </rPr>
      <t xml:space="preserve">年度每股分配比例</t>
    </r>
  </si>
  <si>
    <r>
      <rPr>
        <sz val="10"/>
        <color rgb="FF1F2937"/>
        <rFont val="微软雅黑"/>
        <family val="0"/>
        <charset val="1"/>
      </rPr>
      <t xml:space="preserve">2025</t>
    </r>
    <r>
      <rPr>
        <sz val="10"/>
        <color rgb="FF1F2937"/>
        <rFont val="Noto Sans CJK SC"/>
        <family val="2"/>
      </rPr>
      <t xml:space="preserve">末→</t>
    </r>
    <r>
      <rPr>
        <sz val="10"/>
        <color rgb="FF1F2937"/>
        <rFont val="微软雅黑"/>
        <family val="0"/>
        <charset val="1"/>
      </rPr>
      <t xml:space="preserve">2026H1</t>
    </r>
  </si>
  <si>
    <r>
      <rPr>
        <sz val="10"/>
        <color rgb="FF1F2937"/>
        <rFont val="Noto Sans CJK SC"/>
        <family val="2"/>
      </rPr>
      <t xml:space="preserve">库存股账面：</t>
    </r>
    <r>
      <rPr>
        <sz val="10"/>
        <color rgb="FF1F2937"/>
        <rFont val="微软雅黑"/>
        <family val="0"/>
        <charset val="1"/>
      </rPr>
      <t xml:space="preserve">42.61</t>
    </r>
    <r>
      <rPr>
        <sz val="10"/>
        <color rgb="FF1F2937"/>
        <rFont val="Noto Sans CJK SC"/>
        <family val="2"/>
      </rPr>
      <t xml:space="preserve">亿元 → </t>
    </r>
    <r>
      <rPr>
        <sz val="10"/>
        <color rgb="FF1F2937"/>
        <rFont val="微软雅黑"/>
        <family val="0"/>
        <charset val="1"/>
      </rPr>
      <t xml:space="preserve">55.97</t>
    </r>
    <r>
      <rPr>
        <sz val="10"/>
        <color rgb="FF1F2937"/>
        <rFont val="Noto Sans CJK SC"/>
        <family val="2"/>
      </rPr>
      <t xml:space="preserve">亿元（</t>
    </r>
    <r>
      <rPr>
        <sz val="10"/>
        <color rgb="FF1F2937"/>
        <rFont val="微软雅黑"/>
        <family val="0"/>
        <charset val="1"/>
      </rPr>
      <t xml:space="preserve">+13.36</t>
    </r>
    <r>
      <rPr>
        <sz val="10"/>
        <color rgb="FF1F2937"/>
        <rFont val="Noto Sans CJK SC"/>
        <family val="2"/>
      </rPr>
      <t xml:space="preserve">亿元）</t>
    </r>
  </si>
  <si>
    <t xml:space="preserve">判断</t>
  </si>
  <si>
    <t xml:space="preserve">回购股份未来用于员工持股会重新流通，不像注销那样永久减少股数；估值用在外股数，并在风险表监控稀释。</t>
  </si>
  <si>
    <t xml:space="preserve">研究判断</t>
  </si>
  <si>
    <t xml:space="preserve">生意拆解：海尔怎么赚钱？</t>
  </si>
  <si>
    <r>
      <rPr>
        <sz val="10"/>
        <color rgb="FF6B7280"/>
        <rFont val="Noto Sans CJK SC"/>
        <family val="2"/>
      </rPr>
      <t xml:space="preserve">收入≈一半中国、一半海外；海外最大的是北美</t>
    </r>
    <r>
      <rPr>
        <sz val="10"/>
        <color rgb="FF6B7280"/>
        <rFont val="微软雅黑"/>
        <family val="0"/>
        <charset val="1"/>
      </rPr>
      <t xml:space="preserve">GE Appliances</t>
    </r>
    <r>
      <rPr>
        <sz val="10"/>
        <color rgb="FF6B7280"/>
        <rFont val="Noto Sans CJK SC"/>
        <family val="2"/>
      </rPr>
      <t xml:space="preserve">。产品上冰箱、洗衣机是份额最高的现金牛，暖通</t>
    </r>
    <r>
      <rPr>
        <sz val="10"/>
        <color rgb="FF6B7280"/>
        <rFont val="微软雅黑"/>
        <family val="0"/>
        <charset val="1"/>
      </rPr>
      <t xml:space="preserve">(</t>
    </r>
    <r>
      <rPr>
        <sz val="10"/>
        <color rgb="FF6B7280"/>
        <rFont val="Noto Sans CJK SC"/>
        <family val="2"/>
      </rPr>
      <t xml:space="preserve">空调</t>
    </r>
    <r>
      <rPr>
        <sz val="10"/>
        <color rgb="FF6B7280"/>
        <rFont val="微软雅黑"/>
        <family val="0"/>
        <charset val="1"/>
      </rPr>
      <t xml:space="preserve">/</t>
    </r>
    <r>
      <rPr>
        <sz val="10"/>
        <color rgb="FF6B7280"/>
        <rFont val="Noto Sans CJK SC"/>
        <family val="2"/>
      </rPr>
      <t xml:space="preserve">水</t>
    </r>
    <r>
      <rPr>
        <sz val="10"/>
        <color rgb="FF6B7280"/>
        <rFont val="微软雅黑"/>
        <family val="0"/>
        <charset val="1"/>
      </rPr>
      <t xml:space="preserve">)</t>
    </r>
    <r>
      <rPr>
        <sz val="10"/>
        <color rgb="FF6B7280"/>
        <rFont val="Noto Sans CJK SC"/>
        <family val="2"/>
      </rPr>
      <t xml:space="preserve">是增长最快的板块。</t>
    </r>
  </si>
  <si>
    <t xml:space="preserve">一句话</t>
  </si>
  <si>
    <r>
      <rPr>
        <sz val="10"/>
        <color rgb="FF1F2937"/>
        <rFont val="Noto Sans CJK SC"/>
        <family val="2"/>
      </rPr>
      <t xml:space="preserve">海尔把冰箱、洗衣机、空调、厨电、热水器等耐用家电卖给全球家庭：国内靠“海尔</t>
    </r>
    <r>
      <rPr>
        <sz val="10"/>
        <color rgb="FF1F2937"/>
        <rFont val="微软雅黑"/>
        <family val="0"/>
        <charset val="1"/>
      </rPr>
      <t xml:space="preserve">+</t>
    </r>
    <r>
      <rPr>
        <sz val="10"/>
        <color rgb="FF1F2937"/>
        <rFont val="Noto Sans CJK SC"/>
        <family val="2"/>
      </rPr>
      <t xml:space="preserve">卡萨帝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高端</t>
    </r>
    <r>
      <rPr>
        <sz val="10"/>
        <color rgb="FF1F2937"/>
        <rFont val="微软雅黑"/>
        <family val="0"/>
        <charset val="1"/>
      </rPr>
      <t xml:space="preserve">)+</t>
    </r>
    <r>
      <rPr>
        <sz val="10"/>
        <color rgb="FF1F2937"/>
        <rFont val="Noto Sans CJK SC"/>
        <family val="2"/>
      </rPr>
      <t xml:space="preserve">统帅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性价比</t>
    </r>
    <r>
      <rPr>
        <sz val="10"/>
        <color rgb="FF1F2937"/>
        <rFont val="微软雅黑"/>
        <family val="0"/>
        <charset val="1"/>
      </rPr>
      <t xml:space="preserve">)”</t>
    </r>
    <r>
      <rPr>
        <sz val="10"/>
        <color rgb="FF1F2937"/>
        <rFont val="Noto Sans CJK SC"/>
        <family val="2"/>
      </rPr>
      <t xml:space="preserve">多品牌和自有渠道、份额第一的冰洗赚取稳定利润；海外通过收购</t>
    </r>
    <r>
      <rPr>
        <sz val="10"/>
        <color rgb="FF1F2937"/>
        <rFont val="微软雅黑"/>
        <family val="0"/>
        <charset val="1"/>
      </rPr>
      <t xml:space="preserve">GE Appliances(</t>
    </r>
    <r>
      <rPr>
        <sz val="10"/>
        <color rgb="FF1F2937"/>
        <rFont val="Noto Sans CJK SC"/>
        <family val="2"/>
      </rPr>
      <t xml:space="preserve">美</t>
    </r>
    <r>
      <rPr>
        <sz val="10"/>
        <color rgb="FF1F2937"/>
        <rFont val="微软雅黑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微软雅黑"/>
        <family val="0"/>
        <charset val="1"/>
      </rPr>
      <t xml:space="preserve">Fisher&amp;Paykel(</t>
    </r>
    <r>
      <rPr>
        <sz val="10"/>
        <color rgb="FF1F2937"/>
        <rFont val="Noto Sans CJK SC"/>
        <family val="2"/>
      </rPr>
      <t xml:space="preserve">新西兰</t>
    </r>
    <r>
      <rPr>
        <sz val="10"/>
        <color rgb="FF1F2937"/>
        <rFont val="微软雅黑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微软雅黑"/>
        <family val="0"/>
        <charset val="1"/>
      </rPr>
      <t xml:space="preserve">Candy(</t>
    </r>
    <r>
      <rPr>
        <sz val="10"/>
        <color rgb="FF1F2937"/>
        <rFont val="Noto Sans CJK SC"/>
        <family val="2"/>
      </rPr>
      <t xml:space="preserve">意</t>
    </r>
    <r>
      <rPr>
        <sz val="10"/>
        <color rgb="FF1F2937"/>
        <rFont val="微软雅黑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及自建品牌做本土化研发</t>
    </r>
    <r>
      <rPr>
        <sz val="10"/>
        <color rgb="FF1F2937"/>
        <rFont val="微软雅黑"/>
        <family val="0"/>
        <charset val="1"/>
      </rPr>
      <t xml:space="preserve">-</t>
    </r>
    <r>
      <rPr>
        <sz val="10"/>
        <color rgb="FF1F2937"/>
        <rFont val="Noto Sans CJK SC"/>
        <family val="2"/>
      </rPr>
      <t xml:space="preserve">制造</t>
    </r>
    <r>
      <rPr>
        <sz val="10"/>
        <color rgb="FF1F2937"/>
        <rFont val="微软雅黑"/>
        <family val="0"/>
        <charset val="1"/>
      </rPr>
      <t xml:space="preserve">-</t>
    </r>
    <r>
      <rPr>
        <sz val="10"/>
        <color rgb="FF1F2937"/>
        <rFont val="Noto Sans CJK SC"/>
        <family val="2"/>
      </rPr>
      <t xml:space="preserve">营销，北美是最大利润池。利润 </t>
    </r>
    <r>
      <rPr>
        <sz val="10"/>
        <color rgb="FF1F2937"/>
        <rFont val="微软雅黑"/>
        <family val="0"/>
        <charset val="1"/>
      </rPr>
      <t xml:space="preserve">= </t>
    </r>
    <r>
      <rPr>
        <sz val="10"/>
        <color rgb="FF1F2937"/>
        <rFont val="Noto Sans CJK SC"/>
        <family val="2"/>
      </rPr>
      <t xml:space="preserve">销量 </t>
    </r>
    <r>
      <rPr>
        <sz val="10"/>
        <color rgb="FF1F2937"/>
        <rFont val="微软雅黑"/>
        <family val="0"/>
        <charset val="1"/>
      </rPr>
      <t xml:space="preserve">× </t>
    </r>
    <r>
      <rPr>
        <sz val="10"/>
        <color rgb="FF1F2937"/>
        <rFont val="Noto Sans CJK SC"/>
        <family val="2"/>
      </rPr>
      <t xml:space="preserve">均价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高端占比</t>
    </r>
    <r>
      <rPr>
        <sz val="10"/>
        <color rgb="FF1F2937"/>
        <rFont val="微软雅黑"/>
        <family val="0"/>
        <charset val="1"/>
      </rPr>
      <t xml:space="preserve">) × </t>
    </r>
    <r>
      <rPr>
        <sz val="10"/>
        <color rgb="FF1F2937"/>
        <rFont val="Noto Sans CJK SC"/>
        <family val="2"/>
      </rPr>
      <t xml:space="preserve">毛利率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原材料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关税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汇率</t>
    </r>
    <r>
      <rPr>
        <sz val="10"/>
        <color rgb="FF1F2937"/>
        <rFont val="微软雅黑"/>
        <family val="0"/>
        <charset val="1"/>
      </rPr>
      <t xml:space="preserve">) − </t>
    </r>
    <r>
      <rPr>
        <sz val="10"/>
        <color rgb="FF1F2937"/>
        <rFont val="Noto Sans CJK SC"/>
        <family val="2"/>
      </rPr>
      <t xml:space="preserve">渠道与品牌费用；现金还来自对上游供应商的票据与应付占款。</t>
    </r>
  </si>
  <si>
    <r>
      <rPr>
        <b val="true"/>
        <sz val="12"/>
        <color rgb="FFFFFFFF"/>
        <rFont val="微软雅黑"/>
        <family val="0"/>
        <charset val="1"/>
      </rPr>
      <t xml:space="preserve">2025</t>
    </r>
    <r>
      <rPr>
        <b val="true"/>
        <sz val="12"/>
        <color rgb="FFFFFFFF"/>
        <rFont val="Noto Sans CJK SC"/>
        <family val="2"/>
      </rPr>
      <t xml:space="preserve">年分产业收入（亿元）</t>
    </r>
  </si>
  <si>
    <t xml:space="preserve">产业</t>
  </si>
  <si>
    <r>
      <rPr>
        <b val="true"/>
        <sz val="10"/>
        <color rgb="FFFFFFFF"/>
        <rFont val="Noto Sans CJK SC"/>
        <family val="2"/>
      </rPr>
      <t xml:space="preserve">收入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亿元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</si>
  <si>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t xml:space="preserve">同比</t>
  </si>
  <si>
    <t xml:space="preserve">占比</t>
  </si>
  <si>
    <t xml:space="preserve">观察</t>
  </si>
  <si>
    <r>
      <rPr>
        <sz val="9"/>
        <color rgb="FF1F2937"/>
        <rFont val="Noto Sans CJK SC"/>
        <family val="2"/>
      </rPr>
      <t xml:space="preserve">国内冰箱线上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线下零售份额超</t>
    </r>
    <r>
      <rPr>
        <sz val="9"/>
        <color rgb="FF1F2937"/>
        <rFont val="微软雅黑"/>
        <family val="0"/>
        <charset val="1"/>
      </rPr>
      <t xml:space="preserve">40%</t>
    </r>
    <r>
      <rPr>
        <sz val="9"/>
        <color rgb="FF1F2937"/>
        <rFont val="Noto Sans CJK SC"/>
        <family val="2"/>
      </rPr>
      <t xml:space="preserve">（</t>
    </r>
    <r>
      <rPr>
        <sz val="9"/>
        <color rgb="FF1F2937"/>
        <rFont val="微软雅黑"/>
        <family val="0"/>
        <charset val="1"/>
      </rPr>
      <t xml:space="preserve">2026H1</t>
    </r>
    <r>
      <rPr>
        <sz val="9"/>
        <color rgb="FF1F2937"/>
        <rFont val="Noto Sans CJK SC"/>
        <family val="2"/>
      </rPr>
      <t xml:space="preserve">）</t>
    </r>
  </si>
  <si>
    <r>
      <rPr>
        <sz val="9"/>
        <color rgb="FF1F2937"/>
        <rFont val="Noto Sans CJK SC"/>
        <family val="2"/>
      </rPr>
      <t xml:space="preserve">“懒人三筒”等高端单品放量；国内洗衣机线下份额约</t>
    </r>
    <r>
      <rPr>
        <sz val="9"/>
        <color rgb="FF1F2937"/>
        <rFont val="微软雅黑"/>
        <family val="0"/>
        <charset val="1"/>
      </rPr>
      <t xml:space="preserve">48.8%</t>
    </r>
  </si>
  <si>
    <r>
      <rPr>
        <sz val="9"/>
        <color rgb="FF1F2937"/>
        <rFont val="Noto Sans CJK SC"/>
        <family val="2"/>
      </rPr>
      <t xml:space="preserve">国内厨电零售</t>
    </r>
    <r>
      <rPr>
        <sz val="9"/>
        <color rgb="FF1F2937"/>
        <rFont val="微软雅黑"/>
        <family val="0"/>
        <charset val="1"/>
      </rPr>
      <t xml:space="preserve">2026H1+10.8%</t>
    </r>
    <r>
      <rPr>
        <sz val="9"/>
        <color rgb="FF1F2937"/>
        <rFont val="Noto Sans CJK SC"/>
        <family val="2"/>
      </rPr>
      <t xml:space="preserve">，但基数小</t>
    </r>
  </si>
  <si>
    <r>
      <rPr>
        <sz val="9"/>
        <color rgb="FF1F2937"/>
        <rFont val="Noto Sans CJK SC"/>
        <family val="2"/>
      </rPr>
      <t xml:space="preserve">增长主力：</t>
    </r>
    <r>
      <rPr>
        <sz val="9"/>
        <color rgb="FF1F2937"/>
        <rFont val="微软雅黑"/>
        <family val="0"/>
        <charset val="1"/>
      </rPr>
      <t xml:space="preserve">2025+9.6%</t>
    </r>
    <r>
      <rPr>
        <sz val="9"/>
        <color rgb="FF1F2937"/>
        <rFont val="Noto Sans CJK SC"/>
        <family val="2"/>
      </rPr>
      <t xml:space="preserve">；</t>
    </r>
    <r>
      <rPr>
        <sz val="9"/>
        <color rgb="FF1F2937"/>
        <rFont val="微软雅黑"/>
        <family val="0"/>
        <charset val="1"/>
      </rPr>
      <t xml:space="preserve">2026H1</t>
    </r>
    <r>
      <rPr>
        <sz val="9"/>
        <color rgb="FF1F2937"/>
        <rFont val="Noto Sans CJK SC"/>
        <family val="2"/>
      </rPr>
      <t xml:space="preserve">大暖通</t>
    </r>
    <r>
      <rPr>
        <sz val="9"/>
        <color rgb="FF1F2937"/>
        <rFont val="微软雅黑"/>
        <family val="0"/>
        <charset val="1"/>
      </rPr>
      <t xml:space="preserve">+6.1%</t>
    </r>
    <r>
      <rPr>
        <sz val="9"/>
        <color rgb="FF1F2937"/>
        <rFont val="Noto Sans CJK SC"/>
        <family val="2"/>
      </rPr>
      <t xml:space="preserve">、分部利润</t>
    </r>
    <r>
      <rPr>
        <sz val="9"/>
        <color rgb="FF1F2937"/>
        <rFont val="微软雅黑"/>
        <family val="0"/>
        <charset val="1"/>
      </rPr>
      <t xml:space="preserve">+26.8%</t>
    </r>
    <r>
      <rPr>
        <sz val="9"/>
        <color rgb="FF1F2937"/>
        <rFont val="Noto Sans CJK SC"/>
        <family val="2"/>
      </rPr>
      <t xml:space="preserve">；铜价与冷媒涨价压毛利</t>
    </r>
  </si>
  <si>
    <r>
      <rPr>
        <sz val="9"/>
        <color rgb="FF1F2937"/>
        <rFont val="Noto Sans CJK SC"/>
        <family val="2"/>
      </rPr>
      <t xml:space="preserve">热水器、净水；收购南非</t>
    </r>
    <r>
      <rPr>
        <sz val="9"/>
        <color rgb="FF1F2937"/>
        <rFont val="微软雅黑"/>
        <family val="0"/>
        <charset val="1"/>
      </rPr>
      <t xml:space="preserve">Kwikot</t>
    </r>
    <r>
      <rPr>
        <sz val="9"/>
        <color rgb="FF1F2937"/>
        <rFont val="Noto Sans CJK SC"/>
        <family val="2"/>
      </rPr>
      <t xml:space="preserve">后份额提升</t>
    </r>
  </si>
  <si>
    <r>
      <rPr>
        <sz val="9"/>
        <color rgb="FF6B7280"/>
        <rFont val="Noto Sans CJK SC"/>
        <family val="2"/>
      </rPr>
      <t xml:space="preserve">注：上述产业合计约</t>
    </r>
    <r>
      <rPr>
        <sz val="9"/>
        <color rgb="FF6B7280"/>
        <rFont val="微软雅黑"/>
        <family val="0"/>
        <charset val="1"/>
      </rPr>
      <t xml:space="preserve">2642</t>
    </r>
    <r>
      <rPr>
        <sz val="9"/>
        <color rgb="FF6B7280"/>
        <rFont val="Noto Sans CJK SC"/>
        <family val="2"/>
      </rPr>
      <t xml:space="preserve">亿，低于总收入</t>
    </r>
    <r>
      <rPr>
        <sz val="9"/>
        <color rgb="FF6B7280"/>
        <rFont val="微软雅黑"/>
        <family val="0"/>
        <charset val="1"/>
      </rPr>
      <t xml:space="preserve">3023</t>
    </r>
    <r>
      <rPr>
        <sz val="9"/>
        <color rgb="FF6B7280"/>
        <rFont val="Noto Sans CJK SC"/>
        <family val="2"/>
      </rPr>
      <t xml:space="preserve">亿，差额为装备部品、渠道综合服务等其他业务。</t>
    </r>
  </si>
  <si>
    <r>
      <rPr>
        <b val="true"/>
        <sz val="12"/>
        <color rgb="FFFFFFFF"/>
        <rFont val="Noto Sans CJK SC"/>
        <family val="2"/>
      </rPr>
      <t xml:space="preserve">分地区（</t>
    </r>
    <r>
      <rPr>
        <b val="true"/>
        <sz val="12"/>
        <color rgb="FFFFFFFF"/>
        <rFont val="微软雅黑"/>
        <family val="0"/>
        <charset val="1"/>
      </rPr>
      <t xml:space="preserve">2024</t>
    </r>
    <r>
      <rPr>
        <b val="true"/>
        <sz val="12"/>
        <color rgb="FFFFFFFF"/>
        <rFont val="Noto Sans CJK SC"/>
        <family val="2"/>
      </rPr>
      <t xml:space="preserve">年金额 </t>
    </r>
    <r>
      <rPr>
        <b val="true"/>
        <sz val="12"/>
        <color rgb="FFFFFFFF"/>
        <rFont val="微软雅黑"/>
        <family val="0"/>
        <charset val="1"/>
      </rPr>
      <t xml:space="preserve">+ 2025</t>
    </r>
    <r>
      <rPr>
        <b val="true"/>
        <sz val="12"/>
        <color rgb="FFFFFFFF"/>
        <rFont val="Noto Sans CJK SC"/>
        <family val="2"/>
      </rPr>
      <t xml:space="preserve">年增速）</t>
    </r>
  </si>
  <si>
    <t xml:space="preserve">地区</t>
  </si>
  <si>
    <r>
      <rPr>
        <b val="true"/>
        <sz val="10"/>
        <color rgb="FFFFFFFF"/>
        <rFont val="微软雅黑"/>
        <family val="0"/>
        <charset val="1"/>
      </rPr>
      <t xml:space="preserve">2024</t>
    </r>
    <r>
      <rPr>
        <b val="true"/>
        <sz val="10"/>
        <color rgb="FFFFFFFF"/>
        <rFont val="Noto Sans CJK SC"/>
        <family val="2"/>
      </rPr>
      <t xml:space="preserve">收入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亿元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</si>
  <si>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r>
      <rPr>
        <b val="true"/>
        <sz val="10"/>
        <color rgb="FFFFFFFF"/>
        <rFont val="微软雅黑"/>
        <family val="0"/>
        <charset val="1"/>
      </rPr>
      <t xml:space="preserve">2024</t>
    </r>
    <r>
      <rPr>
        <b val="true"/>
        <sz val="10"/>
        <color rgb="FFFFFFFF"/>
        <rFont val="Noto Sans CJK SC"/>
        <family val="2"/>
      </rPr>
      <t xml:space="preserve">同比</t>
    </r>
  </si>
  <si>
    <r>
      <rPr>
        <b val="true"/>
        <sz val="10"/>
        <color rgb="FFFFFFFF"/>
        <rFont val="微软雅黑"/>
        <family val="0"/>
        <charset val="1"/>
      </rPr>
      <t xml:space="preserve">2025/2026</t>
    </r>
    <r>
      <rPr>
        <b val="true"/>
        <sz val="10"/>
        <color rgb="FFFFFFFF"/>
        <rFont val="Noto Sans CJK SC"/>
        <family val="2"/>
      </rPr>
      <t xml:space="preserve">动态</t>
    </r>
  </si>
  <si>
    <r>
      <rPr>
        <sz val="9"/>
        <color rgb="FF1F2937"/>
        <rFont val="微软雅黑"/>
        <family val="0"/>
        <charset val="1"/>
      </rPr>
      <t xml:space="preserve">2025</t>
    </r>
    <r>
      <rPr>
        <sz val="9"/>
        <color rgb="FF1F2937"/>
        <rFont val="Noto Sans CJK SC"/>
        <family val="2"/>
      </rPr>
      <t xml:space="preserve">年</t>
    </r>
    <r>
      <rPr>
        <sz val="9"/>
        <color rgb="FF1F2937"/>
        <rFont val="微软雅黑"/>
        <family val="0"/>
        <charset val="1"/>
      </rPr>
      <t xml:space="preserve">+3.1%</t>
    </r>
    <r>
      <rPr>
        <sz val="9"/>
        <color rgb="FF1F2937"/>
        <rFont val="Noto Sans CJK SC"/>
        <family val="2"/>
      </rPr>
      <t xml:space="preserve">；</t>
    </r>
    <r>
      <rPr>
        <sz val="9"/>
        <color rgb="FF1F2937"/>
        <rFont val="微软雅黑"/>
        <family val="0"/>
        <charset val="1"/>
      </rPr>
      <t xml:space="preserve">2026H1</t>
    </r>
    <r>
      <rPr>
        <sz val="9"/>
        <color rgb="FF1F2937"/>
        <rFont val="Noto Sans CJK SC"/>
        <family val="2"/>
      </rPr>
      <t xml:space="preserve">收入承压；以旧换新补贴退坡、</t>
    </r>
    <r>
      <rPr>
        <sz val="9"/>
        <color rgb="FF1F2937"/>
        <rFont val="微软雅黑"/>
        <family val="0"/>
        <charset val="1"/>
      </rPr>
      <t xml:space="preserve">9</t>
    </r>
    <r>
      <rPr>
        <sz val="9"/>
        <color rgb="FF1F2937"/>
        <rFont val="Noto Sans CJK SC"/>
        <family val="2"/>
      </rPr>
      <t xml:space="preserve">月行业零售额</t>
    </r>
    <r>
      <rPr>
        <sz val="9"/>
        <color rgb="FF1F2937"/>
        <rFont val="微软雅黑"/>
        <family val="0"/>
        <charset val="1"/>
      </rPr>
      <t xml:space="preserve">-13%</t>
    </r>
    <r>
      <rPr>
        <sz val="9"/>
        <color rgb="FF1F2937"/>
        <rFont val="Noto Sans CJK SC"/>
        <family val="2"/>
      </rPr>
      <t xml:space="preserve">、均价</t>
    </r>
    <r>
      <rPr>
        <sz val="9"/>
        <color rgb="FF1F2937"/>
        <rFont val="微软雅黑"/>
        <family val="0"/>
        <charset val="1"/>
      </rPr>
      <t xml:space="preserve">-11%</t>
    </r>
  </si>
  <si>
    <r>
      <rPr>
        <sz val="9"/>
        <color rgb="FF1F2937"/>
        <rFont val="微软雅黑"/>
        <family val="0"/>
        <charset val="1"/>
      </rPr>
      <t xml:space="preserve">GEA</t>
    </r>
    <r>
      <rPr>
        <sz val="9"/>
        <color rgb="FF1F2937"/>
        <rFont val="Noto Sans CJK SC"/>
        <family val="2"/>
      </rPr>
      <t xml:space="preserve">：</t>
    </r>
    <r>
      <rPr>
        <sz val="9"/>
        <color rgb="FF1F2937"/>
        <rFont val="微软雅黑"/>
        <family val="0"/>
        <charset val="1"/>
      </rPr>
      <t xml:space="preserve">2025</t>
    </r>
    <r>
      <rPr>
        <sz val="9"/>
        <color rgb="FF1F2937"/>
        <rFont val="Noto Sans CJK SC"/>
        <family val="2"/>
      </rPr>
      <t xml:space="preserve">高端品牌</t>
    </r>
    <r>
      <rPr>
        <sz val="9"/>
        <color rgb="FF1F2937"/>
        <rFont val="微软雅黑"/>
        <family val="0"/>
        <charset val="1"/>
      </rPr>
      <t xml:space="preserve">+7%</t>
    </r>
    <r>
      <rPr>
        <sz val="9"/>
        <color rgb="FF1F2937"/>
        <rFont val="Noto Sans CJK SC"/>
        <family val="2"/>
      </rPr>
      <t xml:space="preserve">；</t>
    </r>
    <r>
      <rPr>
        <sz val="9"/>
        <color rgb="FF1F2937"/>
        <rFont val="微软雅黑"/>
        <family val="0"/>
        <charset val="1"/>
      </rPr>
      <t xml:space="preserve">2026Q1</t>
    </r>
    <r>
      <rPr>
        <sz val="9"/>
        <color rgb="FF1F2937"/>
        <rFont val="Noto Sans CJK SC"/>
        <family val="2"/>
      </rPr>
      <t xml:space="preserve">受暴雪、行业需求</t>
    </r>
    <r>
      <rPr>
        <sz val="9"/>
        <color rgb="FF1F2937"/>
        <rFont val="微软雅黑"/>
        <family val="0"/>
        <charset val="1"/>
      </rPr>
      <t xml:space="preserve">-10%</t>
    </r>
    <r>
      <rPr>
        <sz val="9"/>
        <color rgb="FF1F2937"/>
        <rFont val="Noto Sans CJK SC"/>
        <family val="2"/>
      </rPr>
      <t xml:space="preserve">、关税成本拖累；</t>
    </r>
    <r>
      <rPr>
        <sz val="9"/>
        <color rgb="FF1F2937"/>
        <rFont val="微软雅黑"/>
        <family val="0"/>
        <charset val="1"/>
      </rPr>
      <t xml:space="preserve">Q2</t>
    </r>
    <r>
      <rPr>
        <sz val="9"/>
        <color rgb="FF1F2937"/>
        <rFont val="Noto Sans CJK SC"/>
        <family val="2"/>
      </rPr>
      <t xml:space="preserve">美元收入恢复增长；工厂整合</t>
    </r>
    <r>
      <rPr>
        <sz val="9"/>
        <color rgb="FF1F2937"/>
        <rFont val="微软雅黑"/>
        <family val="0"/>
        <charset val="1"/>
      </rPr>
      <t xml:space="preserve">2027–28</t>
    </r>
    <r>
      <rPr>
        <sz val="9"/>
        <color rgb="FF1F2937"/>
        <rFont val="Noto Sans CJK SC"/>
        <family val="2"/>
      </rPr>
      <t xml:space="preserve">年完成</t>
    </r>
  </si>
  <si>
    <r>
      <rPr>
        <sz val="9"/>
        <color rgb="FF1F2937"/>
        <rFont val="微软雅黑"/>
        <family val="0"/>
        <charset val="1"/>
      </rPr>
      <t xml:space="preserve">2025</t>
    </r>
    <r>
      <rPr>
        <sz val="9"/>
        <color rgb="FF1F2937"/>
        <rFont val="Noto Sans CJK SC"/>
        <family val="2"/>
      </rPr>
      <t xml:space="preserve">年</t>
    </r>
    <r>
      <rPr>
        <sz val="9"/>
        <color rgb="FF1F2937"/>
        <rFont val="微软雅黑"/>
        <family val="0"/>
        <charset val="1"/>
      </rPr>
      <t xml:space="preserve">+19.9%</t>
    </r>
    <r>
      <rPr>
        <sz val="9"/>
        <color rgb="FF1F2937"/>
        <rFont val="Noto Sans CJK SC"/>
        <family val="2"/>
      </rPr>
      <t xml:space="preserve">；</t>
    </r>
    <r>
      <rPr>
        <sz val="9"/>
        <color rgb="FF1F2937"/>
        <rFont val="微软雅黑"/>
        <family val="0"/>
        <charset val="1"/>
      </rPr>
      <t xml:space="preserve">2026H1+4.9%</t>
    </r>
    <r>
      <rPr>
        <sz val="9"/>
        <color rgb="FF1F2937"/>
        <rFont val="Noto Sans CJK SC"/>
        <family val="2"/>
      </rPr>
      <t xml:space="preserve">，暖通与商用冷链双位数</t>
    </r>
  </si>
  <si>
    <r>
      <rPr>
        <sz val="9"/>
        <color rgb="FF1F2937"/>
        <rFont val="微软雅黑"/>
        <family val="0"/>
        <charset val="1"/>
      </rPr>
      <t xml:space="preserve">2025</t>
    </r>
    <r>
      <rPr>
        <sz val="9"/>
        <color rgb="FF1F2937"/>
        <rFont val="Noto Sans CJK SC"/>
        <family val="2"/>
      </rPr>
      <t xml:space="preserve">年</t>
    </r>
    <r>
      <rPr>
        <sz val="9"/>
        <color rgb="FF1F2937"/>
        <rFont val="微软雅黑"/>
        <family val="0"/>
        <charset val="1"/>
      </rPr>
      <t xml:space="preserve">+23.2%</t>
    </r>
    <r>
      <rPr>
        <sz val="9"/>
        <color rgb="FF1F2937"/>
        <rFont val="Noto Sans CJK SC"/>
        <family val="2"/>
      </rPr>
      <t xml:space="preserve">；</t>
    </r>
    <r>
      <rPr>
        <sz val="9"/>
        <color rgb="FF1F2937"/>
        <rFont val="微软雅黑"/>
        <family val="0"/>
        <charset val="1"/>
      </rPr>
      <t xml:space="preserve">2026H1+17.1%</t>
    </r>
    <r>
      <rPr>
        <sz val="9"/>
        <color rgb="FF1F2937"/>
        <rFont val="Noto Sans CJK SC"/>
        <family val="2"/>
      </rPr>
      <t xml:space="preserve">（印度</t>
    </r>
    <r>
      <rPr>
        <sz val="9"/>
        <color rgb="FF1F2937"/>
        <rFont val="微软雅黑"/>
        <family val="0"/>
        <charset val="1"/>
      </rPr>
      <t xml:space="preserve">+20%</t>
    </r>
    <r>
      <rPr>
        <sz val="9"/>
        <color rgb="FF1F2937"/>
        <rFont val="Noto Sans CJK SC"/>
        <family val="2"/>
      </rPr>
      <t xml:space="preserve">、巴基斯坦</t>
    </r>
    <r>
      <rPr>
        <sz val="9"/>
        <color rgb="FF1F2937"/>
        <rFont val="微软雅黑"/>
        <family val="0"/>
        <charset val="1"/>
      </rPr>
      <t xml:space="preserve">+30%</t>
    </r>
    <r>
      <rPr>
        <sz val="9"/>
        <color rgb="FF1F2937"/>
        <rFont val="Noto Sans CJK SC"/>
        <family val="2"/>
      </rPr>
      <t xml:space="preserve">）；</t>
    </r>
    <r>
      <rPr>
        <sz val="9"/>
        <color rgb="FF1F2937"/>
        <rFont val="微软雅黑"/>
        <family val="0"/>
        <charset val="1"/>
      </rPr>
      <t xml:space="preserve">2025</t>
    </r>
    <r>
      <rPr>
        <sz val="9"/>
        <color rgb="FF1F2937"/>
        <rFont val="Noto Sans CJK SC"/>
        <family val="2"/>
      </rPr>
      <t xml:space="preserve">年底出售海尔印度</t>
    </r>
    <r>
      <rPr>
        <sz val="9"/>
        <color rgb="FF1F2937"/>
        <rFont val="微软雅黑"/>
        <family val="0"/>
        <charset val="1"/>
      </rPr>
      <t xml:space="preserve">49%</t>
    </r>
    <r>
      <rPr>
        <sz val="9"/>
        <color rgb="FF1F2937"/>
        <rFont val="Noto Sans CJK SC"/>
        <family val="2"/>
      </rPr>
      <t xml:space="preserve">股权</t>
    </r>
  </si>
  <si>
    <r>
      <rPr>
        <sz val="9"/>
        <color rgb="FF1F2937"/>
        <rFont val="Noto Sans CJK SC"/>
        <family val="2"/>
      </rPr>
      <t xml:space="preserve">东南亚</t>
    </r>
    <r>
      <rPr>
        <sz val="9"/>
        <color rgb="FF1F2937"/>
        <rFont val="微软雅黑"/>
        <family val="0"/>
        <charset val="1"/>
      </rPr>
      <t xml:space="preserve">2025+13.4%</t>
    </r>
    <r>
      <rPr>
        <sz val="9"/>
        <color rgb="FF1F2937"/>
        <rFont val="Noto Sans CJK SC"/>
        <family val="2"/>
      </rPr>
      <t xml:space="preserve">、日本</t>
    </r>
    <r>
      <rPr>
        <sz val="9"/>
        <color rgb="FF1F2937"/>
        <rFont val="微软雅黑"/>
        <family val="0"/>
        <charset val="1"/>
      </rPr>
      <t xml:space="preserve">+10.3%</t>
    </r>
    <r>
      <rPr>
        <sz val="9"/>
        <color rgb="FF1F2937"/>
        <rFont val="Noto Sans CJK SC"/>
        <family val="2"/>
      </rPr>
      <t xml:space="preserve">、中东非</t>
    </r>
    <r>
      <rPr>
        <sz val="9"/>
        <color rgb="FF1F2937"/>
        <rFont val="微软雅黑"/>
        <family val="0"/>
        <charset val="1"/>
      </rPr>
      <t xml:space="preserve">+55.8%</t>
    </r>
  </si>
  <si>
    <t xml:space="preserve">利润驱动与资本需求</t>
  </si>
  <si>
    <t xml:space="preserve">收入</t>
  </si>
  <si>
    <r>
      <rPr>
        <sz val="10"/>
        <color rgb="FF1F2937"/>
        <rFont val="Noto Sans CJK SC"/>
        <family val="2"/>
      </rPr>
      <t xml:space="preserve">国内：存量更新为主（保有量超</t>
    </r>
    <r>
      <rPr>
        <sz val="10"/>
        <color rgb="FF1F2937"/>
        <rFont val="微软雅黑"/>
        <family val="0"/>
        <charset val="1"/>
      </rPr>
      <t xml:space="preserve">40</t>
    </r>
    <r>
      <rPr>
        <sz val="10"/>
        <color rgb="FF1F2937"/>
        <rFont val="Noto Sans CJK SC"/>
        <family val="2"/>
      </rPr>
      <t xml:space="preserve">亿台），补贴从“扩量”转“稳量”；海外：北美需求疲弱、新兴市场高增</t>
    </r>
  </si>
  <si>
    <r>
      <rPr>
        <sz val="10"/>
        <color rgb="FF1F2937"/>
        <rFont val="微软雅黑"/>
        <family val="0"/>
        <charset val="1"/>
      </rPr>
      <t xml:space="preserve">2025</t>
    </r>
    <r>
      <rPr>
        <sz val="10"/>
        <color rgb="FF1F2937"/>
        <rFont val="Noto Sans CJK SC"/>
        <family val="2"/>
      </rPr>
      <t xml:space="preserve">年</t>
    </r>
    <r>
      <rPr>
        <sz val="10"/>
        <color rgb="FF1F2937"/>
        <rFont val="微软雅黑"/>
        <family val="0"/>
        <charset val="1"/>
      </rPr>
      <t xml:space="preserve">26.7%</t>
    </r>
    <r>
      <rPr>
        <sz val="10"/>
        <color rgb="FF1F2937"/>
        <rFont val="Noto Sans CJK SC"/>
        <family val="2"/>
      </rPr>
      <t xml:space="preserve">（</t>
    </r>
    <r>
      <rPr>
        <sz val="10"/>
        <color rgb="FF1F2937"/>
        <rFont val="微软雅黑"/>
        <family val="0"/>
        <charset val="1"/>
      </rPr>
      <t xml:space="preserve">-1.1pct</t>
    </r>
    <r>
      <rPr>
        <sz val="10"/>
        <color rgb="FF1F2937"/>
        <rFont val="Noto Sans CJK SC"/>
        <family val="2"/>
      </rPr>
      <t xml:space="preserve">）；</t>
    </r>
    <r>
      <rPr>
        <sz val="10"/>
        <color rgb="FF1F2937"/>
        <rFont val="微软雅黑"/>
        <family val="0"/>
        <charset val="1"/>
      </rPr>
      <t xml:space="preserve">2026H1</t>
    </r>
    <r>
      <rPr>
        <sz val="10"/>
        <color rgb="FF1F2937"/>
        <rFont val="Noto Sans CJK SC"/>
        <family val="2"/>
      </rPr>
      <t xml:space="preserve">回升至</t>
    </r>
    <r>
      <rPr>
        <sz val="10"/>
        <color rgb="FF1F2937"/>
        <rFont val="微软雅黑"/>
        <family val="0"/>
        <charset val="1"/>
      </rPr>
      <t xml:space="preserve">27.2%</t>
    </r>
    <r>
      <rPr>
        <sz val="10"/>
        <color rgb="FF1F2937"/>
        <rFont val="Noto Sans CJK SC"/>
        <family val="2"/>
      </rPr>
      <t xml:space="preserve">。铜价较</t>
    </r>
    <r>
      <rPr>
        <sz val="10"/>
        <color rgb="FF1F2937"/>
        <rFont val="微软雅黑"/>
        <family val="0"/>
        <charset val="1"/>
      </rPr>
      <t xml:space="preserve">2025</t>
    </r>
    <r>
      <rPr>
        <sz val="10"/>
        <color rgb="FF1F2937"/>
        <rFont val="Noto Sans CJK SC"/>
        <family val="2"/>
      </rPr>
      <t xml:space="preserve">初涨超</t>
    </r>
    <r>
      <rPr>
        <sz val="10"/>
        <color rgb="FF1F2937"/>
        <rFont val="微软雅黑"/>
        <family val="0"/>
        <charset val="1"/>
      </rPr>
      <t xml:space="preserve">40%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微软雅黑"/>
        <family val="0"/>
        <charset val="1"/>
      </rPr>
      <t xml:space="preserve">R32</t>
    </r>
    <r>
      <rPr>
        <sz val="10"/>
        <color rgb="FF1F2937"/>
        <rFont val="Noto Sans CJK SC"/>
        <family val="2"/>
      </rPr>
      <t xml:space="preserve">冷媒同比涨超</t>
    </r>
    <r>
      <rPr>
        <sz val="10"/>
        <color rgb="FF1F2937"/>
        <rFont val="微软雅黑"/>
        <family val="0"/>
        <charset val="1"/>
      </rPr>
      <t xml:space="preserve">80%</t>
    </r>
    <r>
      <rPr>
        <sz val="10"/>
        <color rgb="FF1F2937"/>
        <rFont val="Noto Sans CJK SC"/>
        <family val="2"/>
      </rPr>
      <t xml:space="preserve">；关税成本；套保与自制零部件对冲</t>
    </r>
  </si>
  <si>
    <t xml:space="preserve">费用</t>
  </si>
  <si>
    <r>
      <rPr>
        <sz val="10"/>
        <color rgb="FF1F2937"/>
        <rFont val="Noto Sans CJK SC"/>
        <family val="2"/>
      </rPr>
      <t xml:space="preserve">销售费用率约</t>
    </r>
    <r>
      <rPr>
        <sz val="10"/>
        <color rgb="FF1F2937"/>
        <rFont val="微软雅黑"/>
        <family val="0"/>
        <charset val="1"/>
      </rPr>
      <t xml:space="preserve">11%</t>
    </r>
    <r>
      <rPr>
        <sz val="10"/>
        <color rgb="FF1F2937"/>
        <rFont val="Noto Sans CJK SC"/>
        <family val="2"/>
      </rPr>
      <t xml:space="preserve">：国内转直达用户（直单占比约</t>
    </r>
    <r>
      <rPr>
        <sz val="10"/>
        <color rgb="FF1F2937"/>
        <rFont val="微软雅黑"/>
        <family val="0"/>
        <charset val="1"/>
      </rPr>
      <t xml:space="preserve">65%</t>
    </r>
    <r>
      <rPr>
        <sz val="10"/>
        <color rgb="FF1F2937"/>
        <rFont val="Noto Sans CJK SC"/>
        <family val="2"/>
      </rPr>
      <t xml:space="preserve">）短期抬费用；研发费用率约</t>
    </r>
    <r>
      <rPr>
        <sz val="10"/>
        <color rgb="FF1F2937"/>
        <rFont val="微软雅黑"/>
        <family val="0"/>
        <charset val="1"/>
      </rPr>
      <t xml:space="preserve">3.3–3.6%</t>
    </r>
    <r>
      <rPr>
        <sz val="10"/>
        <color rgb="FF1F2937"/>
        <rFont val="Noto Sans CJK SC"/>
        <family val="2"/>
      </rPr>
      <t xml:space="preserve">，</t>
    </r>
    <r>
      <rPr>
        <sz val="10"/>
        <color rgb="FF1F2937"/>
        <rFont val="微软雅黑"/>
        <family val="0"/>
        <charset val="1"/>
      </rPr>
      <t xml:space="preserve">2026H1</t>
    </r>
    <r>
      <rPr>
        <sz val="10"/>
        <color rgb="FF1F2937"/>
        <rFont val="Noto Sans CJK SC"/>
        <family val="2"/>
      </rPr>
      <t xml:space="preserve">压降</t>
    </r>
    <r>
      <rPr>
        <sz val="10"/>
        <color rgb="FF1F2937"/>
        <rFont val="微软雅黑"/>
        <family val="0"/>
        <charset val="1"/>
      </rPr>
      <t xml:space="preserve">SKU</t>
    </r>
  </si>
  <si>
    <t xml:space="preserve">汇兑</t>
  </si>
  <si>
    <r>
      <rPr>
        <sz val="10"/>
        <color rgb="FF1F2937"/>
        <rFont val="Noto Sans CJK SC"/>
        <family val="2"/>
      </rPr>
      <t xml:space="preserve">海外收入占约一半：</t>
    </r>
    <r>
      <rPr>
        <sz val="10"/>
        <color rgb="FF1F2937"/>
        <rFont val="微软雅黑"/>
        <family val="0"/>
        <charset val="1"/>
      </rPr>
      <t xml:space="preserve">2026H1</t>
    </r>
    <r>
      <rPr>
        <sz val="10"/>
        <color rgb="FF1F2937"/>
        <rFont val="Noto Sans CJK SC"/>
        <family val="2"/>
      </rPr>
      <t xml:space="preserve">汇兑净损失约</t>
    </r>
    <r>
      <rPr>
        <sz val="10"/>
        <color rgb="FF1F2937"/>
        <rFont val="微软雅黑"/>
        <family val="0"/>
        <charset val="1"/>
      </rPr>
      <t xml:space="preserve">7.04</t>
    </r>
    <r>
      <rPr>
        <sz val="10"/>
        <color rgb="FF1F2937"/>
        <rFont val="Noto Sans CJK SC"/>
        <family val="2"/>
      </rPr>
      <t xml:space="preserve">亿（上年同期为收益），是利润下滑最大单项</t>
    </r>
  </si>
  <si>
    <r>
      <rPr>
        <sz val="10"/>
        <color rgb="FF1F2937"/>
        <rFont val="微软雅黑"/>
        <family val="0"/>
        <charset val="1"/>
      </rPr>
      <t xml:space="preserve">2023–2025</t>
    </r>
    <r>
      <rPr>
        <sz val="10"/>
        <color rgb="FF1F2937"/>
        <rFont val="Noto Sans CJK SC"/>
        <family val="2"/>
      </rPr>
      <t xml:space="preserve">年</t>
    </r>
    <r>
      <rPr>
        <sz val="10"/>
        <color rgb="FF1F2937"/>
        <rFont val="微软雅黑"/>
        <family val="0"/>
        <charset val="1"/>
      </rPr>
      <t xml:space="preserve">88–105</t>
    </r>
    <r>
      <rPr>
        <sz val="10"/>
        <color rgb="FF1F2937"/>
        <rFont val="Noto Sans CJK SC"/>
        <family val="2"/>
      </rPr>
      <t xml:space="preserve">亿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年，高于固定资产折旧</t>
    </r>
    <r>
      <rPr>
        <sz val="10"/>
        <color rgb="FF1F2937"/>
        <rFont val="微软雅黑"/>
        <family val="0"/>
        <charset val="1"/>
      </rPr>
      <t xml:space="preserve">+</t>
    </r>
    <r>
      <rPr>
        <sz val="10"/>
        <color rgb="FF1F2937"/>
        <rFont val="Noto Sans CJK SC"/>
        <family val="2"/>
      </rPr>
      <t xml:space="preserve">无形摊销（约</t>
    </r>
    <r>
      <rPr>
        <sz val="10"/>
        <color rgb="FF1F2937"/>
        <rFont val="微软雅黑"/>
        <family val="0"/>
        <charset val="1"/>
      </rPr>
      <t xml:space="preserve">55–67</t>
    </r>
    <r>
      <rPr>
        <sz val="10"/>
        <color rgb="FF1F2937"/>
        <rFont val="Noto Sans CJK SC"/>
        <family val="2"/>
      </rPr>
      <t xml:space="preserve">亿）：海外</t>
    </r>
    <r>
      <rPr>
        <sz val="10"/>
        <color rgb="FF1F2937"/>
        <rFont val="微软雅黑"/>
        <family val="0"/>
        <charset val="1"/>
      </rPr>
      <t xml:space="preserve">12</t>
    </r>
    <r>
      <rPr>
        <sz val="10"/>
        <color rgb="FF1F2937"/>
        <rFont val="Noto Sans CJK SC"/>
        <family val="2"/>
      </rPr>
      <t xml:space="preserve">个供应链项目建设；</t>
    </r>
    <r>
      <rPr>
        <sz val="10"/>
        <color rgb="FF1F2937"/>
        <rFont val="微软雅黑"/>
        <family val="0"/>
        <charset val="1"/>
      </rPr>
      <t xml:space="preserve">2026H1 43.7</t>
    </r>
    <r>
      <rPr>
        <sz val="10"/>
        <color rgb="FF1F2937"/>
        <rFont val="Noto Sans CJK SC"/>
        <family val="2"/>
      </rPr>
      <t xml:space="preserve">亿</t>
    </r>
  </si>
  <si>
    <t xml:space="preserve">营运资金</t>
  </si>
  <si>
    <r>
      <rPr>
        <sz val="10"/>
        <color rgb="FF1F2937"/>
        <rFont val="微软雅黑"/>
        <family val="0"/>
        <charset val="1"/>
      </rPr>
      <t xml:space="preserve">2026H1</t>
    </r>
    <r>
      <rPr>
        <sz val="10"/>
        <color rgb="FF1F2937"/>
        <rFont val="Noto Sans CJK SC"/>
        <family val="2"/>
      </rPr>
      <t xml:space="preserve">应付账款</t>
    </r>
    <r>
      <rPr>
        <sz val="10"/>
        <color rgb="FF1F2937"/>
        <rFont val="微软雅黑"/>
        <family val="0"/>
        <charset val="1"/>
      </rPr>
      <t xml:space="preserve">+</t>
    </r>
    <r>
      <rPr>
        <sz val="10"/>
        <color rgb="FF1F2937"/>
        <rFont val="Noto Sans CJK SC"/>
        <family val="2"/>
      </rPr>
      <t xml:space="preserve">应付票据约</t>
    </r>
    <r>
      <rPr>
        <sz val="10"/>
        <color rgb="FF1F2937"/>
        <rFont val="微软雅黑"/>
        <family val="0"/>
        <charset val="1"/>
      </rPr>
      <t xml:space="preserve">842</t>
    </r>
    <r>
      <rPr>
        <sz val="10"/>
        <color rgb="FF1F2937"/>
        <rFont val="Noto Sans CJK SC"/>
        <family val="2"/>
      </rPr>
      <t xml:space="preserve">亿，接近应收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约</t>
    </r>
    <r>
      <rPr>
        <sz val="10"/>
        <color rgb="FF1F2937"/>
        <rFont val="微软雅黑"/>
        <family val="0"/>
        <charset val="1"/>
      </rPr>
      <t xml:space="preserve">426</t>
    </r>
    <r>
      <rPr>
        <sz val="10"/>
        <color rgb="FF1F2937"/>
        <rFont val="Noto Sans CJK SC"/>
        <family val="2"/>
      </rPr>
      <t xml:space="preserve">亿</t>
    </r>
    <r>
      <rPr>
        <sz val="10"/>
        <color rgb="FF1F2937"/>
        <rFont val="微软雅黑"/>
        <family val="0"/>
        <charset val="1"/>
      </rPr>
      <t xml:space="preserve">)+</t>
    </r>
    <r>
      <rPr>
        <sz val="10"/>
        <color rgb="FF1F2937"/>
        <rFont val="Noto Sans CJK SC"/>
        <family val="2"/>
      </rPr>
      <t xml:space="preserve">存货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约</t>
    </r>
    <r>
      <rPr>
        <sz val="10"/>
        <color rgb="FF1F2937"/>
        <rFont val="微软雅黑"/>
        <family val="0"/>
        <charset val="1"/>
      </rPr>
      <t xml:space="preserve">453</t>
    </r>
    <r>
      <rPr>
        <sz val="10"/>
        <color rgb="FF1F2937"/>
        <rFont val="Noto Sans CJK SC"/>
        <family val="2"/>
      </rPr>
      <t xml:space="preserve">亿</t>
    </r>
    <r>
      <rPr>
        <sz val="10"/>
        <color rgb="FF1F2937"/>
        <rFont val="微软雅黑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之和；对供应商的占款是</t>
    </r>
    <r>
      <rPr>
        <sz val="10"/>
        <color rgb="FF1F2937"/>
        <rFont val="微软雅黑"/>
        <family val="0"/>
        <charset val="1"/>
      </rPr>
      <t xml:space="preserve">CFO</t>
    </r>
    <r>
      <rPr>
        <sz val="10"/>
        <color rgb="FF1F2937"/>
        <rFont val="Noto Sans CJK SC"/>
        <family val="2"/>
      </rPr>
      <t xml:space="preserve">高于净利润的重要原因，行业下行时可能反向流出</t>
    </r>
  </si>
  <si>
    <r>
      <rPr>
        <b val="true"/>
        <sz val="18"/>
        <color rgb="FFFFFFFF"/>
        <rFont val="Noto Sans CJK SC"/>
        <family val="2"/>
      </rPr>
      <t xml:space="preserve">巴菲特框架：八问筛选 </t>
    </r>
    <r>
      <rPr>
        <b val="true"/>
        <sz val="18"/>
        <color rgb="FFFFFFFF"/>
        <rFont val="微软雅黑"/>
        <family val="0"/>
        <charset val="1"/>
      </rPr>
      <t xml:space="preserve">+ </t>
    </r>
    <r>
      <rPr>
        <b val="true"/>
        <sz val="18"/>
        <color rgb="FFFFFFFF"/>
        <rFont val="Noto Sans CJK SC"/>
        <family val="2"/>
      </rPr>
      <t xml:space="preserve">护城河 </t>
    </r>
    <r>
      <rPr>
        <b val="true"/>
        <sz val="18"/>
        <color rgb="FFFFFFFF"/>
        <rFont val="微软雅黑"/>
        <family val="0"/>
        <charset val="1"/>
      </rPr>
      <t xml:space="preserve">+ </t>
    </r>
    <r>
      <rPr>
        <b val="true"/>
        <sz val="18"/>
        <color rgb="FFFFFFFF"/>
        <rFont val="Noto Sans CJK SC"/>
        <family val="2"/>
      </rPr>
      <t xml:space="preserve">管理层</t>
    </r>
  </si>
  <si>
    <r>
      <rPr>
        <sz val="10"/>
        <color rgb="FF6B7280"/>
        <rFont val="Noto Sans CJK SC"/>
        <family val="2"/>
      </rPr>
      <t xml:space="preserve">结论为“通过 </t>
    </r>
    <r>
      <rPr>
        <sz val="10"/>
        <color rgb="FF6B7280"/>
        <rFont val="微软雅黑"/>
        <family val="0"/>
        <charset val="1"/>
      </rPr>
      <t xml:space="preserve">/ </t>
    </r>
    <r>
      <rPr>
        <sz val="10"/>
        <color rgb="FF6B7280"/>
        <rFont val="Noto Sans CJK SC"/>
        <family val="2"/>
      </rPr>
      <t xml:space="preserve">存疑 </t>
    </r>
    <r>
      <rPr>
        <sz val="10"/>
        <color rgb="FF6B7280"/>
        <rFont val="微软雅黑"/>
        <family val="0"/>
        <charset val="1"/>
      </rPr>
      <t xml:space="preserve">/ </t>
    </r>
    <r>
      <rPr>
        <sz val="10"/>
        <color rgb="FF6B7280"/>
        <rFont val="Noto Sans CJK SC"/>
        <family val="2"/>
      </rPr>
      <t xml:space="preserve">未通过 </t>
    </r>
    <r>
      <rPr>
        <sz val="10"/>
        <color rgb="FF6B7280"/>
        <rFont val="微软雅黑"/>
        <family val="0"/>
        <charset val="1"/>
      </rPr>
      <t xml:space="preserve">/ </t>
    </r>
    <r>
      <rPr>
        <sz val="10"/>
        <color rgb="FF6B7280"/>
        <rFont val="Noto Sans CJK SC"/>
        <family val="2"/>
      </rPr>
      <t xml:space="preserve">证据不足”，未知不当通过，也不机械按失败题数否决。底色：浅绿</t>
    </r>
    <r>
      <rPr>
        <sz val="10"/>
        <color rgb="FF6B7280"/>
        <rFont val="微软雅黑"/>
        <family val="0"/>
        <charset val="1"/>
      </rPr>
      <t xml:space="preserve">=</t>
    </r>
    <r>
      <rPr>
        <sz val="10"/>
        <color rgb="FF6B7280"/>
        <rFont val="Noto Sans CJK SC"/>
        <family val="2"/>
      </rPr>
      <t xml:space="preserve">事实依据，浅紫</t>
    </r>
    <r>
      <rPr>
        <sz val="10"/>
        <color rgb="FF6B7280"/>
        <rFont val="微软雅黑"/>
        <family val="0"/>
        <charset val="1"/>
      </rPr>
      <t xml:space="preserve">=</t>
    </r>
    <r>
      <rPr>
        <sz val="10"/>
        <color rgb="FF6B7280"/>
        <rFont val="Noto Sans CJK SC"/>
        <family val="2"/>
      </rPr>
      <t xml:space="preserve">研究判断，浅红</t>
    </r>
    <r>
      <rPr>
        <sz val="10"/>
        <color rgb="FF6B7280"/>
        <rFont val="微软雅黑"/>
        <family val="0"/>
        <charset val="1"/>
      </rPr>
      <t xml:space="preserve">=</t>
    </r>
    <r>
      <rPr>
        <sz val="10"/>
        <color rgb="FF6B7280"/>
        <rFont val="Noto Sans CJK SC"/>
        <family val="2"/>
      </rPr>
      <t xml:space="preserve">风险。</t>
    </r>
  </si>
  <si>
    <r>
      <rPr>
        <b val="true"/>
        <sz val="12"/>
        <color rgb="FFFFFFFF"/>
        <rFont val="微软雅黑"/>
        <family val="0"/>
        <charset val="1"/>
      </rPr>
      <t xml:space="preserve">1. </t>
    </r>
    <r>
      <rPr>
        <b val="true"/>
        <sz val="12"/>
        <color rgb="FFFFFFFF"/>
        <rFont val="Noto Sans CJK SC"/>
        <family val="2"/>
      </rPr>
      <t xml:space="preserve">八问快速筛选</t>
    </r>
  </si>
  <si>
    <r>
      <rPr>
        <b val="true"/>
        <sz val="10"/>
        <color rgb="FFFFFFFF"/>
        <rFont val="Noto Sans CJK SC"/>
        <family val="2"/>
      </rPr>
      <t xml:space="preserve">反证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待核实</t>
    </r>
  </si>
  <si>
    <r>
      <rPr>
        <sz val="9"/>
        <color rgb="FF1F2937"/>
        <rFont val="Noto Sans CJK SC"/>
        <family val="2"/>
      </rPr>
      <t xml:space="preserve">卖白电给全球家庭；收入、产品、地区结构清晰；利润由销量</t>
    </r>
    <r>
      <rPr>
        <sz val="9"/>
        <color rgb="FF1F2937"/>
        <rFont val="微软雅黑"/>
        <family val="0"/>
        <charset val="1"/>
      </rPr>
      <t xml:space="preserve">×</t>
    </r>
    <r>
      <rPr>
        <sz val="9"/>
        <color rgb="FF1F2937"/>
        <rFont val="Noto Sans CJK SC"/>
        <family val="2"/>
      </rPr>
      <t xml:space="preserve">均价</t>
    </r>
    <r>
      <rPr>
        <sz val="9"/>
        <color rgb="FF1F2937"/>
        <rFont val="微软雅黑"/>
        <family val="0"/>
        <charset val="1"/>
      </rPr>
      <t xml:space="preserve">×</t>
    </r>
    <r>
      <rPr>
        <sz val="9"/>
        <color rgb="FF1F2937"/>
        <rFont val="Noto Sans CJK SC"/>
        <family val="2"/>
      </rPr>
      <t xml:space="preserve">毛利率−费用决定。</t>
    </r>
  </si>
  <si>
    <r>
      <rPr>
        <sz val="9"/>
        <color rgb="FF1F2937"/>
        <rFont val="Noto Sans CJK SC"/>
        <family val="2"/>
      </rPr>
      <t xml:space="preserve">海外子公司（尤其</t>
    </r>
    <r>
      <rPr>
        <sz val="9"/>
        <color rgb="FF1F2937"/>
        <rFont val="微软雅黑"/>
        <family val="0"/>
        <charset val="1"/>
      </rPr>
      <t xml:space="preserve">GEA</t>
    </r>
    <r>
      <rPr>
        <sz val="9"/>
        <color rgb="FF1F2937"/>
        <rFont val="Noto Sans CJK SC"/>
        <family val="2"/>
      </rPr>
      <t xml:space="preserve">）利润未单独披露，北美盈利能力需从管理层表述推断</t>
    </r>
  </si>
  <si>
    <t xml:space="preserve">冰洗空是生活必需耐用品，更新需求刚性；新兴市场渗透率仍低；暖通、水、商用冷链扩大赛道。</t>
  </si>
  <si>
    <r>
      <rPr>
        <sz val="9"/>
        <color rgb="FF1F2937"/>
        <rFont val="Noto Sans CJK SC"/>
        <family val="2"/>
      </rPr>
      <t xml:space="preserve">国内保有量饱和（户均超</t>
    </r>
    <r>
      <rPr>
        <sz val="9"/>
        <color rgb="FF1F2937"/>
        <rFont val="微软雅黑"/>
        <family val="0"/>
        <charset val="1"/>
      </rPr>
      <t xml:space="preserve">8</t>
    </r>
    <r>
      <rPr>
        <sz val="9"/>
        <color rgb="FF1F2937"/>
        <rFont val="Noto Sans CJK SC"/>
        <family val="2"/>
      </rPr>
      <t xml:space="preserve">台），增长主要靠更新与结构升级</t>
    </r>
  </si>
  <si>
    <r>
      <rPr>
        <sz val="9"/>
        <color rgb="FF1F2937"/>
        <rFont val="Noto Sans CJK SC"/>
        <family val="2"/>
      </rPr>
      <t xml:space="preserve">冰洗份额第一（线上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线下</t>
    </r>
    <r>
      <rPr>
        <sz val="9"/>
        <color rgb="FF1F2937"/>
        <rFont val="微软雅黑"/>
        <family val="0"/>
        <charset val="1"/>
      </rPr>
      <t xml:space="preserve">&gt;40%</t>
    </r>
    <r>
      <rPr>
        <sz val="9"/>
        <color rgb="FF1F2937"/>
        <rFont val="Noto Sans CJK SC"/>
        <family val="2"/>
      </rPr>
      <t xml:space="preserve">）、卡萨帝高端品牌、全球本土化研发</t>
    </r>
    <r>
      <rPr>
        <sz val="9"/>
        <color rgb="FF1F2937"/>
        <rFont val="微软雅黑"/>
        <family val="0"/>
        <charset val="1"/>
      </rPr>
      <t xml:space="preserve">-</t>
    </r>
    <r>
      <rPr>
        <sz val="9"/>
        <color rgb="FF1F2937"/>
        <rFont val="Noto Sans CJK SC"/>
        <family val="2"/>
      </rPr>
      <t xml:space="preserve">制造</t>
    </r>
    <r>
      <rPr>
        <sz val="9"/>
        <color rgb="FF1F2937"/>
        <rFont val="微软雅黑"/>
        <family val="0"/>
        <charset val="1"/>
      </rPr>
      <t xml:space="preserve">-</t>
    </r>
    <r>
      <rPr>
        <sz val="9"/>
        <color rgb="FF1F2937"/>
        <rFont val="Noto Sans CJK SC"/>
        <family val="2"/>
      </rPr>
      <t xml:space="preserve">渠道网络、规模采购。</t>
    </r>
  </si>
  <si>
    <t xml:space="preserve">空调份额远低于美的格力；家电技术可复制，价格战下护城河更多是规模与渠道而非不可替代</t>
  </si>
  <si>
    <r>
      <rPr>
        <sz val="9"/>
        <color rgb="FF1F2937"/>
        <rFont val="Noto Sans CJK SC"/>
        <family val="2"/>
      </rPr>
      <t xml:space="preserve">高端占比高支撑毛利率</t>
    </r>
    <r>
      <rPr>
        <sz val="9"/>
        <color rgb="FF1F2937"/>
        <rFont val="微软雅黑"/>
        <family val="0"/>
        <charset val="1"/>
      </rPr>
      <t xml:space="preserve">27%</t>
    </r>
    <r>
      <rPr>
        <sz val="9"/>
        <color rgb="FF1F2937"/>
        <rFont val="Noto Sans CJK SC"/>
        <family val="2"/>
      </rPr>
      <t xml:space="preserve">左右（高于多数同行）；</t>
    </r>
    <r>
      <rPr>
        <sz val="9"/>
        <color rgb="FF1F2937"/>
        <rFont val="微软雅黑"/>
        <family val="0"/>
        <charset val="1"/>
      </rPr>
      <t xml:space="preserve">2026H1</t>
    </r>
    <r>
      <rPr>
        <sz val="9"/>
        <color rgb="FF1F2937"/>
        <rFont val="Noto Sans CJK SC"/>
        <family val="2"/>
      </rPr>
      <t xml:space="preserve">毛利率逆势</t>
    </r>
    <r>
      <rPr>
        <sz val="9"/>
        <color rgb="FF1F2937"/>
        <rFont val="微软雅黑"/>
        <family val="0"/>
        <charset val="1"/>
      </rPr>
      <t xml:space="preserve">+0.4pct</t>
    </r>
    <r>
      <rPr>
        <sz val="9"/>
        <color rgb="FF1F2937"/>
        <rFont val="Noto Sans CJK SC"/>
        <family val="2"/>
      </rPr>
      <t xml:space="preserve">。</t>
    </r>
  </si>
  <si>
    <r>
      <rPr>
        <sz val="9"/>
        <color rgb="FF1F2937"/>
        <rFont val="微软雅黑"/>
        <family val="0"/>
        <charset val="1"/>
      </rPr>
      <t xml:space="preserve">2025</t>
    </r>
    <r>
      <rPr>
        <sz val="9"/>
        <color rgb="FF1F2937"/>
        <rFont val="Noto Sans CJK SC"/>
        <family val="2"/>
      </rPr>
      <t xml:space="preserve">年毛利率</t>
    </r>
    <r>
      <rPr>
        <sz val="9"/>
        <color rgb="FF1F2937"/>
        <rFont val="微软雅黑"/>
        <family val="0"/>
        <charset val="1"/>
      </rPr>
      <t xml:space="preserve">-1.1pct</t>
    </r>
    <r>
      <rPr>
        <sz val="9"/>
        <color rgb="FF1F2937"/>
        <rFont val="Noto Sans CJK SC"/>
        <family val="2"/>
      </rPr>
      <t xml:space="preserve">；美国关税成本难完全转嫁（花旗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里昂）；国内</t>
    </r>
    <r>
      <rPr>
        <sz val="9"/>
        <color rgb="FF1F2937"/>
        <rFont val="微软雅黑"/>
        <family val="0"/>
        <charset val="1"/>
      </rPr>
      <t xml:space="preserve">9</t>
    </r>
    <r>
      <rPr>
        <sz val="9"/>
        <color rgb="FF1F2937"/>
        <rFont val="Noto Sans CJK SC"/>
        <family val="2"/>
      </rPr>
      <t xml:space="preserve">月行业均价</t>
    </r>
    <r>
      <rPr>
        <sz val="9"/>
        <color rgb="FF1F2937"/>
        <rFont val="微软雅黑"/>
        <family val="0"/>
        <charset val="1"/>
      </rPr>
      <t xml:space="preserve">-11%</t>
    </r>
  </si>
  <si>
    <r>
      <rPr>
        <sz val="9"/>
        <color rgb="FF1F2937"/>
        <rFont val="微软雅黑"/>
        <family val="0"/>
        <charset val="1"/>
      </rPr>
      <t xml:space="preserve">2021–2025</t>
    </r>
    <r>
      <rPr>
        <sz val="9"/>
        <color rgb="FF1F2937"/>
        <rFont val="Noto Sans CJK SC"/>
        <family val="2"/>
      </rPr>
      <t xml:space="preserve">累计</t>
    </r>
    <r>
      <rPr>
        <sz val="9"/>
        <color rgb="FF1F2937"/>
        <rFont val="微软雅黑"/>
        <family val="0"/>
        <charset val="1"/>
      </rPr>
      <t xml:space="preserve">CFO≈1223</t>
    </r>
    <r>
      <rPr>
        <sz val="9"/>
        <color rgb="FF1F2937"/>
        <rFont val="Noto Sans CJK SC"/>
        <family val="2"/>
      </rPr>
      <t xml:space="preserve">亿，为同期归母净利</t>
    </r>
    <r>
      <rPr>
        <sz val="9"/>
        <color rgb="FF1F2937"/>
        <rFont val="微软雅黑"/>
        <family val="0"/>
        <charset val="1"/>
      </rPr>
      <t xml:space="preserve">(827</t>
    </r>
    <r>
      <rPr>
        <sz val="9"/>
        <color rgb="FF1F2937"/>
        <rFont val="Noto Sans CJK SC"/>
        <family val="2"/>
      </rPr>
      <t xml:space="preserve">亿</t>
    </r>
    <r>
      <rPr>
        <sz val="9"/>
        <color rgb="FF1F2937"/>
        <rFont val="微软雅黑"/>
        <family val="0"/>
        <charset val="1"/>
      </rPr>
      <t xml:space="preserve">)</t>
    </r>
    <r>
      <rPr>
        <sz val="9"/>
        <color rgb="FF1F2937"/>
        <rFont val="Noto Sans CJK SC"/>
        <family val="2"/>
      </rPr>
      <t xml:space="preserve">的</t>
    </r>
    <r>
      <rPr>
        <sz val="9"/>
        <color rgb="FF1F2937"/>
        <rFont val="微软雅黑"/>
        <family val="0"/>
        <charset val="1"/>
      </rPr>
      <t xml:space="preserve">1.48</t>
    </r>
    <r>
      <rPr>
        <sz val="9"/>
        <color rgb="FF1F2937"/>
        <rFont val="Noto Sans CJK SC"/>
        <family val="2"/>
      </rPr>
      <t xml:space="preserve">倍；扣全部资本开支与租赁后仍有约</t>
    </r>
    <r>
      <rPr>
        <sz val="9"/>
        <color rgb="FF1F2937"/>
        <rFont val="微软雅黑"/>
        <family val="0"/>
        <charset val="1"/>
      </rPr>
      <t xml:space="preserve">140–150</t>
    </r>
    <r>
      <rPr>
        <sz val="9"/>
        <color rgb="FF1F2937"/>
        <rFont val="Noto Sans CJK SC"/>
        <family val="2"/>
      </rPr>
      <t xml:space="preserve">亿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年。</t>
    </r>
  </si>
  <si>
    <r>
      <rPr>
        <sz val="9"/>
        <color rgb="FF1F2937"/>
        <rFont val="微软雅黑"/>
        <family val="0"/>
        <charset val="1"/>
      </rPr>
      <t xml:space="preserve">CFO</t>
    </r>
    <r>
      <rPr>
        <sz val="9"/>
        <color rgb="FF1F2937"/>
        <rFont val="Noto Sans CJK SC"/>
        <family val="2"/>
      </rPr>
      <t xml:space="preserve">部分来自对供应商的应付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票据占款；资本开支仍高于折旧</t>
    </r>
  </si>
  <si>
    <r>
      <rPr>
        <sz val="9"/>
        <color rgb="FF1F2937"/>
        <rFont val="微软雅黑"/>
        <family val="0"/>
        <charset val="1"/>
      </rPr>
      <t xml:space="preserve">2026-06-30</t>
    </r>
    <r>
      <rPr>
        <sz val="9"/>
        <color rgb="FF1F2937"/>
        <rFont val="Noto Sans CJK SC"/>
        <family val="2"/>
      </rPr>
      <t xml:space="preserve">现金</t>
    </r>
    <r>
      <rPr>
        <sz val="9"/>
        <color rgb="FF1F2937"/>
        <rFont val="微软雅黑"/>
        <family val="0"/>
        <charset val="1"/>
      </rPr>
      <t xml:space="preserve">+</t>
    </r>
    <r>
      <rPr>
        <sz val="9"/>
        <color rgb="FF1F2937"/>
        <rFont val="Noto Sans CJK SC"/>
        <family val="2"/>
      </rPr>
      <t xml:space="preserve">交易性金融资产约</t>
    </r>
    <r>
      <rPr>
        <sz val="9"/>
        <color rgb="FF1F2937"/>
        <rFont val="微软雅黑"/>
        <family val="0"/>
        <charset val="1"/>
      </rPr>
      <t xml:space="preserve">586</t>
    </r>
    <r>
      <rPr>
        <sz val="9"/>
        <color rgb="FF1F2937"/>
        <rFont val="Noto Sans CJK SC"/>
        <family val="2"/>
      </rPr>
      <t xml:space="preserve">亿，宽口径有息负债约</t>
    </r>
    <r>
      <rPr>
        <sz val="9"/>
        <color rgb="FF1F2937"/>
        <rFont val="微软雅黑"/>
        <family val="0"/>
        <charset val="1"/>
      </rPr>
      <t xml:space="preserve">425</t>
    </r>
    <r>
      <rPr>
        <sz val="9"/>
        <color rgb="FF1F2937"/>
        <rFont val="Noto Sans CJK SC"/>
        <family val="2"/>
      </rPr>
      <t xml:space="preserve">亿，净现金约</t>
    </r>
    <r>
      <rPr>
        <sz val="9"/>
        <color rgb="FF1F2937"/>
        <rFont val="微软雅黑"/>
        <family val="0"/>
        <charset val="1"/>
      </rPr>
      <t xml:space="preserve">161</t>
    </r>
    <r>
      <rPr>
        <sz val="9"/>
        <color rgb="FF1F2937"/>
        <rFont val="Noto Sans CJK SC"/>
        <family val="2"/>
      </rPr>
      <t xml:space="preserve">亿；利息覆盖充足。</t>
    </r>
  </si>
  <si>
    <r>
      <rPr>
        <sz val="9"/>
        <color rgb="FF1F2937"/>
        <rFont val="Noto Sans CJK SC"/>
        <family val="2"/>
      </rPr>
      <t xml:space="preserve">收入下滑</t>
    </r>
    <r>
      <rPr>
        <sz val="9"/>
        <color rgb="FF1F2937"/>
        <rFont val="微软雅黑"/>
        <family val="0"/>
        <charset val="1"/>
      </rPr>
      <t xml:space="preserve">30%</t>
    </r>
    <r>
      <rPr>
        <sz val="9"/>
        <color rgb="FF1F2937"/>
        <rFont val="Noto Sans CJK SC"/>
        <family val="2"/>
      </rPr>
      <t xml:space="preserve">时，应付占款回流可能消耗大量现金（需看行业下行期营运资金）</t>
    </r>
  </si>
  <si>
    <r>
      <rPr>
        <sz val="9"/>
        <color rgb="FF1F2937"/>
        <rFont val="Noto Sans CJK SC"/>
        <family val="2"/>
      </rPr>
      <t xml:space="preserve">持续提高派息率</t>
    </r>
    <r>
      <rPr>
        <sz val="9"/>
        <color rgb="FF1F2937"/>
        <rFont val="微软雅黑"/>
        <family val="0"/>
        <charset val="1"/>
      </rPr>
      <t xml:space="preserve">(32%→55%)</t>
    </r>
    <r>
      <rPr>
        <sz val="9"/>
        <color rgb="FF1F2937"/>
        <rFont val="Noto Sans CJK SC"/>
        <family val="2"/>
      </rPr>
      <t xml:space="preserve">并给出</t>
    </r>
    <r>
      <rPr>
        <sz val="9"/>
        <color rgb="FF1F2937"/>
        <rFont val="微软雅黑"/>
        <family val="0"/>
        <charset val="1"/>
      </rPr>
      <t xml:space="preserve">58%/60%</t>
    </r>
    <r>
      <rPr>
        <sz val="9"/>
        <color rgb="FF1F2937"/>
        <rFont val="Noto Sans CJK SC"/>
        <family val="2"/>
      </rPr>
      <t xml:space="preserve">承诺；审计与披露规范；国际并购整合</t>
    </r>
    <r>
      <rPr>
        <sz val="9"/>
        <color rgb="FF1F2937"/>
        <rFont val="微软雅黑"/>
        <family val="0"/>
        <charset val="1"/>
      </rPr>
      <t xml:space="preserve">(GEA)</t>
    </r>
    <r>
      <rPr>
        <sz val="9"/>
        <color rgb="FF1F2937"/>
        <rFont val="Noto Sans CJK SC"/>
        <family val="2"/>
      </rPr>
      <t xml:space="preserve">总体成功。</t>
    </r>
  </si>
  <si>
    <r>
      <rPr>
        <sz val="9"/>
        <color rgb="FF1F2937"/>
        <rFont val="Noto Sans CJK SC"/>
        <family val="2"/>
      </rPr>
      <t xml:space="preserve">海尔集团合计持股约</t>
    </r>
    <r>
      <rPr>
        <sz val="9"/>
        <color rgb="FF1F2937"/>
        <rFont val="微软雅黑"/>
        <family val="0"/>
        <charset val="1"/>
      </rPr>
      <t xml:space="preserve">34%</t>
    </r>
    <r>
      <rPr>
        <sz val="9"/>
        <color rgb="FF1F2937"/>
        <rFont val="Noto Sans CJK SC"/>
        <family val="2"/>
      </rPr>
      <t xml:space="preserve">，关联交易与集团财务公司往来需持续跟踪；回购用于员工持股而非注销</t>
    </r>
  </si>
  <si>
    <r>
      <rPr>
        <sz val="9"/>
        <color rgb="FF1F2937"/>
        <rFont val="Noto Sans CJK SC"/>
        <family val="2"/>
      </rPr>
      <t xml:space="preserve">基准加权价值约</t>
    </r>
    <r>
      <rPr>
        <sz val="9"/>
        <color rgb="FF1F2937"/>
        <rFont val="微软雅黑"/>
        <family val="0"/>
        <charset val="1"/>
      </rPr>
      <t xml:space="preserve">24.4</t>
    </r>
    <r>
      <rPr>
        <sz val="9"/>
        <color rgb="FF1F2937"/>
        <rFont val="Noto Sans CJK SC"/>
        <family val="2"/>
      </rPr>
      <t xml:space="preserve">元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股；</t>
    </r>
    <r>
      <rPr>
        <sz val="9"/>
        <color rgb="FF1F2937"/>
        <rFont val="微软雅黑"/>
        <family val="0"/>
        <charset val="1"/>
      </rPr>
      <t xml:space="preserve">A</t>
    </r>
    <r>
      <rPr>
        <sz val="9"/>
        <color rgb="FF1F2937"/>
        <rFont val="Noto Sans CJK SC"/>
        <family val="2"/>
      </rPr>
      <t xml:space="preserve">股</t>
    </r>
    <r>
      <rPr>
        <sz val="9"/>
        <color rgb="FF1F2937"/>
        <rFont val="微软雅黑"/>
        <family val="0"/>
        <charset val="1"/>
      </rPr>
      <t xml:space="preserve">20.11</t>
    </r>
    <r>
      <rPr>
        <sz val="9"/>
        <color rgb="FF1F2937"/>
        <rFont val="Noto Sans CJK SC"/>
        <family val="2"/>
      </rPr>
      <t xml:space="preserve">元对应约</t>
    </r>
    <r>
      <rPr>
        <sz val="9"/>
        <color rgb="FF1F2937"/>
        <rFont val="微软雅黑"/>
        <family val="0"/>
        <charset val="1"/>
      </rPr>
      <t xml:space="preserve">18%</t>
    </r>
    <r>
      <rPr>
        <sz val="9"/>
        <color rgb="FF1F2937"/>
        <rFont val="Noto Sans CJK SC"/>
        <family val="2"/>
      </rPr>
      <t xml:space="preserve">安全边际，</t>
    </r>
    <r>
      <rPr>
        <sz val="9"/>
        <color rgb="FF1F2937"/>
        <rFont val="微软雅黑"/>
        <family val="0"/>
        <charset val="1"/>
      </rPr>
      <t xml:space="preserve">H</t>
    </r>
    <r>
      <rPr>
        <sz val="9"/>
        <color rgb="FF1F2937"/>
        <rFont val="Noto Sans CJK SC"/>
        <family val="2"/>
      </rPr>
      <t xml:space="preserve">股</t>
    </r>
    <r>
      <rPr>
        <sz val="9"/>
        <color rgb="FF1F2937"/>
        <rFont val="微软雅黑"/>
        <family val="0"/>
        <charset val="1"/>
      </rPr>
      <t xml:space="preserve">(</t>
    </r>
    <r>
      <rPr>
        <sz val="9"/>
        <color rgb="FF1F2937"/>
        <rFont val="Noto Sans CJK SC"/>
        <family val="2"/>
      </rPr>
      <t xml:space="preserve">折约</t>
    </r>
    <r>
      <rPr>
        <sz val="9"/>
        <color rgb="FF1F2937"/>
        <rFont val="微软雅黑"/>
        <family val="0"/>
        <charset val="1"/>
      </rPr>
      <t xml:space="preserve">17.1</t>
    </r>
    <r>
      <rPr>
        <sz val="9"/>
        <color rgb="FF1F2937"/>
        <rFont val="Noto Sans CJK SC"/>
        <family val="2"/>
      </rPr>
      <t xml:space="preserve">元</t>
    </r>
    <r>
      <rPr>
        <sz val="9"/>
        <color rgb="FF1F2937"/>
        <rFont val="微软雅黑"/>
        <family val="0"/>
        <charset val="1"/>
      </rPr>
      <t xml:space="preserve">)</t>
    </r>
    <r>
      <rPr>
        <sz val="9"/>
        <color rgb="FF1F2937"/>
        <rFont val="Noto Sans CJK SC"/>
        <family val="2"/>
      </rPr>
      <t xml:space="preserve">约</t>
    </r>
    <r>
      <rPr>
        <sz val="9"/>
        <color rgb="FF1F2937"/>
        <rFont val="微软雅黑"/>
        <family val="0"/>
        <charset val="1"/>
      </rPr>
      <t xml:space="preserve">30%</t>
    </r>
    <r>
      <rPr>
        <sz val="9"/>
        <color rgb="FF1F2937"/>
        <rFont val="Noto Sans CJK SC"/>
        <family val="2"/>
      </rPr>
      <t xml:space="preserve">。</t>
    </r>
  </si>
  <si>
    <r>
      <rPr>
        <sz val="9"/>
        <color rgb="FF1F2937"/>
        <rFont val="微软雅黑"/>
        <family val="0"/>
        <charset val="1"/>
      </rPr>
      <t xml:space="preserve">A</t>
    </r>
    <r>
      <rPr>
        <sz val="9"/>
        <color rgb="FF1F2937"/>
        <rFont val="Noto Sans CJK SC"/>
        <family val="2"/>
      </rPr>
      <t xml:space="preserve">股未达</t>
    </r>
    <r>
      <rPr>
        <sz val="9"/>
        <color rgb="FF1F2937"/>
        <rFont val="微软雅黑"/>
        <family val="0"/>
        <charset val="1"/>
      </rPr>
      <t xml:space="preserve">25%</t>
    </r>
    <r>
      <rPr>
        <sz val="9"/>
        <color rgb="FF1F2937"/>
        <rFont val="Noto Sans CJK SC"/>
        <family val="2"/>
      </rPr>
      <t xml:space="preserve">要求安全边际；三季报若利润继续下滑，基准价值需下调</t>
    </r>
  </si>
  <si>
    <r>
      <rPr>
        <b val="true"/>
        <sz val="12"/>
        <color rgb="FFFFFFFF"/>
        <rFont val="微软雅黑"/>
        <family val="0"/>
        <charset val="1"/>
      </rPr>
      <t xml:space="preserve">2. </t>
    </r>
    <r>
      <rPr>
        <b val="true"/>
        <sz val="12"/>
        <color rgb="FFFFFFFF"/>
        <rFont val="Noto Sans CJK SC"/>
        <family val="2"/>
      </rPr>
      <t xml:space="preserve">护城河：证据、反证、趋势与可证伪指标</t>
    </r>
  </si>
  <si>
    <t xml:space="preserve">类型</t>
  </si>
  <si>
    <r>
      <rPr>
        <b val="true"/>
        <sz val="10"/>
        <color rgb="FFFFFFFF"/>
        <rFont val="Noto Sans CJK SC"/>
        <family val="2"/>
      </rPr>
      <t xml:space="preserve">强度</t>
    </r>
    <r>
      <rPr>
        <b val="true"/>
        <sz val="10"/>
        <color rgb="FFFFFFFF"/>
        <rFont val="微软雅黑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趋势</t>
    </r>
  </si>
  <si>
    <t xml:space="preserve">证据</t>
  </si>
  <si>
    <t xml:space="preserve">可证伪指标（跌破即下调判断）</t>
  </si>
  <si>
    <t xml:space="preserve">品牌与高端定位</t>
  </si>
  <si>
    <r>
      <rPr>
        <sz val="10"/>
        <color rgb="FF1F2937"/>
        <rFont val="Noto Sans CJK SC"/>
        <family val="2"/>
      </rPr>
      <t xml:space="preserve">中强 </t>
    </r>
    <r>
      <rPr>
        <sz val="10"/>
        <color rgb="FF1F2937"/>
        <rFont val="微软雅黑"/>
        <family val="0"/>
        <charset val="1"/>
      </rPr>
      <t xml:space="preserve">/ </t>
    </r>
    <r>
      <rPr>
        <sz val="10"/>
        <color rgb="FF1F2937"/>
        <rFont val="Noto Sans CJK SC"/>
        <family val="2"/>
      </rPr>
      <t xml:space="preserve">稳定</t>
    </r>
  </si>
  <si>
    <r>
      <rPr>
        <sz val="9"/>
        <color rgb="FF1F2937"/>
        <rFont val="Noto Sans CJK SC"/>
        <family val="2"/>
      </rPr>
      <t xml:space="preserve">卡萨帝高端；国内冰洗零售份额</t>
    </r>
    <r>
      <rPr>
        <sz val="9"/>
        <color rgb="FF1F2937"/>
        <rFont val="微软雅黑"/>
        <family val="0"/>
        <charset val="1"/>
      </rPr>
      <t xml:space="preserve">&gt;40%</t>
    </r>
    <r>
      <rPr>
        <sz val="9"/>
        <color rgb="FF1F2937"/>
        <rFont val="Noto Sans CJK SC"/>
        <family val="2"/>
      </rPr>
      <t xml:space="preserve">；</t>
    </r>
    <r>
      <rPr>
        <sz val="9"/>
        <color rgb="FF1F2937"/>
        <rFont val="微软雅黑"/>
        <family val="0"/>
        <charset val="1"/>
      </rPr>
      <t xml:space="preserve">2025</t>
    </r>
    <r>
      <rPr>
        <sz val="9"/>
        <color rgb="FF1F2937"/>
        <rFont val="Noto Sans CJK SC"/>
        <family val="2"/>
      </rPr>
      <t xml:space="preserve">年</t>
    </r>
    <r>
      <rPr>
        <sz val="9"/>
        <color rgb="FF1F2937"/>
        <rFont val="微软雅黑"/>
        <family val="0"/>
        <charset val="1"/>
      </rPr>
      <t xml:space="preserve">Leader</t>
    </r>
    <r>
      <rPr>
        <sz val="9"/>
        <color rgb="FF1F2937"/>
        <rFont val="Noto Sans CJK SC"/>
        <family val="2"/>
      </rPr>
      <t xml:space="preserve">品牌收入超</t>
    </r>
    <r>
      <rPr>
        <sz val="9"/>
        <color rgb="FF1F2937"/>
        <rFont val="微软雅黑"/>
        <family val="0"/>
        <charset val="1"/>
      </rPr>
      <t xml:space="preserve">100</t>
    </r>
    <r>
      <rPr>
        <sz val="9"/>
        <color rgb="FF1F2937"/>
        <rFont val="Noto Sans CJK SC"/>
        <family val="2"/>
      </rPr>
      <t xml:space="preserve">亿</t>
    </r>
    <r>
      <rPr>
        <sz val="9"/>
        <color rgb="FF1F2937"/>
        <rFont val="微软雅黑"/>
        <family val="0"/>
        <charset val="1"/>
      </rPr>
      <t xml:space="preserve">(+30%)</t>
    </r>
    <r>
      <rPr>
        <sz val="9"/>
        <color rgb="FF1F2937"/>
        <rFont val="Noto Sans CJK SC"/>
        <family val="2"/>
      </rPr>
      <t xml:space="preserve">。</t>
    </r>
  </si>
  <si>
    <r>
      <rPr>
        <sz val="9"/>
        <color rgb="FF1F2937"/>
        <rFont val="Noto Sans CJK SC"/>
        <family val="2"/>
      </rPr>
      <t xml:space="preserve">国内冰箱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洗衣机线下份额跌破</t>
    </r>
    <r>
      <rPr>
        <sz val="9"/>
        <color rgb="FF1F2937"/>
        <rFont val="微软雅黑"/>
        <family val="0"/>
        <charset val="1"/>
      </rPr>
      <t xml:space="preserve">35%</t>
    </r>
    <r>
      <rPr>
        <sz val="9"/>
        <color rgb="FF1F2937"/>
        <rFont val="Noto Sans CJK SC"/>
        <family val="2"/>
      </rPr>
      <t xml:space="preserve">；毛利率连续两年</t>
    </r>
    <r>
      <rPr>
        <sz val="9"/>
        <color rgb="FF1F2937"/>
        <rFont val="微软雅黑"/>
        <family val="0"/>
        <charset val="1"/>
      </rPr>
      <t xml:space="preserve">&lt;25%</t>
    </r>
  </si>
  <si>
    <t xml:space="preserve">全球本土化网络</t>
  </si>
  <si>
    <r>
      <rPr>
        <sz val="10"/>
        <color rgb="FF1F2937"/>
        <rFont val="Noto Sans CJK SC"/>
        <family val="2"/>
      </rPr>
      <t xml:space="preserve">中强 </t>
    </r>
    <r>
      <rPr>
        <sz val="10"/>
        <color rgb="FF1F2937"/>
        <rFont val="微软雅黑"/>
        <family val="0"/>
        <charset val="1"/>
      </rPr>
      <t xml:space="preserve">/ </t>
    </r>
    <r>
      <rPr>
        <sz val="10"/>
        <color rgb="FF1F2937"/>
        <rFont val="Noto Sans CJK SC"/>
        <family val="2"/>
      </rPr>
      <t xml:space="preserve">增强</t>
    </r>
  </si>
  <si>
    <r>
      <rPr>
        <sz val="9"/>
        <color rgb="FF1F2937"/>
        <rFont val="Noto Sans CJK SC"/>
        <family val="2"/>
      </rPr>
      <t xml:space="preserve">北美</t>
    </r>
    <r>
      <rPr>
        <sz val="9"/>
        <color rgb="FF1F2937"/>
        <rFont val="微软雅黑"/>
        <family val="0"/>
        <charset val="1"/>
      </rPr>
      <t xml:space="preserve">GEA</t>
    </r>
    <r>
      <rPr>
        <sz val="9"/>
        <color rgb="FF1F2937"/>
        <rFont val="Noto Sans CJK SC"/>
        <family val="2"/>
      </rPr>
      <t xml:space="preserve">、欧洲</t>
    </r>
    <r>
      <rPr>
        <sz val="9"/>
        <color rgb="FF1F2937"/>
        <rFont val="微软雅黑"/>
        <family val="0"/>
        <charset val="1"/>
      </rPr>
      <t xml:space="preserve">Candy/Hoover</t>
    </r>
    <r>
      <rPr>
        <sz val="9"/>
        <color rgb="FF1F2937"/>
        <rFont val="Noto Sans CJK SC"/>
        <family val="2"/>
      </rPr>
      <t xml:space="preserve">、澳新</t>
    </r>
    <r>
      <rPr>
        <sz val="9"/>
        <color rgb="FF1F2937"/>
        <rFont val="微软雅黑"/>
        <family val="0"/>
        <charset val="1"/>
      </rPr>
      <t xml:space="preserve">F&amp;P</t>
    </r>
    <r>
      <rPr>
        <sz val="9"/>
        <color rgb="FF1F2937"/>
        <rFont val="Noto Sans CJK SC"/>
        <family val="2"/>
      </rPr>
      <t xml:space="preserve">、南亚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东南亚自建；海外收入约</t>
    </r>
    <r>
      <rPr>
        <sz val="9"/>
        <color rgb="FF1F2937"/>
        <rFont val="微软雅黑"/>
        <family val="0"/>
        <charset val="1"/>
      </rPr>
      <t xml:space="preserve">50%</t>
    </r>
    <r>
      <rPr>
        <sz val="9"/>
        <color rgb="FF1F2937"/>
        <rFont val="Noto Sans CJK SC"/>
        <family val="2"/>
      </rPr>
      <t xml:space="preserve">，新兴市场高增。</t>
    </r>
  </si>
  <si>
    <t xml:space="preserve">海外收入连续两年负增长；北美份额下降</t>
  </si>
  <si>
    <t xml:space="preserve">规模与供应链成本</t>
  </si>
  <si>
    <r>
      <rPr>
        <sz val="10"/>
        <color rgb="FF1F2937"/>
        <rFont val="Noto Sans CJK SC"/>
        <family val="2"/>
      </rPr>
      <t xml:space="preserve">中 </t>
    </r>
    <r>
      <rPr>
        <sz val="10"/>
        <color rgb="FF1F2937"/>
        <rFont val="微软雅黑"/>
        <family val="0"/>
        <charset val="1"/>
      </rPr>
      <t xml:space="preserve">/ </t>
    </r>
    <r>
      <rPr>
        <sz val="10"/>
        <color rgb="FF1F2937"/>
        <rFont val="Noto Sans CJK SC"/>
        <family val="2"/>
      </rPr>
      <t xml:space="preserve">稳定</t>
    </r>
  </si>
  <si>
    <r>
      <rPr>
        <sz val="9"/>
        <color rgb="FF1F2937"/>
        <rFont val="Noto Sans CJK SC"/>
        <family val="2"/>
      </rPr>
      <t xml:space="preserve">年收入</t>
    </r>
    <r>
      <rPr>
        <sz val="9"/>
        <color rgb="FF1F2937"/>
        <rFont val="微软雅黑"/>
        <family val="0"/>
        <charset val="1"/>
      </rPr>
      <t xml:space="preserve">3000</t>
    </r>
    <r>
      <rPr>
        <sz val="9"/>
        <color rgb="FF1F2937"/>
        <rFont val="Noto Sans CJK SC"/>
        <family val="2"/>
      </rPr>
      <t xml:space="preserve">亿级采购规模；</t>
    </r>
    <r>
      <rPr>
        <sz val="9"/>
        <color rgb="FF1F2937"/>
        <rFont val="微软雅黑"/>
        <family val="0"/>
        <charset val="1"/>
      </rPr>
      <t xml:space="preserve">SKU</t>
    </r>
    <r>
      <rPr>
        <sz val="9"/>
        <color rgb="FF1F2937"/>
        <rFont val="Noto Sans CJK SC"/>
        <family val="2"/>
      </rPr>
      <t xml:space="preserve">压降</t>
    </r>
    <r>
      <rPr>
        <sz val="9"/>
        <color rgb="FF1F2937"/>
        <rFont val="微软雅黑"/>
        <family val="0"/>
        <charset val="1"/>
      </rPr>
      <t xml:space="preserve">18%</t>
    </r>
    <r>
      <rPr>
        <sz val="9"/>
        <color rgb="FF1F2937"/>
        <rFont val="Noto Sans CJK SC"/>
        <family val="2"/>
      </rPr>
      <t xml:space="preserve">、零部件共享、区域化供应链；原材料套保。</t>
    </r>
  </si>
  <si>
    <t xml:space="preserve">毛利率改善持续落后美的；原材料上涨期毛利率下滑幅度大于同行</t>
  </si>
  <si>
    <t xml:space="preserve">渠道与用户直达</t>
  </si>
  <si>
    <r>
      <rPr>
        <sz val="10"/>
        <color rgb="FF1F2937"/>
        <rFont val="Noto Sans CJK SC"/>
        <family val="2"/>
      </rPr>
      <t xml:space="preserve">中 </t>
    </r>
    <r>
      <rPr>
        <sz val="10"/>
        <color rgb="FF1F2937"/>
        <rFont val="微软雅黑"/>
        <family val="0"/>
        <charset val="1"/>
      </rPr>
      <t xml:space="preserve">/ </t>
    </r>
    <r>
      <rPr>
        <sz val="10"/>
        <color rgb="FF1F2937"/>
        <rFont val="Noto Sans CJK SC"/>
        <family val="2"/>
      </rPr>
      <t xml:space="preserve">变化中</t>
    </r>
  </si>
  <si>
    <r>
      <rPr>
        <sz val="9"/>
        <color rgb="FF1F2937"/>
        <rFont val="Noto Sans CJK SC"/>
        <family val="2"/>
      </rPr>
      <t xml:space="preserve">国内直单占比约</t>
    </r>
    <r>
      <rPr>
        <sz val="9"/>
        <color rgb="FF1F2937"/>
        <rFont val="微软雅黑"/>
        <family val="0"/>
        <charset val="1"/>
      </rPr>
      <t xml:space="preserve">65%</t>
    </r>
    <r>
      <rPr>
        <sz val="9"/>
        <color rgb="FF1F2937"/>
        <rFont val="Noto Sans CJK SC"/>
        <family val="2"/>
      </rPr>
      <t xml:space="preserve">（</t>
    </r>
    <r>
      <rPr>
        <sz val="9"/>
        <color rgb="FF1F2937"/>
        <rFont val="微软雅黑"/>
        <family val="0"/>
        <charset val="1"/>
      </rPr>
      <t xml:space="preserve">+8pct</t>
    </r>
    <r>
      <rPr>
        <sz val="9"/>
        <color rgb="FF1F2937"/>
        <rFont val="Noto Sans CJK SC"/>
        <family val="2"/>
      </rPr>
      <t xml:space="preserve">），统仓统配订单占</t>
    </r>
    <r>
      <rPr>
        <sz val="9"/>
        <color rgb="FF1F2937"/>
        <rFont val="微软雅黑"/>
        <family val="0"/>
        <charset val="1"/>
      </rPr>
      <t xml:space="preserve">64%</t>
    </r>
    <r>
      <rPr>
        <sz val="9"/>
        <color rgb="FF1F2937"/>
        <rFont val="Noto Sans CJK SC"/>
        <family val="2"/>
      </rPr>
      <t xml:space="preserve">，破损更换周期</t>
    </r>
    <r>
      <rPr>
        <sz val="9"/>
        <color rgb="FF1F2937"/>
        <rFont val="微软雅黑"/>
        <family val="0"/>
        <charset val="1"/>
      </rPr>
      <t xml:space="preserve">15.3</t>
    </r>
    <r>
      <rPr>
        <sz val="9"/>
        <color rgb="FF1F2937"/>
        <rFont val="Noto Sans CJK SC"/>
        <family val="2"/>
      </rPr>
      <t xml:space="preserve">天→</t>
    </r>
    <r>
      <rPr>
        <sz val="9"/>
        <color rgb="FF1F2937"/>
        <rFont val="微软雅黑"/>
        <family val="0"/>
        <charset val="1"/>
      </rPr>
      <t xml:space="preserve">3.3</t>
    </r>
    <r>
      <rPr>
        <sz val="9"/>
        <color rgb="FF1F2937"/>
        <rFont val="Noto Sans CJK SC"/>
        <family val="2"/>
      </rPr>
      <t xml:space="preserve">天。</t>
    </r>
  </si>
  <si>
    <r>
      <rPr>
        <sz val="9"/>
        <color rgb="FF1F2937"/>
        <rFont val="Noto Sans CJK SC"/>
        <family val="2"/>
      </rPr>
      <t xml:space="preserve">渠道改革期销售费用率持续</t>
    </r>
    <r>
      <rPr>
        <sz val="9"/>
        <color rgb="FF1F2937"/>
        <rFont val="微软雅黑"/>
        <family val="0"/>
        <charset val="1"/>
      </rPr>
      <t xml:space="preserve">&gt;12%</t>
    </r>
    <r>
      <rPr>
        <sz val="9"/>
        <color rgb="FF1F2937"/>
        <rFont val="Noto Sans CJK SC"/>
        <family val="2"/>
      </rPr>
      <t xml:space="preserve">且收入不增长</t>
    </r>
  </si>
  <si>
    <r>
      <rPr>
        <b val="true"/>
        <sz val="10"/>
        <color rgb="FF1F2937"/>
        <rFont val="Noto Sans CJK SC"/>
        <family val="2"/>
      </rPr>
      <t xml:space="preserve">技术</t>
    </r>
    <r>
      <rPr>
        <b val="true"/>
        <sz val="10"/>
        <color rgb="FF1F2937"/>
        <rFont val="微软雅黑"/>
        <family val="0"/>
        <charset val="1"/>
      </rPr>
      <t xml:space="preserve">/</t>
    </r>
    <r>
      <rPr>
        <b val="true"/>
        <sz val="10"/>
        <color rgb="FF1F2937"/>
        <rFont val="Noto Sans CJK SC"/>
        <family val="2"/>
      </rPr>
      <t xml:space="preserve">产品壁垒</t>
    </r>
  </si>
  <si>
    <t xml:space="preserve">弱–中</t>
  </si>
  <si>
    <r>
      <rPr>
        <sz val="9"/>
        <color rgb="FF1F2937"/>
        <rFont val="Noto Sans CJK SC"/>
        <family val="2"/>
      </rPr>
      <t xml:space="preserve">持续推出爆品</t>
    </r>
    <r>
      <rPr>
        <sz val="9"/>
        <color rgb="FF1F2937"/>
        <rFont val="微软雅黑"/>
        <family val="0"/>
        <charset val="1"/>
      </rPr>
      <t xml:space="preserve">(</t>
    </r>
    <r>
      <rPr>
        <sz val="9"/>
        <color rgb="FF1F2937"/>
        <rFont val="Noto Sans CJK SC"/>
        <family val="2"/>
      </rPr>
      <t xml:space="preserve">冰立方、懒人三筒</t>
    </r>
    <r>
      <rPr>
        <sz val="9"/>
        <color rgb="FF1F2937"/>
        <rFont val="微软雅黑"/>
        <family val="0"/>
        <charset val="1"/>
      </rPr>
      <t xml:space="preserve">)</t>
    </r>
    <r>
      <rPr>
        <sz val="9"/>
        <color rgb="FF1F2937"/>
        <rFont val="Noto Sans CJK SC"/>
        <family val="2"/>
      </rPr>
      <t xml:space="preserve">，但家电技术可复制、迭代快。</t>
    </r>
  </si>
  <si>
    <r>
      <rPr>
        <sz val="9"/>
        <color rgb="FF1F2937"/>
        <rFont val="Noto Sans CJK SC"/>
        <family val="2"/>
      </rPr>
      <t xml:space="preserve">爆品生命周期</t>
    </r>
    <r>
      <rPr>
        <sz val="9"/>
        <color rgb="FF1F2937"/>
        <rFont val="微软雅黑"/>
        <family val="0"/>
        <charset val="1"/>
      </rPr>
      <t xml:space="preserve">&lt;2</t>
    </r>
    <r>
      <rPr>
        <sz val="9"/>
        <color rgb="FF1F2937"/>
        <rFont val="Noto Sans CJK SC"/>
        <family val="2"/>
      </rPr>
      <t xml:space="preserve">年、价格带份额回落</t>
    </r>
  </si>
  <si>
    <r>
      <rPr>
        <b val="true"/>
        <sz val="10"/>
        <color rgb="FF1F2937"/>
        <rFont val="Noto Sans CJK SC"/>
        <family val="2"/>
      </rPr>
      <t xml:space="preserve">护城河总评（研究判断）：中等、偏规模与渠道型的护城河。它让海尔在行业下行时比二三线品牌更稳、现金流更好，但还不足以在关税、补贴退坡、原材料暴涨时完全守住利润率——所以估值上不给“消费品牌”溢价，按成熟制造业的</t>
    </r>
    <r>
      <rPr>
        <b val="true"/>
        <sz val="10"/>
        <color rgb="FF1F2937"/>
        <rFont val="微软雅黑"/>
        <family val="0"/>
        <charset val="1"/>
      </rPr>
      <t xml:space="preserve">10–14</t>
    </r>
    <r>
      <rPr>
        <b val="true"/>
        <sz val="10"/>
        <color rgb="FF1F2937"/>
        <rFont val="Noto Sans CJK SC"/>
        <family val="2"/>
      </rPr>
      <t xml:space="preserve">倍看。</t>
    </r>
  </si>
  <si>
    <r>
      <rPr>
        <b val="true"/>
        <sz val="12"/>
        <color rgb="FFFFFFFF"/>
        <rFont val="微软雅黑"/>
        <family val="0"/>
        <charset val="1"/>
      </rPr>
      <t xml:space="preserve">3. </t>
    </r>
    <r>
      <rPr>
        <b val="true"/>
        <sz val="12"/>
        <color rgb="FFFFFFFF"/>
        <rFont val="Noto Sans CJK SC"/>
        <family val="2"/>
      </rPr>
      <t xml:space="preserve">管理层与资本配置</t>
    </r>
  </si>
  <si>
    <t xml:space="preserve">维度</t>
  </si>
  <si>
    <t xml:space="preserve">评价</t>
  </si>
  <si>
    <t xml:space="preserve">事实</t>
  </si>
  <si>
    <t xml:space="preserve">关注点</t>
  </si>
  <si>
    <t xml:space="preserve">分红</t>
  </si>
  <si>
    <t xml:space="preserve">良</t>
  </si>
  <si>
    <r>
      <rPr>
        <sz val="9"/>
        <color rgb="FF1F2937"/>
        <rFont val="Noto Sans CJK SC"/>
        <family val="2"/>
      </rPr>
      <t xml:space="preserve">派息率</t>
    </r>
    <r>
      <rPr>
        <sz val="9"/>
        <color rgb="FF1F2937"/>
        <rFont val="微软雅黑"/>
        <family val="0"/>
        <charset val="1"/>
      </rPr>
      <t xml:space="preserve">2021</t>
    </r>
    <r>
      <rPr>
        <sz val="9"/>
        <color rgb="FF1F2937"/>
        <rFont val="Noto Sans CJK SC"/>
        <family val="2"/>
      </rPr>
      <t xml:space="preserve">约</t>
    </r>
    <r>
      <rPr>
        <sz val="9"/>
        <color rgb="FF1F2937"/>
        <rFont val="微软雅黑"/>
        <family val="0"/>
        <charset val="1"/>
      </rPr>
      <t xml:space="preserve">33%→2022</t>
    </r>
    <r>
      <rPr>
        <sz val="9"/>
        <color rgb="FF1F2937"/>
        <rFont val="Noto Sans CJK SC"/>
        <family val="2"/>
      </rPr>
      <t xml:space="preserve">年</t>
    </r>
    <r>
      <rPr>
        <sz val="9"/>
        <color rgb="FF1F2937"/>
        <rFont val="微软雅黑"/>
        <family val="0"/>
        <charset val="1"/>
      </rPr>
      <t xml:space="preserve">36%→2024</t>
    </r>
    <r>
      <rPr>
        <sz val="9"/>
        <color rgb="FF1F2937"/>
        <rFont val="Noto Sans CJK SC"/>
        <family val="2"/>
      </rPr>
      <t xml:space="preserve">年</t>
    </r>
    <r>
      <rPr>
        <sz val="9"/>
        <color rgb="FF1F2937"/>
        <rFont val="微软雅黑"/>
        <family val="0"/>
        <charset val="1"/>
      </rPr>
      <t xml:space="preserve">48%→2025</t>
    </r>
    <r>
      <rPr>
        <sz val="9"/>
        <color rgb="FF1F2937"/>
        <rFont val="Noto Sans CJK SC"/>
        <family val="2"/>
      </rPr>
      <t xml:space="preserve">年</t>
    </r>
    <r>
      <rPr>
        <sz val="9"/>
        <color rgb="FF1F2937"/>
        <rFont val="微软雅黑"/>
        <family val="0"/>
        <charset val="1"/>
      </rPr>
      <t xml:space="preserve">55%</t>
    </r>
    <r>
      <rPr>
        <sz val="9"/>
        <color rgb="FF1F2937"/>
        <rFont val="Noto Sans CJK SC"/>
        <family val="2"/>
      </rPr>
      <t xml:space="preserve">；</t>
    </r>
    <r>
      <rPr>
        <sz val="9"/>
        <color rgb="FF1F2937"/>
        <rFont val="微软雅黑"/>
        <family val="0"/>
        <charset val="1"/>
      </rPr>
      <t xml:space="preserve">2026–2028</t>
    </r>
    <r>
      <rPr>
        <sz val="9"/>
        <color rgb="FF1F2937"/>
        <rFont val="Noto Sans CJK SC"/>
        <family val="2"/>
      </rPr>
      <t xml:space="preserve">规划≥</t>
    </r>
    <r>
      <rPr>
        <sz val="9"/>
        <color rgb="FF1F2937"/>
        <rFont val="微软雅黑"/>
        <family val="0"/>
        <charset val="1"/>
      </rPr>
      <t xml:space="preserve">58%/60%/60%</t>
    </r>
    <r>
      <rPr>
        <sz val="9"/>
        <color rgb="FF1F2937"/>
        <rFont val="Noto Sans CJK SC"/>
        <family val="2"/>
      </rPr>
      <t xml:space="preserve">。</t>
    </r>
  </si>
  <si>
    <t xml:space="preserve">派息率提升快于利润增长，后续增长空间有限</t>
  </si>
  <si>
    <t xml:space="preserve">回购</t>
  </si>
  <si>
    <t xml:space="preserve">中</t>
  </si>
  <si>
    <r>
      <rPr>
        <sz val="9"/>
        <color rgb="FF1F2937"/>
        <rFont val="微软雅黑"/>
        <family val="0"/>
        <charset val="1"/>
      </rPr>
      <t xml:space="preserve">2026</t>
    </r>
    <r>
      <rPr>
        <sz val="9"/>
        <color rgb="FF1F2937"/>
        <rFont val="Noto Sans CJK SC"/>
        <family val="2"/>
      </rPr>
      <t xml:space="preserve">年</t>
    </r>
    <r>
      <rPr>
        <sz val="9"/>
        <color rgb="FF1F2937"/>
        <rFont val="微软雅黑"/>
        <family val="0"/>
        <charset val="1"/>
      </rPr>
      <t xml:space="preserve">A</t>
    </r>
    <r>
      <rPr>
        <sz val="9"/>
        <color rgb="FF1F2937"/>
        <rFont val="Noto Sans CJK SC"/>
        <family val="2"/>
      </rPr>
      <t xml:space="preserve">股回购</t>
    </r>
    <r>
      <rPr>
        <sz val="9"/>
        <color rgb="FF1F2937"/>
        <rFont val="微软雅黑"/>
        <family val="0"/>
        <charset val="1"/>
      </rPr>
      <t xml:space="preserve">30–60</t>
    </r>
    <r>
      <rPr>
        <sz val="9"/>
        <color rgb="FF1F2937"/>
        <rFont val="Noto Sans CJK SC"/>
        <family val="2"/>
      </rPr>
      <t xml:space="preserve">亿；但用于员工持股，非注销。</t>
    </r>
  </si>
  <si>
    <t xml:space="preserve">员工持股解锁与考核目标；是否转为注销</t>
  </si>
  <si>
    <t xml:space="preserve">并购整合</t>
  </si>
  <si>
    <r>
      <rPr>
        <sz val="9"/>
        <color rgb="FF1F2937"/>
        <rFont val="微软雅黑"/>
        <family val="0"/>
        <charset val="1"/>
      </rPr>
      <t xml:space="preserve">GEA(2016)</t>
    </r>
    <r>
      <rPr>
        <sz val="9"/>
        <color rgb="FF1F2937"/>
        <rFont val="Noto Sans CJK SC"/>
        <family val="2"/>
      </rPr>
      <t xml:space="preserve">整合后成为最大利润池；</t>
    </r>
    <r>
      <rPr>
        <sz val="9"/>
        <color rgb="FF1F2937"/>
        <rFont val="微软雅黑"/>
        <family val="0"/>
        <charset val="1"/>
      </rPr>
      <t xml:space="preserve">2024</t>
    </r>
    <r>
      <rPr>
        <sz val="9"/>
        <color rgb="FF1F2937"/>
        <rFont val="Noto Sans CJK SC"/>
        <family val="2"/>
      </rPr>
      <t xml:space="preserve">年收购开利商用冷链，</t>
    </r>
    <r>
      <rPr>
        <sz val="9"/>
        <color rgb="FF1F2937"/>
        <rFont val="微软雅黑"/>
        <family val="0"/>
        <charset val="1"/>
      </rPr>
      <t xml:space="preserve">2025</t>
    </r>
    <r>
      <rPr>
        <sz val="9"/>
        <color rgb="FF1F2937"/>
        <rFont val="Noto Sans CJK SC"/>
        <family val="2"/>
      </rPr>
      <t xml:space="preserve">年收购南非</t>
    </r>
    <r>
      <rPr>
        <sz val="9"/>
        <color rgb="FF1F2937"/>
        <rFont val="微软雅黑"/>
        <family val="0"/>
        <charset val="1"/>
      </rPr>
      <t xml:space="preserve">Kwikot</t>
    </r>
    <r>
      <rPr>
        <sz val="9"/>
        <color rgb="FF1F2937"/>
        <rFont val="Noto Sans CJK SC"/>
        <family val="2"/>
      </rPr>
      <t xml:space="preserve">。</t>
    </r>
  </si>
  <si>
    <r>
      <rPr>
        <sz val="9"/>
        <color rgb="FF1F2937"/>
        <rFont val="Noto Sans CJK SC"/>
        <family val="2"/>
      </rPr>
      <t xml:space="preserve">商誉约</t>
    </r>
    <r>
      <rPr>
        <sz val="9"/>
        <color rgb="FF1F2937"/>
        <rFont val="微软雅黑"/>
        <family val="0"/>
        <charset val="1"/>
      </rPr>
      <t xml:space="preserve">263</t>
    </r>
    <r>
      <rPr>
        <sz val="9"/>
        <color rgb="FF1F2937"/>
        <rFont val="Noto Sans CJK SC"/>
        <family val="2"/>
      </rPr>
      <t xml:space="preserve">亿（占归母权益约</t>
    </r>
    <r>
      <rPr>
        <sz val="9"/>
        <color rgb="FF1F2937"/>
        <rFont val="微软雅黑"/>
        <family val="0"/>
        <charset val="1"/>
      </rPr>
      <t xml:space="preserve">22%</t>
    </r>
    <r>
      <rPr>
        <sz val="9"/>
        <color rgb="FF1F2937"/>
        <rFont val="Noto Sans CJK SC"/>
        <family val="2"/>
      </rPr>
      <t xml:space="preserve">），北美若长期失速有减值风险</t>
    </r>
  </si>
  <si>
    <t xml:space="preserve">治理结构</t>
  </si>
  <si>
    <r>
      <rPr>
        <sz val="9"/>
        <color rgb="FF1F2937"/>
        <rFont val="Noto Sans CJK SC"/>
        <family val="2"/>
      </rPr>
      <t xml:space="preserve">海尔集团及一致行动人合计约</t>
    </r>
    <r>
      <rPr>
        <sz val="9"/>
        <color rgb="FF1F2937"/>
        <rFont val="微软雅黑"/>
        <family val="0"/>
        <charset val="1"/>
      </rPr>
      <t xml:space="preserve">33.9%</t>
    </r>
    <r>
      <rPr>
        <sz val="9"/>
        <color rgb="FF1F2937"/>
        <rFont val="Noto Sans CJK SC"/>
        <family val="2"/>
      </rPr>
      <t xml:space="preserve">（按</t>
    </r>
    <r>
      <rPr>
        <sz val="9"/>
        <color rgb="FF1F2937"/>
        <rFont val="微软雅黑"/>
        <family val="0"/>
        <charset val="1"/>
      </rPr>
      <t xml:space="preserve">2025</t>
    </r>
    <r>
      <rPr>
        <sz val="9"/>
        <color rgb="FF1F2937"/>
        <rFont val="Noto Sans CJK SC"/>
        <family val="2"/>
      </rPr>
      <t xml:space="preserve">年报前十大股东计算）；</t>
    </r>
    <r>
      <rPr>
        <sz val="9"/>
        <color rgb="FF1F2937"/>
        <rFont val="微软雅黑"/>
        <family val="0"/>
        <charset val="1"/>
      </rPr>
      <t xml:space="preserve">A+H+D</t>
    </r>
    <r>
      <rPr>
        <sz val="9"/>
        <color rgb="FF1F2937"/>
        <rFont val="Noto Sans CJK SC"/>
        <family val="2"/>
      </rPr>
      <t xml:space="preserve">三地上市，信息披露较充分。</t>
    </r>
  </si>
  <si>
    <t xml:space="preserve">集团关联交易、集团财务公司存款等需在年报附注逐年核对（本次未逐项核查）</t>
  </si>
  <si>
    <t xml:space="preserve">资产处置</t>
  </si>
  <si>
    <r>
      <rPr>
        <sz val="9"/>
        <color rgb="FF1F2937"/>
        <rFont val="微软雅黑"/>
        <family val="0"/>
        <charset val="1"/>
      </rPr>
      <t xml:space="preserve">2025</t>
    </r>
    <r>
      <rPr>
        <sz val="9"/>
        <color rgb="FF1F2937"/>
        <rFont val="Noto Sans CJK SC"/>
        <family val="2"/>
      </rPr>
      <t xml:space="preserve">年底同意出售海尔印度</t>
    </r>
    <r>
      <rPr>
        <sz val="9"/>
        <color rgb="FF1F2937"/>
        <rFont val="微软雅黑"/>
        <family val="0"/>
        <charset val="1"/>
      </rPr>
      <t xml:space="preserve">49%</t>
    </r>
    <r>
      <rPr>
        <sz val="9"/>
        <color rgb="FF1F2937"/>
        <rFont val="Noto Sans CJK SC"/>
        <family val="2"/>
      </rPr>
      <t xml:space="preserve">股权给</t>
    </r>
    <r>
      <rPr>
        <sz val="9"/>
        <color rgb="FF1F2937"/>
        <rFont val="微软雅黑"/>
        <family val="0"/>
        <charset val="1"/>
      </rPr>
      <t xml:space="preserve">Bharti/</t>
    </r>
    <r>
      <rPr>
        <sz val="9"/>
        <color rgb="FF1F2937"/>
        <rFont val="Noto Sans CJK SC"/>
        <family val="2"/>
      </rPr>
      <t xml:space="preserve">华平；</t>
    </r>
    <r>
      <rPr>
        <sz val="9"/>
        <color rgb="FF1F2937"/>
        <rFont val="微软雅黑"/>
        <family val="0"/>
        <charset val="1"/>
      </rPr>
      <t xml:space="preserve">2026H1</t>
    </r>
    <r>
      <rPr>
        <sz val="9"/>
        <color rgb="FF1F2937"/>
        <rFont val="Noto Sans CJK SC"/>
        <family val="2"/>
      </rPr>
      <t xml:space="preserve">少数股东权益上升。</t>
    </r>
  </si>
  <si>
    <t xml:space="preserve">交易对价与资金用途未取得；印度增长的利润将部分归少数股东</t>
  </si>
  <si>
    <r>
      <rPr>
        <b val="true"/>
        <sz val="18"/>
        <color rgb="FFFFFFFF"/>
        <rFont val="Noto Sans CJK SC"/>
        <family val="2"/>
      </rPr>
      <t xml:space="preserve">风险与跟踪：最可能造成永久损失的路径 </t>
    </r>
    <r>
      <rPr>
        <b val="true"/>
        <sz val="18"/>
        <color rgb="FFFFFFFF"/>
        <rFont val="微软雅黑"/>
        <family val="0"/>
        <charset val="1"/>
      </rPr>
      <t xml:space="preserve">+ </t>
    </r>
    <r>
      <rPr>
        <b val="true"/>
        <sz val="18"/>
        <color rgb="FFFFFFFF"/>
        <rFont val="Noto Sans CJK SC"/>
        <family val="2"/>
      </rPr>
      <t xml:space="preserve">季度监控清单</t>
    </r>
  </si>
  <si>
    <t xml:space="preserve">监控写成“指标—当前值—触发条件—后续核查”。触发不等于卖出，而是“重新估值”的信号。</t>
  </si>
  <si>
    <r>
      <rPr>
        <b val="true"/>
        <sz val="12"/>
        <color rgb="FFFFFFFF"/>
        <rFont val="微软雅黑"/>
        <family val="0"/>
        <charset val="1"/>
      </rPr>
      <t xml:space="preserve">1. </t>
    </r>
    <r>
      <rPr>
        <b val="true"/>
        <sz val="12"/>
        <color rgb="FFFFFFFF"/>
        <rFont val="Noto Sans CJK SC"/>
        <family val="2"/>
      </rPr>
      <t xml:space="preserve">三条永久损失路径</t>
    </r>
  </si>
  <si>
    <t xml:space="preserve">风险</t>
  </si>
  <si>
    <t xml:space="preserve">机制</t>
  </si>
  <si>
    <t xml:space="preserve">当前迹象</t>
  </si>
  <si>
    <t xml:space="preserve">对估值的影响</t>
  </si>
  <si>
    <r>
      <rPr>
        <b val="true"/>
        <sz val="10"/>
        <color rgb="FFFFFFFF"/>
        <rFont val="Noto Sans CJK SC"/>
        <family val="2"/>
      </rPr>
      <t xml:space="preserve">缓冲</t>
    </r>
    <r>
      <rPr>
        <b val="true"/>
        <sz val="10"/>
        <color rgb="FFFFFFFF"/>
        <rFont val="微软雅黑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对冲</t>
    </r>
  </si>
  <si>
    <t xml:space="preserve">北美利润池受损</t>
  </si>
  <si>
    <r>
      <rPr>
        <sz val="9"/>
        <color rgb="FF1F2937"/>
        <rFont val="Noto Sans CJK SC"/>
        <family val="2"/>
      </rPr>
      <t xml:space="preserve">美国关税成本、需求疲弱（</t>
    </r>
    <r>
      <rPr>
        <sz val="9"/>
        <color rgb="FF1F2937"/>
        <rFont val="微软雅黑"/>
        <family val="0"/>
        <charset val="1"/>
      </rPr>
      <t xml:space="preserve">2026Q1</t>
    </r>
    <r>
      <rPr>
        <sz val="9"/>
        <color rgb="FF1F2937"/>
        <rFont val="Noto Sans CJK SC"/>
        <family val="2"/>
      </rPr>
      <t xml:space="preserve">行业</t>
    </r>
    <r>
      <rPr>
        <sz val="9"/>
        <color rgb="FF1F2937"/>
        <rFont val="微软雅黑"/>
        <family val="0"/>
        <charset val="1"/>
      </rPr>
      <t xml:space="preserve">-10%</t>
    </r>
    <r>
      <rPr>
        <sz val="9"/>
        <color rgb="FF1F2937"/>
        <rFont val="Noto Sans CJK SC"/>
        <family val="2"/>
      </rPr>
      <t xml:space="preserve">）与竞争（</t>
    </r>
    <r>
      <rPr>
        <sz val="9"/>
        <color rgb="FF1F2937"/>
        <rFont val="微软雅黑"/>
        <family val="0"/>
        <charset val="1"/>
      </rPr>
      <t xml:space="preserve">LG/</t>
    </r>
    <r>
      <rPr>
        <sz val="9"/>
        <color rgb="FF1F2937"/>
        <rFont val="Noto Sans CJK SC"/>
        <family val="2"/>
      </rPr>
      <t xml:space="preserve">三星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惠而浦）叠加，</t>
    </r>
    <r>
      <rPr>
        <sz val="9"/>
        <color rgb="FF1F2937"/>
        <rFont val="微软雅黑"/>
        <family val="0"/>
        <charset val="1"/>
      </rPr>
      <t xml:space="preserve">GEA</t>
    </r>
    <r>
      <rPr>
        <sz val="9"/>
        <color rgb="FF1F2937"/>
        <rFont val="Noto Sans CJK SC"/>
        <family val="2"/>
      </rPr>
      <t xml:space="preserve">利润率长期下台阶；北美约占收入</t>
    </r>
    <r>
      <rPr>
        <sz val="9"/>
        <color rgb="FF1F2937"/>
        <rFont val="微软雅黑"/>
        <family val="0"/>
        <charset val="1"/>
      </rPr>
      <t xml:space="preserve">1/4</t>
    </r>
    <r>
      <rPr>
        <sz val="9"/>
        <color rgb="FF1F2937"/>
        <rFont val="Noto Sans CJK SC"/>
        <family val="2"/>
      </rPr>
      <t xml:space="preserve">以上且商誉集中。</t>
    </r>
  </si>
  <si>
    <r>
      <rPr>
        <sz val="9"/>
        <color rgb="FF1F2937"/>
        <rFont val="微软雅黑"/>
        <family val="0"/>
        <charset val="1"/>
      </rPr>
      <t xml:space="preserve">Q1</t>
    </r>
    <r>
      <rPr>
        <sz val="9"/>
        <color rgb="FF1F2937"/>
        <rFont val="Noto Sans CJK SC"/>
        <family val="2"/>
      </rPr>
      <t xml:space="preserve">北美拖累；</t>
    </r>
    <r>
      <rPr>
        <sz val="9"/>
        <color rgb="FF1F2937"/>
        <rFont val="微软雅黑"/>
        <family val="0"/>
        <charset val="1"/>
      </rPr>
      <t xml:space="preserve">Q2</t>
    </r>
    <r>
      <rPr>
        <sz val="9"/>
        <color rgb="FF1F2937"/>
        <rFont val="Noto Sans CJK SC"/>
        <family val="2"/>
      </rPr>
      <t xml:space="preserve">美元收入恢复增长</t>
    </r>
  </si>
  <si>
    <r>
      <rPr>
        <sz val="9"/>
        <color rgb="FF1F2937"/>
        <rFont val="Noto Sans CJK SC"/>
        <family val="2"/>
      </rPr>
      <t xml:space="preserve">所有者收益下调</t>
    </r>
    <r>
      <rPr>
        <sz val="9"/>
        <color rgb="FF1F2937"/>
        <rFont val="微软雅黑"/>
        <family val="0"/>
        <charset val="1"/>
      </rPr>
      <t xml:space="preserve">10–20</t>
    </r>
    <r>
      <rPr>
        <sz val="9"/>
        <color rgb="FF1F2937"/>
        <rFont val="Noto Sans CJK SC"/>
        <family val="2"/>
      </rPr>
      <t xml:space="preserve">亿，价值约</t>
    </r>
    <r>
      <rPr>
        <sz val="9"/>
        <color rgb="FF1F2937"/>
        <rFont val="微软雅黑"/>
        <family val="0"/>
        <charset val="1"/>
      </rPr>
      <t xml:space="preserve">-1.5~-2.5</t>
    </r>
    <r>
      <rPr>
        <sz val="9"/>
        <color rgb="FF1F2937"/>
        <rFont val="Noto Sans CJK SC"/>
        <family val="2"/>
      </rPr>
      <t xml:space="preserve">元</t>
    </r>
  </si>
  <si>
    <r>
      <rPr>
        <sz val="9"/>
        <color rgb="FF1F2937"/>
        <rFont val="微软雅黑"/>
        <family val="0"/>
        <charset val="1"/>
      </rPr>
      <t xml:space="preserve">GEA</t>
    </r>
    <r>
      <rPr>
        <sz val="9"/>
        <color rgb="FF1F2937"/>
        <rFont val="Noto Sans CJK SC"/>
        <family val="2"/>
      </rPr>
      <t xml:space="preserve">本土制造为主；工厂整合</t>
    </r>
    <r>
      <rPr>
        <sz val="9"/>
        <color rgb="FF1F2937"/>
        <rFont val="微软雅黑"/>
        <family val="0"/>
        <charset val="1"/>
      </rPr>
      <t xml:space="preserve">2027–28</t>
    </r>
    <r>
      <rPr>
        <sz val="9"/>
        <color rgb="FF1F2937"/>
        <rFont val="Noto Sans CJK SC"/>
        <family val="2"/>
      </rPr>
      <t xml:space="preserve">完成；关税退款</t>
    </r>
  </si>
  <si>
    <t xml:space="preserve">国内需求与价格战</t>
  </si>
  <si>
    <r>
      <rPr>
        <sz val="9"/>
        <color rgb="FF1F2937"/>
        <rFont val="Noto Sans CJK SC"/>
        <family val="2"/>
      </rPr>
      <t xml:space="preserve">以旧换新补贴退坡后需求透支，行业量价齐跌（</t>
    </r>
    <r>
      <rPr>
        <sz val="9"/>
        <color rgb="FF1F2937"/>
        <rFont val="微软雅黑"/>
        <family val="0"/>
        <charset val="1"/>
      </rPr>
      <t xml:space="preserve">9</t>
    </r>
    <r>
      <rPr>
        <sz val="9"/>
        <color rgb="FF1F2937"/>
        <rFont val="Noto Sans CJK SC"/>
        <family val="2"/>
      </rPr>
      <t xml:space="preserve">月零售额</t>
    </r>
    <r>
      <rPr>
        <sz val="9"/>
        <color rgb="FF1F2937"/>
        <rFont val="微软雅黑"/>
        <family val="0"/>
        <charset val="1"/>
      </rPr>
      <t xml:space="preserve">-13%</t>
    </r>
    <r>
      <rPr>
        <sz val="9"/>
        <color rgb="FF1F2937"/>
        <rFont val="Noto Sans CJK SC"/>
        <family val="2"/>
      </rPr>
      <t xml:space="preserve">、均价</t>
    </r>
    <r>
      <rPr>
        <sz val="9"/>
        <color rgb="FF1F2937"/>
        <rFont val="微软雅黑"/>
        <family val="0"/>
        <charset val="1"/>
      </rPr>
      <t xml:space="preserve">-11%</t>
    </r>
    <r>
      <rPr>
        <sz val="9"/>
        <color rgb="FF1F2937"/>
        <rFont val="Noto Sans CJK SC"/>
        <family val="2"/>
      </rPr>
      <t xml:space="preserve">），高端占比与毛利率被迫让步。</t>
    </r>
  </si>
  <si>
    <r>
      <rPr>
        <sz val="9"/>
        <color rgb="FF1F2937"/>
        <rFont val="微软雅黑"/>
        <family val="0"/>
        <charset val="1"/>
      </rPr>
      <t xml:space="preserve">2026H1</t>
    </r>
    <r>
      <rPr>
        <sz val="9"/>
        <color rgb="FF1F2937"/>
        <rFont val="Noto Sans CJK SC"/>
        <family val="2"/>
      </rPr>
      <t xml:space="preserve">国内收入下滑</t>
    </r>
  </si>
  <si>
    <r>
      <rPr>
        <sz val="9"/>
        <color rgb="FF1F2937"/>
        <rFont val="Noto Sans CJK SC"/>
        <family val="2"/>
      </rPr>
      <t xml:space="preserve">正常化净利降至</t>
    </r>
    <r>
      <rPr>
        <sz val="9"/>
        <color rgb="FF1F2937"/>
        <rFont val="微软雅黑"/>
        <family val="0"/>
        <charset val="1"/>
      </rPr>
      <t xml:space="preserve">165</t>
    </r>
    <r>
      <rPr>
        <sz val="9"/>
        <color rgb="FF1F2937"/>
        <rFont val="Noto Sans CJK SC"/>
        <family val="2"/>
      </rPr>
      <t xml:space="preserve">亿以下，进入悲观情景</t>
    </r>
  </si>
  <si>
    <t xml:space="preserve">冰洗份额领先、高端占比高、直达用户降本</t>
  </si>
  <si>
    <r>
      <rPr>
        <b val="true"/>
        <sz val="10"/>
        <color rgb="FF1F2937"/>
        <rFont val="Noto Sans CJK SC"/>
        <family val="2"/>
      </rPr>
      <t xml:space="preserve">成本</t>
    </r>
    <r>
      <rPr>
        <b val="true"/>
        <sz val="10"/>
        <color rgb="FF1F2937"/>
        <rFont val="微软雅黑"/>
        <family val="0"/>
        <charset val="1"/>
      </rPr>
      <t xml:space="preserve">/</t>
    </r>
    <r>
      <rPr>
        <b val="true"/>
        <sz val="10"/>
        <color rgb="FF1F2937"/>
        <rFont val="Noto Sans CJK SC"/>
        <family val="2"/>
      </rPr>
      <t xml:space="preserve">汇率挤压</t>
    </r>
    <r>
      <rPr>
        <b val="true"/>
        <sz val="10"/>
        <color rgb="FF1F2937"/>
        <rFont val="微软雅黑"/>
        <family val="0"/>
        <charset val="1"/>
      </rPr>
      <t xml:space="preserve">+</t>
    </r>
    <r>
      <rPr>
        <b val="true"/>
        <sz val="10"/>
        <color rgb="FF1F2937"/>
        <rFont val="Noto Sans CJK SC"/>
        <family val="2"/>
      </rPr>
      <t xml:space="preserve">资本开支不降</t>
    </r>
  </si>
  <si>
    <r>
      <rPr>
        <sz val="9"/>
        <color rgb="FF1F2937"/>
        <rFont val="Noto Sans CJK SC"/>
        <family val="2"/>
      </rPr>
      <t xml:space="preserve">铜、冷媒等原材料上涨，汇兑损失，同时海外扩产资本开支维持高位，所有者收益长期低于利润的</t>
    </r>
    <r>
      <rPr>
        <sz val="9"/>
        <color rgb="FF1F2937"/>
        <rFont val="微软雅黑"/>
        <family val="0"/>
        <charset val="1"/>
      </rPr>
      <t xml:space="preserve">75%</t>
    </r>
    <r>
      <rPr>
        <sz val="9"/>
        <color rgb="FF1F2937"/>
        <rFont val="Noto Sans CJK SC"/>
        <family val="2"/>
      </rPr>
      <t xml:space="preserve">。</t>
    </r>
  </si>
  <si>
    <r>
      <rPr>
        <sz val="9"/>
        <color rgb="FF1F2937"/>
        <rFont val="微软雅黑"/>
        <family val="0"/>
        <charset val="1"/>
      </rPr>
      <t xml:space="preserve">2026H1</t>
    </r>
    <r>
      <rPr>
        <sz val="9"/>
        <color rgb="FF1F2937"/>
        <rFont val="Noto Sans CJK SC"/>
        <family val="2"/>
      </rPr>
      <t xml:space="preserve">汇兑净损失</t>
    </r>
    <r>
      <rPr>
        <sz val="9"/>
        <color rgb="FF1F2937"/>
        <rFont val="微软雅黑"/>
        <family val="0"/>
        <charset val="1"/>
      </rPr>
      <t xml:space="preserve">7.04</t>
    </r>
    <r>
      <rPr>
        <sz val="9"/>
        <color rgb="FF1F2937"/>
        <rFont val="Noto Sans CJK SC"/>
        <family val="2"/>
      </rPr>
      <t xml:space="preserve">亿；资本开支</t>
    </r>
    <r>
      <rPr>
        <sz val="9"/>
        <color rgb="FF1F2937"/>
        <rFont val="微软雅黑"/>
        <family val="0"/>
        <charset val="1"/>
      </rPr>
      <t xml:space="preserve">43.7</t>
    </r>
    <r>
      <rPr>
        <sz val="9"/>
        <color rgb="FF1F2937"/>
        <rFont val="Noto Sans CJK SC"/>
        <family val="2"/>
      </rPr>
      <t xml:space="preserve">亿</t>
    </r>
  </si>
  <si>
    <r>
      <rPr>
        <sz val="9"/>
        <color rgb="FF1F2937"/>
        <rFont val="微软雅黑"/>
        <family val="0"/>
        <charset val="1"/>
      </rPr>
      <t xml:space="preserve">DCF</t>
    </r>
    <r>
      <rPr>
        <sz val="9"/>
        <color rgb="FF1F2937"/>
        <rFont val="Noto Sans CJK SC"/>
        <family val="2"/>
      </rPr>
      <t xml:space="preserve">价值对所有者收益高度敏感</t>
    </r>
  </si>
  <si>
    <r>
      <rPr>
        <sz val="9"/>
        <color rgb="FF1F2937"/>
        <rFont val="Noto Sans CJK SC"/>
        <family val="2"/>
      </rPr>
      <t xml:space="preserve">套保、区域化供应链、</t>
    </r>
    <r>
      <rPr>
        <sz val="9"/>
        <color rgb="FF1F2937"/>
        <rFont val="微软雅黑"/>
        <family val="0"/>
        <charset val="1"/>
      </rPr>
      <t xml:space="preserve">SKU</t>
    </r>
    <r>
      <rPr>
        <sz val="9"/>
        <color rgb="FF1F2937"/>
        <rFont val="Noto Sans CJK SC"/>
        <family val="2"/>
      </rPr>
      <t xml:space="preserve">压降</t>
    </r>
  </si>
  <si>
    <r>
      <rPr>
        <b val="true"/>
        <sz val="12"/>
        <color rgb="FFFFFFFF"/>
        <rFont val="微软雅黑"/>
        <family val="0"/>
        <charset val="1"/>
      </rPr>
      <t xml:space="preserve">2. </t>
    </r>
    <r>
      <rPr>
        <b val="true"/>
        <sz val="12"/>
        <color rgb="FFFFFFFF"/>
        <rFont val="Noto Sans CJK SC"/>
        <family val="2"/>
      </rPr>
      <t xml:space="preserve">季度监控清单</t>
    </r>
  </si>
  <si>
    <t xml:space="preserve">指标</t>
  </si>
  <si>
    <t xml:space="preserve">为什么重要</t>
  </si>
  <si>
    <t xml:space="preserve">当前值</t>
  </si>
  <si>
    <t xml:space="preserve">触发条件</t>
  </si>
  <si>
    <t xml:space="preserve">后续核查</t>
  </si>
  <si>
    <r>
      <rPr>
        <b val="true"/>
        <sz val="10"/>
        <color rgb="FF1F2937"/>
        <rFont val="Noto Sans CJK SC"/>
        <family val="2"/>
      </rPr>
      <t xml:space="preserve">营收同比（</t>
    </r>
    <r>
      <rPr>
        <b val="true"/>
        <sz val="10"/>
        <color rgb="FF1F2937"/>
        <rFont val="微软雅黑"/>
        <family val="0"/>
        <charset val="1"/>
      </rPr>
      <t xml:space="preserve">2026H1</t>
    </r>
    <r>
      <rPr>
        <b val="true"/>
        <sz val="10"/>
        <color rgb="FF1F2937"/>
        <rFont val="Noto Sans CJK SC"/>
        <family val="2"/>
      </rPr>
      <t xml:space="preserve">）</t>
    </r>
  </si>
  <si>
    <t xml:space="preserve">量价是否企稳</t>
  </si>
  <si>
    <r>
      <rPr>
        <sz val="9"/>
        <color rgb="FF1F2937"/>
        <rFont val="Noto Sans CJK SC"/>
        <family val="2"/>
      </rPr>
      <t xml:space="preserve">连续两个季度</t>
    </r>
    <r>
      <rPr>
        <sz val="9"/>
        <color rgb="FF1F2937"/>
        <rFont val="微软雅黑"/>
        <family val="0"/>
        <charset val="1"/>
      </rPr>
      <t xml:space="preserve">&lt;-5%</t>
    </r>
  </si>
  <si>
    <r>
      <rPr>
        <sz val="9"/>
        <color rgb="FF1F2937"/>
        <rFont val="Noto Sans CJK SC"/>
        <family val="2"/>
      </rPr>
      <t xml:space="preserve">拆国内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北美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欧洲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新兴市场</t>
    </r>
  </si>
  <si>
    <t xml:space="preserve">定价权与成本转嫁</t>
  </si>
  <si>
    <r>
      <rPr>
        <sz val="9"/>
        <color rgb="FF1F2937"/>
        <rFont val="Noto Sans CJK SC"/>
        <family val="2"/>
      </rPr>
      <t xml:space="preserve">单季</t>
    </r>
    <r>
      <rPr>
        <sz val="9"/>
        <color rgb="FF1F2937"/>
        <rFont val="微软雅黑"/>
        <family val="0"/>
        <charset val="1"/>
      </rPr>
      <t xml:space="preserve">&lt;25%</t>
    </r>
  </si>
  <si>
    <t xml:space="preserve">原材料、关税、价格战哪个主导</t>
  </si>
  <si>
    <r>
      <rPr>
        <b val="true"/>
        <sz val="10"/>
        <color rgb="FF1F2937"/>
        <rFont val="Noto Sans CJK SC"/>
        <family val="2"/>
      </rPr>
      <t xml:space="preserve">扣非归母净利</t>
    </r>
    <r>
      <rPr>
        <b val="true"/>
        <sz val="10"/>
        <color rgb="FF1F2937"/>
        <rFont val="微软雅黑"/>
        <family val="0"/>
        <charset val="1"/>
      </rPr>
      <t xml:space="preserve">(TTM</t>
    </r>
    <r>
      <rPr>
        <b val="true"/>
        <sz val="10"/>
        <color rgb="FF1F2937"/>
        <rFont val="Noto Sans CJK SC"/>
        <family val="2"/>
      </rPr>
      <t xml:space="preserve">，亿元</t>
    </r>
    <r>
      <rPr>
        <b val="true"/>
        <sz val="10"/>
        <color rgb="FF1F2937"/>
        <rFont val="微软雅黑"/>
        <family val="0"/>
        <charset val="1"/>
      </rPr>
      <t xml:space="preserve">)</t>
    </r>
  </si>
  <si>
    <t xml:space="preserve">正常化利润基准</t>
  </si>
  <si>
    <r>
      <rPr>
        <sz val="9"/>
        <color rgb="FF1F2937"/>
        <rFont val="微软雅黑"/>
        <family val="0"/>
        <charset val="1"/>
      </rPr>
      <t xml:space="preserve">&lt;160</t>
    </r>
    <r>
      <rPr>
        <sz val="9"/>
        <color rgb="FF1F2937"/>
        <rFont val="Noto Sans CJK SC"/>
        <family val="2"/>
      </rPr>
      <t xml:space="preserve">亿</t>
    </r>
  </si>
  <si>
    <t xml:space="preserve">下调正常化净利假设至悲观</t>
  </si>
  <si>
    <r>
      <rPr>
        <b val="true"/>
        <sz val="10"/>
        <color rgb="FF1F2937"/>
        <rFont val="Noto Sans CJK SC"/>
        <family val="2"/>
      </rPr>
      <t xml:space="preserve">经营现金流</t>
    </r>
    <r>
      <rPr>
        <b val="true"/>
        <sz val="10"/>
        <color rgb="FF1F2937"/>
        <rFont val="微软雅黑"/>
        <family val="0"/>
        <charset val="1"/>
      </rPr>
      <t xml:space="preserve">/</t>
    </r>
    <r>
      <rPr>
        <b val="true"/>
        <sz val="10"/>
        <color rgb="FF1F2937"/>
        <rFont val="Noto Sans CJK SC"/>
        <family val="2"/>
      </rPr>
      <t xml:space="preserve">净利润</t>
    </r>
    <r>
      <rPr>
        <b val="true"/>
        <sz val="10"/>
        <color rgb="FF1F2937"/>
        <rFont val="微软雅黑"/>
        <family val="0"/>
        <charset val="1"/>
      </rPr>
      <t xml:space="preserve">(TTM)</t>
    </r>
  </si>
  <si>
    <t xml:space="preserve">利润含金量</t>
  </si>
  <si>
    <t xml:space="preserve">&lt;1.0x</t>
  </si>
  <si>
    <r>
      <rPr>
        <sz val="9"/>
        <color rgb="FF1F2937"/>
        <rFont val="Noto Sans CJK SC"/>
        <family val="2"/>
      </rPr>
      <t xml:space="preserve">应付票据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应付账款是否回流</t>
    </r>
  </si>
  <si>
    <r>
      <rPr>
        <b val="true"/>
        <sz val="10"/>
        <color rgb="FF1F2937"/>
        <rFont val="Noto Sans CJK SC"/>
        <family val="2"/>
      </rPr>
      <t xml:space="preserve">资本开支</t>
    </r>
    <r>
      <rPr>
        <b val="true"/>
        <sz val="10"/>
        <color rgb="FF1F2937"/>
        <rFont val="微软雅黑"/>
        <family val="0"/>
        <charset val="1"/>
      </rPr>
      <t xml:space="preserve">(TTM</t>
    </r>
    <r>
      <rPr>
        <b val="true"/>
        <sz val="10"/>
        <color rgb="FF1F2937"/>
        <rFont val="Noto Sans CJK SC"/>
        <family val="2"/>
      </rPr>
      <t xml:space="preserve">，亿元</t>
    </r>
    <r>
      <rPr>
        <b val="true"/>
        <sz val="10"/>
        <color rgb="FF1F2937"/>
        <rFont val="微软雅黑"/>
        <family val="0"/>
        <charset val="1"/>
      </rPr>
      <t xml:space="preserve">)</t>
    </r>
  </si>
  <si>
    <t xml:space="preserve">所有者收益是否改善</t>
  </si>
  <si>
    <r>
      <rPr>
        <sz val="9"/>
        <color rgb="FF1F2937"/>
        <rFont val="微软雅黑"/>
        <family val="0"/>
        <charset val="1"/>
      </rPr>
      <t xml:space="preserve">&gt;100</t>
    </r>
    <r>
      <rPr>
        <sz val="9"/>
        <color rgb="FF1F2937"/>
        <rFont val="Noto Sans CJK SC"/>
        <family val="2"/>
      </rPr>
      <t xml:space="preserve">亿且收入不增</t>
    </r>
  </si>
  <si>
    <t xml:space="preserve">海外项目投产节奏</t>
  </si>
  <si>
    <r>
      <rPr>
        <b val="true"/>
        <sz val="10"/>
        <color rgb="FF1F2937"/>
        <rFont val="Noto Sans CJK SC"/>
        <family val="2"/>
      </rPr>
      <t xml:space="preserve">净金融资产</t>
    </r>
    <r>
      <rPr>
        <b val="true"/>
        <sz val="10"/>
        <color rgb="FF1F2937"/>
        <rFont val="微软雅黑"/>
        <family val="0"/>
        <charset val="1"/>
      </rPr>
      <t xml:space="preserve">(</t>
    </r>
    <r>
      <rPr>
        <b val="true"/>
        <sz val="10"/>
        <color rgb="FF1F2937"/>
        <rFont val="Noto Sans CJK SC"/>
        <family val="2"/>
      </rPr>
      <t xml:space="preserve">亿元</t>
    </r>
    <r>
      <rPr>
        <b val="true"/>
        <sz val="10"/>
        <color rgb="FF1F2937"/>
        <rFont val="微软雅黑"/>
        <family val="0"/>
        <charset val="1"/>
      </rPr>
      <t xml:space="preserve">)</t>
    </r>
  </si>
  <si>
    <t xml:space="preserve">安全垫</t>
  </si>
  <si>
    <r>
      <rPr>
        <sz val="9"/>
        <color rgb="FF1F2937"/>
        <rFont val="微软雅黑"/>
        <family val="0"/>
        <charset val="1"/>
      </rPr>
      <t xml:space="preserve">&lt;50</t>
    </r>
    <r>
      <rPr>
        <sz val="9"/>
        <color rgb="FF1F2937"/>
        <rFont val="Noto Sans CJK SC"/>
        <family val="2"/>
      </rPr>
      <t xml:space="preserve">亿</t>
    </r>
  </si>
  <si>
    <t xml:space="preserve">并购、回购、分红资金来源</t>
  </si>
  <si>
    <t xml:space="preserve">派息率</t>
  </si>
  <si>
    <t xml:space="preserve">红利承诺兑现</t>
  </si>
  <si>
    <r>
      <rPr>
        <sz val="9"/>
        <color rgb="FF1F2937"/>
        <rFont val="微软雅黑"/>
        <family val="0"/>
        <charset val="1"/>
      </rPr>
      <t xml:space="preserve">2026</t>
    </r>
    <r>
      <rPr>
        <sz val="9"/>
        <color rgb="FF1F2937"/>
        <rFont val="Noto Sans CJK SC"/>
        <family val="2"/>
      </rPr>
      <t xml:space="preserve">年度</t>
    </r>
    <r>
      <rPr>
        <sz val="9"/>
        <color rgb="FF1F2937"/>
        <rFont val="微软雅黑"/>
        <family val="0"/>
        <charset val="1"/>
      </rPr>
      <t xml:space="preserve">&lt;58%</t>
    </r>
  </si>
  <si>
    <t xml:space="preserve">对照股东回报规划</t>
  </si>
  <si>
    <r>
      <rPr>
        <b val="true"/>
        <sz val="10"/>
        <color rgb="FF1F2937"/>
        <rFont val="Noto Sans CJK SC"/>
        <family val="2"/>
      </rPr>
      <t xml:space="preserve">回购进度</t>
    </r>
    <r>
      <rPr>
        <b val="true"/>
        <sz val="10"/>
        <color rgb="FF1F2937"/>
        <rFont val="微软雅黑"/>
        <family val="0"/>
        <charset val="1"/>
      </rPr>
      <t xml:space="preserve">/</t>
    </r>
    <r>
      <rPr>
        <b val="true"/>
        <sz val="10"/>
        <color rgb="FF1F2937"/>
        <rFont val="Noto Sans CJK SC"/>
        <family val="2"/>
      </rPr>
      <t xml:space="preserve">用途</t>
    </r>
  </si>
  <si>
    <t xml:space="preserve">股东回报真实性</t>
  </si>
  <si>
    <r>
      <rPr>
        <b val="true"/>
        <sz val="10"/>
        <color rgb="FF1F2937"/>
        <rFont val="微软雅黑"/>
        <family val="0"/>
        <charset val="1"/>
      </rPr>
      <t xml:space="preserve">30–60</t>
    </r>
    <r>
      <rPr>
        <b val="true"/>
        <sz val="10"/>
        <color rgb="FF1F2937"/>
        <rFont val="Noto Sans CJK SC"/>
        <family val="2"/>
      </rPr>
      <t xml:space="preserve">亿方案进行中</t>
    </r>
  </si>
  <si>
    <r>
      <rPr>
        <sz val="9"/>
        <color rgb="FF1F2937"/>
        <rFont val="Noto Sans CJK SC"/>
        <family val="2"/>
      </rPr>
      <t xml:space="preserve">到期完成</t>
    </r>
    <r>
      <rPr>
        <sz val="9"/>
        <color rgb="FF1F2937"/>
        <rFont val="微软雅黑"/>
        <family val="0"/>
        <charset val="1"/>
      </rPr>
      <t xml:space="preserve">&lt;30</t>
    </r>
    <r>
      <rPr>
        <sz val="9"/>
        <color rgb="FF1F2937"/>
        <rFont val="Noto Sans CJK SC"/>
        <family val="2"/>
      </rPr>
      <t xml:space="preserve">亿或用途变更</t>
    </r>
  </si>
  <si>
    <t xml:space="preserve">是否注销、员工持股考核目标</t>
  </si>
  <si>
    <r>
      <rPr>
        <b val="true"/>
        <sz val="10"/>
        <color rgb="FF1F2937"/>
        <rFont val="Noto Sans CJK SC"/>
        <family val="2"/>
      </rPr>
      <t xml:space="preserve">商誉</t>
    </r>
    <r>
      <rPr>
        <b val="true"/>
        <sz val="10"/>
        <color rgb="FF1F2937"/>
        <rFont val="微软雅黑"/>
        <family val="0"/>
        <charset val="1"/>
      </rPr>
      <t xml:space="preserve">(</t>
    </r>
    <r>
      <rPr>
        <b val="true"/>
        <sz val="10"/>
        <color rgb="FF1F2937"/>
        <rFont val="Noto Sans CJK SC"/>
        <family val="2"/>
      </rPr>
      <t xml:space="preserve">亿元</t>
    </r>
    <r>
      <rPr>
        <b val="true"/>
        <sz val="10"/>
        <color rgb="FF1F2937"/>
        <rFont val="微软雅黑"/>
        <family val="0"/>
        <charset val="1"/>
      </rPr>
      <t xml:space="preserve">)</t>
    </r>
  </si>
  <si>
    <t xml:space="preserve">并购资产健康度</t>
  </si>
  <si>
    <t xml:space="preserve">出现大额减值</t>
  </si>
  <si>
    <r>
      <rPr>
        <sz val="9"/>
        <color rgb="FF1F2937"/>
        <rFont val="微软雅黑"/>
        <family val="0"/>
        <charset val="1"/>
      </rPr>
      <t xml:space="preserve">GEA/Candy</t>
    </r>
    <r>
      <rPr>
        <sz val="9"/>
        <color rgb="FF1F2937"/>
        <rFont val="Noto Sans CJK SC"/>
        <family val="2"/>
      </rPr>
      <t xml:space="preserve">分部盈利</t>
    </r>
  </si>
  <si>
    <r>
      <rPr>
        <b val="true"/>
        <sz val="10"/>
        <color rgb="FF1F2937"/>
        <rFont val="微软雅黑"/>
        <family val="0"/>
        <charset val="1"/>
      </rPr>
      <t xml:space="preserve">H</t>
    </r>
    <r>
      <rPr>
        <b val="true"/>
        <sz val="10"/>
        <color rgb="FF1F2937"/>
        <rFont val="Noto Sans CJK SC"/>
        <family val="2"/>
      </rPr>
      <t xml:space="preserve">股相对</t>
    </r>
    <r>
      <rPr>
        <b val="true"/>
        <sz val="10"/>
        <color rgb="FF1F2937"/>
        <rFont val="微软雅黑"/>
        <family val="0"/>
        <charset val="1"/>
      </rPr>
      <t xml:space="preserve">A</t>
    </r>
    <r>
      <rPr>
        <b val="true"/>
        <sz val="10"/>
        <color rgb="FF1F2937"/>
        <rFont val="Noto Sans CJK SC"/>
        <family val="2"/>
      </rPr>
      <t xml:space="preserve">股折价</t>
    </r>
  </si>
  <si>
    <t xml:space="preserve">选择更便宜的份额</t>
  </si>
  <si>
    <r>
      <rPr>
        <sz val="9"/>
        <color rgb="FF1F2937"/>
        <rFont val="Noto Sans CJK SC"/>
        <family val="2"/>
      </rPr>
      <t xml:space="preserve">折价</t>
    </r>
    <r>
      <rPr>
        <sz val="9"/>
        <color rgb="FF1F2937"/>
        <rFont val="微软雅黑"/>
        <family val="0"/>
        <charset val="1"/>
      </rPr>
      <t xml:space="preserve">&lt;5%</t>
    </r>
  </si>
  <si>
    <r>
      <rPr>
        <sz val="9"/>
        <color rgb="FF1F2937"/>
        <rFont val="微软雅黑"/>
        <family val="0"/>
        <charset val="1"/>
      </rPr>
      <t xml:space="preserve">A/H</t>
    </r>
    <r>
      <rPr>
        <sz val="9"/>
        <color rgb="FF1F2937"/>
        <rFont val="Noto Sans CJK SC"/>
        <family val="2"/>
      </rPr>
      <t xml:space="preserve">择优：考虑股息税差</t>
    </r>
  </si>
  <si>
    <r>
      <rPr>
        <b val="true"/>
        <sz val="12"/>
        <color rgb="FFFFFFFF"/>
        <rFont val="微软雅黑"/>
        <family val="0"/>
        <charset val="1"/>
      </rPr>
      <t xml:space="preserve">3. </t>
    </r>
    <r>
      <rPr>
        <b val="true"/>
        <sz val="12"/>
        <color rgb="FFFFFFFF"/>
        <rFont val="Noto Sans CJK SC"/>
        <family val="2"/>
      </rPr>
      <t xml:space="preserve">期后事件与下一步</t>
    </r>
  </si>
  <si>
    <r>
      <rPr>
        <sz val="10"/>
        <color rgb="FF1F2937"/>
        <rFont val="微软雅黑"/>
        <family val="0"/>
        <charset val="1"/>
      </rPr>
      <t xml:space="preserve">• 2026</t>
    </r>
    <r>
      <rPr>
        <sz val="10"/>
        <color rgb="FF1F2937"/>
        <rFont val="Noto Sans CJK SC"/>
        <family val="2"/>
      </rPr>
      <t xml:space="preserve">年三季报（预计</t>
    </r>
    <r>
      <rPr>
        <sz val="10"/>
        <color rgb="FF1F2937"/>
        <rFont val="微软雅黑"/>
        <family val="0"/>
        <charset val="1"/>
      </rPr>
      <t xml:space="preserve">10</t>
    </r>
    <r>
      <rPr>
        <sz val="10"/>
        <color rgb="FF1F2937"/>
        <rFont val="Noto Sans CJK SC"/>
        <family val="2"/>
      </rPr>
      <t xml:space="preserve">月底前披露）：重点看</t>
    </r>
    <r>
      <rPr>
        <sz val="10"/>
        <color rgb="FF1F2937"/>
        <rFont val="微软雅黑"/>
        <family val="0"/>
        <charset val="1"/>
      </rPr>
      <t xml:space="preserve">Q3</t>
    </r>
    <r>
      <rPr>
        <sz val="10"/>
        <color rgb="FF1F2937"/>
        <rFont val="Noto Sans CJK SC"/>
        <family val="2"/>
      </rPr>
      <t xml:space="preserve">单季收入能否延续</t>
    </r>
    <r>
      <rPr>
        <sz val="10"/>
        <color rgb="FF1F2937"/>
        <rFont val="微软雅黑"/>
        <family val="0"/>
        <charset val="1"/>
      </rPr>
      <t xml:space="preserve">Q2</t>
    </r>
    <r>
      <rPr>
        <sz val="10"/>
        <color rgb="FF1F2937"/>
        <rFont val="Noto Sans CJK SC"/>
        <family val="2"/>
      </rPr>
      <t xml:space="preserve">的正增长、毛利率是否守住</t>
    </r>
    <r>
      <rPr>
        <sz val="10"/>
        <color rgb="FF1F2937"/>
        <rFont val="微软雅黑"/>
        <family val="0"/>
        <charset val="1"/>
      </rPr>
      <t xml:space="preserve">27%</t>
    </r>
    <r>
      <rPr>
        <sz val="10"/>
        <color rgb="FF1F2937"/>
        <rFont val="Noto Sans CJK SC"/>
        <family val="2"/>
      </rPr>
      <t xml:space="preserve">、汇兑与关税退款对非经常性损益的影响。</t>
    </r>
  </si>
  <si>
    <r>
      <rPr>
        <sz val="10"/>
        <color rgb="FF1F2937"/>
        <rFont val="Noto Sans CJK SC"/>
        <family val="2"/>
      </rPr>
      <t xml:space="preserve">• 管理层全年目标：收入与净利（含关税退款）大致持平≈</t>
    </r>
    <r>
      <rPr>
        <sz val="10"/>
        <color rgb="FF1F2937"/>
        <rFont val="微软雅黑"/>
        <family val="0"/>
        <charset val="1"/>
      </rPr>
      <t xml:space="preserve">195</t>
    </r>
    <r>
      <rPr>
        <sz val="10"/>
        <color rgb="FF1F2937"/>
        <rFont val="Noto Sans CJK SC"/>
        <family val="2"/>
      </rPr>
      <t xml:space="preserve">亿。若前三季度归母净利明显低于</t>
    </r>
    <r>
      <rPr>
        <sz val="10"/>
        <color rgb="FF1F2937"/>
        <rFont val="微软雅黑"/>
        <family val="0"/>
        <charset val="1"/>
      </rPr>
      <t xml:space="preserve">150</t>
    </r>
    <r>
      <rPr>
        <sz val="10"/>
        <color rgb="FF1F2937"/>
        <rFont val="Noto Sans CJK SC"/>
        <family val="2"/>
      </rPr>
      <t xml:space="preserve">亿，基准情景</t>
    </r>
    <r>
      <rPr>
        <sz val="10"/>
        <color rgb="FF1F2937"/>
        <rFont val="微软雅黑"/>
        <family val="0"/>
        <charset val="1"/>
      </rPr>
      <t xml:space="preserve">185</t>
    </r>
    <r>
      <rPr>
        <sz val="10"/>
        <color rgb="FF1F2937"/>
        <rFont val="Noto Sans CJK SC"/>
        <family val="2"/>
      </rPr>
      <t xml:space="preserve">亿需要下调。</t>
    </r>
  </si>
  <si>
    <r>
      <rPr>
        <sz val="10"/>
        <color rgb="FF1F2937"/>
        <rFont val="微软雅黑"/>
        <family val="0"/>
        <charset val="1"/>
      </rPr>
      <t xml:space="preserve">• 10</t>
    </r>
    <r>
      <rPr>
        <sz val="10"/>
        <color rgb="FF1F2937"/>
        <rFont val="Noto Sans CJK SC"/>
        <family val="2"/>
      </rPr>
      <t xml:space="preserve">月国内零售数据（奥维云网）与美国</t>
    </r>
    <r>
      <rPr>
        <sz val="10"/>
        <color rgb="FF1F2937"/>
        <rFont val="微软雅黑"/>
        <family val="0"/>
        <charset val="1"/>
      </rPr>
      <t xml:space="preserve">AHAM</t>
    </r>
    <r>
      <rPr>
        <sz val="10"/>
        <color rgb="FF1F2937"/>
        <rFont val="Noto Sans CJK SC"/>
        <family val="2"/>
      </rPr>
      <t xml:space="preserve">出货：判断补贴退坡后需求是否见底。</t>
    </r>
  </si>
  <si>
    <r>
      <rPr>
        <sz val="10"/>
        <color rgb="FF1F2937"/>
        <rFont val="Noto Sans CJK SC"/>
        <family val="2"/>
      </rPr>
      <t xml:space="preserve">• 持有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卖出四项检验：①价格</t>
    </r>
    <r>
      <rPr>
        <sz val="10"/>
        <color rgb="FF1F2937"/>
        <rFont val="微软雅黑"/>
        <family val="0"/>
        <charset val="1"/>
      </rPr>
      <t xml:space="preserve">&gt;</t>
    </r>
    <r>
      <rPr>
        <sz val="10"/>
        <color rgb="FF1F2937"/>
        <rFont val="Noto Sans CJK SC"/>
        <family val="2"/>
      </rPr>
      <t xml:space="preserve">基准价值 ②生意恶化（上表触发≥</t>
    </r>
    <r>
      <rPr>
        <sz val="10"/>
        <color rgb="FF1F2937"/>
        <rFont val="微软雅黑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项）③诚信受损 ④出现更优机会（需明确可比对象，如同为红利家电的格力电器）。</t>
    </r>
  </si>
  <si>
    <t xml:space="preserve">同业比较：家电龙头估值量级</t>
  </si>
  <si>
    <r>
      <rPr>
        <sz val="10"/>
        <color rgb="FF6B7280"/>
        <rFont val="Noto Sans CJK SC"/>
        <family val="2"/>
      </rPr>
      <t xml:space="preserve">海尔一行为本模型自算（</t>
    </r>
    <r>
      <rPr>
        <sz val="10"/>
        <color rgb="FF6B7280"/>
        <rFont val="微软雅黑"/>
        <family val="0"/>
        <charset val="1"/>
      </rPr>
      <t xml:space="preserve">TTM</t>
    </r>
    <r>
      <rPr>
        <sz val="10"/>
        <color rgb="FF6B7280"/>
        <rFont val="Noto Sans CJK SC"/>
        <family val="2"/>
      </rPr>
      <t xml:space="preserve">），并列出第三方行情页口径供对照；同业为中财网行情页口径（日期见表）。仅作量级参考，不参与内在价值计算。</t>
    </r>
  </si>
  <si>
    <t xml:space="preserve">公司</t>
  </si>
  <si>
    <t xml:space="preserve">代码</t>
  </si>
  <si>
    <r>
      <rPr>
        <b val="true"/>
        <sz val="10"/>
        <color rgb="FFFFFFFF"/>
        <rFont val="Noto Sans CJK SC"/>
        <family val="2"/>
      </rPr>
      <t xml:space="preserve">股价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元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</si>
  <si>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t xml:space="preserve">日期</t>
  </si>
  <si>
    <t xml:space="preserve">PE</t>
  </si>
  <si>
    <r>
      <rPr>
        <b val="true"/>
        <sz val="10"/>
        <color rgb="FFFFFFFF"/>
        <rFont val="微软雅黑"/>
        <family val="0"/>
        <charset val="1"/>
      </rPr>
      <t xml:space="preserve">PE(</t>
    </r>
    <r>
      <rPr>
        <b val="true"/>
        <sz val="10"/>
        <color rgb="FFFFFFFF"/>
        <rFont val="Noto Sans CJK SC"/>
        <family val="2"/>
      </rPr>
      <t xml:space="preserve">扣非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</si>
  <si>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t xml:space="preserve">备注</t>
  </si>
  <si>
    <r>
      <rPr>
        <b val="true"/>
        <sz val="10"/>
        <color rgb="FF1F2937"/>
        <rFont val="Noto Sans CJK SC"/>
        <family val="2"/>
      </rPr>
      <t xml:space="preserve">海尔智家（本模型</t>
    </r>
    <r>
      <rPr>
        <b val="true"/>
        <sz val="10"/>
        <color rgb="FF1F2937"/>
        <rFont val="微软雅黑"/>
        <family val="0"/>
        <charset val="1"/>
      </rPr>
      <t xml:space="preserve">TTM</t>
    </r>
    <r>
      <rPr>
        <b val="true"/>
        <sz val="10"/>
        <color rgb="FF1F2937"/>
        <rFont val="Noto Sans CJK SC"/>
        <family val="2"/>
      </rPr>
      <t xml:space="preserve">）</t>
    </r>
  </si>
  <si>
    <t xml:space="preserve">600690</t>
  </si>
  <si>
    <t xml:space="preserve">2026-10-20</t>
  </si>
  <si>
    <r>
      <rPr>
        <sz val="9"/>
        <color rgb="FF1F2937"/>
        <rFont val="Noto Sans CJK SC"/>
        <family val="2"/>
      </rPr>
      <t xml:space="preserve">市值按</t>
    </r>
    <r>
      <rPr>
        <sz val="9"/>
        <color rgb="FF1F2937"/>
        <rFont val="微软雅黑"/>
        <family val="0"/>
        <charset val="1"/>
      </rPr>
      <t xml:space="preserve">A</t>
    </r>
    <r>
      <rPr>
        <sz val="9"/>
        <color rgb="FF1F2937"/>
        <rFont val="Noto Sans CJK SC"/>
        <family val="2"/>
      </rPr>
      <t xml:space="preserve">股价</t>
    </r>
    <r>
      <rPr>
        <sz val="9"/>
        <color rgb="FF1F2937"/>
        <rFont val="微软雅黑"/>
        <family val="0"/>
        <charset val="1"/>
      </rPr>
      <t xml:space="preserve">×</t>
    </r>
    <r>
      <rPr>
        <sz val="9"/>
        <color rgb="FF1F2937"/>
        <rFont val="Noto Sans CJK SC"/>
        <family val="2"/>
      </rPr>
      <t xml:space="preserve">在外股数；</t>
    </r>
    <r>
      <rPr>
        <sz val="9"/>
        <color rgb="FF1F2937"/>
        <rFont val="微软雅黑"/>
        <family val="0"/>
        <charset val="1"/>
      </rPr>
      <t xml:space="preserve">TTM</t>
    </r>
    <r>
      <rPr>
        <sz val="9"/>
        <color rgb="FF1F2937"/>
        <rFont val="Noto Sans CJK SC"/>
        <family val="2"/>
      </rPr>
      <t xml:space="preserve">归母</t>
    </r>
    <r>
      <rPr>
        <sz val="9"/>
        <color rgb="FF1F2937"/>
        <rFont val="微软雅黑"/>
        <family val="0"/>
        <charset val="1"/>
      </rPr>
      <t xml:space="preserve">178</t>
    </r>
    <r>
      <rPr>
        <sz val="9"/>
        <color rgb="FF1F2937"/>
        <rFont val="Noto Sans CJK SC"/>
        <family val="2"/>
      </rPr>
      <t xml:space="preserve">亿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扣非</t>
    </r>
    <r>
      <rPr>
        <sz val="9"/>
        <color rgb="FF1F2937"/>
        <rFont val="微软雅黑"/>
        <family val="0"/>
        <charset val="1"/>
      </rPr>
      <t xml:space="preserve">162</t>
    </r>
    <r>
      <rPr>
        <sz val="9"/>
        <color rgb="FF1F2937"/>
        <rFont val="Noto Sans CJK SC"/>
        <family val="2"/>
      </rPr>
      <t xml:space="preserve">亿；</t>
    </r>
    <r>
      <rPr>
        <sz val="9"/>
        <color rgb="FF1F2937"/>
        <rFont val="微软雅黑"/>
        <family val="0"/>
        <charset val="1"/>
      </rPr>
      <t xml:space="preserve">BPS=2026H1</t>
    </r>
  </si>
  <si>
    <t xml:space="preserve">第三方口径</t>
  </si>
  <si>
    <r>
      <rPr>
        <sz val="9"/>
        <color rgb="FF6B7280"/>
        <rFont val="Noto Sans CJK SC"/>
        <family val="2"/>
      </rPr>
      <t xml:space="preserve">行情页口径，与自算</t>
    </r>
    <r>
      <rPr>
        <sz val="9"/>
        <color rgb="FF6B7280"/>
        <rFont val="微软雅黑"/>
        <family val="0"/>
        <charset val="1"/>
      </rPr>
      <t xml:space="preserve">TTM</t>
    </r>
    <r>
      <rPr>
        <sz val="9"/>
        <color rgb="FF6B7280"/>
        <rFont val="Noto Sans CJK SC"/>
        <family val="2"/>
      </rPr>
      <t xml:space="preserve">接近</t>
    </r>
  </si>
  <si>
    <r>
      <rPr>
        <sz val="10"/>
        <color rgb="FF1F2937"/>
        <rFont val="Noto Sans CJK SC"/>
        <family val="2"/>
      </rPr>
      <t xml:space="preserve">解读（研究判断）：海尔估值位于格力（低</t>
    </r>
    <r>
      <rPr>
        <sz val="10"/>
        <color rgb="FF1F2937"/>
        <rFont val="微软雅黑"/>
        <family val="0"/>
        <charset val="1"/>
      </rPr>
      <t xml:space="preserve">PE</t>
    </r>
    <r>
      <rPr>
        <sz val="10"/>
        <color rgb="FF1F2937"/>
        <rFont val="Noto Sans CJK SC"/>
        <family val="2"/>
      </rPr>
      <t xml:space="preserve">、高股息、空调单一）与美的（多元化、</t>
    </r>
    <r>
      <rPr>
        <sz val="10"/>
        <color rgb="FF1F2937"/>
        <rFont val="微软雅黑"/>
        <family val="0"/>
        <charset val="1"/>
      </rPr>
      <t xml:space="preserve">ToB</t>
    </r>
    <r>
      <rPr>
        <sz val="10"/>
        <color rgb="FF1F2937"/>
        <rFont val="Noto Sans CJK SC"/>
        <family val="2"/>
      </rPr>
      <t xml:space="preserve">与机器人、更高</t>
    </r>
    <r>
      <rPr>
        <sz val="10"/>
        <color rgb="FF1F2937"/>
        <rFont val="微软雅黑"/>
        <family val="0"/>
        <charset val="1"/>
      </rPr>
      <t xml:space="preserve">ROE</t>
    </r>
    <r>
      <rPr>
        <sz val="10"/>
        <color rgb="FF1F2937"/>
        <rFont val="Noto Sans CJK SC"/>
        <family val="2"/>
      </rPr>
      <t xml:space="preserve">）之间。市场给海尔约</t>
    </r>
    <r>
      <rPr>
        <sz val="10"/>
        <color rgb="FF1F2937"/>
        <rFont val="微软雅黑"/>
        <family val="0"/>
        <charset val="1"/>
      </rPr>
      <t xml:space="preserve">10</t>
    </r>
    <r>
      <rPr>
        <sz val="10"/>
        <color rgb="FF1F2937"/>
        <rFont val="Noto Sans CJK SC"/>
        <family val="2"/>
      </rPr>
      <t xml:space="preserve">倍</t>
    </r>
    <r>
      <rPr>
        <sz val="10"/>
        <color rgb="FF1F2937"/>
        <rFont val="微软雅黑"/>
        <family val="0"/>
        <charset val="1"/>
      </rPr>
      <t xml:space="preserve">TTM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微软雅黑"/>
        <family val="0"/>
        <charset val="1"/>
      </rPr>
      <t xml:space="preserve">11.5</t>
    </r>
    <r>
      <rPr>
        <sz val="10"/>
        <color rgb="FF1F2937"/>
        <rFont val="Noto Sans CJK SC"/>
        <family val="2"/>
      </rPr>
      <t xml:space="preserve">倍扣非</t>
    </r>
    <r>
      <rPr>
        <sz val="10"/>
        <color rgb="FF1F2937"/>
        <rFont val="微软雅黑"/>
        <family val="0"/>
        <charset val="1"/>
      </rPr>
      <t xml:space="preserve">TTM</t>
    </r>
    <r>
      <rPr>
        <sz val="10"/>
        <color rgb="FF1F2937"/>
        <rFont val="Noto Sans CJK SC"/>
        <family val="2"/>
      </rPr>
      <t xml:space="preserve">，反映对北美关税和国内补贴退坡的担忧；同业</t>
    </r>
    <r>
      <rPr>
        <sz val="10"/>
        <color rgb="FF1F2937"/>
        <rFont val="微软雅黑"/>
        <family val="0"/>
        <charset val="1"/>
      </rPr>
      <t xml:space="preserve">PE</t>
    </r>
    <r>
      <rPr>
        <sz val="10"/>
        <color rgb="FF1F2937"/>
        <rFont val="Noto Sans CJK SC"/>
        <family val="2"/>
      </rPr>
      <t xml:space="preserve">口径（静态</t>
    </r>
    <r>
      <rPr>
        <sz val="10"/>
        <color rgb="FF1F2937"/>
        <rFont val="微软雅黑"/>
        <family val="0"/>
        <charset val="1"/>
      </rPr>
      <t xml:space="preserve">/TTM</t>
    </r>
    <r>
      <rPr>
        <sz val="10"/>
        <color rgb="FF1F2937"/>
        <rFont val="Noto Sans CJK SC"/>
        <family val="2"/>
      </rPr>
      <t xml:space="preserve">）不统一，不宜直接用于定价。</t>
    </r>
  </si>
  <si>
    <t xml:space="preserve">数据与来源：原始数据底稿</t>
  </si>
  <si>
    <r>
      <rPr>
        <sz val="10"/>
        <color rgb="FF6B7280"/>
        <rFont val="Noto Sans CJK SC"/>
        <family val="2"/>
      </rPr>
      <t xml:space="preserve">金额单位：元（原始值，未四舍五入）；每股：元</t>
    </r>
    <r>
      <rPr>
        <sz val="10"/>
        <color rgb="FF6B7280"/>
        <rFont val="微软雅黑"/>
        <family val="0"/>
        <charset val="1"/>
      </rPr>
      <t xml:space="preserve">/</t>
    </r>
    <r>
      <rPr>
        <sz val="10"/>
        <color rgb="FF6B7280"/>
        <rFont val="Noto Sans CJK SC"/>
        <family val="2"/>
      </rPr>
      <t xml:space="preserve">股。蓝字为可更新输入；其他表格全部从这里引用。研究截止日 </t>
    </r>
    <r>
      <rPr>
        <sz val="10"/>
        <color rgb="FF6B7280"/>
        <rFont val="微软雅黑"/>
        <family val="0"/>
        <charset val="1"/>
      </rPr>
      <t xml:space="preserve">2026-10-20</t>
    </r>
    <r>
      <rPr>
        <sz val="10"/>
        <color rgb="FF6B7280"/>
        <rFont val="Noto Sans CJK SC"/>
        <family val="2"/>
      </rPr>
      <t xml:space="preserve">；最新财报为</t>
    </r>
    <r>
      <rPr>
        <sz val="10"/>
        <color rgb="FF6B7280"/>
        <rFont val="微软雅黑"/>
        <family val="0"/>
        <charset val="1"/>
      </rPr>
      <t xml:space="preserve">2026</t>
    </r>
    <r>
      <rPr>
        <sz val="10"/>
        <color rgb="FF6B7280"/>
        <rFont val="Noto Sans CJK SC"/>
        <family val="2"/>
      </rPr>
      <t xml:space="preserve">年半年度报告（</t>
    </r>
    <r>
      <rPr>
        <sz val="10"/>
        <color rgb="FF6B7280"/>
        <rFont val="微软雅黑"/>
        <family val="0"/>
        <charset val="1"/>
      </rPr>
      <t xml:space="preserve">2026-08-28</t>
    </r>
    <r>
      <rPr>
        <sz val="10"/>
        <color rgb="FF6B7280"/>
        <rFont val="Noto Sans CJK SC"/>
        <family val="2"/>
      </rPr>
      <t xml:space="preserve">披露），</t>
    </r>
    <r>
      <rPr>
        <sz val="10"/>
        <color rgb="FF6B7280"/>
        <rFont val="微软雅黑"/>
        <family val="0"/>
        <charset val="1"/>
      </rPr>
      <t xml:space="preserve">2026</t>
    </r>
    <r>
      <rPr>
        <sz val="10"/>
        <color rgb="FF6B7280"/>
        <rFont val="Noto Sans CJK SC"/>
        <family val="2"/>
      </rPr>
      <t xml:space="preserve">年三季报尚未披露。</t>
    </r>
  </si>
  <si>
    <r>
      <rPr>
        <b val="true"/>
        <sz val="12"/>
        <color rgb="FFFFFFFF"/>
        <rFont val="微软雅黑"/>
        <family val="0"/>
        <charset val="1"/>
      </rPr>
      <t xml:space="preserve">A. </t>
    </r>
    <r>
      <rPr>
        <b val="true"/>
        <sz val="12"/>
        <color rgb="FFFFFFFF"/>
        <rFont val="Noto Sans CJK SC"/>
        <family val="2"/>
      </rPr>
      <t xml:space="preserve">市场与股本（更新股价只需改本区蓝字）</t>
    </r>
  </si>
  <si>
    <t xml:space="preserve">数值</t>
  </si>
  <si>
    <r>
      <rPr>
        <b val="true"/>
        <sz val="10"/>
        <color rgb="FFFFFFFF"/>
        <rFont val="Noto Sans CJK SC"/>
        <family val="2"/>
      </rPr>
      <t xml:space="preserve">来源</t>
    </r>
    <r>
      <rPr>
        <b val="true"/>
        <sz val="10"/>
        <color rgb="FFFFFFFF"/>
        <rFont val="微软雅黑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口径</t>
    </r>
  </si>
  <si>
    <r>
      <rPr>
        <sz val="10"/>
        <color rgb="FF1F2937"/>
        <rFont val="微软雅黑"/>
        <family val="0"/>
        <charset val="1"/>
      </rPr>
      <t xml:space="preserve">A</t>
    </r>
    <r>
      <rPr>
        <sz val="10"/>
        <color rgb="FF1F2937"/>
        <rFont val="Noto Sans CJK SC"/>
        <family val="2"/>
      </rPr>
      <t xml:space="preserve">股收盘价</t>
    </r>
  </si>
  <si>
    <r>
      <rPr>
        <sz val="10"/>
        <color rgb="FF1F2937"/>
        <rFont val="Noto Sans CJK SC"/>
        <family val="2"/>
      </rPr>
      <t xml:space="preserve">元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股</t>
    </r>
  </si>
  <si>
    <r>
      <rPr>
        <sz val="10"/>
        <color rgb="FF1F2937"/>
        <rFont val="Noto Sans CJK SC"/>
        <family val="2"/>
      </rPr>
      <t xml:space="preserve">中财网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华盛通行情，当日</t>
    </r>
    <r>
      <rPr>
        <sz val="10"/>
        <color rgb="FF1F2937"/>
        <rFont val="微软雅黑"/>
        <family val="0"/>
        <charset val="1"/>
      </rPr>
      <t xml:space="preserve">-3.13%</t>
    </r>
    <r>
      <rPr>
        <sz val="10"/>
        <color rgb="FF1F2937"/>
        <rFont val="Noto Sans CJK SC"/>
        <family val="2"/>
      </rPr>
      <t xml:space="preserve">（延时行情）</t>
    </r>
  </si>
  <si>
    <r>
      <rPr>
        <sz val="10"/>
        <color rgb="FF1F2937"/>
        <rFont val="微软雅黑"/>
        <family val="0"/>
        <charset val="1"/>
      </rPr>
      <t xml:space="preserve">H</t>
    </r>
    <r>
      <rPr>
        <sz val="10"/>
        <color rgb="FF1F2937"/>
        <rFont val="Noto Sans CJK SC"/>
        <family val="2"/>
      </rPr>
      <t xml:space="preserve">股收盘价</t>
    </r>
  </si>
  <si>
    <r>
      <rPr>
        <sz val="10"/>
        <color rgb="FF1F2937"/>
        <rFont val="Noto Sans CJK SC"/>
        <family val="2"/>
      </rPr>
      <t xml:space="preserve">港元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股</t>
    </r>
  </si>
  <si>
    <r>
      <rPr>
        <sz val="10"/>
        <color rgb="FF1F2937"/>
        <rFont val="Noto Sans CJK SC"/>
        <family val="2"/>
      </rPr>
      <t xml:space="preserve">华盛通行情，当日</t>
    </r>
    <r>
      <rPr>
        <sz val="10"/>
        <color rgb="FF1F2937"/>
        <rFont val="微软雅黑"/>
        <family val="0"/>
        <charset val="1"/>
      </rPr>
      <t xml:space="preserve">-2.39%</t>
    </r>
  </si>
  <si>
    <t xml:space="preserve">港元兑人民币</t>
  </si>
  <si>
    <t xml:space="preserve">CNY/HKD</t>
  </si>
  <si>
    <t xml:space="preserve">2026-08</t>
  </si>
  <si>
    <r>
      <rPr>
        <sz val="10"/>
        <color rgb="FF1F2937"/>
        <rFont val="Noto Sans CJK SC"/>
        <family val="2"/>
      </rPr>
      <t xml:space="preserve">由</t>
    </r>
    <r>
      <rPr>
        <sz val="10"/>
        <color rgb="FF1F2937"/>
        <rFont val="微软雅黑"/>
        <family val="0"/>
        <charset val="1"/>
      </rPr>
      <t xml:space="preserve">2025</t>
    </r>
    <r>
      <rPr>
        <sz val="10"/>
        <color rgb="FF1F2937"/>
        <rFont val="Noto Sans CJK SC"/>
        <family val="2"/>
      </rPr>
      <t xml:space="preserve">末期股息换算推得：</t>
    </r>
    <r>
      <rPr>
        <sz val="10"/>
        <color rgb="FF1F2937"/>
        <rFont val="微软雅黑"/>
        <family val="0"/>
        <charset val="1"/>
      </rPr>
      <t xml:space="preserve">RMB0.89151=HKD1.0253105</t>
    </r>
    <r>
      <rPr>
        <sz val="10"/>
        <color rgb="FF1F2937"/>
        <rFont val="Noto Sans CJK SC"/>
        <family val="2"/>
      </rPr>
      <t xml:space="preserve">；可替换为最新汇率</t>
    </r>
  </si>
  <si>
    <r>
      <rPr>
        <sz val="10"/>
        <color rgb="FF1F2937"/>
        <rFont val="微软雅黑"/>
        <family val="0"/>
        <charset val="1"/>
      </rPr>
      <t xml:space="preserve">H</t>
    </r>
    <r>
      <rPr>
        <sz val="10"/>
        <color rgb="FF1F2937"/>
        <rFont val="Noto Sans CJK SC"/>
        <family val="2"/>
      </rPr>
      <t xml:space="preserve">股股价折人民币</t>
    </r>
  </si>
  <si>
    <t xml:space="preserve">计算</t>
  </si>
  <si>
    <r>
      <rPr>
        <sz val="10"/>
        <color rgb="FF1F2937"/>
        <rFont val="微软雅黑"/>
        <family val="0"/>
        <charset val="1"/>
      </rPr>
      <t xml:space="preserve">H</t>
    </r>
    <r>
      <rPr>
        <sz val="10"/>
        <color rgb="FF1F2937"/>
        <rFont val="Noto Sans CJK SC"/>
        <family val="2"/>
      </rPr>
      <t xml:space="preserve">股价</t>
    </r>
    <r>
      <rPr>
        <sz val="10"/>
        <color rgb="FF1F2937"/>
        <rFont val="微软雅黑"/>
        <family val="0"/>
        <charset val="1"/>
      </rPr>
      <t xml:space="preserve">×</t>
    </r>
    <r>
      <rPr>
        <sz val="10"/>
        <color rgb="FF1F2937"/>
        <rFont val="Noto Sans CJK SC"/>
        <family val="2"/>
      </rPr>
      <t xml:space="preserve">汇率</t>
    </r>
  </si>
  <si>
    <r>
      <rPr>
        <sz val="10"/>
        <color rgb="FF1F2937"/>
        <rFont val="微软雅黑"/>
        <family val="0"/>
        <charset val="1"/>
      </rPr>
      <t xml:space="preserve">H</t>
    </r>
    <r>
      <rPr>
        <sz val="10"/>
        <color rgb="FF1F2937"/>
        <rFont val="Noto Sans CJK SC"/>
        <family val="2"/>
      </rPr>
      <t xml:space="preserve">股相对</t>
    </r>
    <r>
      <rPr>
        <sz val="10"/>
        <color rgb="FF1F2937"/>
        <rFont val="微软雅黑"/>
        <family val="0"/>
        <charset val="1"/>
      </rPr>
      <t xml:space="preserve">A</t>
    </r>
    <r>
      <rPr>
        <sz val="10"/>
        <color rgb="FF1F2937"/>
        <rFont val="Noto Sans CJK SC"/>
        <family val="2"/>
      </rPr>
      <t xml:space="preserve">股溢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折</t>
    </r>
    <r>
      <rPr>
        <sz val="10"/>
        <color rgb="FF1F2937"/>
        <rFont val="微软雅黑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价</t>
    </r>
  </si>
  <si>
    <r>
      <rPr>
        <sz val="10"/>
        <color rgb="FF1F2937"/>
        <rFont val="Noto Sans CJK SC"/>
        <family val="2"/>
      </rPr>
      <t xml:space="preserve">负数</t>
    </r>
    <r>
      <rPr>
        <sz val="10"/>
        <color rgb="FF1F2937"/>
        <rFont val="微软雅黑"/>
        <family val="0"/>
        <charset val="1"/>
      </rPr>
      <t xml:space="preserve">=H</t>
    </r>
    <r>
      <rPr>
        <sz val="10"/>
        <color rgb="FF1F2937"/>
        <rFont val="Noto Sans CJK SC"/>
        <family val="2"/>
      </rPr>
      <t xml:space="preserve">股折价</t>
    </r>
  </si>
  <si>
    <t xml:space="preserve">流通在外股数（扣回购专户）</t>
  </si>
  <si>
    <t xml:space="preserve">股</t>
  </si>
  <si>
    <t xml:space="preserve">2026-08-20</t>
  </si>
  <si>
    <r>
      <rPr>
        <sz val="10"/>
        <color rgb="FF1F2937"/>
        <rFont val="微软雅黑"/>
        <family val="0"/>
        <charset val="1"/>
      </rPr>
      <t xml:space="preserve">2025</t>
    </r>
    <r>
      <rPr>
        <sz val="10"/>
        <color rgb="FF1F2937"/>
        <rFont val="Noto Sans CJK SC"/>
        <family val="2"/>
      </rPr>
      <t xml:space="preserve">年度分配实际参与股数（</t>
    </r>
    <r>
      <rPr>
        <sz val="10"/>
        <color rgb="FF1F2937"/>
        <rFont val="微软雅黑"/>
        <family val="0"/>
        <charset val="1"/>
      </rPr>
      <t xml:space="preserve">A+H+D</t>
    </r>
    <r>
      <rPr>
        <sz val="10"/>
        <color rgb="FF1F2937"/>
        <rFont val="Noto Sans CJK SC"/>
        <family val="2"/>
      </rPr>
      <t xml:space="preserve">），观点网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实施公告</t>
    </r>
  </si>
  <si>
    <t xml:space="preserve">总股本</t>
  </si>
  <si>
    <t xml:space="preserve">2026-06-30</t>
  </si>
  <si>
    <r>
      <rPr>
        <sz val="10"/>
        <color rgb="FF1F2937"/>
        <rFont val="微软雅黑"/>
        <family val="0"/>
        <charset val="1"/>
      </rPr>
      <t xml:space="preserve">2026</t>
    </r>
    <r>
      <rPr>
        <sz val="10"/>
        <color rgb="FF1F2937"/>
        <rFont val="Noto Sans CJK SC"/>
        <family val="2"/>
      </rPr>
      <t xml:space="preserve">年中报资产负债表股本</t>
    </r>
  </si>
  <si>
    <r>
      <rPr>
        <sz val="10"/>
        <color rgb="FF1F2937"/>
        <rFont val="微软雅黑"/>
        <family val="0"/>
        <charset val="1"/>
      </rPr>
      <t xml:space="preserve">A</t>
    </r>
    <r>
      <rPr>
        <sz val="10"/>
        <color rgb="FF1F2937"/>
        <rFont val="Noto Sans CJK SC"/>
        <family val="2"/>
      </rPr>
      <t xml:space="preserve">股回购专户股份</t>
    </r>
  </si>
  <si>
    <r>
      <rPr>
        <sz val="10"/>
        <color rgb="FF1F2937"/>
        <rFont val="微软雅黑"/>
        <family val="0"/>
        <charset val="1"/>
      </rPr>
      <t xml:space="preserve">2025</t>
    </r>
    <r>
      <rPr>
        <sz val="10"/>
        <color rgb="FF1F2937"/>
        <rFont val="Noto Sans CJK SC"/>
        <family val="2"/>
      </rPr>
      <t xml:space="preserve">年度</t>
    </r>
    <r>
      <rPr>
        <sz val="10"/>
        <color rgb="FF1F2937"/>
        <rFont val="微软雅黑"/>
        <family val="0"/>
        <charset val="1"/>
      </rPr>
      <t xml:space="preserve">A</t>
    </r>
    <r>
      <rPr>
        <sz val="10"/>
        <color rgb="FF1F2937"/>
        <rFont val="Noto Sans CJK SC"/>
        <family val="2"/>
      </rPr>
      <t xml:space="preserve">股权益分派实施公告</t>
    </r>
  </si>
  <si>
    <t xml:space="preserve">用扣除回购专户后的在外股数；回购股份用于员工持股，未来可能重新流通</t>
  </si>
  <si>
    <r>
      <rPr>
        <sz val="10"/>
        <color rgb="FF1F2937"/>
        <rFont val="微软雅黑"/>
        <family val="0"/>
        <charset val="1"/>
      </rPr>
      <t xml:space="preserve">A</t>
    </r>
    <r>
      <rPr>
        <sz val="10"/>
        <color rgb="FF1F2937"/>
        <rFont val="Noto Sans CJK SC"/>
        <family val="2"/>
      </rPr>
      <t xml:space="preserve">股价计全部股份市值</t>
    </r>
  </si>
  <si>
    <r>
      <rPr>
        <sz val="10"/>
        <color rgb="FF1F2937"/>
        <rFont val="Noto Sans CJK SC"/>
        <family val="2"/>
      </rPr>
      <t xml:space="preserve">简化：全部股份按</t>
    </r>
    <r>
      <rPr>
        <sz val="10"/>
        <color rgb="FF1F2937"/>
        <rFont val="微软雅黑"/>
        <family val="0"/>
        <charset val="1"/>
      </rPr>
      <t xml:space="preserve">A</t>
    </r>
    <r>
      <rPr>
        <sz val="10"/>
        <color rgb="FF1F2937"/>
        <rFont val="Noto Sans CJK SC"/>
        <family val="2"/>
      </rPr>
      <t xml:space="preserve">股价计；</t>
    </r>
    <r>
      <rPr>
        <sz val="10"/>
        <color rgb="FF1F2937"/>
        <rFont val="微软雅黑"/>
        <family val="0"/>
        <charset val="1"/>
      </rPr>
      <t xml:space="preserve">H</t>
    </r>
    <r>
      <rPr>
        <sz val="10"/>
        <color rgb="FF1F2937"/>
        <rFont val="Noto Sans CJK SC"/>
        <family val="2"/>
      </rPr>
      <t xml:space="preserve">股实际更便宜</t>
    </r>
  </si>
  <si>
    <t xml:space="preserve">研究截止日</t>
  </si>
  <si>
    <t xml:space="preserve">仅使用此日前已发布信息</t>
  </si>
  <si>
    <t xml:space="preserve">最新财报</t>
  </si>
  <si>
    <r>
      <rPr>
        <sz val="10"/>
        <color rgb="FF1F4FD8"/>
        <rFont val="微软雅黑"/>
        <family val="0"/>
        <charset val="1"/>
      </rPr>
      <t xml:space="preserve">2026</t>
    </r>
    <r>
      <rPr>
        <sz val="10"/>
        <color rgb="FF1F4FD8"/>
        <rFont val="Noto Sans CJK SC"/>
        <family val="2"/>
      </rPr>
      <t xml:space="preserve">年半年度报告</t>
    </r>
  </si>
  <si>
    <t xml:space="preserve">2026-08-28</t>
  </si>
  <si>
    <r>
      <rPr>
        <sz val="10"/>
        <color rgb="FF1F2937"/>
        <rFont val="Noto Sans CJK SC"/>
        <family val="2"/>
      </rPr>
      <t xml:space="preserve">截至</t>
    </r>
    <r>
      <rPr>
        <sz val="10"/>
        <color rgb="FF1F2937"/>
        <rFont val="微软雅黑"/>
        <family val="0"/>
        <charset val="1"/>
      </rPr>
      <t xml:space="preserve">2026-06-30</t>
    </r>
    <r>
      <rPr>
        <sz val="10"/>
        <color rgb="FF1F2937"/>
        <rFont val="Noto Sans CJK SC"/>
        <family val="2"/>
      </rPr>
      <t xml:space="preserve">；三季报预计</t>
    </r>
    <r>
      <rPr>
        <sz val="10"/>
        <color rgb="FF1F2937"/>
        <rFont val="微软雅黑"/>
        <family val="0"/>
        <charset val="1"/>
      </rPr>
      <t xml:space="preserve">10</t>
    </r>
    <r>
      <rPr>
        <sz val="10"/>
        <color rgb="FF1F2937"/>
        <rFont val="Noto Sans CJK SC"/>
        <family val="2"/>
      </rPr>
      <t xml:space="preserve">月底前披露（未发布）</t>
    </r>
  </si>
  <si>
    <r>
      <rPr>
        <b val="true"/>
        <sz val="12"/>
        <color rgb="FFFFFFFF"/>
        <rFont val="微软雅黑"/>
        <family val="0"/>
        <charset val="1"/>
      </rPr>
      <t xml:space="preserve">B. </t>
    </r>
    <r>
      <rPr>
        <b val="true"/>
        <sz val="12"/>
        <color rgb="FFFFFFFF"/>
        <rFont val="Noto Sans CJK SC"/>
        <family val="2"/>
      </rPr>
      <t xml:space="preserve">财务原始数据（合并报表，中国会计准则；单位：元）</t>
    </r>
  </si>
  <si>
    <t xml:space="preserve">2020</t>
  </si>
  <si>
    <r>
      <rPr>
        <b val="true"/>
        <sz val="10"/>
        <color rgb="FFFFFFFF"/>
        <rFont val="Noto Sans CJK SC"/>
        <family val="2"/>
      </rPr>
      <t xml:space="preserve">口径</t>
    </r>
    <r>
      <rPr>
        <b val="true"/>
        <sz val="10"/>
        <color rgb="FFFFFFFF"/>
        <rFont val="微软雅黑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来源</t>
    </r>
  </si>
  <si>
    <r>
      <rPr>
        <sz val="9"/>
        <color rgb="FF6B7280"/>
        <rFont val="Noto Sans CJK SC"/>
        <family val="2"/>
      </rPr>
      <t xml:space="preserve">利润表；东方财富</t>
    </r>
    <r>
      <rPr>
        <sz val="9"/>
        <color rgb="FF6B7280"/>
        <rFont val="微软雅黑"/>
        <family val="0"/>
        <charset val="1"/>
      </rPr>
      <t xml:space="preserve">F10(</t>
    </r>
    <r>
      <rPr>
        <sz val="9"/>
        <color rgb="FF6B7280"/>
        <rFont val="Noto Sans CJK SC"/>
        <family val="2"/>
      </rPr>
      <t xml:space="preserve">取自定期报告，</t>
    </r>
    <r>
      <rPr>
        <sz val="9"/>
        <color rgb="FF6B7280"/>
        <rFont val="微软雅黑"/>
        <family val="0"/>
        <charset val="1"/>
      </rPr>
      <t xml:space="preserve">2024</t>
    </r>
    <r>
      <rPr>
        <sz val="9"/>
        <color rgb="FF6B7280"/>
        <rFont val="Noto Sans CJK SC"/>
        <family val="2"/>
      </rPr>
      <t xml:space="preserve">为重述后</t>
    </r>
    <r>
      <rPr>
        <sz val="9"/>
        <color rgb="FF6B7280"/>
        <rFont val="微软雅黑"/>
        <family val="0"/>
        <charset val="1"/>
      </rPr>
      <t xml:space="preserve">)</t>
    </r>
  </si>
  <si>
    <t xml:space="preserve">营业成本</t>
  </si>
  <si>
    <r>
      <rPr>
        <sz val="9"/>
        <color rgb="FF6B7280"/>
        <rFont val="Noto Sans CJK SC"/>
        <family val="2"/>
      </rPr>
      <t xml:space="preserve">利润表；</t>
    </r>
    <r>
      <rPr>
        <sz val="9"/>
        <color rgb="FF6B7280"/>
        <rFont val="微软雅黑"/>
        <family val="0"/>
        <charset val="1"/>
      </rPr>
      <t xml:space="preserve">2023</t>
    </r>
    <r>
      <rPr>
        <sz val="9"/>
        <color rgb="FF6B7280"/>
        <rFont val="Noto Sans CJK SC"/>
        <family val="2"/>
      </rPr>
      <t xml:space="preserve">起部分费用重分类进成本，</t>
    </r>
    <r>
      <rPr>
        <sz val="9"/>
        <color rgb="FF6B7280"/>
        <rFont val="微软雅黑"/>
        <family val="0"/>
        <charset val="1"/>
      </rPr>
      <t xml:space="preserve">2022</t>
    </r>
    <r>
      <rPr>
        <sz val="9"/>
        <color rgb="FF6B7280"/>
        <rFont val="Noto Sans CJK SC"/>
        <family val="2"/>
      </rPr>
      <t xml:space="preserve">及以前毛利率不完全可比</t>
    </r>
  </si>
  <si>
    <t xml:space="preserve">销售费用</t>
  </si>
  <si>
    <t xml:space="preserve">利润表</t>
  </si>
  <si>
    <t xml:space="preserve">管理费用</t>
  </si>
  <si>
    <t xml:space="preserve">研发费用</t>
  </si>
  <si>
    <t xml:space="preserve">财务费用</t>
  </si>
  <si>
    <r>
      <rPr>
        <sz val="9"/>
        <color rgb="FF6B7280"/>
        <rFont val="Noto Sans CJK SC"/>
        <family val="2"/>
      </rPr>
      <t xml:space="preserve">利润表；含汇兑损益。</t>
    </r>
    <r>
      <rPr>
        <sz val="9"/>
        <color rgb="FF6B7280"/>
        <rFont val="微软雅黑"/>
        <family val="0"/>
        <charset val="1"/>
      </rPr>
      <t xml:space="preserve">2026H1</t>
    </r>
    <r>
      <rPr>
        <sz val="9"/>
        <color rgb="FF6B7280"/>
        <rFont val="Noto Sans CJK SC"/>
        <family val="2"/>
      </rPr>
      <t xml:space="preserve">汇兑净损失约</t>
    </r>
    <r>
      <rPr>
        <sz val="9"/>
        <color rgb="FF6B7280"/>
        <rFont val="微软雅黑"/>
        <family val="0"/>
        <charset val="1"/>
      </rPr>
      <t xml:space="preserve">7.04</t>
    </r>
    <r>
      <rPr>
        <sz val="9"/>
        <color rgb="FF6B7280"/>
        <rFont val="Noto Sans CJK SC"/>
        <family val="2"/>
      </rPr>
      <t xml:space="preserve">亿</t>
    </r>
    <r>
      <rPr>
        <sz val="9"/>
        <color rgb="FF6B7280"/>
        <rFont val="微软雅黑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上年同期收益</t>
    </r>
    <r>
      <rPr>
        <sz val="9"/>
        <color rgb="FF6B7280"/>
        <rFont val="微软雅黑"/>
        <family val="0"/>
        <charset val="1"/>
      </rPr>
      <t xml:space="preserve">)</t>
    </r>
  </si>
  <si>
    <t xml:space="preserve">其中：利息费用</t>
  </si>
  <si>
    <t xml:space="preserve">利润表附注口径</t>
  </si>
  <si>
    <t xml:space="preserve">利润总额</t>
  </si>
  <si>
    <t xml:space="preserve">所得税</t>
  </si>
  <si>
    <r>
      <rPr>
        <sz val="10"/>
        <color rgb="FF1F2937"/>
        <rFont val="Noto Sans CJK SC"/>
        <family val="2"/>
      </rPr>
      <t xml:space="preserve">净利润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合并</t>
    </r>
    <r>
      <rPr>
        <sz val="10"/>
        <color rgb="FF1F2937"/>
        <rFont val="微软雅黑"/>
        <family val="0"/>
        <charset val="1"/>
      </rPr>
      <t xml:space="preserve">)</t>
    </r>
  </si>
  <si>
    <r>
      <rPr>
        <sz val="9"/>
        <color rgb="FF6B7280"/>
        <rFont val="Noto Sans CJK SC"/>
        <family val="2"/>
      </rPr>
      <t xml:space="preserve">利润表；</t>
    </r>
    <r>
      <rPr>
        <sz val="9"/>
        <color rgb="FF6B7280"/>
        <rFont val="微软雅黑"/>
        <family val="0"/>
        <charset val="1"/>
      </rPr>
      <t xml:space="preserve">2020</t>
    </r>
    <r>
      <rPr>
        <sz val="9"/>
        <color rgb="FF6B7280"/>
        <rFont val="Noto Sans CJK SC"/>
        <family val="2"/>
      </rPr>
      <t xml:space="preserve">含海尔电器私有化前少数股东影响</t>
    </r>
  </si>
  <si>
    <t xml:space="preserve">定期报告主要会计数据</t>
  </si>
  <si>
    <r>
      <rPr>
        <sz val="10"/>
        <color rgb="FF1F2937"/>
        <rFont val="Noto Sans CJK SC"/>
        <family val="2"/>
      </rPr>
      <t xml:space="preserve">基本每股收益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元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股</t>
    </r>
    <r>
      <rPr>
        <sz val="10"/>
        <color rgb="FF1F2937"/>
        <rFont val="微软雅黑"/>
        <family val="0"/>
        <charset val="1"/>
      </rPr>
      <t xml:space="preserve">)</t>
    </r>
  </si>
  <si>
    <t xml:space="preserve">定期报告</t>
  </si>
  <si>
    <r>
      <rPr>
        <sz val="10"/>
        <color rgb="FF1F2937"/>
        <rFont val="Noto Sans CJK SC"/>
        <family val="2"/>
      </rPr>
      <t xml:space="preserve">加权平均</t>
    </r>
    <r>
      <rPr>
        <sz val="10"/>
        <color rgb="FF1F2937"/>
        <rFont val="微软雅黑"/>
        <family val="0"/>
        <charset val="1"/>
      </rPr>
      <t xml:space="preserve">ROE(</t>
    </r>
    <r>
      <rPr>
        <sz val="10"/>
        <color rgb="FF1F2937"/>
        <rFont val="Noto Sans CJK SC"/>
        <family val="2"/>
      </rPr>
      <t xml:space="preserve">披露</t>
    </r>
    <r>
      <rPr>
        <sz val="10"/>
        <color rgb="FF1F2937"/>
        <rFont val="微软雅黑"/>
        <family val="0"/>
        <charset val="1"/>
      </rPr>
      <t xml:space="preserve">)</t>
    </r>
  </si>
  <si>
    <r>
      <rPr>
        <sz val="9"/>
        <color rgb="FF6B7280"/>
        <rFont val="Noto Sans CJK SC"/>
        <family val="2"/>
      </rPr>
      <t xml:space="preserve">定期报告；</t>
    </r>
    <r>
      <rPr>
        <sz val="9"/>
        <color rgb="FF6B7280"/>
        <rFont val="微软雅黑"/>
        <family val="0"/>
        <charset val="1"/>
      </rPr>
      <t xml:space="preserve">2021</t>
    </r>
    <r>
      <rPr>
        <sz val="9"/>
        <color rgb="FF6B7280"/>
        <rFont val="Noto Sans CJK SC"/>
        <family val="2"/>
      </rPr>
      <t xml:space="preserve">值按</t>
    </r>
    <r>
      <rPr>
        <sz val="9"/>
        <color rgb="FF6B7280"/>
        <rFont val="微软雅黑"/>
        <family val="0"/>
        <charset val="1"/>
      </rPr>
      <t xml:space="preserve">2022</t>
    </r>
    <r>
      <rPr>
        <sz val="9"/>
        <color rgb="FF6B7280"/>
        <rFont val="Noto Sans CJK SC"/>
        <family val="2"/>
      </rPr>
      <t xml:space="preserve">年报</t>
    </r>
    <r>
      <rPr>
        <sz val="9"/>
        <color rgb="FF6B7280"/>
        <rFont val="微软雅黑"/>
        <family val="0"/>
        <charset val="1"/>
      </rPr>
      <t xml:space="preserve">'</t>
    </r>
    <r>
      <rPr>
        <sz val="9"/>
        <color rgb="FF6B7280"/>
        <rFont val="Noto Sans CJK SC"/>
        <family val="2"/>
      </rPr>
      <t xml:space="preserve">减少</t>
    </r>
    <r>
      <rPr>
        <sz val="9"/>
        <color rgb="FF6B7280"/>
        <rFont val="微软雅黑"/>
        <family val="0"/>
        <charset val="1"/>
      </rPr>
      <t xml:space="preserve">0.45</t>
    </r>
    <r>
      <rPr>
        <sz val="9"/>
        <color rgb="FF6B7280"/>
        <rFont val="Noto Sans CJK SC"/>
        <family val="2"/>
      </rPr>
      <t xml:space="preserve">个百分点</t>
    </r>
    <r>
      <rPr>
        <sz val="9"/>
        <color rgb="FF6B7280"/>
        <rFont val="微软雅黑"/>
        <family val="0"/>
        <charset val="1"/>
      </rPr>
      <t xml:space="preserve">'</t>
    </r>
    <r>
      <rPr>
        <sz val="9"/>
        <color rgb="FF6B7280"/>
        <rFont val="Noto Sans CJK SC"/>
        <family val="2"/>
      </rPr>
      <t xml:space="preserve">推算</t>
    </r>
  </si>
  <si>
    <t xml:space="preserve">经营活动现金流净额</t>
  </si>
  <si>
    <r>
      <rPr>
        <sz val="9"/>
        <color rgb="FF6B7280"/>
        <rFont val="Noto Sans CJK SC"/>
        <family val="2"/>
      </rPr>
      <t xml:space="preserve">现金流量表</t>
    </r>
    <r>
      <rPr>
        <sz val="9"/>
        <color rgb="FF6B7280"/>
        <rFont val="微软雅黑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合并，最新重述口径</t>
    </r>
    <r>
      <rPr>
        <sz val="9"/>
        <color rgb="FF6B7280"/>
        <rFont val="微软雅黑"/>
        <family val="0"/>
        <charset val="1"/>
      </rPr>
      <t xml:space="preserve">)</t>
    </r>
  </si>
  <si>
    <r>
      <rPr>
        <sz val="10"/>
        <color rgb="FF1F2937"/>
        <rFont val="Noto Sans CJK SC"/>
        <family val="2"/>
      </rPr>
      <t xml:space="preserve">购建固定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无形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长期资产支付现金</t>
    </r>
  </si>
  <si>
    <t xml:space="preserve">现金流量表</t>
  </si>
  <si>
    <t xml:space="preserve">固定资产折旧</t>
  </si>
  <si>
    <t xml:space="preserve">现金流量表补充资料</t>
  </si>
  <si>
    <t xml:space="preserve">无形资产摊销</t>
  </si>
  <si>
    <t xml:space="preserve">长期待摊费用摊销</t>
  </si>
  <si>
    <r>
      <rPr>
        <sz val="9"/>
        <color rgb="FF6B7280"/>
        <rFont val="Noto Sans CJK SC"/>
        <family val="2"/>
      </rPr>
      <t xml:space="preserve">现金流量表补充资料；</t>
    </r>
    <r>
      <rPr>
        <sz val="9"/>
        <color rgb="FF6B7280"/>
        <rFont val="微软雅黑"/>
        <family val="0"/>
        <charset val="1"/>
      </rPr>
      <t xml:space="preserve">2021</t>
    </r>
    <r>
      <rPr>
        <sz val="9"/>
        <color rgb="FF6B7280"/>
        <rFont val="Noto Sans CJK SC"/>
        <family val="2"/>
      </rPr>
      <t xml:space="preserve">源数据缺失</t>
    </r>
  </si>
  <si>
    <t xml:space="preserve">分配股利、利润或偿付利息支付的现金</t>
  </si>
  <si>
    <t xml:space="preserve">现金流量表；含利息</t>
  </si>
  <si>
    <t xml:space="preserve">货币资金</t>
  </si>
  <si>
    <r>
      <rPr>
        <sz val="9"/>
        <color rgb="FF6B7280"/>
        <rFont val="Noto Sans CJK SC"/>
        <family val="2"/>
      </rPr>
      <t xml:space="preserve">资产负债表；</t>
    </r>
    <r>
      <rPr>
        <sz val="9"/>
        <color rgb="FF6B7280"/>
        <rFont val="微软雅黑"/>
        <family val="0"/>
        <charset val="1"/>
      </rPr>
      <t xml:space="preserve">2025H1</t>
    </r>
    <r>
      <rPr>
        <sz val="9"/>
        <color rgb="FF6B7280"/>
        <rFont val="Noto Sans CJK SC"/>
        <family val="2"/>
      </rPr>
      <t xml:space="preserve">未取</t>
    </r>
  </si>
  <si>
    <t xml:space="preserve">交易性金融资产</t>
  </si>
  <si>
    <t xml:space="preserve">应收账款</t>
  </si>
  <si>
    <t xml:space="preserve">应收票据</t>
  </si>
  <si>
    <t xml:space="preserve">应付账款</t>
  </si>
  <si>
    <t xml:space="preserve">应付票据</t>
  </si>
  <si>
    <t xml:space="preserve">合同负债</t>
  </si>
  <si>
    <t xml:space="preserve">短期借款</t>
  </si>
  <si>
    <t xml:space="preserve">一年内到期的非流动负债</t>
  </si>
  <si>
    <t xml:space="preserve">资产负债表；含一年内到期租赁等，按宽口径计入有息负债</t>
  </si>
  <si>
    <t xml:space="preserve">长期借款</t>
  </si>
  <si>
    <t xml:space="preserve">应付债券</t>
  </si>
  <si>
    <r>
      <rPr>
        <sz val="9"/>
        <color rgb="FF6B7280"/>
        <rFont val="Noto Sans CJK SC"/>
        <family val="2"/>
      </rPr>
      <t xml:space="preserve">资产负债表；</t>
    </r>
    <r>
      <rPr>
        <sz val="9"/>
        <color rgb="FF6B7280"/>
        <rFont val="微软雅黑"/>
        <family val="0"/>
        <charset val="1"/>
      </rPr>
      <t xml:space="preserve">2022-2024</t>
    </r>
    <r>
      <rPr>
        <sz val="9"/>
        <color rgb="FF6B7280"/>
        <rFont val="Noto Sans CJK SC"/>
        <family val="2"/>
      </rPr>
      <t xml:space="preserve">源数据为空，按无余额处理</t>
    </r>
  </si>
  <si>
    <t xml:space="preserve">租赁负债</t>
  </si>
  <si>
    <t xml:space="preserve">商誉</t>
  </si>
  <si>
    <t xml:space="preserve">长期股权投资</t>
  </si>
  <si>
    <t xml:space="preserve">资产总计</t>
  </si>
  <si>
    <t xml:space="preserve">负债合计</t>
  </si>
  <si>
    <t xml:space="preserve">归母所有者权益</t>
  </si>
  <si>
    <t xml:space="preserve">少数股东权益</t>
  </si>
  <si>
    <r>
      <rPr>
        <sz val="9"/>
        <color rgb="FF6B7280"/>
        <rFont val="Noto Sans CJK SC"/>
        <family val="2"/>
      </rPr>
      <t xml:space="preserve">资产负债表；</t>
    </r>
    <r>
      <rPr>
        <sz val="9"/>
        <color rgb="FF6B7280"/>
        <rFont val="微软雅黑"/>
        <family val="0"/>
        <charset val="1"/>
      </rPr>
      <t xml:space="preserve">2026H1</t>
    </r>
    <r>
      <rPr>
        <sz val="9"/>
        <color rgb="FF6B7280"/>
        <rFont val="Noto Sans CJK SC"/>
        <family val="2"/>
      </rPr>
      <t xml:space="preserve">上升与出售海尔印度</t>
    </r>
    <r>
      <rPr>
        <sz val="9"/>
        <color rgb="FF6B7280"/>
        <rFont val="微软雅黑"/>
        <family val="0"/>
        <charset val="1"/>
      </rPr>
      <t xml:space="preserve">49%</t>
    </r>
    <r>
      <rPr>
        <sz val="9"/>
        <color rgb="FF6B7280"/>
        <rFont val="Noto Sans CJK SC"/>
        <family val="2"/>
      </rPr>
      <t xml:space="preserve">股权有关</t>
    </r>
    <r>
      <rPr>
        <sz val="9"/>
        <color rgb="FF6B7280"/>
        <rFont val="微软雅黑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待中报附注核实</t>
    </r>
    <r>
      <rPr>
        <sz val="9"/>
        <color rgb="FF6B7280"/>
        <rFont val="微软雅黑"/>
        <family val="0"/>
        <charset val="1"/>
      </rPr>
      <t xml:space="preserve">)</t>
    </r>
  </si>
  <si>
    <t xml:space="preserve">库存股</t>
  </si>
  <si>
    <r>
      <rPr>
        <sz val="10"/>
        <color rgb="FF1F2937"/>
        <rFont val="Noto Sans CJK SC"/>
        <family val="2"/>
      </rPr>
      <t xml:space="preserve">股本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股</t>
    </r>
    <r>
      <rPr>
        <sz val="10"/>
        <color rgb="FF1F2937"/>
        <rFont val="微软雅黑"/>
        <family val="0"/>
        <charset val="1"/>
      </rPr>
      <t xml:space="preserve">)</t>
    </r>
  </si>
  <si>
    <r>
      <rPr>
        <sz val="9"/>
        <color rgb="FF6B7280"/>
        <rFont val="Noto Sans CJK SC"/>
        <family val="2"/>
      </rPr>
      <t xml:space="preserve">注：灰底空白</t>
    </r>
    <r>
      <rPr>
        <sz val="9"/>
        <color rgb="FF6B7280"/>
        <rFont val="微软雅黑"/>
        <family val="0"/>
        <charset val="1"/>
      </rPr>
      <t xml:space="preserve">=</t>
    </r>
    <r>
      <rPr>
        <sz val="9"/>
        <color rgb="FF6B7280"/>
        <rFont val="Noto Sans CJK SC"/>
        <family val="2"/>
      </rPr>
      <t xml:space="preserve">源数据未取得或不适用，不按</t>
    </r>
    <r>
      <rPr>
        <sz val="9"/>
        <color rgb="FF6B7280"/>
        <rFont val="微软雅黑"/>
        <family val="0"/>
        <charset val="1"/>
      </rPr>
      <t xml:space="preserve">0</t>
    </r>
    <r>
      <rPr>
        <sz val="9"/>
        <color rgb="FF6B7280"/>
        <rFont val="Noto Sans CJK SC"/>
        <family val="2"/>
      </rPr>
      <t xml:space="preserve">处理。</t>
    </r>
  </si>
  <si>
    <r>
      <rPr>
        <b val="true"/>
        <sz val="12"/>
        <color rgb="FFFFFFFF"/>
        <rFont val="微软雅黑"/>
        <family val="0"/>
        <charset val="1"/>
      </rPr>
      <t xml:space="preserve">C. </t>
    </r>
    <r>
      <rPr>
        <b val="true"/>
        <sz val="12"/>
        <color rgb="FFFFFFFF"/>
        <rFont val="Noto Sans CJK SC"/>
        <family val="2"/>
      </rPr>
      <t xml:space="preserve">分产业 </t>
    </r>
    <r>
      <rPr>
        <b val="true"/>
        <sz val="12"/>
        <color rgb="FFFFFFFF"/>
        <rFont val="微软雅黑"/>
        <family val="0"/>
        <charset val="1"/>
      </rPr>
      <t xml:space="preserve">/ </t>
    </r>
    <r>
      <rPr>
        <b val="true"/>
        <sz val="12"/>
        <color rgb="FFFFFFFF"/>
        <rFont val="Noto Sans CJK SC"/>
        <family val="2"/>
      </rPr>
      <t xml:space="preserve">分地区（亿元）</t>
    </r>
  </si>
  <si>
    <r>
      <rPr>
        <b val="true"/>
        <sz val="10"/>
        <color rgb="FFFFFFFF"/>
        <rFont val="微软雅黑"/>
        <family val="0"/>
        <charset val="1"/>
      </rPr>
      <t xml:space="preserve">2025</t>
    </r>
    <r>
      <rPr>
        <b val="true"/>
        <sz val="10"/>
        <color rgb="FFFFFFFF"/>
        <rFont val="Noto Sans CJK SC"/>
        <family val="2"/>
      </rPr>
      <t xml:space="preserve">分产业</t>
    </r>
  </si>
  <si>
    <r>
      <rPr>
        <b val="true"/>
        <sz val="10"/>
        <color rgb="FFFFFFFF"/>
        <rFont val="微软雅黑"/>
        <family val="0"/>
        <charset val="1"/>
      </rPr>
      <t xml:space="preserve">2024</t>
    </r>
    <r>
      <rPr>
        <b val="true"/>
        <sz val="10"/>
        <color rgb="FFFFFFFF"/>
        <rFont val="Noto Sans CJK SC"/>
        <family val="2"/>
      </rPr>
      <t xml:space="preserve">分地区</t>
    </r>
  </si>
  <si>
    <r>
      <rPr>
        <b val="true"/>
        <sz val="10"/>
        <color rgb="FFFFFFFF"/>
        <rFont val="微软雅黑"/>
        <family val="0"/>
        <charset val="1"/>
      </rPr>
      <t xml:space="preserve">2025</t>
    </r>
    <r>
      <rPr>
        <b val="true"/>
        <sz val="10"/>
        <color rgb="FFFFFFFF"/>
        <rFont val="Noto Sans CJK SC"/>
        <family val="2"/>
      </rPr>
      <t xml:space="preserve">地区增速</t>
    </r>
  </si>
  <si>
    <r>
      <rPr>
        <sz val="10"/>
        <color rgb="FF1F2937"/>
        <rFont val="Noto Sans CJK SC"/>
        <family val="2"/>
      </rPr>
      <t xml:space="preserve">冰箱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冷柜</t>
    </r>
  </si>
  <si>
    <t xml:space="preserve">中国</t>
  </si>
  <si>
    <t xml:space="preserve">海外合计</t>
  </si>
  <si>
    <t xml:space="preserve">洗护</t>
  </si>
  <si>
    <t xml:space="preserve">北美</t>
  </si>
  <si>
    <t xml:space="preserve">未披露</t>
  </si>
  <si>
    <t xml:space="preserve">欧洲</t>
  </si>
  <si>
    <t xml:space="preserve">厨电</t>
  </si>
  <si>
    <t xml:space="preserve">日本</t>
  </si>
  <si>
    <t xml:space="preserve">智慧大暖通：空气</t>
  </si>
  <si>
    <t xml:space="preserve">南亚</t>
  </si>
  <si>
    <t xml:space="preserve">东南亚</t>
  </si>
  <si>
    <t xml:space="preserve">智慧大暖通：全屋用水</t>
  </si>
  <si>
    <r>
      <rPr>
        <sz val="10"/>
        <color rgb="FF1F2937"/>
        <rFont val="Noto Sans CJK SC"/>
        <family val="2"/>
      </rPr>
      <t xml:space="preserve">其他海外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倒算</t>
    </r>
    <r>
      <rPr>
        <sz val="10"/>
        <color rgb="FF1F2937"/>
        <rFont val="微软雅黑"/>
        <family val="0"/>
        <charset val="1"/>
      </rPr>
      <t xml:space="preserve">)</t>
    </r>
  </si>
  <si>
    <t xml:space="preserve">中东非</t>
  </si>
  <si>
    <t xml:space="preserve">美国高端品牌</t>
  </si>
  <si>
    <r>
      <rPr>
        <sz val="9"/>
        <color rgb="FF6B7280"/>
        <rFont val="Noto Sans CJK SC"/>
        <family val="2"/>
      </rPr>
      <t xml:space="preserve">来源：</t>
    </r>
    <r>
      <rPr>
        <sz val="9"/>
        <color rgb="FF6B7280"/>
        <rFont val="微软雅黑"/>
        <family val="0"/>
        <charset val="1"/>
      </rPr>
      <t xml:space="preserve">2025</t>
    </r>
    <r>
      <rPr>
        <sz val="9"/>
        <color rgb="FF6B7280"/>
        <rFont val="Noto Sans CJK SC"/>
        <family val="2"/>
      </rPr>
      <t xml:space="preserve">年报管理层讨论</t>
    </r>
    <r>
      <rPr>
        <sz val="9"/>
        <color rgb="FF6B7280"/>
        <rFont val="微软雅黑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分产业</t>
    </r>
    <r>
      <rPr>
        <sz val="9"/>
        <color rgb="FF6B7280"/>
        <rFont val="微软雅黑"/>
        <family val="0"/>
        <charset val="1"/>
      </rPr>
      <t xml:space="preserve">)</t>
    </r>
    <r>
      <rPr>
        <sz val="9"/>
        <color rgb="FF6B7280"/>
        <rFont val="Noto Sans CJK SC"/>
        <family val="2"/>
      </rPr>
      <t xml:space="preserve">；</t>
    </r>
    <r>
      <rPr>
        <sz val="9"/>
        <color rgb="FF6B7280"/>
        <rFont val="微软雅黑"/>
        <family val="0"/>
        <charset val="1"/>
      </rPr>
      <t xml:space="preserve">2024</t>
    </r>
    <r>
      <rPr>
        <sz val="9"/>
        <color rgb="FF6B7280"/>
        <rFont val="Noto Sans CJK SC"/>
        <family val="2"/>
      </rPr>
      <t xml:space="preserve">年报解读</t>
    </r>
    <r>
      <rPr>
        <sz val="9"/>
        <color rgb="FF6B7280"/>
        <rFont val="微软雅黑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分地区，海外合计</t>
    </r>
    <r>
      <rPr>
        <sz val="9"/>
        <color rgb="FF6B7280"/>
        <rFont val="微软雅黑"/>
        <family val="0"/>
        <charset val="1"/>
      </rPr>
      <t xml:space="preserve">1438.14</t>
    </r>
    <r>
      <rPr>
        <sz val="9"/>
        <color rgb="FF6B7280"/>
        <rFont val="Noto Sans CJK SC"/>
        <family val="2"/>
      </rPr>
      <t xml:space="preserve">亿</t>
    </r>
    <r>
      <rPr>
        <sz val="9"/>
        <color rgb="FF6B7280"/>
        <rFont val="微软雅黑"/>
        <family val="0"/>
        <charset val="1"/>
      </rPr>
      <t xml:space="preserve">)</t>
    </r>
    <r>
      <rPr>
        <sz val="9"/>
        <color rgb="FF6B7280"/>
        <rFont val="Noto Sans CJK SC"/>
        <family val="2"/>
      </rPr>
      <t xml:space="preserve">；</t>
    </r>
    <r>
      <rPr>
        <sz val="9"/>
        <color rgb="FF6B7280"/>
        <rFont val="微软雅黑"/>
        <family val="0"/>
        <charset val="1"/>
      </rPr>
      <t xml:space="preserve">2025</t>
    </r>
    <r>
      <rPr>
        <sz val="9"/>
        <color rgb="FF6B7280"/>
        <rFont val="Noto Sans CJK SC"/>
        <family val="2"/>
      </rPr>
      <t xml:space="preserve">年报解读</t>
    </r>
    <r>
      <rPr>
        <sz val="9"/>
        <color rgb="FF6B7280"/>
        <rFont val="微软雅黑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地区增速</t>
    </r>
    <r>
      <rPr>
        <sz val="9"/>
        <color rgb="FF6B7280"/>
        <rFont val="微软雅黑"/>
        <family val="0"/>
        <charset val="1"/>
      </rPr>
      <t xml:space="preserve">)</t>
    </r>
    <r>
      <rPr>
        <sz val="9"/>
        <color rgb="FF6B7280"/>
        <rFont val="Noto Sans CJK SC"/>
        <family val="2"/>
      </rPr>
      <t xml:space="preserve">。</t>
    </r>
    <r>
      <rPr>
        <sz val="9"/>
        <color rgb="FF6B7280"/>
        <rFont val="微软雅黑"/>
        <family val="0"/>
        <charset val="1"/>
      </rPr>
      <t xml:space="preserve">2025</t>
    </r>
    <r>
      <rPr>
        <sz val="9"/>
        <color rgb="FF6B7280"/>
        <rFont val="Noto Sans CJK SC"/>
        <family val="2"/>
      </rPr>
      <t xml:space="preserve">年分地区收入金额未取得，故用</t>
    </r>
    <r>
      <rPr>
        <sz val="9"/>
        <color rgb="FF6B7280"/>
        <rFont val="微软雅黑"/>
        <family val="0"/>
        <charset val="1"/>
      </rPr>
      <t xml:space="preserve">2024</t>
    </r>
    <r>
      <rPr>
        <sz val="9"/>
        <color rgb="FF6B7280"/>
        <rFont val="Noto Sans CJK SC"/>
        <family val="2"/>
      </rPr>
      <t xml:space="preserve">金额展示结构。</t>
    </r>
  </si>
  <si>
    <r>
      <rPr>
        <sz val="9"/>
        <color rgb="FF6B7280"/>
        <rFont val="微软雅黑"/>
        <family val="0"/>
        <charset val="1"/>
      </rPr>
      <t xml:space="preserve">2026H1</t>
    </r>
    <r>
      <rPr>
        <sz val="9"/>
        <color rgb="FF6B7280"/>
        <rFont val="Noto Sans CJK SC"/>
        <family val="2"/>
      </rPr>
      <t xml:space="preserve">分部</t>
    </r>
    <r>
      <rPr>
        <sz val="9"/>
        <color rgb="FF6B7280"/>
        <rFont val="微软雅黑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港股口径，对外收入，亿元</t>
    </r>
    <r>
      <rPr>
        <sz val="9"/>
        <color rgb="FF6B7280"/>
        <rFont val="微软雅黑"/>
        <family val="0"/>
        <charset val="1"/>
      </rPr>
      <t xml:space="preserve">)</t>
    </r>
    <r>
      <rPr>
        <sz val="9"/>
        <color rgb="FF6B7280"/>
        <rFont val="Noto Sans CJK SC"/>
        <family val="2"/>
      </rPr>
      <t xml:space="preserve">：智慧生活家电 </t>
    </r>
    <r>
      <rPr>
        <sz val="9"/>
        <color rgb="FF6B7280"/>
        <rFont val="微软雅黑"/>
        <family val="0"/>
        <charset val="1"/>
      </rPr>
      <t xml:space="preserve">893.56</t>
    </r>
    <r>
      <rPr>
        <sz val="9"/>
        <color rgb="FF6B7280"/>
        <rFont val="Noto Sans CJK SC"/>
        <family val="2"/>
      </rPr>
      <t xml:space="preserve">（上年同期</t>
    </r>
    <r>
      <rPr>
        <sz val="9"/>
        <color rgb="FF6B7280"/>
        <rFont val="微软雅黑"/>
        <family val="0"/>
        <charset val="1"/>
      </rPr>
      <t xml:space="preserve">953.02</t>
    </r>
    <r>
      <rPr>
        <sz val="9"/>
        <color rgb="FF6B7280"/>
        <rFont val="Noto Sans CJK SC"/>
        <family val="2"/>
      </rPr>
      <t xml:space="preserve">）｜智慧大暖通 </t>
    </r>
    <r>
      <rPr>
        <sz val="9"/>
        <color rgb="FF6B7280"/>
        <rFont val="微软雅黑"/>
        <family val="0"/>
        <charset val="1"/>
      </rPr>
      <t xml:space="preserve">450.28</t>
    </r>
    <r>
      <rPr>
        <sz val="9"/>
        <color rgb="FF6B7280"/>
        <rFont val="Noto Sans CJK SC"/>
        <family val="2"/>
      </rPr>
      <t xml:space="preserve">（</t>
    </r>
    <r>
      <rPr>
        <sz val="9"/>
        <color rgb="FF6B7280"/>
        <rFont val="微软雅黑"/>
        <family val="0"/>
        <charset val="1"/>
      </rPr>
      <t xml:space="preserve">425.47</t>
    </r>
    <r>
      <rPr>
        <sz val="9"/>
        <color rgb="FF6B7280"/>
        <rFont val="Noto Sans CJK SC"/>
        <family val="2"/>
      </rPr>
      <t xml:space="preserve">；全口径</t>
    </r>
    <r>
      <rPr>
        <sz val="9"/>
        <color rgb="FF6B7280"/>
        <rFont val="微软雅黑"/>
        <family val="0"/>
        <charset val="1"/>
      </rPr>
      <t xml:space="preserve">453.62</t>
    </r>
    <r>
      <rPr>
        <sz val="9"/>
        <color rgb="FF6B7280"/>
        <rFont val="Noto Sans CJK SC"/>
        <family val="2"/>
      </rPr>
      <t xml:space="preserve">，</t>
    </r>
    <r>
      <rPr>
        <sz val="9"/>
        <color rgb="FF6B7280"/>
        <rFont val="微软雅黑"/>
        <family val="0"/>
        <charset val="1"/>
      </rPr>
      <t xml:space="preserve">+6.1%</t>
    </r>
    <r>
      <rPr>
        <sz val="9"/>
        <color rgb="FF6B7280"/>
        <rFont val="Noto Sans CJK SC"/>
        <family val="2"/>
      </rPr>
      <t xml:space="preserve">）｜其他 </t>
    </r>
    <r>
      <rPr>
        <sz val="9"/>
        <color rgb="FF6B7280"/>
        <rFont val="微软雅黑"/>
        <family val="0"/>
        <charset val="1"/>
      </rPr>
      <t xml:space="preserve">177.25</t>
    </r>
    <r>
      <rPr>
        <sz val="9"/>
        <color rgb="FF6B7280"/>
        <rFont val="Noto Sans CJK SC"/>
        <family val="2"/>
      </rPr>
      <t xml:space="preserve">（</t>
    </r>
    <r>
      <rPr>
        <sz val="9"/>
        <color rgb="FF6B7280"/>
        <rFont val="微软雅黑"/>
        <family val="0"/>
        <charset val="1"/>
      </rPr>
      <t xml:space="preserve">186.20</t>
    </r>
    <r>
      <rPr>
        <sz val="9"/>
        <color rgb="FF6B7280"/>
        <rFont val="Noto Sans CJK SC"/>
        <family val="2"/>
      </rPr>
      <t xml:space="preserve">）。</t>
    </r>
  </si>
  <si>
    <r>
      <rPr>
        <b val="true"/>
        <sz val="12"/>
        <color rgb="FFFFFFFF"/>
        <rFont val="微软雅黑"/>
        <family val="0"/>
        <charset val="1"/>
      </rPr>
      <t xml:space="preserve">D. </t>
    </r>
    <r>
      <rPr>
        <b val="true"/>
        <sz val="12"/>
        <color rgb="FFFFFFFF"/>
        <rFont val="Noto Sans CJK SC"/>
        <family val="2"/>
      </rPr>
      <t xml:space="preserve">同业行情（第三方行情页口径，日期不完全一致，仅作量级参考）</t>
    </r>
  </si>
  <si>
    <t xml:space="preserve">美的集团</t>
  </si>
  <si>
    <t xml:space="preserve">000333</t>
  </si>
  <si>
    <t xml:space="preserve">2026-10-19</t>
  </si>
  <si>
    <t xml:space="preserve">中财网</t>
  </si>
  <si>
    <t xml:space="preserve">格力电器</t>
  </si>
  <si>
    <t xml:space="preserve">000651</t>
  </si>
  <si>
    <t xml:space="preserve">2026-10-16</t>
  </si>
  <si>
    <t xml:space="preserve">老板电器</t>
  </si>
  <si>
    <t xml:space="preserve">002508</t>
  </si>
  <si>
    <r>
      <rPr>
        <sz val="10"/>
        <color rgb="FF1F2937"/>
        <rFont val="Noto Sans CJK SC"/>
        <family val="2"/>
      </rPr>
      <t xml:space="preserve">海尔智家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行情页口径</t>
    </r>
    <r>
      <rPr>
        <sz val="10"/>
        <color rgb="FF1F2937"/>
        <rFont val="微软雅黑"/>
        <family val="0"/>
        <charset val="1"/>
      </rPr>
      <t xml:space="preserve">)</t>
    </r>
  </si>
  <si>
    <r>
      <rPr>
        <b val="true"/>
        <sz val="12"/>
        <color rgb="FFFFFFFF"/>
        <rFont val="微软雅黑"/>
        <family val="0"/>
        <charset val="1"/>
      </rPr>
      <t xml:space="preserve">E. </t>
    </r>
    <r>
      <rPr>
        <b val="true"/>
        <sz val="12"/>
        <color rgb="FFFFFFFF"/>
        <rFont val="Noto Sans CJK SC"/>
        <family val="2"/>
      </rPr>
      <t xml:space="preserve">来源台账</t>
    </r>
  </si>
  <si>
    <t xml:space="preserve">资料</t>
  </si>
  <si>
    <t xml:space="preserve">发布方</t>
  </si>
  <si>
    <t xml:space="preserve">链接</t>
  </si>
  <si>
    <r>
      <rPr>
        <b val="true"/>
        <sz val="10"/>
        <color rgb="FFFFFFFF"/>
        <rFont val="Noto Sans CJK SC"/>
        <family val="2"/>
      </rPr>
      <t xml:space="preserve">用途</t>
    </r>
    <r>
      <rPr>
        <b val="true"/>
        <sz val="10"/>
        <color rgb="FFFFFFFF"/>
        <rFont val="微软雅黑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关键数</t>
    </r>
  </si>
  <si>
    <r>
      <rPr>
        <sz val="10"/>
        <color rgb="FF1F2937"/>
        <rFont val="Noto Sans CJK SC"/>
        <family val="2"/>
      </rPr>
      <t xml:space="preserve">财务三表与主要指标</t>
    </r>
    <r>
      <rPr>
        <sz val="10"/>
        <color rgb="FF1F2937"/>
        <rFont val="微软雅黑"/>
        <family val="0"/>
        <charset val="1"/>
      </rPr>
      <t xml:space="preserve">(2020-2026H1)</t>
    </r>
  </si>
  <si>
    <r>
      <rPr>
        <sz val="10"/>
        <color rgb="FF1F2937"/>
        <rFont val="Noto Sans CJK SC"/>
        <family val="2"/>
      </rPr>
      <t xml:space="preserve">东方财富</t>
    </r>
    <r>
      <rPr>
        <sz val="10"/>
        <color rgb="FF1F2937"/>
        <rFont val="微软雅黑"/>
        <family val="0"/>
        <charset val="1"/>
      </rPr>
      <t xml:space="preserve">F10(</t>
    </r>
    <r>
      <rPr>
        <sz val="10"/>
        <color rgb="FF1F2937"/>
        <rFont val="Noto Sans CJK SC"/>
        <family val="2"/>
      </rPr>
      <t xml:space="preserve">数据取自公司定期报告</t>
    </r>
    <r>
      <rPr>
        <sz val="10"/>
        <color rgb="FF1F2937"/>
        <rFont val="微软雅黑"/>
        <family val="0"/>
        <charset val="1"/>
      </rPr>
      <t xml:space="preserve">)</t>
    </r>
  </si>
  <si>
    <t xml:space="preserve">https://emweb.securities.eastmoney.com/PC_HSF10/NewFinanceAnalysis/Index?type=web&amp;code=SH600690</t>
  </si>
  <si>
    <r>
      <rPr>
        <sz val="9"/>
        <color rgb="FF1F2937"/>
        <rFont val="Noto Sans CJK SC"/>
        <family val="2"/>
      </rPr>
      <t xml:space="preserve">利润表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资产负债表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现金流量表</t>
    </r>
  </si>
  <si>
    <r>
      <rPr>
        <sz val="10"/>
        <color rgb="FF1F2937"/>
        <rFont val="微软雅黑"/>
        <family val="0"/>
        <charset val="1"/>
      </rPr>
      <t xml:space="preserve">2026</t>
    </r>
    <r>
      <rPr>
        <sz val="10"/>
        <color rgb="FF1F2937"/>
        <rFont val="Noto Sans CJK SC"/>
        <family val="2"/>
      </rPr>
      <t xml:space="preserve">年半年度报告</t>
    </r>
  </si>
  <si>
    <r>
      <rPr>
        <sz val="10"/>
        <color rgb="FF1F2937"/>
        <rFont val="Noto Sans CJK SC"/>
        <family val="2"/>
      </rPr>
      <t xml:space="preserve">海尔智家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上交所披露</t>
    </r>
    <r>
      <rPr>
        <sz val="10"/>
        <color rgb="FF1F2937"/>
        <rFont val="微软雅黑"/>
        <family val="0"/>
        <charset val="1"/>
      </rPr>
      <t xml:space="preserve">)</t>
    </r>
  </si>
  <si>
    <t xml:space="preserve">https://stockmc.xueqiu.com/202608/600690_20260828_OP9Q.pdf</t>
  </si>
  <si>
    <r>
      <rPr>
        <sz val="9"/>
        <color rgb="FF1F2937"/>
        <rFont val="Noto Sans CJK SC"/>
        <family val="2"/>
      </rPr>
      <t xml:space="preserve">披露日</t>
    </r>
    <r>
      <rPr>
        <sz val="9"/>
        <color rgb="FF1F2937"/>
        <rFont val="微软雅黑"/>
        <family val="0"/>
        <charset val="1"/>
      </rPr>
      <t xml:space="preserve">2026-08-28</t>
    </r>
  </si>
  <si>
    <r>
      <rPr>
        <sz val="10"/>
        <color rgb="FF1F2937"/>
        <rFont val="微软雅黑"/>
        <family val="0"/>
        <charset val="1"/>
      </rPr>
      <t xml:space="preserve">2026</t>
    </r>
    <r>
      <rPr>
        <sz val="10"/>
        <color rgb="FF1F2937"/>
        <rFont val="Noto Sans CJK SC"/>
        <family val="2"/>
      </rPr>
      <t xml:space="preserve">年中期业绩公告</t>
    </r>
    <r>
      <rPr>
        <sz val="10"/>
        <color rgb="FF1F2937"/>
        <rFont val="微软雅黑"/>
        <family val="0"/>
        <charset val="1"/>
      </rPr>
      <t xml:space="preserve">(H</t>
    </r>
    <r>
      <rPr>
        <sz val="10"/>
        <color rgb="FF1F2937"/>
        <rFont val="Noto Sans CJK SC"/>
        <family val="2"/>
      </rPr>
      <t xml:space="preserve">股</t>
    </r>
    <r>
      <rPr>
        <sz val="10"/>
        <color rgb="FF1F2937"/>
        <rFont val="微软雅黑"/>
        <family val="0"/>
        <charset val="1"/>
      </rPr>
      <t xml:space="preserve">)</t>
    </r>
  </si>
  <si>
    <t xml:space="preserve">港交所披露易</t>
  </si>
  <si>
    <t xml:space="preserve">https://www1.hkexnews.hk/listedco/listconews/sehk/2026/0827/2026082702358_c.pdf</t>
  </si>
  <si>
    <r>
      <rPr>
        <sz val="9"/>
        <color rgb="FF1F2937"/>
        <rFont val="Noto Sans CJK SC"/>
        <family val="2"/>
      </rPr>
      <t xml:space="preserve">不派中期股息；汇兑净损失</t>
    </r>
    <r>
      <rPr>
        <sz val="9"/>
        <color rgb="FF1F2937"/>
        <rFont val="微软雅黑"/>
        <family val="0"/>
        <charset val="1"/>
      </rPr>
      <t xml:space="preserve">7.04</t>
    </r>
    <r>
      <rPr>
        <sz val="9"/>
        <color rgb="FF1F2937"/>
        <rFont val="Noto Sans CJK SC"/>
        <family val="2"/>
      </rPr>
      <t xml:space="preserve">亿；借款</t>
    </r>
    <r>
      <rPr>
        <sz val="9"/>
        <color rgb="FF1F2937"/>
        <rFont val="微软雅黑"/>
        <family val="0"/>
        <charset val="1"/>
      </rPr>
      <t xml:space="preserve">383.2</t>
    </r>
    <r>
      <rPr>
        <sz val="9"/>
        <color rgb="FF1F2937"/>
        <rFont val="Noto Sans CJK SC"/>
        <family val="2"/>
      </rPr>
      <t xml:space="preserve">亿；现金</t>
    </r>
    <r>
      <rPr>
        <sz val="9"/>
        <color rgb="FF1F2937"/>
        <rFont val="微软雅黑"/>
        <family val="0"/>
        <charset val="1"/>
      </rPr>
      <t xml:space="preserve">498.7</t>
    </r>
    <r>
      <rPr>
        <sz val="9"/>
        <color rgb="FF1F2937"/>
        <rFont val="Noto Sans CJK SC"/>
        <family val="2"/>
      </rPr>
      <t xml:space="preserve">亿</t>
    </r>
  </si>
  <si>
    <r>
      <rPr>
        <sz val="10"/>
        <color rgb="FF1F2937"/>
        <rFont val="微软雅黑"/>
        <family val="0"/>
        <charset val="1"/>
      </rPr>
      <t xml:space="preserve">2025</t>
    </r>
    <r>
      <rPr>
        <sz val="10"/>
        <color rgb="FF1F2937"/>
        <rFont val="Noto Sans CJK SC"/>
        <family val="2"/>
      </rPr>
      <t xml:space="preserve">年年度报告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摘要</t>
    </r>
  </si>
  <si>
    <t xml:space="preserve">海尔智家</t>
  </si>
  <si>
    <t xml:space="preserve">https://stockmc.xueqiu.com/202603/600690_20260327_PV3G.pdf</t>
  </si>
  <si>
    <t xml:space="preserve">主要会计数据、分季度、前十大股东、分配预案</t>
  </si>
  <si>
    <t xml:space="preserve">上海证券报</t>
  </si>
  <si>
    <t xml:space="preserve">https://paper.cnstock.com/html/2026-08/15/content_2255299.htm</t>
  </si>
  <si>
    <r>
      <rPr>
        <sz val="9"/>
        <color rgb="FF1F2937"/>
        <rFont val="Noto Sans CJK SC"/>
        <family val="2"/>
      </rPr>
      <t xml:space="preserve">每股</t>
    </r>
    <r>
      <rPr>
        <sz val="9"/>
        <color rgb="FF1F2937"/>
        <rFont val="微软雅黑"/>
        <family val="0"/>
        <charset val="1"/>
      </rPr>
      <t xml:space="preserve">0.89151</t>
    </r>
    <r>
      <rPr>
        <sz val="9"/>
        <color rgb="FF1F2937"/>
        <rFont val="Noto Sans CJK SC"/>
        <family val="2"/>
      </rPr>
      <t xml:space="preserve">元；参与分配</t>
    </r>
    <r>
      <rPr>
        <sz val="9"/>
        <color rgb="FF1F2937"/>
        <rFont val="微软雅黑"/>
        <family val="0"/>
        <charset val="1"/>
      </rPr>
      <t xml:space="preserve">A</t>
    </r>
    <r>
      <rPr>
        <sz val="9"/>
        <color rgb="FF1F2937"/>
        <rFont val="Noto Sans CJK SC"/>
        <family val="2"/>
      </rPr>
      <t xml:space="preserve">股</t>
    </r>
    <r>
      <rPr>
        <sz val="9"/>
        <color rgb="FF1F2937"/>
        <rFont val="微软雅黑"/>
        <family val="0"/>
        <charset val="1"/>
      </rPr>
      <t xml:space="preserve">6,128,344,725</t>
    </r>
    <r>
      <rPr>
        <sz val="9"/>
        <color rgb="FF1F2937"/>
        <rFont val="Noto Sans CJK SC"/>
        <family val="2"/>
      </rPr>
      <t xml:space="preserve">股</t>
    </r>
  </si>
  <si>
    <r>
      <rPr>
        <sz val="10"/>
        <color rgb="FF1F2937"/>
        <rFont val="Noto Sans CJK SC"/>
        <family val="2"/>
      </rPr>
      <t xml:space="preserve">调整</t>
    </r>
    <r>
      <rPr>
        <sz val="10"/>
        <color rgb="FF1F2937"/>
        <rFont val="微软雅黑"/>
        <family val="0"/>
        <charset val="1"/>
      </rPr>
      <t xml:space="preserve">2025</t>
    </r>
    <r>
      <rPr>
        <sz val="10"/>
        <color rgb="FF1F2937"/>
        <rFont val="Noto Sans CJK SC"/>
        <family val="2"/>
      </rPr>
      <t xml:space="preserve">年度每股分配比例</t>
    </r>
  </si>
  <si>
    <t xml:space="preserve">观点网</t>
  </si>
  <si>
    <t xml:space="preserve">https://www.guandian.cn/article/20260807/582342.html</t>
  </si>
  <si>
    <r>
      <rPr>
        <sz val="9"/>
        <color rgb="FF1F2937"/>
        <rFont val="Noto Sans CJK SC"/>
        <family val="2"/>
      </rPr>
      <t xml:space="preserve">参与分配总股数</t>
    </r>
    <r>
      <rPr>
        <sz val="9"/>
        <color rgb="FF1F2937"/>
        <rFont val="微软雅黑"/>
        <family val="0"/>
        <charset val="1"/>
      </rPr>
      <t xml:space="preserve">9,252,080,366</t>
    </r>
    <r>
      <rPr>
        <sz val="9"/>
        <color rgb="FF1F2937"/>
        <rFont val="Noto Sans CJK SC"/>
        <family val="2"/>
      </rPr>
      <t xml:space="preserve">股</t>
    </r>
  </si>
  <si>
    <r>
      <rPr>
        <sz val="10"/>
        <color rgb="FF1F2937"/>
        <rFont val="微软雅黑"/>
        <family val="0"/>
        <charset val="1"/>
      </rPr>
      <t xml:space="preserve">2025</t>
    </r>
    <r>
      <rPr>
        <sz val="10"/>
        <color rgb="FF1F2937"/>
        <rFont val="Noto Sans CJK SC"/>
        <family val="2"/>
      </rPr>
      <t xml:space="preserve">年中期</t>
    </r>
    <r>
      <rPr>
        <sz val="10"/>
        <color rgb="FF1F2937"/>
        <rFont val="微软雅黑"/>
        <family val="0"/>
        <charset val="1"/>
      </rPr>
      <t xml:space="preserve">A</t>
    </r>
    <r>
      <rPr>
        <sz val="10"/>
        <color rgb="FF1F2937"/>
        <rFont val="Noto Sans CJK SC"/>
        <family val="2"/>
      </rPr>
      <t xml:space="preserve">股权益分派实施</t>
    </r>
  </si>
  <si>
    <t xml:space="preserve">https://paper.cnstock.com/html/2025-11/01/content_2140756.htm</t>
  </si>
  <si>
    <r>
      <rPr>
        <sz val="9"/>
        <color rgb="FF1F2937"/>
        <rFont val="Noto Sans CJK SC"/>
        <family val="2"/>
      </rPr>
      <t xml:space="preserve">每股</t>
    </r>
    <r>
      <rPr>
        <sz val="9"/>
        <color rgb="FF1F2937"/>
        <rFont val="微软雅黑"/>
        <family val="0"/>
        <charset val="1"/>
      </rPr>
      <t xml:space="preserve">0.2692</t>
    </r>
    <r>
      <rPr>
        <sz val="9"/>
        <color rgb="FF1F2937"/>
        <rFont val="Noto Sans CJK SC"/>
        <family val="2"/>
      </rPr>
      <t xml:space="preserve">元</t>
    </r>
  </si>
  <si>
    <r>
      <rPr>
        <sz val="10"/>
        <color rgb="FF1F2937"/>
        <rFont val="微软雅黑"/>
        <family val="0"/>
        <charset val="1"/>
      </rPr>
      <t xml:space="preserve">2024</t>
    </r>
    <r>
      <rPr>
        <sz val="10"/>
        <color rgb="FF1F2937"/>
        <rFont val="Noto Sans CJK SC"/>
        <family val="2"/>
      </rPr>
      <t xml:space="preserve">年度</t>
    </r>
    <r>
      <rPr>
        <sz val="10"/>
        <color rgb="FF1F2937"/>
        <rFont val="微软雅黑"/>
        <family val="0"/>
        <charset val="1"/>
      </rPr>
      <t xml:space="preserve">A</t>
    </r>
    <r>
      <rPr>
        <sz val="10"/>
        <color rgb="FF1F2937"/>
        <rFont val="Noto Sans CJK SC"/>
        <family val="2"/>
      </rPr>
      <t xml:space="preserve">股权益分派实施</t>
    </r>
  </si>
  <si>
    <t xml:space="preserve">https://paper.cnstock.com/html/2025-07/19/content_2096091.htm</t>
  </si>
  <si>
    <r>
      <rPr>
        <sz val="9"/>
        <color rgb="FF1F2937"/>
        <rFont val="Noto Sans CJK SC"/>
        <family val="2"/>
      </rPr>
      <t xml:space="preserve">每股</t>
    </r>
    <r>
      <rPr>
        <sz val="9"/>
        <color rgb="FF1F2937"/>
        <rFont val="微软雅黑"/>
        <family val="0"/>
        <charset val="1"/>
      </rPr>
      <t xml:space="preserve">0.96504</t>
    </r>
    <r>
      <rPr>
        <sz val="9"/>
        <color rgb="FF1F2937"/>
        <rFont val="Noto Sans CJK SC"/>
        <family val="2"/>
      </rPr>
      <t xml:space="preserve">元</t>
    </r>
  </si>
  <si>
    <r>
      <rPr>
        <sz val="10"/>
        <color rgb="FF1F2937"/>
        <rFont val="微软雅黑"/>
        <family val="0"/>
        <charset val="1"/>
      </rPr>
      <t xml:space="preserve">2023</t>
    </r>
    <r>
      <rPr>
        <sz val="10"/>
        <color rgb="FF1F2937"/>
        <rFont val="Noto Sans CJK SC"/>
        <family val="2"/>
      </rPr>
      <t xml:space="preserve">年度</t>
    </r>
    <r>
      <rPr>
        <sz val="10"/>
        <color rgb="FF1F2937"/>
        <rFont val="微软雅黑"/>
        <family val="0"/>
        <charset val="1"/>
      </rPr>
      <t xml:space="preserve">A</t>
    </r>
    <r>
      <rPr>
        <sz val="10"/>
        <color rgb="FF1F2937"/>
        <rFont val="Noto Sans CJK SC"/>
        <family val="2"/>
      </rPr>
      <t xml:space="preserve">股权益分派实施</t>
    </r>
  </si>
  <si>
    <t xml:space="preserve">https://paper.cnstock.com/html/2024-08/10/content_1952872.htm</t>
  </si>
  <si>
    <r>
      <rPr>
        <sz val="9"/>
        <color rgb="FF1F2937"/>
        <rFont val="Noto Sans CJK SC"/>
        <family val="2"/>
      </rPr>
      <t xml:space="preserve">每股</t>
    </r>
    <r>
      <rPr>
        <sz val="9"/>
        <color rgb="FF1F2937"/>
        <rFont val="微软雅黑"/>
        <family val="0"/>
        <charset val="1"/>
      </rPr>
      <t xml:space="preserve">0.80131</t>
    </r>
    <r>
      <rPr>
        <sz val="9"/>
        <color rgb="FF1F2937"/>
        <rFont val="Noto Sans CJK SC"/>
        <family val="2"/>
      </rPr>
      <t xml:space="preserve">元</t>
    </r>
  </si>
  <si>
    <r>
      <rPr>
        <sz val="10"/>
        <color rgb="FF1F2937"/>
        <rFont val="微软雅黑"/>
        <family val="0"/>
        <charset val="1"/>
      </rPr>
      <t xml:space="preserve">2022</t>
    </r>
    <r>
      <rPr>
        <sz val="10"/>
        <color rgb="FF1F2937"/>
        <rFont val="Noto Sans CJK SC"/>
        <family val="2"/>
      </rPr>
      <t xml:space="preserve">年度分配调整公告</t>
    </r>
  </si>
  <si>
    <t xml:space="preserve">中国证券报</t>
  </si>
  <si>
    <t xml:space="preserve">https://epaper.cs.com.cn/zgzqb/images/2023-08/15/B012/zqB01215.pdf</t>
  </si>
  <si>
    <r>
      <rPr>
        <sz val="9"/>
        <color rgb="FF1F2937"/>
        <rFont val="Noto Sans CJK SC"/>
        <family val="2"/>
      </rPr>
      <t xml:space="preserve">每股</t>
    </r>
    <r>
      <rPr>
        <sz val="9"/>
        <color rgb="FF1F2937"/>
        <rFont val="微软雅黑"/>
        <family val="0"/>
        <charset val="1"/>
      </rPr>
      <t xml:space="preserve">0.56692</t>
    </r>
    <r>
      <rPr>
        <sz val="9"/>
        <color rgb="FF1F2937"/>
        <rFont val="Noto Sans CJK SC"/>
        <family val="2"/>
      </rPr>
      <t xml:space="preserve">元</t>
    </r>
  </si>
  <si>
    <r>
      <rPr>
        <sz val="10"/>
        <color rgb="FF1F2937"/>
        <rFont val="Noto Sans CJK SC"/>
        <family val="2"/>
      </rPr>
      <t xml:space="preserve">回购</t>
    </r>
    <r>
      <rPr>
        <sz val="10"/>
        <color rgb="FF1F2937"/>
        <rFont val="微软雅黑"/>
        <family val="0"/>
        <charset val="1"/>
      </rPr>
      <t xml:space="preserve">30-60</t>
    </r>
    <r>
      <rPr>
        <sz val="10"/>
        <color rgb="FF1F2937"/>
        <rFont val="Noto Sans CJK SC"/>
        <family val="2"/>
      </rPr>
      <t xml:space="preserve">亿与</t>
    </r>
    <r>
      <rPr>
        <sz val="10"/>
        <color rgb="FF1F2937"/>
        <rFont val="微软雅黑"/>
        <family val="0"/>
        <charset val="1"/>
      </rPr>
      <t xml:space="preserve">2026-2028</t>
    </r>
    <r>
      <rPr>
        <sz val="10"/>
        <color rgb="FF1F2937"/>
        <rFont val="Noto Sans CJK SC"/>
        <family val="2"/>
      </rPr>
      <t xml:space="preserve">股东回报规划</t>
    </r>
  </si>
  <si>
    <r>
      <rPr>
        <sz val="10"/>
        <color rgb="FF1F2937"/>
        <rFont val="Noto Sans CJK SC"/>
        <family val="2"/>
      </rPr>
      <t xml:space="preserve">搜狐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公司公告转述</t>
    </r>
  </si>
  <si>
    <t xml:space="preserve">https://m.sohu.com/a/1001616905_122014422/?pvid=000115_3w_a</t>
  </si>
  <si>
    <r>
      <rPr>
        <sz val="9"/>
        <color rgb="FF1F2937"/>
        <rFont val="微软雅黑"/>
        <family val="0"/>
        <charset val="1"/>
      </rPr>
      <t xml:space="preserve">2026</t>
    </r>
    <r>
      <rPr>
        <sz val="9"/>
        <color rgb="FF1F2937"/>
        <rFont val="Noto Sans CJK SC"/>
        <family val="2"/>
      </rPr>
      <t xml:space="preserve">年派息率≥</t>
    </r>
    <r>
      <rPr>
        <sz val="9"/>
        <color rgb="FF1F2937"/>
        <rFont val="微软雅黑"/>
        <family val="0"/>
        <charset val="1"/>
      </rPr>
      <t xml:space="preserve">58%</t>
    </r>
    <r>
      <rPr>
        <sz val="9"/>
        <color rgb="FF1F2937"/>
        <rFont val="Noto Sans CJK SC"/>
        <family val="2"/>
      </rPr>
      <t xml:space="preserve">，</t>
    </r>
    <r>
      <rPr>
        <sz val="9"/>
        <color rgb="FF1F2937"/>
        <rFont val="微软雅黑"/>
        <family val="0"/>
        <charset val="1"/>
      </rPr>
      <t xml:space="preserve">2027-2028≥60%</t>
    </r>
  </si>
  <si>
    <r>
      <rPr>
        <sz val="10"/>
        <color rgb="FF1F2937"/>
        <rFont val="微软雅黑"/>
        <family val="0"/>
        <charset val="1"/>
      </rPr>
      <t xml:space="preserve">2026</t>
    </r>
    <r>
      <rPr>
        <sz val="10"/>
        <color rgb="FF1F2937"/>
        <rFont val="Noto Sans CJK SC"/>
        <family val="2"/>
      </rPr>
      <t xml:space="preserve">年中报解读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分地区、汇兑</t>
    </r>
    <r>
      <rPr>
        <sz val="10"/>
        <color rgb="FF1F2937"/>
        <rFont val="微软雅黑"/>
        <family val="0"/>
        <charset val="1"/>
      </rPr>
      <t xml:space="preserve">)</t>
    </r>
  </si>
  <si>
    <t xml:space="preserve">新浪财经</t>
  </si>
  <si>
    <t xml:space="preserve">https://finance.sina.com.cn/money/smjj/smdt/2026-08-28/doc-inipvmnc5769873.shtml</t>
  </si>
  <si>
    <r>
      <rPr>
        <sz val="9"/>
        <color rgb="FF1F2937"/>
        <rFont val="微软雅黑"/>
        <family val="0"/>
        <charset val="1"/>
      </rPr>
      <t xml:space="preserve">Q2</t>
    </r>
    <r>
      <rPr>
        <sz val="9"/>
        <color rgb="FF1F2937"/>
        <rFont val="Noto Sans CJK SC"/>
        <family val="2"/>
      </rPr>
      <t xml:space="preserve">收入</t>
    </r>
    <r>
      <rPr>
        <sz val="9"/>
        <color rgb="FF1F2937"/>
        <rFont val="微软雅黑"/>
        <family val="0"/>
        <charset val="1"/>
      </rPr>
      <t xml:space="preserve">+1.36%</t>
    </r>
    <r>
      <rPr>
        <sz val="9"/>
        <color rgb="FF1F2937"/>
        <rFont val="Noto Sans CJK SC"/>
        <family val="2"/>
      </rPr>
      <t xml:space="preserve">；汇兑损失</t>
    </r>
  </si>
  <si>
    <r>
      <rPr>
        <sz val="10"/>
        <color rgb="FF1F2937"/>
        <rFont val="微软雅黑"/>
        <family val="0"/>
        <charset val="1"/>
      </rPr>
      <t xml:space="preserve">2026</t>
    </r>
    <r>
      <rPr>
        <sz val="10"/>
        <color rgb="FF1F2937"/>
        <rFont val="Noto Sans CJK SC"/>
        <family val="2"/>
      </rPr>
      <t xml:space="preserve">年一季报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北美、关税</t>
    </r>
    <r>
      <rPr>
        <sz val="10"/>
        <color rgb="FF1F2937"/>
        <rFont val="微软雅黑"/>
        <family val="0"/>
        <charset val="1"/>
      </rPr>
      <t xml:space="preserve">)</t>
    </r>
  </si>
  <si>
    <t xml:space="preserve">第一财经</t>
  </si>
  <si>
    <t xml:space="preserve">https://www.yicai.com/news/103155612.html</t>
  </si>
  <si>
    <r>
      <rPr>
        <sz val="9"/>
        <color rgb="FF1F2937"/>
        <rFont val="微软雅黑"/>
        <family val="0"/>
        <charset val="1"/>
      </rPr>
      <t xml:space="preserve">Q1</t>
    </r>
    <r>
      <rPr>
        <sz val="9"/>
        <color rgb="FF1F2937"/>
        <rFont val="Noto Sans CJK SC"/>
        <family val="2"/>
      </rPr>
      <t xml:space="preserve">收入</t>
    </r>
    <r>
      <rPr>
        <sz val="9"/>
        <color rgb="FF1F2937"/>
        <rFont val="微软雅黑"/>
        <family val="0"/>
        <charset val="1"/>
      </rPr>
      <t xml:space="preserve">-6.86%</t>
    </r>
    <r>
      <rPr>
        <sz val="9"/>
        <color rgb="FF1F2937"/>
        <rFont val="Noto Sans CJK SC"/>
        <family val="2"/>
      </rPr>
      <t xml:space="preserve">，归母</t>
    </r>
    <r>
      <rPr>
        <sz val="9"/>
        <color rgb="FF1F2937"/>
        <rFont val="微软雅黑"/>
        <family val="0"/>
        <charset val="1"/>
      </rPr>
      <t xml:space="preserve">-15.22%</t>
    </r>
  </si>
  <si>
    <r>
      <rPr>
        <sz val="10"/>
        <color rgb="FF1F2937"/>
        <rFont val="微软雅黑"/>
        <family val="0"/>
        <charset val="1"/>
      </rPr>
      <t xml:space="preserve">GEA</t>
    </r>
    <r>
      <rPr>
        <sz val="10"/>
        <color rgb="FF1F2937"/>
        <rFont val="Noto Sans CJK SC"/>
        <family val="2"/>
      </rPr>
      <t xml:space="preserve">投资者会</t>
    </r>
    <r>
      <rPr>
        <sz val="10"/>
        <color rgb="FF1F2937"/>
        <rFont val="微软雅黑"/>
        <family val="0"/>
        <charset val="1"/>
      </rPr>
      <t xml:space="preserve">/2026</t>
    </r>
    <r>
      <rPr>
        <sz val="10"/>
        <color rgb="FF1F2937"/>
        <rFont val="Noto Sans CJK SC"/>
        <family val="2"/>
      </rPr>
      <t xml:space="preserve">全年目标</t>
    </r>
  </si>
  <si>
    <r>
      <rPr>
        <sz val="10"/>
        <color rgb="FF1F2937"/>
        <rFont val="Noto Sans CJK SC"/>
        <family val="2"/>
      </rPr>
      <t xml:space="preserve">同花顺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转述花旗</t>
    </r>
    <r>
      <rPr>
        <sz val="10"/>
        <color rgb="FF1F2937"/>
        <rFont val="微软雅黑"/>
        <family val="0"/>
        <charset val="1"/>
      </rPr>
      <t xml:space="preserve">)</t>
    </r>
  </si>
  <si>
    <t xml:space="preserve">https://stock.10jqka.com.cn/20260928/c680311399.shtml</t>
  </si>
  <si>
    <r>
      <rPr>
        <sz val="9"/>
        <color rgb="FF1F2937"/>
        <rFont val="微软雅黑"/>
        <family val="0"/>
        <charset val="1"/>
      </rPr>
      <t xml:space="preserve">2026</t>
    </r>
    <r>
      <rPr>
        <sz val="9"/>
        <color rgb="FF1F2937"/>
        <rFont val="Noto Sans CJK SC"/>
        <family val="2"/>
      </rPr>
      <t xml:space="preserve">收入与净利</t>
    </r>
    <r>
      <rPr>
        <sz val="9"/>
        <color rgb="FF1F2937"/>
        <rFont val="微软雅黑"/>
        <family val="0"/>
        <charset val="1"/>
      </rPr>
      <t xml:space="preserve">(</t>
    </r>
    <r>
      <rPr>
        <sz val="9"/>
        <color rgb="FF1F2937"/>
        <rFont val="Noto Sans CJK SC"/>
        <family val="2"/>
      </rPr>
      <t xml:space="preserve">含关税退款</t>
    </r>
    <r>
      <rPr>
        <sz val="9"/>
        <color rgb="FF1F2937"/>
        <rFont val="微软雅黑"/>
        <family val="0"/>
        <charset val="1"/>
      </rPr>
      <t xml:space="preserve">)</t>
    </r>
    <r>
      <rPr>
        <sz val="9"/>
        <color rgb="FF1F2937"/>
        <rFont val="Noto Sans CJK SC"/>
        <family val="2"/>
      </rPr>
      <t xml:space="preserve">目标大致持平</t>
    </r>
  </si>
  <si>
    <r>
      <rPr>
        <sz val="10"/>
        <color rgb="FF1F2937"/>
        <rFont val="微软雅黑"/>
        <family val="0"/>
        <charset val="1"/>
      </rPr>
      <t xml:space="preserve">2025</t>
    </r>
    <r>
      <rPr>
        <sz val="10"/>
        <color rgb="FF1F2937"/>
        <rFont val="Noto Sans CJK SC"/>
        <family val="2"/>
      </rPr>
      <t xml:space="preserve">年报解读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分地区增速</t>
    </r>
    <r>
      <rPr>
        <sz val="10"/>
        <color rgb="FF1F2937"/>
        <rFont val="微软雅黑"/>
        <family val="0"/>
        <charset val="1"/>
      </rPr>
      <t xml:space="preserve">)</t>
    </r>
  </si>
  <si>
    <t xml:space="preserve">https://cj.sina.com.cn/articles/view/6456450127/180d59c4f020021irw</t>
  </si>
  <si>
    <r>
      <rPr>
        <sz val="9"/>
        <color rgb="FF1F2937"/>
        <rFont val="Noto Sans CJK SC"/>
        <family val="2"/>
      </rPr>
      <t xml:space="preserve">海外</t>
    </r>
    <r>
      <rPr>
        <sz val="9"/>
        <color rgb="FF1F2937"/>
        <rFont val="微软雅黑"/>
        <family val="0"/>
        <charset val="1"/>
      </rPr>
      <t xml:space="preserve">+8.3%</t>
    </r>
    <r>
      <rPr>
        <sz val="9"/>
        <color rgb="FF1F2937"/>
        <rFont val="Noto Sans CJK SC"/>
        <family val="2"/>
      </rPr>
      <t xml:space="preserve">等</t>
    </r>
  </si>
  <si>
    <r>
      <rPr>
        <sz val="10"/>
        <color rgb="FF1F2937"/>
        <rFont val="微软雅黑"/>
        <family val="0"/>
        <charset val="1"/>
      </rPr>
      <t xml:space="preserve">2024</t>
    </r>
    <r>
      <rPr>
        <sz val="10"/>
        <color rgb="FF1F2937"/>
        <rFont val="Noto Sans CJK SC"/>
        <family val="2"/>
      </rPr>
      <t xml:space="preserve">年报解读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分地区收入</t>
    </r>
    <r>
      <rPr>
        <sz val="10"/>
        <color rgb="FF1F2937"/>
        <rFont val="微软雅黑"/>
        <family val="0"/>
        <charset val="1"/>
      </rPr>
      <t xml:space="preserve">)</t>
    </r>
  </si>
  <si>
    <t xml:space="preserve">https://finance.sina.com.cn/stock/relnews/cn/2025-03-28/doc-inerehfx1504883.shtml</t>
  </si>
  <si>
    <r>
      <rPr>
        <sz val="9"/>
        <color rgb="FF1F2937"/>
        <rFont val="Noto Sans CJK SC"/>
        <family val="2"/>
      </rPr>
      <t xml:space="preserve">中国</t>
    </r>
    <r>
      <rPr>
        <sz val="9"/>
        <color rgb="FF1F2937"/>
        <rFont val="微软雅黑"/>
        <family val="0"/>
        <charset val="1"/>
      </rPr>
      <t xml:space="preserve">1417</t>
    </r>
    <r>
      <rPr>
        <sz val="9"/>
        <color rgb="FF1F2937"/>
        <rFont val="Noto Sans CJK SC"/>
        <family val="2"/>
      </rPr>
      <t xml:space="preserve">亿、北美</t>
    </r>
    <r>
      <rPr>
        <sz val="9"/>
        <color rgb="FF1F2937"/>
        <rFont val="微软雅黑"/>
        <family val="0"/>
        <charset val="1"/>
      </rPr>
      <t xml:space="preserve">795</t>
    </r>
    <r>
      <rPr>
        <sz val="9"/>
        <color rgb="FF1F2937"/>
        <rFont val="Noto Sans CJK SC"/>
        <family val="2"/>
      </rPr>
      <t xml:space="preserve">亿等</t>
    </r>
  </si>
  <si>
    <t xml:space="preserve">周期压力与原材料</t>
  </si>
  <si>
    <r>
      <rPr>
        <sz val="10"/>
        <color rgb="FF1F2937"/>
        <rFont val="Noto Sans CJK SC"/>
        <family val="2"/>
      </rPr>
      <t xml:space="preserve">新浪财经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侃见资本观察</t>
    </r>
    <r>
      <rPr>
        <sz val="10"/>
        <color rgb="FF1F2937"/>
        <rFont val="微软雅黑"/>
        <family val="0"/>
        <charset val="1"/>
      </rPr>
      <t xml:space="preserve">)</t>
    </r>
  </si>
  <si>
    <t xml:space="preserve">https://cj.sina.com.cn/articles/view/9176774560/222fa77a0001015dsg</t>
  </si>
  <si>
    <t xml:space="preserve">铜价、冷媒、补贴退坡</t>
  </si>
  <si>
    <r>
      <rPr>
        <sz val="10"/>
        <color rgb="FF1F2937"/>
        <rFont val="微软雅黑"/>
        <family val="0"/>
        <charset val="1"/>
      </rPr>
      <t xml:space="preserve">9</t>
    </r>
    <r>
      <rPr>
        <sz val="10"/>
        <color rgb="FF1F2937"/>
        <rFont val="Noto Sans CJK SC"/>
        <family val="2"/>
      </rPr>
      <t xml:space="preserve">月家电零售数据</t>
    </r>
    <r>
      <rPr>
        <sz val="10"/>
        <color rgb="FF1F2937"/>
        <rFont val="微软雅黑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小摩</t>
    </r>
    <r>
      <rPr>
        <sz val="10"/>
        <color rgb="FF1F2937"/>
        <rFont val="微软雅黑"/>
        <family val="0"/>
        <charset val="1"/>
      </rPr>
      <t xml:space="preserve">)</t>
    </r>
  </si>
  <si>
    <r>
      <rPr>
        <sz val="10"/>
        <color rgb="FF1F2937"/>
        <rFont val="Noto Sans CJK SC"/>
        <family val="2"/>
      </rPr>
      <t xml:space="preserve">搜狐</t>
    </r>
    <r>
      <rPr>
        <sz val="10"/>
        <color rgb="FF1F2937"/>
        <rFont val="微软雅黑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智通财经</t>
    </r>
  </si>
  <si>
    <t xml:space="preserve">https://www.sohu.com/a/1087651939_323087</t>
  </si>
  <si>
    <r>
      <rPr>
        <sz val="9"/>
        <color rgb="FF1F2937"/>
        <rFont val="Noto Sans CJK SC"/>
        <family val="2"/>
      </rPr>
      <t xml:space="preserve">零售额</t>
    </r>
    <r>
      <rPr>
        <sz val="9"/>
        <color rgb="FF1F2937"/>
        <rFont val="微软雅黑"/>
        <family val="0"/>
        <charset val="1"/>
      </rPr>
      <t xml:space="preserve">-13%</t>
    </r>
    <r>
      <rPr>
        <sz val="9"/>
        <color rgb="FF1F2937"/>
        <rFont val="Noto Sans CJK SC"/>
        <family val="2"/>
      </rPr>
      <t xml:space="preserve">，均价</t>
    </r>
    <r>
      <rPr>
        <sz val="9"/>
        <color rgb="FF1F2937"/>
        <rFont val="微软雅黑"/>
        <family val="0"/>
        <charset val="1"/>
      </rPr>
      <t xml:space="preserve">-11%</t>
    </r>
  </si>
  <si>
    <r>
      <rPr>
        <sz val="10"/>
        <color rgb="FF1F2937"/>
        <rFont val="Noto Sans CJK SC"/>
        <family val="2"/>
      </rPr>
      <t xml:space="preserve">海尔印度</t>
    </r>
    <r>
      <rPr>
        <sz val="10"/>
        <color rgb="FF1F2937"/>
        <rFont val="微软雅黑"/>
        <family val="0"/>
        <charset val="1"/>
      </rPr>
      <t xml:space="preserve">49%</t>
    </r>
    <r>
      <rPr>
        <sz val="10"/>
        <color rgb="FF1F2937"/>
        <rFont val="Noto Sans CJK SC"/>
        <family val="2"/>
      </rPr>
      <t xml:space="preserve">股权出售</t>
    </r>
  </si>
  <si>
    <t xml:space="preserve">China Money Network</t>
  </si>
  <si>
    <t xml:space="preserve">https://www.chinamoneynetwork.com/2025/12/24/haier-agrees-to-sell-49-stake-in-indian-unit-to-bharti-warburg-pincus-deal-approved-by-china</t>
  </si>
  <si>
    <t xml:space="preserve">交易对价未取得</t>
  </si>
  <si>
    <r>
      <rPr>
        <sz val="10"/>
        <color rgb="FF1F2937"/>
        <rFont val="微软雅黑"/>
        <family val="0"/>
        <charset val="1"/>
      </rPr>
      <t xml:space="preserve">A</t>
    </r>
    <r>
      <rPr>
        <sz val="10"/>
        <color rgb="FF1F2937"/>
        <rFont val="Noto Sans CJK SC"/>
        <family val="2"/>
      </rPr>
      <t xml:space="preserve">股行情</t>
    </r>
    <r>
      <rPr>
        <sz val="10"/>
        <color rgb="FF1F2937"/>
        <rFont val="微软雅黑"/>
        <family val="0"/>
        <charset val="1"/>
      </rPr>
      <t xml:space="preserve">(2026-10-20</t>
    </r>
    <r>
      <rPr>
        <sz val="10"/>
        <color rgb="FF1F2937"/>
        <rFont val="Noto Sans CJK SC"/>
        <family val="2"/>
      </rPr>
      <t xml:space="preserve">收盘</t>
    </r>
    <r>
      <rPr>
        <sz val="10"/>
        <color rgb="FF1F2937"/>
        <rFont val="微软雅黑"/>
        <family val="0"/>
        <charset val="1"/>
      </rPr>
      <t xml:space="preserve">)</t>
    </r>
  </si>
  <si>
    <t xml:space="preserve">https://quote.cfi.cn/quote_600690.html</t>
  </si>
  <si>
    <r>
      <rPr>
        <sz val="9"/>
        <color rgb="FF1F2937"/>
        <rFont val="微软雅黑"/>
        <family val="0"/>
        <charset val="1"/>
      </rPr>
      <t xml:space="preserve">20.11</t>
    </r>
    <r>
      <rPr>
        <sz val="9"/>
        <color rgb="FF1F2937"/>
        <rFont val="Noto Sans CJK SC"/>
        <family val="2"/>
      </rPr>
      <t xml:space="preserve">元，</t>
    </r>
    <r>
      <rPr>
        <sz val="9"/>
        <color rgb="FF1F2937"/>
        <rFont val="微软雅黑"/>
        <family val="0"/>
        <charset val="1"/>
      </rPr>
      <t xml:space="preserve">-3.13%</t>
    </r>
  </si>
  <si>
    <r>
      <rPr>
        <sz val="10"/>
        <color rgb="FF1F2937"/>
        <rFont val="微软雅黑"/>
        <family val="0"/>
        <charset val="1"/>
      </rPr>
      <t xml:space="preserve">H</t>
    </r>
    <r>
      <rPr>
        <sz val="10"/>
        <color rgb="FF1F2937"/>
        <rFont val="Noto Sans CJK SC"/>
        <family val="2"/>
      </rPr>
      <t xml:space="preserve">股行情</t>
    </r>
    <r>
      <rPr>
        <sz val="10"/>
        <color rgb="FF1F2937"/>
        <rFont val="微软雅黑"/>
        <family val="0"/>
        <charset val="1"/>
      </rPr>
      <t xml:space="preserve">(2026-10-20</t>
    </r>
    <r>
      <rPr>
        <sz val="10"/>
        <color rgb="FF1F2937"/>
        <rFont val="Noto Sans CJK SC"/>
        <family val="2"/>
      </rPr>
      <t xml:space="preserve">收盘</t>
    </r>
    <r>
      <rPr>
        <sz val="10"/>
        <color rgb="FF1F2937"/>
        <rFont val="微软雅黑"/>
        <family val="0"/>
        <charset val="1"/>
      </rPr>
      <t xml:space="preserve">)</t>
    </r>
  </si>
  <si>
    <t xml:space="preserve">华盛通</t>
  </si>
  <si>
    <t xml:space="preserve">https://www.hstong.com/quotes/10000-06690-HK</t>
  </si>
  <si>
    <r>
      <rPr>
        <sz val="9"/>
        <color rgb="FF1F2937"/>
        <rFont val="微软雅黑"/>
        <family val="0"/>
        <charset val="1"/>
      </rPr>
      <t xml:space="preserve">19.64</t>
    </r>
    <r>
      <rPr>
        <sz val="9"/>
        <color rgb="FF1F2937"/>
        <rFont val="Noto Sans CJK SC"/>
        <family val="2"/>
      </rPr>
      <t xml:space="preserve">港元，</t>
    </r>
    <r>
      <rPr>
        <sz val="9"/>
        <color rgb="FF1F2937"/>
        <rFont val="微软雅黑"/>
        <family val="0"/>
        <charset val="1"/>
      </rPr>
      <t xml:space="preserve">-2.39%</t>
    </r>
  </si>
  <si>
    <t xml:space="preserve">同业行情</t>
  </si>
  <si>
    <t xml:space="preserve">https://quote.cfi.cn/quote_000333.html</t>
  </si>
  <si>
    <r>
      <rPr>
        <sz val="9"/>
        <color rgb="FF1F2937"/>
        <rFont val="Noto Sans CJK SC"/>
        <family val="2"/>
      </rPr>
      <t xml:space="preserve">美的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格力</t>
    </r>
    <r>
      <rPr>
        <sz val="9"/>
        <color rgb="FF1F2937"/>
        <rFont val="微软雅黑"/>
        <family val="0"/>
        <charset val="1"/>
      </rPr>
      <t xml:space="preserve">/</t>
    </r>
    <r>
      <rPr>
        <sz val="9"/>
        <color rgb="FF1F2937"/>
        <rFont val="Noto Sans CJK SC"/>
        <family val="2"/>
      </rPr>
      <t xml:space="preserve">老板，日期见同业表</t>
    </r>
  </si>
  <si>
    <r>
      <rPr>
        <sz val="9"/>
        <color rgb="FF6B7280"/>
        <rFont val="Noto Sans CJK SC"/>
        <family val="2"/>
      </rPr>
      <t xml:space="preserve">数据状态：财务三表数值</t>
    </r>
    <r>
      <rPr>
        <sz val="9"/>
        <color rgb="FF6B7280"/>
        <rFont val="微软雅黑"/>
        <family val="0"/>
        <charset val="1"/>
      </rPr>
      <t xml:space="preserve">=</t>
    </r>
    <r>
      <rPr>
        <sz val="9"/>
        <color rgb="FF6B7280"/>
        <rFont val="Noto Sans CJK SC"/>
        <family val="2"/>
      </rPr>
      <t xml:space="preserve">披露事实（第三方数据库转录自定期报告）；比率、</t>
    </r>
    <r>
      <rPr>
        <sz val="9"/>
        <color rgb="FF6B7280"/>
        <rFont val="微软雅黑"/>
        <family val="0"/>
        <charset val="1"/>
      </rPr>
      <t xml:space="preserve">TTM</t>
    </r>
    <r>
      <rPr>
        <sz val="9"/>
        <color rgb="FF6B7280"/>
        <rFont val="Noto Sans CJK SC"/>
        <family val="2"/>
      </rPr>
      <t xml:space="preserve">、所有者收益、估值</t>
    </r>
    <r>
      <rPr>
        <sz val="9"/>
        <color rgb="FF6B7280"/>
        <rFont val="微软雅黑"/>
        <family val="0"/>
        <charset val="1"/>
      </rPr>
      <t xml:space="preserve">=</t>
    </r>
    <r>
      <rPr>
        <sz val="9"/>
        <color rgb="FF6B7280"/>
        <rFont val="Noto Sans CJK SC"/>
        <family val="2"/>
      </rPr>
      <t xml:space="preserve">计算；情景参数</t>
    </r>
    <r>
      <rPr>
        <sz val="9"/>
        <color rgb="FF6B7280"/>
        <rFont val="微软雅黑"/>
        <family val="0"/>
        <charset val="1"/>
      </rPr>
      <t xml:space="preserve">=</t>
    </r>
    <r>
      <rPr>
        <sz val="9"/>
        <color rgb="FF6B7280"/>
        <rFont val="Noto Sans CJK SC"/>
        <family val="2"/>
      </rPr>
      <t xml:space="preserve">分析假设；结论</t>
    </r>
    <r>
      <rPr>
        <sz val="9"/>
        <color rgb="FF6B7280"/>
        <rFont val="微软雅黑"/>
        <family val="0"/>
        <charset val="1"/>
      </rPr>
      <t xml:space="preserve">=</t>
    </r>
    <r>
      <rPr>
        <sz val="9"/>
        <color rgb="FF6B7280"/>
        <rFont val="Noto Sans CJK SC"/>
        <family val="2"/>
      </rPr>
      <t xml:space="preserve">研究判断。</t>
    </r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</si>
</sst>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"/>
    <numFmt numFmtId="166" formatCode="0.0%"/>
    <numFmt numFmtId="167" formatCode="0.00%"/>
    <numFmt numFmtId="168" formatCode="0.0\x"/>
    <numFmt numFmtId="169" formatCode="#,##0.0;\(#,##0.0\);\-"/>
    <numFmt numFmtId="170" formatCode="0.00\x"/>
    <numFmt numFmtId="171" formatCode="0.0"/>
    <numFmt numFmtId="172" formatCode="0"/>
    <numFmt numFmtId="173" formatCode="#,##0"/>
    <numFmt numFmtId="174" formatCode="0%"/>
    <numFmt numFmtId="175" formatCode="0.0000"/>
    <numFmt numFmtId="176" formatCode="0.000"/>
    <numFmt numFmtId="177" formatCode="#,##0;\(#,##0\);\-"/>
    <numFmt numFmtId="178" formatCode="@"/>
  </numFmts>
  <fonts count="5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Noto Sans CJK SC"/>
      <family val="2"/>
    </font>
    <font>
      <b val="true"/>
      <sz val="18"/>
      <color rgb="FFFFFFFF"/>
      <name val="微软雅黑"/>
      <family val="0"/>
      <charset val="1"/>
    </font>
    <font>
      <sz val="10"/>
      <color rgb="FF6B7280"/>
      <name val="Noto Sans CJK SC"/>
      <family val="2"/>
    </font>
    <font>
      <b val="true"/>
      <sz val="9"/>
      <color rgb="FF6B7280"/>
      <name val="微软雅黑"/>
      <family val="0"/>
      <charset val="1"/>
    </font>
    <font>
      <b val="true"/>
      <sz val="9"/>
      <color rgb="FF6B7280"/>
      <name val="Noto Sans CJK SC"/>
      <family val="2"/>
    </font>
    <font>
      <b val="true"/>
      <sz val="20"/>
      <color rgb="FF17324D"/>
      <name val="微软雅黑"/>
      <family val="0"/>
      <charset val="1"/>
    </font>
    <font>
      <sz val="8"/>
      <color rgb="FF6B7280"/>
      <name val="Noto Sans CJK SC"/>
      <family val="2"/>
    </font>
    <font>
      <sz val="8"/>
      <color rgb="FF6B7280"/>
      <name val="微软雅黑"/>
      <family val="0"/>
      <charset val="1"/>
    </font>
    <font>
      <sz val="10.5"/>
      <color rgb="FF1F2937"/>
      <name val="Noto Sans CJK SC"/>
      <family val="2"/>
    </font>
    <font>
      <sz val="10.5"/>
      <color rgb="FF1F2937"/>
      <name val="微软雅黑"/>
      <family val="0"/>
      <charset val="1"/>
    </font>
    <font>
      <b val="true"/>
      <sz val="10"/>
      <color rgb="FF17324D"/>
      <name val="Noto Sans CJK SC"/>
      <family val="2"/>
    </font>
    <font>
      <b val="true"/>
      <sz val="12"/>
      <color rgb="FFFFFFFF"/>
      <name val="Noto Sans CJK SC"/>
      <family val="2"/>
    </font>
    <font>
      <b val="true"/>
      <sz val="12"/>
      <color rgb="FFFFFFFF"/>
      <name val="微软雅黑"/>
      <family val="0"/>
      <charset val="1"/>
    </font>
    <font>
      <b val="true"/>
      <sz val="9"/>
      <color rgb="FFFFFFFF"/>
      <name val="微软雅黑"/>
      <family val="0"/>
      <charset val="1"/>
    </font>
    <font>
      <b val="true"/>
      <sz val="9"/>
      <color rgb="FFFFFFFF"/>
      <name val="Noto Sans CJK SC"/>
      <family val="2"/>
    </font>
    <font>
      <sz val="9"/>
      <color rgb="FF1F2937"/>
      <name val="微软雅黑"/>
      <family val="0"/>
      <charset val="1"/>
    </font>
    <font>
      <sz val="9"/>
      <color rgb="FF1F2937"/>
      <name val="Noto Sans CJK SC"/>
      <family val="2"/>
    </font>
    <font>
      <b val="true"/>
      <sz val="9"/>
      <color rgb="FF1F2937"/>
      <name val="Noto Sans CJK SC"/>
      <family val="2"/>
    </font>
    <font>
      <sz val="9"/>
      <color rgb="FF1E7B34"/>
      <name val="微软雅黑"/>
      <family val="0"/>
      <charset val="1"/>
    </font>
    <font>
      <b val="true"/>
      <sz val="9"/>
      <color rgb="FF1E7B34"/>
      <name val="微软雅黑"/>
      <family val="0"/>
      <charset val="1"/>
    </font>
    <font>
      <b val="true"/>
      <sz val="8"/>
      <color rgb="FF6B7280"/>
      <name val="微软雅黑"/>
      <family val="0"/>
      <charset val="1"/>
    </font>
    <font>
      <b val="true"/>
      <sz val="8"/>
      <color rgb="FF6B7280"/>
      <name val="Noto Sans CJK SC"/>
      <family val="2"/>
    </font>
    <font>
      <b val="true"/>
      <sz val="11"/>
      <color rgb="FF17324D"/>
      <name val="微软雅黑"/>
      <family val="0"/>
      <charset val="1"/>
    </font>
    <font>
      <sz val="9.5"/>
      <color rgb="FF1F2937"/>
      <name val="Noto Sans CJK SC"/>
      <family val="2"/>
    </font>
    <font>
      <sz val="9.5"/>
      <color rgb="FF1F2937"/>
      <name val="微软雅黑"/>
      <family val="0"/>
      <charset val="1"/>
    </font>
    <font>
      <sz val="9"/>
      <color rgb="FF6B7280"/>
      <name val="Noto Sans CJK SC"/>
      <family val="2"/>
    </font>
    <font>
      <sz val="9"/>
      <color rgb="FF6B7280"/>
      <name val="微软雅黑"/>
      <family val="0"/>
      <charset val="1"/>
    </font>
    <font>
      <b val="true"/>
      <sz val="11.5"/>
      <color rgb="FF17324D"/>
      <name val="微软雅黑"/>
      <family val="2"/>
    </font>
    <font>
      <sz val="10"/>
      <color rgb="FF000000"/>
      <name val="Calibri"/>
      <family val="2"/>
    </font>
    <font>
      <sz val="10"/>
      <color rgb="FF6B7280"/>
      <name val="微软雅黑"/>
      <family val="0"/>
      <charset val="1"/>
    </font>
    <font>
      <sz val="9"/>
      <color rgb="FF1F4FD8"/>
      <name val="Noto Sans CJK SC"/>
      <family val="2"/>
    </font>
    <font>
      <sz val="9"/>
      <color rgb="FF1F4FD8"/>
      <name val="微软雅黑"/>
      <family val="0"/>
      <charset val="1"/>
    </font>
    <font>
      <sz val="9"/>
      <color rgb="FF1E7B34"/>
      <name val="Noto Sans CJK SC"/>
      <family val="2"/>
    </font>
    <font>
      <b val="true"/>
      <sz val="10"/>
      <color rgb="FF1F2937"/>
      <name val="Noto Sans CJK SC"/>
      <family val="2"/>
    </font>
    <font>
      <b val="true"/>
      <sz val="10"/>
      <color rgb="FF1F2937"/>
      <name val="微软雅黑"/>
      <family val="0"/>
      <charset val="1"/>
    </font>
    <font>
      <sz val="10"/>
      <color rgb="FF1F2937"/>
      <name val="微软雅黑"/>
      <family val="0"/>
      <charset val="1"/>
    </font>
    <font>
      <b val="true"/>
      <sz val="12"/>
      <color rgb="FF1F4FD8"/>
      <name val="微软雅黑"/>
      <family val="0"/>
      <charset val="1"/>
    </font>
    <font>
      <b val="true"/>
      <sz val="12"/>
      <color rgb="FF17324D"/>
      <name val="Noto Sans CJK SC"/>
      <family val="2"/>
    </font>
    <font>
      <b val="true"/>
      <sz val="10"/>
      <color rgb="FFFFFFFF"/>
      <name val="Noto Sans CJK SC"/>
      <family val="2"/>
    </font>
    <font>
      <sz val="10"/>
      <color rgb="FF1F2937"/>
      <name val="Noto Sans CJK SC"/>
      <family val="2"/>
    </font>
    <font>
      <sz val="10"/>
      <color rgb="FF1F4FD8"/>
      <name val="微软雅黑"/>
      <family val="0"/>
      <charset val="1"/>
    </font>
    <font>
      <sz val="10"/>
      <color rgb="FF1E7B34"/>
      <name val="微软雅黑"/>
      <family val="0"/>
      <charset val="1"/>
    </font>
    <font>
      <b val="true"/>
      <sz val="10"/>
      <color rgb="FFFFFFFF"/>
      <name val="微软雅黑"/>
      <family val="0"/>
      <charset val="1"/>
    </font>
    <font>
      <b val="true"/>
      <sz val="10"/>
      <color rgb="FF17324D"/>
      <name val="微软雅黑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b val="true"/>
      <sz val="10"/>
      <color rgb="FF1E7B34"/>
      <name val="微软雅黑"/>
      <family val="0"/>
      <charset val="1"/>
    </font>
    <font>
      <b val="true"/>
      <sz val="10"/>
      <color rgb="FF1F4FD8"/>
      <name val="微软雅黑"/>
      <family val="0"/>
      <charset val="1"/>
    </font>
    <font>
      <sz val="10"/>
      <color rgb="FF1E7B34"/>
      <name val="Noto Sans CJK SC"/>
      <family val="2"/>
    </font>
    <font>
      <sz val="10"/>
      <color rgb="FF1F4FD8"/>
      <name val="Noto Sans CJK SC"/>
      <family val="2"/>
    </font>
    <font>
      <sz val="9"/>
      <color rgb="FF1D4ED8"/>
      <name val="微软雅黑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7324D"/>
        <bgColor rgb="FF1F2937"/>
      </patternFill>
    </fill>
    <fill>
      <patternFill patternType="solid">
        <fgColor rgb="FFF3F5F8"/>
        <bgColor rgb="FFE8F4F1"/>
      </patternFill>
    </fill>
    <fill>
      <patternFill patternType="solid">
        <fgColor rgb="FFFFFFFF"/>
        <bgColor rgb="FFF3F5F8"/>
      </patternFill>
    </fill>
    <fill>
      <patternFill patternType="solid">
        <fgColor rgb="FFEEE8F7"/>
        <bgColor rgb="FFE5E7EB"/>
      </patternFill>
    </fill>
    <fill>
      <patternFill patternType="solid">
        <fgColor rgb="FFFFF4CC"/>
        <bgColor rgb="FFFFF0C2"/>
      </patternFill>
    </fill>
    <fill>
      <patternFill patternType="solid">
        <fgColor rgb="FF2E86AB"/>
        <bgColor rgb="FF3D6E9E"/>
      </patternFill>
    </fill>
    <fill>
      <patternFill patternType="solid">
        <fgColor rgb="FFCDEFE3"/>
        <bgColor rgb="FFDCEBFA"/>
      </patternFill>
    </fill>
    <fill>
      <patternFill patternType="solid">
        <fgColor rgb="FFFFF0C2"/>
        <bgColor rgb="FFFFF4CC"/>
      </patternFill>
    </fill>
    <fill>
      <patternFill patternType="solid">
        <fgColor rgb="FFE8F4F1"/>
        <bgColor rgb="FFE6F4EA"/>
      </patternFill>
    </fill>
    <fill>
      <patternFill patternType="solid">
        <fgColor rgb="FFC8553D"/>
        <bgColor rgb="FF993366"/>
      </patternFill>
    </fill>
    <fill>
      <patternFill patternType="solid">
        <fgColor rgb="FFE9A23B"/>
        <bgColor rgb="FFFF8080"/>
      </patternFill>
    </fill>
    <fill>
      <patternFill patternType="solid">
        <fgColor rgb="FFFBE3DE"/>
        <bgColor rgb="FFEEE8F7"/>
      </patternFill>
    </fill>
    <fill>
      <patternFill patternType="solid">
        <fgColor rgb="FFDCEBFA"/>
        <bgColor rgb="FFE5E7E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 diagonalUp="false" diagonalDown="false">
      <left style="thin">
        <color rgb="FFD6DCE4"/>
      </left>
      <right/>
      <top style="thin">
        <color rgb="FFD6DCE4"/>
      </top>
      <bottom style="thin">
        <color rgb="FFD6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4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3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7" fontId="5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4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3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4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3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5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3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4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4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微软雅黑"/>
        <charset val="1"/>
        <family val="0"/>
        <b val="1"/>
        <color rgb="FF15803D"/>
        <sz val="20"/>
      </font>
    </dxf>
    <dxf>
      <font>
        <name val="微软雅黑"/>
        <charset val="1"/>
        <family val="0"/>
        <b val="1"/>
        <color rgb="FFB91C1C"/>
        <sz val="20"/>
      </font>
    </dxf>
    <dxf>
      <fill>
        <patternFill>
          <bgColor rgb="FFCDEFE3"/>
        </patternFill>
      </fill>
    </dxf>
    <dxf>
      <fill>
        <patternFill>
          <bgColor rgb="FFFBE3DE"/>
        </patternFill>
      </fill>
    </dxf>
    <dxf>
      <font>
        <name val="微软雅黑"/>
        <charset val="1"/>
        <family val="0"/>
        <b val="1"/>
        <color rgb="FF166534"/>
      </font>
      <fill>
        <patternFill>
          <bgColor rgb="FFCDEFE3"/>
        </patternFill>
      </fill>
    </dxf>
    <dxf>
      <font>
        <name val="微软雅黑"/>
        <charset val="1"/>
        <family val="0"/>
        <b val="1"/>
        <color rgb="FF9B1C1C"/>
      </font>
      <fill>
        <patternFill>
          <bgColor rgb="FFFBE3DE"/>
        </patternFill>
      </fill>
    </dxf>
    <dxf>
      <font>
        <name val="微软雅黑"/>
        <charset val="1"/>
        <family val="0"/>
        <b val="1"/>
        <color rgb="FF14532D"/>
      </font>
      <fill>
        <patternFill>
          <bgColor rgb="FFBFE6CF"/>
        </patternFill>
      </fill>
    </dxf>
    <dxf>
      <fill>
        <patternFill>
          <bgColor rgb="FFE6F4EA"/>
        </patternFill>
      </fill>
    </dxf>
    <dxf>
      <font>
        <name val="微软雅黑"/>
        <charset val="1"/>
        <family val="0"/>
        <color rgb="FF9B1C1C"/>
      </font>
      <fill>
        <patternFill>
          <bgColor rgb="FFFBE3D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8F4F1"/>
      <rgbColor rgb="FFFF00FF"/>
      <rgbColor rgb="FF00FFFF"/>
      <rgbColor rgb="FF800000"/>
      <rgbColor rgb="FF15803D"/>
      <rgbColor rgb="FF000080"/>
      <rgbColor rgb="FF808000"/>
      <rgbColor rgb="FF800080"/>
      <rgbColor rgb="FF1E7B34"/>
      <rgbColor rgb="FF9DB4CC"/>
      <rgbColor rgb="FF878787"/>
      <rgbColor rgb="FFEEE8F7"/>
      <rgbColor rgb="FFB91C1C"/>
      <rgbColor rgb="FFFFF4CC"/>
      <rgbColor rgb="FFDCEBFA"/>
      <rgbColor rgb="FF660066"/>
      <rgbColor rgb="FFFF8080"/>
      <rgbColor rgb="FF1D4ED8"/>
      <rgbColor rgb="FFD6DCE4"/>
      <rgbColor rgb="FF000080"/>
      <rgbColor rgb="FFFF00FF"/>
      <rgbColor rgb="FFF3F5F8"/>
      <rgbColor rgb="FF00FFFF"/>
      <rgbColor rgb="FF800080"/>
      <rgbColor rgb="FF800000"/>
      <rgbColor rgb="FF166534"/>
      <rgbColor rgb="FF0000FF"/>
      <rgbColor rgb="FF00CCFF"/>
      <rgbColor rgb="FFE6F4EA"/>
      <rgbColor rgb="FFCDEFE3"/>
      <rgbColor rgb="FFFFF0C2"/>
      <rgbColor rgb="FFBFE6CF"/>
      <rgbColor rgb="FFE5E7EB"/>
      <rgbColor rgb="FFD9D9D9"/>
      <rgbColor rgb="FFFBE3DE"/>
      <rgbColor rgb="FF1F4FD8"/>
      <rgbColor rgb="FF33CCCC"/>
      <rgbColor rgb="FF99CC00"/>
      <rgbColor rgb="FFFFCC00"/>
      <rgbColor rgb="FFE9A23B"/>
      <rgbColor rgb="FFC8553D"/>
      <rgbColor rgb="FF6B7280"/>
      <rgbColor rgb="FF6E95BD"/>
      <rgbColor rgb="FF17324D"/>
      <rgbColor rgb="FF2E86AB"/>
      <rgbColor rgb="FF14532D"/>
      <rgbColor rgb="FF333300"/>
      <rgbColor rgb="FF9B1C1C"/>
      <rgbColor rgb="FF993366"/>
      <rgbColor rgb="FF3D6E9E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50" spc="-1" strike="noStrike">
                <a:solidFill>
                  <a:srgbClr val="17324d"/>
                </a:solidFill>
                <a:latin typeface="微软雅黑"/>
                <a:ea typeface="微软雅黑"/>
              </a:defRPr>
            </a:pPr>
            <a:r>
              <a:rPr b="1" sz="1150" spc="-1" strike="noStrike">
                <a:solidFill>
                  <a:srgbClr val="17324d"/>
                </a:solidFill>
                <a:latin typeface="微软雅黑"/>
                <a:ea typeface="微软雅黑"/>
              </a:rPr>
              <a:t>三情景每股价值 vs A股现价（元）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"加权价值"</c:f>
              <c:strCache>
                <c:ptCount val="1"/>
                <c:pt idx="0">
                  <c:v>加权价值</c:v>
                </c:pt>
              </c:strCache>
            </c:strRef>
          </c:tx>
          <c:spPr>
            <a:solidFill>
              <a:srgbClr val="1732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估值模型!$C$81:$E$81</c:f>
              <c:multiLvlStrCache>
                <c:ptCount val="1"/>
                <c:lvl>
                  <c:pt idx="0">
                    <c:v>乐观</c:v>
                  </c:pt>
                </c:lvl>
                <c:lvl>
                  <c:pt idx="0">
                    <c:v>基准</c:v>
                  </c:pt>
                </c:lvl>
                <c:lvl>
                  <c:pt idx="0">
                    <c:v>悲观</c:v>
                  </c:pt>
                </c:lvl>
              </c:multiLvlStrCache>
            </c:multiLvlStrRef>
          </c:cat>
          <c:val>
            <c:numRef>
              <c:f>估值模型!$C$85:$E$85</c:f>
              <c:numCache>
                <c:formatCode>0.00</c:formatCode>
                <c:ptCount val="3"/>
                <c:pt idx="0">
                  <c:v>16.9555408627036</c:v>
                </c:pt>
                <c:pt idx="1">
                  <c:v>24.4091128660295</c:v>
                </c:pt>
                <c:pt idx="2">
                  <c:v>33.5446531615078</c:v>
                </c:pt>
              </c:numCache>
            </c:numRef>
          </c:val>
        </c:ser>
        <c:ser>
          <c:idx val="1"/>
          <c:order val="1"/>
          <c:tx>
            <c:strRef>
              <c:f>"DCF"</c:f>
              <c:strCache>
                <c:ptCount val="1"/>
                <c:pt idx="0">
                  <c:v>DCF</c:v>
                </c:pt>
              </c:strCache>
            </c:strRef>
          </c:tx>
          <c:spPr>
            <a:solidFill>
              <a:srgbClr val="9db4c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估值模型!$C$81:$E$81</c:f>
              <c:multiLvlStrCache>
                <c:ptCount val="1"/>
                <c:lvl>
                  <c:pt idx="0">
                    <c:v>乐观</c:v>
                  </c:pt>
                </c:lvl>
                <c:lvl>
                  <c:pt idx="0">
                    <c:v>基准</c:v>
                  </c:pt>
                </c:lvl>
                <c:lvl>
                  <c:pt idx="0">
                    <c:v>悲观</c:v>
                  </c:pt>
                </c:lvl>
              </c:multiLvlStrCache>
            </c:multiLvlStrRef>
          </c:cat>
          <c:val>
            <c:numRef>
              <c:f>估值模型!$C$82:$E$82</c:f>
              <c:numCache>
                <c:formatCode>0.00</c:formatCode>
                <c:ptCount val="3"/>
                <c:pt idx="0">
                  <c:v>15.6381117600883</c:v>
                </c:pt>
                <c:pt idx="1">
                  <c:v>25.6307419917814</c:v>
                </c:pt>
                <c:pt idx="2">
                  <c:v>38.4394161292205</c:v>
                </c:pt>
              </c:numCache>
            </c:numRef>
          </c:val>
        </c:ser>
        <c:ser>
          <c:idx val="2"/>
          <c:order val="2"/>
          <c:tx>
            <c:strRef>
              <c:f>"PE"</c:f>
              <c:strCache>
                <c:ptCount val="1"/>
                <c:pt idx="0">
                  <c:v>PE</c:v>
                </c:pt>
              </c:strCache>
            </c:strRef>
          </c:tx>
          <c:spPr>
            <a:solidFill>
              <a:srgbClr val="6e95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估值模型!$C$81:$E$81</c:f>
              <c:multiLvlStrCache>
                <c:ptCount val="1"/>
                <c:lvl>
                  <c:pt idx="0">
                    <c:v>乐观</c:v>
                  </c:pt>
                </c:lvl>
                <c:lvl>
                  <c:pt idx="0">
                    <c:v>基准</c:v>
                  </c:pt>
                </c:lvl>
                <c:lvl>
                  <c:pt idx="0">
                    <c:v>悲观</c:v>
                  </c:pt>
                </c:lvl>
              </c:multiLvlStrCache>
            </c:multiLvlStrRef>
          </c:cat>
          <c:val>
            <c:numRef>
              <c:f>估值模型!$C$83:$E$83</c:f>
              <c:numCache>
                <c:formatCode>0.00</c:formatCode>
                <c:ptCount val="3"/>
                <c:pt idx="0">
                  <c:v>17.8338269311138</c:v>
                </c:pt>
                <c:pt idx="1">
                  <c:v>23.9946035073167</c:v>
                </c:pt>
                <c:pt idx="2">
                  <c:v>31.0200504801798</c:v>
                </c:pt>
              </c:numCache>
            </c:numRef>
          </c:val>
        </c:ser>
        <c:ser>
          <c:idx val="3"/>
          <c:order val="3"/>
          <c:tx>
            <c:strRef>
              <c:f>"股息率"</c:f>
              <c:strCache>
                <c:ptCount val="1"/>
                <c:pt idx="0">
                  <c:v>股息率</c:v>
                </c:pt>
              </c:strCache>
            </c:strRef>
          </c:tx>
          <c:spPr>
            <a:solidFill>
              <a:srgbClr val="3d6e9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估值模型!$C$81:$E$81</c:f>
              <c:multiLvlStrCache>
                <c:ptCount val="1"/>
                <c:lvl>
                  <c:pt idx="0">
                    <c:v>乐观</c:v>
                  </c:pt>
                </c:lvl>
                <c:lvl>
                  <c:pt idx="0">
                    <c:v>基准</c:v>
                  </c:pt>
                </c:lvl>
                <c:lvl>
                  <c:pt idx="0">
                    <c:v>悲观</c:v>
                  </c:pt>
                </c:lvl>
              </c:multiLvlStrCache>
            </c:multiLvlStrRef>
          </c:cat>
          <c:val>
            <c:numRef>
              <c:f>估值模型!$C$84:$E$84</c:f>
              <c:numCache>
                <c:formatCode>0.00</c:formatCode>
                <c:ptCount val="3"/>
                <c:pt idx="0">
                  <c:v>17.8338269311138</c:v>
                </c:pt>
                <c:pt idx="1">
                  <c:v>23.1947833904062</c:v>
                </c:pt>
                <c:pt idx="2">
                  <c:v>29.5429052192188</c:v>
                </c:pt>
              </c:numCache>
            </c:numRef>
          </c:val>
        </c:ser>
        <c:gapWidth val="150"/>
        <c:overlap val="0"/>
        <c:axId val="78951962"/>
        <c:axId val="26463303"/>
      </c:barChart>
      <c:lineChart>
        <c:grouping val="standard"/>
        <c:varyColors val="0"/>
        <c:ser>
          <c:idx val="4"/>
          <c:order val="4"/>
          <c:tx>
            <c:strRef>
              <c:f>"A股现价"</c:f>
              <c:strCache>
                <c:ptCount val="1"/>
                <c:pt idx="0">
                  <c:v>A股现价</c:v>
                </c:pt>
              </c:strCache>
            </c:strRef>
          </c:tx>
          <c:spPr>
            <a:solidFill>
              <a:srgbClr val="c8553d"/>
            </a:solidFill>
            <a:ln w="32040">
              <a:solidFill>
                <a:srgbClr val="c8553d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估值模型!$C$81:$E$81</c:f>
              <c:multiLvlStrCache>
                <c:ptCount val="1"/>
                <c:lvl>
                  <c:pt idx="0">
                    <c:v>乐观</c:v>
                  </c:pt>
                </c:lvl>
                <c:lvl>
                  <c:pt idx="0">
                    <c:v>基准</c:v>
                  </c:pt>
                </c:lvl>
                <c:lvl>
                  <c:pt idx="0">
                    <c:v>悲观</c:v>
                  </c:pt>
                </c:lvl>
              </c:multiLvlStrCache>
            </c:multiLvlStrRef>
          </c:cat>
          <c:val>
            <c:numRef>
              <c:f>估值模型!$C$86:$E$86</c:f>
              <c:numCache>
                <c:formatCode>0.00</c:formatCode>
                <c:ptCount val="3"/>
                <c:pt idx="0">
                  <c:v>20.11</c:v>
                </c:pt>
                <c:pt idx="1">
                  <c:v>20.11</c:v>
                </c:pt>
                <c:pt idx="2">
                  <c:v>20.11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951962"/>
        <c:axId val="26463303"/>
      </c:lineChart>
      <c:catAx>
        <c:axId val="789519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63303"/>
        <c:crosses val="autoZero"/>
        <c:auto val="1"/>
        <c:lblAlgn val="ctr"/>
        <c:lblOffset val="100"/>
        <c:noMultiLvlLbl val="0"/>
      </c:catAx>
      <c:valAx>
        <c:axId val="26463303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519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50" spc="-1" strike="noStrike">
                <a:solidFill>
                  <a:srgbClr val="17324d"/>
                </a:solidFill>
                <a:latin typeface="微软雅黑"/>
                <a:ea typeface="微软雅黑"/>
              </a:defRPr>
            </a:pPr>
            <a:r>
              <a:rPr b="1" sz="1150" spc="-1" strike="noStrike">
                <a:solidFill>
                  <a:srgbClr val="17324d"/>
                </a:solidFill>
                <a:latin typeface="微软雅黑"/>
                <a:ea typeface="微软雅黑"/>
              </a:rPr>
              <a:t>收入与归母净利润（亿元，年度）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"营业收入"</c:f>
              <c:strCache>
                <c:ptCount val="1"/>
                <c:pt idx="0">
                  <c:v>营业收入</c:v>
                </c:pt>
              </c:strCache>
            </c:strRef>
          </c:tx>
          <c:spPr>
            <a:solidFill>
              <a:srgbClr val="1732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财务五年!$B$4:$F$4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财务五年!$B$6:$F$6</c:f>
              <c:numCache>
                <c:formatCode>#,##0.0;\(#,##0.0\);\-</c:formatCode>
                <c:ptCount val="5"/>
                <c:pt idx="0">
                  <c:v>2271.0581764169</c:v>
                </c:pt>
                <c:pt idx="1">
                  <c:v>2435.7892495847</c:v>
                </c:pt>
                <c:pt idx="2">
                  <c:v>2742.0452084797</c:v>
                </c:pt>
                <c:pt idx="3">
                  <c:v>2860.1529493652</c:v>
                </c:pt>
                <c:pt idx="4">
                  <c:v>3023.467839183</c:v>
                </c:pt>
              </c:numCache>
            </c:numRef>
          </c:val>
        </c:ser>
        <c:gapWidth val="150"/>
        <c:overlap val="0"/>
        <c:axId val="24213529"/>
        <c:axId val="27210884"/>
      </c:barChart>
      <c:lineChart>
        <c:grouping val="standard"/>
        <c:varyColors val="0"/>
        <c:ser>
          <c:idx val="1"/>
          <c:order val="1"/>
          <c:tx>
            <c:strRef>
              <c:f>"归母净利润(右轴)"</c:f>
              <c:strCache>
                <c:ptCount val="1"/>
                <c:pt idx="0">
                  <c:v>归母净利润(右轴)</c:v>
                </c:pt>
              </c:strCache>
            </c:strRef>
          </c:tx>
          <c:spPr>
            <a:solidFill>
              <a:srgbClr val="c8553d"/>
            </a:solidFill>
            <a:ln w="28080">
              <a:solidFill>
                <a:srgbClr val="c8553d"/>
              </a:solidFill>
              <a:round/>
            </a:ln>
          </c:spPr>
          <c:marker>
            <c:symbol val="circle"/>
            <c:size val="6"/>
            <c:spPr>
              <a:solidFill>
                <a:srgbClr val="c8553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财务五年!$B$4:$F$4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财务五年!$B$12:$F$12</c:f>
              <c:numCache>
                <c:formatCode>#,##0.0;\(#,##0.0\);\-</c:formatCode>
                <c:ptCount val="5"/>
                <c:pt idx="0">
                  <c:v>130.788405171</c:v>
                </c:pt>
                <c:pt idx="1">
                  <c:v>147.1205476324</c:v>
                </c:pt>
                <c:pt idx="2">
                  <c:v>165.9661504587</c:v>
                </c:pt>
                <c:pt idx="3">
                  <c:v>187.3104627317</c:v>
                </c:pt>
                <c:pt idx="4">
                  <c:v>195.5279822285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4372985"/>
        <c:axId val="51913646"/>
      </c:lineChart>
      <c:catAx>
        <c:axId val="242135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210884"/>
        <c:crosses val="autoZero"/>
        <c:auto val="1"/>
        <c:lblAlgn val="ctr"/>
        <c:lblOffset val="100"/>
        <c:noMultiLvlLbl val="0"/>
      </c:catAx>
      <c:valAx>
        <c:axId val="27210884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13529"/>
        <c:crosses val="autoZero"/>
        <c:crossBetween val="between"/>
      </c:valAx>
      <c:catAx>
        <c:axId val="64372985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913646"/>
        <c:crosses val="autoZero"/>
        <c:auto val="1"/>
        <c:lblAlgn val="ctr"/>
        <c:lblOffset val="100"/>
        <c:noMultiLvlLbl val="0"/>
      </c:catAx>
      <c:valAx>
        <c:axId val="51913646"/>
        <c:scaling>
          <c:orientation val="minMax"/>
        </c:scaling>
        <c:delete val="0"/>
        <c:axPos val="r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7298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50" spc="-1" strike="noStrike">
                <a:solidFill>
                  <a:srgbClr val="17324d"/>
                </a:solidFill>
                <a:latin typeface="微软雅黑"/>
                <a:ea typeface="微软雅黑"/>
              </a:defRPr>
            </a:pPr>
            <a:r>
              <a:rPr b="1" sz="1150" spc="-1" strike="noStrike">
                <a:solidFill>
                  <a:srgbClr val="17324d"/>
                </a:solidFill>
                <a:latin typeface="微软雅黑"/>
                <a:ea typeface="微软雅黑"/>
              </a:rPr>
              <a:t>利润 vs 经营现金流 vs 自由现金流（亿元）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"归母净利"</c:f>
              <c:strCache>
                <c:ptCount val="1"/>
                <c:pt idx="0">
                  <c:v>归母净利</c:v>
                </c:pt>
              </c:strCache>
            </c:strRef>
          </c:tx>
          <c:spPr>
            <a:solidFill>
              <a:srgbClr val="1732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财务五年!$B$4:$F$4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财务五年!$B$12:$F$12</c:f>
              <c:numCache>
                <c:formatCode>#,##0.0;\(#,##0.0\);\-</c:formatCode>
                <c:ptCount val="5"/>
                <c:pt idx="0">
                  <c:v>130.788405171</c:v>
                </c:pt>
                <c:pt idx="1">
                  <c:v>147.1205476324</c:v>
                </c:pt>
                <c:pt idx="2">
                  <c:v>165.9661504587</c:v>
                </c:pt>
                <c:pt idx="3">
                  <c:v>187.3104627317</c:v>
                </c:pt>
                <c:pt idx="4">
                  <c:v>195.5279822285</c:v>
                </c:pt>
              </c:numCache>
            </c:numRef>
          </c:val>
        </c:ser>
        <c:ser>
          <c:idx val="1"/>
          <c:order val="1"/>
          <c:tx>
            <c:strRef>
              <c:f>"经营现金流"</c:f>
              <c:strCache>
                <c:ptCount val="1"/>
                <c:pt idx="0">
                  <c:v>经营现金流</c:v>
                </c:pt>
              </c:strCache>
            </c:strRef>
          </c:tx>
          <c:spPr>
            <a:solidFill>
              <a:srgbClr val="2e86a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财务五年!$B$4:$F$4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财务五年!$B$20:$F$20</c:f>
              <c:numCache>
                <c:formatCode>#,##0.0;\(#,##0.0\);\-</c:formatCode>
                <c:ptCount val="5"/>
                <c:pt idx="0">
                  <c:v>232.3538069095</c:v>
                </c:pt>
                <c:pt idx="1">
                  <c:v>202.5655714586</c:v>
                </c:pt>
                <c:pt idx="2">
                  <c:v>265.3578056836</c:v>
                </c:pt>
                <c:pt idx="3">
                  <c:v>263.1809131195</c:v>
                </c:pt>
                <c:pt idx="4">
                  <c:v>260.0294196992</c:v>
                </c:pt>
              </c:numCache>
            </c:numRef>
          </c:val>
        </c:ser>
        <c:ser>
          <c:idx val="2"/>
          <c:order val="2"/>
          <c:tx>
            <c:strRef>
              <c:f>"自由现金流"</c:f>
              <c:strCache>
                <c:ptCount val="1"/>
                <c:pt idx="0">
                  <c:v>自由现金流</c:v>
                </c:pt>
              </c:strCache>
            </c:strRef>
          </c:tx>
          <c:spPr>
            <a:solidFill>
              <a:srgbClr val="e9a23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财务五年!$B$4:$F$4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财务五年!$B$23:$F$23</c:f>
              <c:numCache>
                <c:formatCode>#,##0.0;\(#,##0.0\);\-</c:formatCode>
                <c:ptCount val="5"/>
                <c:pt idx="0">
                  <c:v>158.6295185857</c:v>
                </c:pt>
                <c:pt idx="1">
                  <c:v>120.4677091522</c:v>
                </c:pt>
                <c:pt idx="2">
                  <c:v>159.9421852955</c:v>
                </c:pt>
                <c:pt idx="3">
                  <c:v>162.3802399891</c:v>
                </c:pt>
                <c:pt idx="4">
                  <c:v>171.5137802903</c:v>
                </c:pt>
              </c:numCache>
            </c:numRef>
          </c:val>
        </c:ser>
        <c:gapWidth val="150"/>
        <c:overlap val="0"/>
        <c:axId val="14754070"/>
        <c:axId val="44989366"/>
      </c:barChart>
      <c:catAx>
        <c:axId val="147540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89366"/>
        <c:crosses val="autoZero"/>
        <c:auto val="1"/>
        <c:lblAlgn val="ctr"/>
        <c:lblOffset val="100"/>
        <c:noMultiLvlLbl val="0"/>
      </c:catAx>
      <c:valAx>
        <c:axId val="44989366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540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50" spc="-1" strike="noStrike">
                <a:solidFill>
                  <a:srgbClr val="17324d"/>
                </a:solidFill>
                <a:latin typeface="微软雅黑"/>
                <a:ea typeface="微软雅黑"/>
              </a:defRPr>
            </a:pPr>
            <a:r>
              <a:rPr b="1" sz="1150" spc="-1" strike="noStrike">
                <a:solidFill>
                  <a:srgbClr val="17324d"/>
                </a:solidFill>
                <a:latin typeface="微软雅黑"/>
                <a:ea typeface="微软雅黑"/>
              </a:rPr>
              <a:t>每股分红（元）与派息率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"中期DPS"</c:f>
              <c:strCache>
                <c:ptCount val="1"/>
                <c:pt idx="0">
                  <c:v>中期DPS</c:v>
                </c:pt>
              </c:strCache>
            </c:strRef>
          </c:tx>
          <c:spPr>
            <a:solidFill>
              <a:srgbClr val="2e86a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分红与回报!$A$5:$A$9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分红与回报!$B$5:$B$9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0.2692</c:v>
                </c:pt>
              </c:numCache>
            </c:numRef>
          </c:val>
        </c:ser>
        <c:ser>
          <c:idx val="1"/>
          <c:order val="1"/>
          <c:tx>
            <c:strRef>
              <c:f>"末期DPS"</c:f>
              <c:strCache>
                <c:ptCount val="1"/>
                <c:pt idx="0">
                  <c:v>末期DPS</c:v>
                </c:pt>
              </c:strCache>
            </c:strRef>
          </c:tx>
          <c:spPr>
            <a:solidFill>
              <a:srgbClr val="1732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分红与回报!$A$5:$A$9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分红与回报!$C$5:$C$9</c:f>
              <c:numCache>
                <c:formatCode>0.0000</c:formatCode>
                <c:ptCount val="5"/>
                <c:pt idx="0">
                  <c:v>0.46136</c:v>
                </c:pt>
                <c:pt idx="1">
                  <c:v>0.56692</c:v>
                </c:pt>
                <c:pt idx="2">
                  <c:v>0.80131</c:v>
                </c:pt>
                <c:pt idx="3">
                  <c:v>0.96504</c:v>
                </c:pt>
                <c:pt idx="4">
                  <c:v>0.89151</c:v>
                </c:pt>
              </c:numCache>
            </c:numRef>
          </c:val>
        </c:ser>
        <c:gapWidth val="150"/>
        <c:overlap val="100"/>
        <c:axId val="52663180"/>
        <c:axId val="18638956"/>
      </c:barChart>
      <c:lineChart>
        <c:grouping val="stacked"/>
        <c:varyColors val="0"/>
        <c:ser>
          <c:idx val="2"/>
          <c:order val="2"/>
          <c:tx>
            <c:strRef>
              <c:f>"派息率(右轴)"</c:f>
              <c:strCache>
                <c:ptCount val="1"/>
                <c:pt idx="0">
                  <c:v>派息率(右轴)</c:v>
                </c:pt>
              </c:strCache>
            </c:strRef>
          </c:tx>
          <c:spPr>
            <a:solidFill>
              <a:srgbClr val="c8553d"/>
            </a:solidFill>
            <a:ln w="28080">
              <a:solidFill>
                <a:srgbClr val="c8553d"/>
              </a:solidFill>
              <a:round/>
            </a:ln>
          </c:spPr>
          <c:marker>
            <c:symbol val="circle"/>
            <c:size val="6"/>
            <c:spPr>
              <a:solidFill>
                <a:srgbClr val="c8553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分红与回报!$A$5:$A$9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分红与回报!$F$5:$F$9</c:f>
              <c:numCache>
                <c:formatCode>0.0%</c:formatCode>
                <c:ptCount val="5"/>
                <c:pt idx="0">
                  <c:v>0.327205673758865</c:v>
                </c:pt>
                <c:pt idx="1">
                  <c:v>0.358810126582278</c:v>
                </c:pt>
                <c:pt idx="2">
                  <c:v>0.447659217877095</c:v>
                </c:pt>
                <c:pt idx="3">
                  <c:v>0.477742574257426</c:v>
                </c:pt>
                <c:pt idx="4">
                  <c:v>0.547504716981132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7670984"/>
        <c:axId val="73730310"/>
      </c:lineChart>
      <c:catAx>
        <c:axId val="526631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38956"/>
        <c:crosses val="autoZero"/>
        <c:auto val="1"/>
        <c:lblAlgn val="ctr"/>
        <c:lblOffset val="100"/>
        <c:noMultiLvlLbl val="0"/>
      </c:catAx>
      <c:valAx>
        <c:axId val="18638956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63180"/>
        <c:crosses val="autoZero"/>
        <c:crossBetween val="between"/>
      </c:valAx>
      <c:catAx>
        <c:axId val="5767098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30310"/>
        <c:crosses val="autoZero"/>
        <c:auto val="1"/>
        <c:lblAlgn val="ctr"/>
        <c:lblOffset val="100"/>
        <c:noMultiLvlLbl val="0"/>
      </c:catAx>
      <c:valAx>
        <c:axId val="7373031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7098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50" spc="-1" strike="noStrike">
                <a:solidFill>
                  <a:srgbClr val="17324d"/>
                </a:solidFill>
                <a:latin typeface="微软雅黑"/>
                <a:ea typeface="微软雅黑"/>
              </a:defRPr>
            </a:pPr>
            <a:r>
              <a:rPr b="1" sz="1150" spc="-1" strike="noStrike">
                <a:solidFill>
                  <a:srgbClr val="17324d"/>
                </a:solidFill>
                <a:latin typeface="微软雅黑"/>
                <a:ea typeface="微软雅黑"/>
              </a:rPr>
              <a:t>三情景 × 三方法 每股价值 vs 现价（元）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"所有者收益DCF"</c:f>
              <c:strCache>
                <c:ptCount val="1"/>
                <c:pt idx="0">
                  <c:v>所有者收益DCF</c:v>
                </c:pt>
              </c:strCache>
            </c:strRef>
          </c:tx>
          <c:spPr>
            <a:solidFill>
              <a:srgbClr val="9db4cc"/>
            </a:solidFill>
            <a:ln w="0">
              <a:solidFill>
                <a:srgbClr val="9db4c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估值模型!$C$81:$E$81</c:f>
              <c:multiLvlStrCache>
                <c:ptCount val="1"/>
                <c:lvl>
                  <c:pt idx="0">
                    <c:v>乐观</c:v>
                  </c:pt>
                </c:lvl>
                <c:lvl>
                  <c:pt idx="0">
                    <c:v>基准</c:v>
                  </c:pt>
                </c:lvl>
                <c:lvl>
                  <c:pt idx="0">
                    <c:v>悲观</c:v>
                  </c:pt>
                </c:lvl>
              </c:multiLvlStrCache>
            </c:multiLvlStrRef>
          </c:cat>
          <c:val>
            <c:numRef>
              <c:f>估值模型!$C$82:$E$82</c:f>
              <c:numCache>
                <c:formatCode>0.00</c:formatCode>
                <c:ptCount val="3"/>
                <c:pt idx="0">
                  <c:v>15.6381117600883</c:v>
                </c:pt>
                <c:pt idx="1">
                  <c:v>25.6307419917814</c:v>
                </c:pt>
                <c:pt idx="2">
                  <c:v>38.4394161292205</c:v>
                </c:pt>
              </c:numCache>
            </c:numRef>
          </c:val>
        </c:ser>
        <c:ser>
          <c:idx val="1"/>
          <c:order val="1"/>
          <c:tx>
            <c:strRef>
              <c:f>"正常化PE"</c:f>
              <c:strCache>
                <c:ptCount val="1"/>
                <c:pt idx="0">
                  <c:v>正常化PE</c:v>
                </c:pt>
              </c:strCache>
            </c:strRef>
          </c:tx>
          <c:spPr>
            <a:solidFill>
              <a:srgbClr val="6e95bd"/>
            </a:solidFill>
            <a:ln w="0">
              <a:solidFill>
                <a:srgbClr val="6e95b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估值模型!$C$81:$E$81</c:f>
              <c:multiLvlStrCache>
                <c:ptCount val="1"/>
                <c:lvl>
                  <c:pt idx="0">
                    <c:v>乐观</c:v>
                  </c:pt>
                </c:lvl>
                <c:lvl>
                  <c:pt idx="0">
                    <c:v>基准</c:v>
                  </c:pt>
                </c:lvl>
                <c:lvl>
                  <c:pt idx="0">
                    <c:v>悲观</c:v>
                  </c:pt>
                </c:lvl>
              </c:multiLvlStrCache>
            </c:multiLvlStrRef>
          </c:cat>
          <c:val>
            <c:numRef>
              <c:f>估值模型!$C$83:$E$83</c:f>
              <c:numCache>
                <c:formatCode>0.00</c:formatCode>
                <c:ptCount val="3"/>
                <c:pt idx="0">
                  <c:v>17.8338269311138</c:v>
                </c:pt>
                <c:pt idx="1">
                  <c:v>23.9946035073167</c:v>
                </c:pt>
                <c:pt idx="2">
                  <c:v>31.0200504801798</c:v>
                </c:pt>
              </c:numCache>
            </c:numRef>
          </c:val>
        </c:ser>
        <c:ser>
          <c:idx val="2"/>
          <c:order val="2"/>
          <c:tx>
            <c:strRef>
              <c:f>"股息率锚"</c:f>
              <c:strCache>
                <c:ptCount val="1"/>
                <c:pt idx="0">
                  <c:v>股息率锚</c:v>
                </c:pt>
              </c:strCache>
            </c:strRef>
          </c:tx>
          <c:spPr>
            <a:solidFill>
              <a:srgbClr val="3d6e9e"/>
            </a:solidFill>
            <a:ln w="0">
              <a:solidFill>
                <a:srgbClr val="3d6e9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估值模型!$C$81:$E$81</c:f>
              <c:multiLvlStrCache>
                <c:ptCount val="1"/>
                <c:lvl>
                  <c:pt idx="0">
                    <c:v>乐观</c:v>
                  </c:pt>
                </c:lvl>
                <c:lvl>
                  <c:pt idx="0">
                    <c:v>基准</c:v>
                  </c:pt>
                </c:lvl>
                <c:lvl>
                  <c:pt idx="0">
                    <c:v>悲观</c:v>
                  </c:pt>
                </c:lvl>
              </c:multiLvlStrCache>
            </c:multiLvlStrRef>
          </c:cat>
          <c:val>
            <c:numRef>
              <c:f>估值模型!$C$84:$E$84</c:f>
              <c:numCache>
                <c:formatCode>0.00</c:formatCode>
                <c:ptCount val="3"/>
                <c:pt idx="0">
                  <c:v>17.8338269311138</c:v>
                </c:pt>
                <c:pt idx="1">
                  <c:v>23.1947833904062</c:v>
                </c:pt>
                <c:pt idx="2">
                  <c:v>29.5429052192188</c:v>
                </c:pt>
              </c:numCache>
            </c:numRef>
          </c:val>
        </c:ser>
        <c:ser>
          <c:idx val="3"/>
          <c:order val="3"/>
          <c:tx>
            <c:strRef>
              <c:f>"加权价值"</c:f>
              <c:strCache>
                <c:ptCount val="1"/>
                <c:pt idx="0">
                  <c:v>加权价值</c:v>
                </c:pt>
              </c:strCache>
            </c:strRef>
          </c:tx>
          <c:spPr>
            <a:solidFill>
              <a:srgbClr val="17324d"/>
            </a:solidFill>
            <a:ln w="0">
              <a:solidFill>
                <a:srgbClr val="17324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估值模型!$C$81:$E$81</c:f>
              <c:multiLvlStrCache>
                <c:ptCount val="1"/>
                <c:lvl>
                  <c:pt idx="0">
                    <c:v>乐观</c:v>
                  </c:pt>
                </c:lvl>
                <c:lvl>
                  <c:pt idx="0">
                    <c:v>基准</c:v>
                  </c:pt>
                </c:lvl>
                <c:lvl>
                  <c:pt idx="0">
                    <c:v>悲观</c:v>
                  </c:pt>
                </c:lvl>
              </c:multiLvlStrCache>
            </c:multiLvlStrRef>
          </c:cat>
          <c:val>
            <c:numRef>
              <c:f>估值模型!$C$85:$E$85</c:f>
              <c:numCache>
                <c:formatCode>0.00</c:formatCode>
                <c:ptCount val="3"/>
                <c:pt idx="0">
                  <c:v>16.9555408627036</c:v>
                </c:pt>
                <c:pt idx="1">
                  <c:v>24.4091128660295</c:v>
                </c:pt>
                <c:pt idx="2">
                  <c:v>33.5446531615078</c:v>
                </c:pt>
              </c:numCache>
            </c:numRef>
          </c:val>
        </c:ser>
        <c:gapWidth val="150"/>
        <c:overlap val="0"/>
        <c:axId val="62710300"/>
        <c:axId val="61161474"/>
      </c:barChart>
      <c:lineChart>
        <c:grouping val="standard"/>
        <c:varyColors val="0"/>
        <c:ser>
          <c:idx val="4"/>
          <c:order val="4"/>
          <c:tx>
            <c:strRef>
              <c:f>"A股现价"</c:f>
              <c:strCache>
                <c:ptCount val="1"/>
                <c:pt idx="0">
                  <c:v>A股现价</c:v>
                </c:pt>
              </c:strCache>
            </c:strRef>
          </c:tx>
          <c:spPr>
            <a:solidFill>
              <a:srgbClr val="c8553d"/>
            </a:solidFill>
            <a:ln w="28080">
              <a:solidFill>
                <a:srgbClr val="c8553d"/>
              </a:solidFill>
              <a:round/>
            </a:ln>
          </c:spPr>
          <c:marker>
            <c:symbol val="circle"/>
            <c:size val="6"/>
            <c:spPr>
              <a:solidFill>
                <a:srgbClr val="c8553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估值模型!$C$81:$E$81</c:f>
              <c:multiLvlStrCache>
                <c:ptCount val="1"/>
                <c:lvl>
                  <c:pt idx="0">
                    <c:v>乐观</c:v>
                  </c:pt>
                </c:lvl>
                <c:lvl>
                  <c:pt idx="0">
                    <c:v>基准</c:v>
                  </c:pt>
                </c:lvl>
                <c:lvl>
                  <c:pt idx="0">
                    <c:v>悲观</c:v>
                  </c:pt>
                </c:lvl>
              </c:multiLvlStrCache>
            </c:multiLvlStrRef>
          </c:cat>
          <c:val>
            <c:numRef>
              <c:f>估值模型!$C$86:$E$86</c:f>
              <c:numCache>
                <c:formatCode>0.00</c:formatCode>
                <c:ptCount val="3"/>
                <c:pt idx="0">
                  <c:v>20.11</c:v>
                </c:pt>
                <c:pt idx="1">
                  <c:v>20.11</c:v>
                </c:pt>
                <c:pt idx="2">
                  <c:v>20.11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2710300"/>
        <c:axId val="61161474"/>
      </c:lineChart>
      <c:catAx>
        <c:axId val="627103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61474"/>
        <c:crosses val="autoZero"/>
        <c:auto val="1"/>
        <c:lblAlgn val="ctr"/>
        <c:lblOffset val="100"/>
        <c:noMultiLvlLbl val="0"/>
      </c:catAx>
      <c:valAx>
        <c:axId val="61161474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元/股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103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50" spc="-1" strike="noStrike">
                <a:solidFill>
                  <a:srgbClr val="17324d"/>
                </a:solidFill>
                <a:latin typeface="微软雅黑"/>
                <a:ea typeface="微软雅黑"/>
              </a:defRPr>
            </a:pPr>
            <a:r>
              <a:rPr b="1" sz="1150" spc="-1" strike="noStrike">
                <a:solidFill>
                  <a:srgbClr val="17324d"/>
                </a:solidFill>
                <a:latin typeface="微软雅黑"/>
                <a:ea typeface="微软雅黑"/>
              </a:rPr>
              <a:t>收入与归母净利润（2021–2025，年度）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"营业收入(亿元)"</c:f>
              <c:strCache>
                <c:ptCount val="1"/>
                <c:pt idx="0">
                  <c:v>营业收入(亿元)</c:v>
                </c:pt>
              </c:strCache>
            </c:strRef>
          </c:tx>
          <c:spPr>
            <a:solidFill>
              <a:srgbClr val="17324d"/>
            </a:solidFill>
            <a:ln w="0">
              <a:solidFill>
                <a:srgbClr val="17324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财务五年!$B$4:$F$4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财务五年!$B$6:$F$6</c:f>
              <c:numCache>
                <c:formatCode>#,##0.0;\(#,##0.0\);\-</c:formatCode>
                <c:ptCount val="5"/>
                <c:pt idx="0">
                  <c:v>2271.0581764169</c:v>
                </c:pt>
                <c:pt idx="1">
                  <c:v>2435.7892495847</c:v>
                </c:pt>
                <c:pt idx="2">
                  <c:v>2742.0452084797</c:v>
                </c:pt>
                <c:pt idx="3">
                  <c:v>2860.1529493652</c:v>
                </c:pt>
                <c:pt idx="4">
                  <c:v>3023.467839183</c:v>
                </c:pt>
              </c:numCache>
            </c:numRef>
          </c:val>
        </c:ser>
        <c:gapWidth val="150"/>
        <c:overlap val="0"/>
        <c:axId val="90591656"/>
        <c:axId val="66421140"/>
      </c:barChart>
      <c:lineChart>
        <c:grouping val="standard"/>
        <c:varyColors val="0"/>
        <c:ser>
          <c:idx val="1"/>
          <c:order val="1"/>
          <c:tx>
            <c:strRef>
              <c:f>"归母净利润(亿元，右轴)"</c:f>
              <c:strCache>
                <c:ptCount val="1"/>
                <c:pt idx="0">
                  <c:v>归母净利润(亿元，右轴)</c:v>
                </c:pt>
              </c:strCache>
            </c:strRef>
          </c:tx>
          <c:spPr>
            <a:solidFill>
              <a:srgbClr val="c8553d"/>
            </a:solidFill>
            <a:ln w="28080">
              <a:solidFill>
                <a:srgbClr val="c8553d"/>
              </a:solidFill>
              <a:round/>
            </a:ln>
          </c:spPr>
          <c:marker>
            <c:symbol val="circle"/>
            <c:size val="6"/>
            <c:spPr>
              <a:solidFill>
                <a:srgbClr val="c8553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财务五年!$B$4:$F$4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财务五年!$B$12:$F$12</c:f>
              <c:numCache>
                <c:formatCode>#,##0.0;\(#,##0.0\);\-</c:formatCode>
                <c:ptCount val="5"/>
                <c:pt idx="0">
                  <c:v>130.788405171</c:v>
                </c:pt>
                <c:pt idx="1">
                  <c:v>147.1205476324</c:v>
                </c:pt>
                <c:pt idx="2">
                  <c:v>165.9661504587</c:v>
                </c:pt>
                <c:pt idx="3">
                  <c:v>187.3104627317</c:v>
                </c:pt>
                <c:pt idx="4">
                  <c:v>195.5279822285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8652205"/>
        <c:axId val="88088592"/>
      </c:lineChart>
      <c:catAx>
        <c:axId val="90591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21140"/>
        <c:crosses val="autoZero"/>
        <c:auto val="1"/>
        <c:lblAlgn val="ctr"/>
        <c:lblOffset val="100"/>
        <c:noMultiLvlLbl val="0"/>
      </c:catAx>
      <c:valAx>
        <c:axId val="66421140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收入(亿元)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91656"/>
        <c:crosses val="autoZero"/>
        <c:crossBetween val="between"/>
      </c:valAx>
      <c:catAx>
        <c:axId val="38652205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88592"/>
        <c:crosses val="autoZero"/>
        <c:auto val="1"/>
        <c:lblAlgn val="ctr"/>
        <c:lblOffset val="100"/>
        <c:noMultiLvlLbl val="0"/>
      </c:catAx>
      <c:valAx>
        <c:axId val="8808859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净利(亿元)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5220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50" spc="-1" strike="noStrike">
                <a:solidFill>
                  <a:srgbClr val="17324d"/>
                </a:solidFill>
                <a:latin typeface="微软雅黑"/>
                <a:ea typeface="微软雅黑"/>
              </a:defRPr>
            </a:pPr>
            <a:r>
              <a:rPr b="1" sz="1150" spc="-1" strike="noStrike">
                <a:solidFill>
                  <a:srgbClr val="17324d"/>
                </a:solidFill>
                <a:latin typeface="微软雅黑"/>
                <a:ea typeface="微软雅黑"/>
              </a:rPr>
              <a:t>利润变现金了吗？（亿元，年度）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"归母净利润"</c:f>
              <c:strCache>
                <c:ptCount val="1"/>
                <c:pt idx="0">
                  <c:v>归母净利润</c:v>
                </c:pt>
              </c:strCache>
            </c:strRef>
          </c:tx>
          <c:spPr>
            <a:solidFill>
              <a:srgbClr val="17324d"/>
            </a:solidFill>
            <a:ln w="0">
              <a:solidFill>
                <a:srgbClr val="17324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财务五年!$B$4:$F$4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财务五年!$B$12:$F$12</c:f>
              <c:numCache>
                <c:formatCode>#,##0.0;\(#,##0.0\);\-</c:formatCode>
                <c:ptCount val="5"/>
                <c:pt idx="0">
                  <c:v>130.788405171</c:v>
                </c:pt>
                <c:pt idx="1">
                  <c:v>147.1205476324</c:v>
                </c:pt>
                <c:pt idx="2">
                  <c:v>165.9661504587</c:v>
                </c:pt>
                <c:pt idx="3">
                  <c:v>187.3104627317</c:v>
                </c:pt>
                <c:pt idx="4">
                  <c:v>195.5279822285</c:v>
                </c:pt>
              </c:numCache>
            </c:numRef>
          </c:val>
        </c:ser>
        <c:ser>
          <c:idx val="1"/>
          <c:order val="1"/>
          <c:tx>
            <c:strRef>
              <c:f>"经营现金流(合并)"</c:f>
              <c:strCache>
                <c:ptCount val="1"/>
                <c:pt idx="0">
                  <c:v>经营现金流(合并)</c:v>
                </c:pt>
              </c:strCache>
            </c:strRef>
          </c:tx>
          <c:spPr>
            <a:solidFill>
              <a:srgbClr val="2e86ab"/>
            </a:solidFill>
            <a:ln w="0">
              <a:solidFill>
                <a:srgbClr val="2e86a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财务五年!$B$4:$F$4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财务五年!$B$20:$F$20</c:f>
              <c:numCache>
                <c:formatCode>#,##0.0;\(#,##0.0\);\-</c:formatCode>
                <c:ptCount val="5"/>
                <c:pt idx="0">
                  <c:v>232.3538069095</c:v>
                </c:pt>
                <c:pt idx="1">
                  <c:v>202.5655714586</c:v>
                </c:pt>
                <c:pt idx="2">
                  <c:v>265.3578056836</c:v>
                </c:pt>
                <c:pt idx="3">
                  <c:v>263.1809131195</c:v>
                </c:pt>
                <c:pt idx="4">
                  <c:v>260.0294196992</c:v>
                </c:pt>
              </c:numCache>
            </c:numRef>
          </c:val>
        </c:ser>
        <c:ser>
          <c:idx val="2"/>
          <c:order val="2"/>
          <c:tx>
            <c:strRef>
              <c:f>"自由现金流"</c:f>
              <c:strCache>
                <c:ptCount val="1"/>
                <c:pt idx="0">
                  <c:v>自由现金流</c:v>
                </c:pt>
              </c:strCache>
            </c:strRef>
          </c:tx>
          <c:spPr>
            <a:solidFill>
              <a:srgbClr val="e9a23b"/>
            </a:solidFill>
            <a:ln w="0">
              <a:solidFill>
                <a:srgbClr val="e9a23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财务五年!$B$4:$F$4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财务五年!$B$23:$F$23</c:f>
              <c:numCache>
                <c:formatCode>#,##0.0;\(#,##0.0\);\-</c:formatCode>
                <c:ptCount val="5"/>
                <c:pt idx="0">
                  <c:v>158.6295185857</c:v>
                </c:pt>
                <c:pt idx="1">
                  <c:v>120.4677091522</c:v>
                </c:pt>
                <c:pt idx="2">
                  <c:v>159.9421852955</c:v>
                </c:pt>
                <c:pt idx="3">
                  <c:v>162.3802399891</c:v>
                </c:pt>
                <c:pt idx="4">
                  <c:v>171.5137802903</c:v>
                </c:pt>
              </c:numCache>
            </c:numRef>
          </c:val>
        </c:ser>
        <c:gapWidth val="150"/>
        <c:overlap val="0"/>
        <c:axId val="92028976"/>
        <c:axId val="45016476"/>
      </c:barChart>
      <c:catAx>
        <c:axId val="9202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16476"/>
        <c:crosses val="autoZero"/>
        <c:auto val="1"/>
        <c:lblAlgn val="ctr"/>
        <c:lblOffset val="100"/>
        <c:noMultiLvlLbl val="0"/>
      </c:catAx>
      <c:valAx>
        <c:axId val="45016476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亿元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289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50" spc="-1" strike="noStrike">
                <a:solidFill>
                  <a:srgbClr val="17324d"/>
                </a:solidFill>
                <a:latin typeface="微软雅黑"/>
                <a:ea typeface="微软雅黑"/>
              </a:defRPr>
            </a:pPr>
            <a:r>
              <a:rPr b="1" sz="1150" spc="-1" strike="noStrike">
                <a:solidFill>
                  <a:srgbClr val="17324d"/>
                </a:solidFill>
                <a:latin typeface="微软雅黑"/>
                <a:ea typeface="微软雅黑"/>
              </a:rPr>
              <a:t>盈利能力（2023起毛利率口径变化）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"毛利率"</c:f>
              <c:strCache>
                <c:ptCount val="1"/>
                <c:pt idx="0">
                  <c:v>毛利率</c:v>
                </c:pt>
              </c:strCache>
            </c:strRef>
          </c:tx>
          <c:spPr>
            <a:solidFill>
              <a:srgbClr val="17324d"/>
            </a:solidFill>
            <a:ln w="28080">
              <a:solidFill>
                <a:srgbClr val="17324d"/>
              </a:solidFill>
              <a:round/>
            </a:ln>
          </c:spPr>
          <c:marker>
            <c:symbol val="circle"/>
            <c:size val="6"/>
            <c:spPr>
              <a:solidFill>
                <a:srgbClr val="1732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财务五年!$B$4:$F$4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财务五年!$B$8:$F$8</c:f>
              <c:numCache>
                <c:formatCode>0.0%</c:formatCode>
                <c:ptCount val="5"/>
                <c:pt idx="0">
                  <c:v>0.31331769203973</c:v>
                </c:pt>
                <c:pt idx="1">
                  <c:v>0.313309464435118</c:v>
                </c:pt>
                <c:pt idx="2">
                  <c:v>0.274853418967829</c:v>
                </c:pt>
                <c:pt idx="3">
                  <c:v>0.278222358629183</c:v>
                </c:pt>
                <c:pt idx="4">
                  <c:v>0.266607862337877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"归母净利率"</c:f>
              <c:strCache>
                <c:ptCount val="1"/>
                <c:pt idx="0">
                  <c:v>归母净利率</c:v>
                </c:pt>
              </c:strCache>
            </c:strRef>
          </c:tx>
          <c:spPr>
            <a:solidFill>
              <a:srgbClr val="2e86ab"/>
            </a:solidFill>
            <a:ln w="28080">
              <a:solidFill>
                <a:srgbClr val="2e86ab"/>
              </a:solidFill>
              <a:round/>
            </a:ln>
          </c:spPr>
          <c:marker>
            <c:symbol val="circle"/>
            <c:size val="6"/>
            <c:spPr>
              <a:solidFill>
                <a:srgbClr val="2e86a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财务五年!$B$4:$F$4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财务五年!$B$16:$F$16</c:f>
              <c:numCache>
                <c:formatCode>0.0%</c:formatCode>
                <c:ptCount val="5"/>
                <c:pt idx="0">
                  <c:v>0.0575891919146465</c:v>
                </c:pt>
                <c:pt idx="1">
                  <c:v>0.0603995389410163</c:v>
                </c:pt>
                <c:pt idx="2">
                  <c:v>0.0605264092457171</c:v>
                </c:pt>
                <c:pt idx="3">
                  <c:v>0.0654896664785961</c:v>
                </c:pt>
                <c:pt idx="4">
                  <c:v>0.0646701048691609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"加权ROE"</c:f>
              <c:strCache>
                <c:ptCount val="1"/>
                <c:pt idx="0">
                  <c:v>加权ROE</c:v>
                </c:pt>
              </c:strCache>
            </c:strRef>
          </c:tx>
          <c:spPr>
            <a:solidFill>
              <a:srgbClr val="c8553d"/>
            </a:solidFill>
            <a:ln w="28080">
              <a:solidFill>
                <a:srgbClr val="c8553d"/>
              </a:solidFill>
              <a:round/>
            </a:ln>
          </c:spPr>
          <c:marker>
            <c:symbol val="circle"/>
            <c:size val="6"/>
            <c:spPr>
              <a:solidFill>
                <a:srgbClr val="c8553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财务五年!$B$4:$F$4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财务五年!$B$17:$F$17</c:f>
              <c:numCache>
                <c:formatCode>0.0%</c:formatCode>
                <c:ptCount val="5"/>
                <c:pt idx="0">
                  <c:v>0.1726</c:v>
                </c:pt>
                <c:pt idx="1">
                  <c:v>0.1681</c:v>
                </c:pt>
                <c:pt idx="2">
                  <c:v>0.1724</c:v>
                </c:pt>
                <c:pt idx="3">
                  <c:v>0.1761</c:v>
                </c:pt>
                <c:pt idx="4">
                  <c:v>0.1698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706785"/>
        <c:axId val="15358371"/>
      </c:lineChart>
      <c:catAx>
        <c:axId val="77067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58371"/>
        <c:crosses val="autoZero"/>
        <c:auto val="1"/>
        <c:lblAlgn val="ctr"/>
        <c:lblOffset val="100"/>
        <c:noMultiLvlLbl val="0"/>
      </c:catAx>
      <c:valAx>
        <c:axId val="15358371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67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50" spc="-1" strike="noStrike">
                <a:solidFill>
                  <a:srgbClr val="17324d"/>
                </a:solidFill>
                <a:latin typeface="微软雅黑"/>
                <a:ea typeface="微软雅黑"/>
              </a:defRPr>
            </a:pPr>
            <a:r>
              <a:rPr b="1" sz="1150" spc="-1" strike="noStrike">
                <a:solidFill>
                  <a:srgbClr val="17324d"/>
                </a:solidFill>
                <a:latin typeface="微软雅黑"/>
                <a:ea typeface="微软雅黑"/>
              </a:rPr>
              <a:t>每股分红（元，税前）与派息率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"中期DPS"</c:f>
              <c:strCache>
                <c:ptCount val="1"/>
                <c:pt idx="0">
                  <c:v>中期DPS</c:v>
                </c:pt>
              </c:strCache>
            </c:strRef>
          </c:tx>
          <c:spPr>
            <a:solidFill>
              <a:srgbClr val="2e86ab"/>
            </a:solidFill>
            <a:ln w="0">
              <a:solidFill>
                <a:srgbClr val="2e86a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分红与回报!$A$5:$A$9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分红与回报!$B$5:$B$9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0.2692</c:v>
                </c:pt>
              </c:numCache>
            </c:numRef>
          </c:val>
        </c:ser>
        <c:ser>
          <c:idx val="1"/>
          <c:order val="1"/>
          <c:tx>
            <c:strRef>
              <c:f>"末期DPS"</c:f>
              <c:strCache>
                <c:ptCount val="1"/>
                <c:pt idx="0">
                  <c:v>末期DPS</c:v>
                </c:pt>
              </c:strCache>
            </c:strRef>
          </c:tx>
          <c:spPr>
            <a:solidFill>
              <a:srgbClr val="17324d"/>
            </a:solidFill>
            <a:ln w="0">
              <a:solidFill>
                <a:srgbClr val="17324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分红与回报!$A$5:$A$9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分红与回报!$C$5:$C$9</c:f>
              <c:numCache>
                <c:formatCode>0.0000</c:formatCode>
                <c:ptCount val="5"/>
                <c:pt idx="0">
                  <c:v>0.46136</c:v>
                </c:pt>
                <c:pt idx="1">
                  <c:v>0.56692</c:v>
                </c:pt>
                <c:pt idx="2">
                  <c:v>0.80131</c:v>
                </c:pt>
                <c:pt idx="3">
                  <c:v>0.96504</c:v>
                </c:pt>
                <c:pt idx="4">
                  <c:v>0.89151</c:v>
                </c:pt>
              </c:numCache>
            </c:numRef>
          </c:val>
        </c:ser>
        <c:gapWidth val="150"/>
        <c:overlap val="100"/>
        <c:axId val="4575447"/>
        <c:axId val="59026788"/>
      </c:barChart>
      <c:lineChart>
        <c:grouping val="stacked"/>
        <c:varyColors val="0"/>
        <c:ser>
          <c:idx val="2"/>
          <c:order val="2"/>
          <c:tx>
            <c:strRef>
              <c:f>"派息率(右轴)"</c:f>
              <c:strCache>
                <c:ptCount val="1"/>
                <c:pt idx="0">
                  <c:v>派息率(右轴)</c:v>
                </c:pt>
              </c:strCache>
            </c:strRef>
          </c:tx>
          <c:spPr>
            <a:solidFill>
              <a:srgbClr val="c8553d"/>
            </a:solidFill>
            <a:ln w="28080">
              <a:solidFill>
                <a:srgbClr val="c8553d"/>
              </a:solidFill>
              <a:round/>
            </a:ln>
          </c:spPr>
          <c:marker>
            <c:symbol val="circle"/>
            <c:size val="6"/>
            <c:spPr>
              <a:solidFill>
                <a:srgbClr val="c8553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分红与回报!$A$5:$A$9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分红与回报!$F$5:$F$9</c:f>
              <c:numCache>
                <c:formatCode>0.0%</c:formatCode>
                <c:ptCount val="5"/>
                <c:pt idx="0">
                  <c:v>0.327205673758865</c:v>
                </c:pt>
                <c:pt idx="1">
                  <c:v>0.358810126582278</c:v>
                </c:pt>
                <c:pt idx="2">
                  <c:v>0.447659217877095</c:v>
                </c:pt>
                <c:pt idx="3">
                  <c:v>0.477742574257426</c:v>
                </c:pt>
                <c:pt idx="4">
                  <c:v>0.547504716981132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9955879"/>
        <c:axId val="72549015"/>
      </c:lineChart>
      <c:catAx>
        <c:axId val="4575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26788"/>
        <c:crosses val="autoZero"/>
        <c:auto val="1"/>
        <c:lblAlgn val="ctr"/>
        <c:lblOffset val="100"/>
        <c:noMultiLvlLbl val="0"/>
      </c:catAx>
      <c:valAx>
        <c:axId val="59026788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元/股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5447"/>
        <c:crosses val="autoZero"/>
        <c:crossBetween val="between"/>
      </c:valAx>
      <c:catAx>
        <c:axId val="2995587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49015"/>
        <c:crosses val="autoZero"/>
        <c:auto val="1"/>
        <c:lblAlgn val="ctr"/>
        <c:lblOffset val="100"/>
        <c:noMultiLvlLbl val="0"/>
      </c:catAx>
      <c:valAx>
        <c:axId val="72549015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5587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50" spc="-1" strike="noStrike">
                <a:solidFill>
                  <a:srgbClr val="17324d"/>
                </a:solidFill>
                <a:latin typeface="微软雅黑"/>
                <a:ea typeface="微软雅黑"/>
              </a:defRPr>
            </a:pPr>
            <a:r>
              <a:rPr b="1" sz="1150" spc="-1" strike="noStrike">
                <a:solidFill>
                  <a:srgbClr val="17324d"/>
                </a:solidFill>
                <a:latin typeface="微软雅黑"/>
                <a:ea typeface="微软雅黑"/>
              </a:rPr>
              <a:t>2025年分产业收入（亿元）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"收入"</c:f>
              <c:strCache>
                <c:ptCount val="1"/>
                <c:pt idx="0">
                  <c:v>收入</c:v>
                </c:pt>
              </c:strCache>
            </c:strRef>
          </c:tx>
          <c:spPr>
            <a:solidFill>
              <a:srgbClr val="1732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生意拆解!$A$9:$A$13</c:f>
              <c:strCache>
                <c:ptCount val="5"/>
                <c:pt idx="0">
                  <c:v>冰箱/冷柜</c:v>
                </c:pt>
                <c:pt idx="1">
                  <c:v>洗护</c:v>
                </c:pt>
                <c:pt idx="2">
                  <c:v>厨电</c:v>
                </c:pt>
                <c:pt idx="3">
                  <c:v>智慧大暖通：空气</c:v>
                </c:pt>
                <c:pt idx="4">
                  <c:v>智慧大暖通：全屋用水</c:v>
                </c:pt>
              </c:strCache>
            </c:strRef>
          </c:cat>
          <c:val>
            <c:numRef>
              <c:f>生意拆解!$B$9:$B$13</c:f>
              <c:numCache>
                <c:formatCode>#,##0.0;\(#,##0.0\);\-</c:formatCode>
                <c:ptCount val="5"/>
                <c:pt idx="0">
                  <c:v>847.6</c:v>
                </c:pt>
                <c:pt idx="1">
                  <c:v>655.7</c:v>
                </c:pt>
                <c:pt idx="2">
                  <c:v>415.4</c:v>
                </c:pt>
                <c:pt idx="3">
                  <c:v>543.9</c:v>
                </c:pt>
                <c:pt idx="4">
                  <c:v>179.6</c:v>
                </c:pt>
              </c:numCache>
            </c:numRef>
          </c:val>
        </c:ser>
        <c:gapWidth val="150"/>
        <c:overlap val="0"/>
        <c:axId val="40888648"/>
        <c:axId val="8071748"/>
      </c:barChart>
      <c:catAx>
        <c:axId val="40888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1748"/>
        <c:crosses val="autoZero"/>
        <c:auto val="1"/>
        <c:lblAlgn val="ctr"/>
        <c:lblOffset val="100"/>
        <c:noMultiLvlLbl val="0"/>
      </c:catAx>
      <c:valAx>
        <c:axId val="8071748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886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50" spc="-1" strike="noStrike">
                <a:solidFill>
                  <a:srgbClr val="17324d"/>
                </a:solidFill>
                <a:latin typeface="微软雅黑"/>
                <a:ea typeface="微软雅黑"/>
              </a:defRPr>
            </a:pPr>
            <a:r>
              <a:rPr b="1" sz="1150" spc="-1" strike="noStrike">
                <a:solidFill>
                  <a:srgbClr val="17324d"/>
                </a:solidFill>
                <a:latin typeface="微软雅黑"/>
                <a:ea typeface="微软雅黑"/>
              </a:rPr>
              <a:t>2024年分地区收入（亿元）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"收入"</c:f>
              <c:strCache>
                <c:ptCount val="1"/>
                <c:pt idx="0">
                  <c:v>收入</c:v>
                </c:pt>
              </c:strCache>
            </c:strRef>
          </c:tx>
          <c:spPr>
            <a:solidFill>
              <a:srgbClr val="2e86a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生意拆解!$A$18:$A$22</c:f>
              <c:strCache>
                <c:ptCount val="5"/>
                <c:pt idx="0">
                  <c:v>中国</c:v>
                </c:pt>
                <c:pt idx="1">
                  <c:v>北美</c:v>
                </c:pt>
                <c:pt idx="2">
                  <c:v>欧洲</c:v>
                </c:pt>
                <c:pt idx="3">
                  <c:v>南亚</c:v>
                </c:pt>
                <c:pt idx="4">
                  <c:v>其他海外(倒算)</c:v>
                </c:pt>
              </c:strCache>
            </c:strRef>
          </c:cat>
          <c:val>
            <c:numRef>
              <c:f>生意拆解!$B$18:$B$22</c:f>
              <c:numCache>
                <c:formatCode>#,##0.0;\(#,##0.0\);\-</c:formatCode>
                <c:ptCount val="5"/>
                <c:pt idx="0">
                  <c:v>1417</c:v>
                </c:pt>
                <c:pt idx="1">
                  <c:v>795.29</c:v>
                </c:pt>
                <c:pt idx="2">
                  <c:v>320.89</c:v>
                </c:pt>
                <c:pt idx="3">
                  <c:v>115.25</c:v>
                </c:pt>
                <c:pt idx="4">
                  <c:v>206.71</c:v>
                </c:pt>
              </c:numCache>
            </c:numRef>
          </c:val>
        </c:ser>
        <c:gapWidth val="150"/>
        <c:overlap val="0"/>
        <c:axId val="56937064"/>
        <c:axId val="51489206"/>
      </c:barChart>
      <c:catAx>
        <c:axId val="56937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89206"/>
        <c:crosses val="autoZero"/>
        <c:auto val="1"/>
        <c:lblAlgn val="ctr"/>
        <c:lblOffset val="100"/>
        <c:noMultiLvlLbl val="0"/>
      </c:catAx>
      <c:valAx>
        <c:axId val="51489206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370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50" spc="-1" strike="noStrike">
                <a:solidFill>
                  <a:srgbClr val="17324d"/>
                </a:solidFill>
                <a:latin typeface="微软雅黑"/>
                <a:ea typeface="微软雅黑"/>
              </a:defRPr>
            </a:pPr>
            <a:r>
              <a:rPr b="1" sz="1150" spc="-1" strike="noStrike">
                <a:solidFill>
                  <a:srgbClr val="17324d"/>
                </a:solidFill>
                <a:latin typeface="微软雅黑"/>
                <a:ea typeface="微软雅黑"/>
              </a:rPr>
              <a:t>PE(扣非)对比（倍）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"PE扣非"</c:f>
              <c:strCache>
                <c:ptCount val="1"/>
                <c:pt idx="0">
                  <c:v>PE扣非</c:v>
                </c:pt>
              </c:strCache>
            </c:strRef>
          </c:tx>
          <c:spPr>
            <a:solidFill>
              <a:srgbClr val="2e86a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同业比较!$A$5:$A$8</c:f>
              <c:strCache>
                <c:ptCount val="4"/>
                <c:pt idx="0">
                  <c:v>海尔智家（本模型TTM）</c:v>
                </c:pt>
                <c:pt idx="1">
                  <c:v>美的集团</c:v>
                </c:pt>
                <c:pt idx="2">
                  <c:v>格力电器</c:v>
                </c:pt>
                <c:pt idx="3">
                  <c:v>老板电器</c:v>
                </c:pt>
              </c:strCache>
            </c:strRef>
          </c:cat>
          <c:val>
            <c:numRef>
              <c:f>同业比较!$F$5:$F$8</c:f>
              <c:numCache>
                <c:formatCode>0.00</c:formatCode>
                <c:ptCount val="4"/>
                <c:pt idx="0">
                  <c:v>11.4851628647019</c:v>
                </c:pt>
                <c:pt idx="1">
                  <c:v>19.07</c:v>
                </c:pt>
                <c:pt idx="2">
                  <c:v>8.36</c:v>
                </c:pt>
                <c:pt idx="3">
                  <c:v>15.74</c:v>
                </c:pt>
              </c:numCache>
            </c:numRef>
          </c:val>
        </c:ser>
        <c:gapWidth val="150"/>
        <c:overlap val="0"/>
        <c:axId val="67601512"/>
        <c:axId val="86698608"/>
      </c:barChart>
      <c:catAx>
        <c:axId val="67601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98608"/>
        <c:crosses val="autoZero"/>
        <c:auto val="1"/>
        <c:lblAlgn val="ctr"/>
        <c:lblOffset val="100"/>
        <c:noMultiLvlLbl val="0"/>
      </c:catAx>
      <c:valAx>
        <c:axId val="8669860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015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0</xdr:rowOff>
    </xdr:from>
    <xdr:to>
      <xdr:col>5</xdr:col>
      <xdr:colOff>805320</xdr:colOff>
      <xdr:row>40</xdr:row>
      <xdr:rowOff>68400</xdr:rowOff>
    </xdr:to>
    <xdr:graphicFrame>
      <xdr:nvGraphicFramePr>
        <xdr:cNvPr id="0" name="Chart 1"/>
        <xdr:cNvGraphicFramePr/>
      </xdr:nvGraphicFramePr>
      <xdr:xfrm>
        <a:off x="0" y="7696080"/>
        <a:ext cx="485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26</xdr:row>
      <xdr:rowOff>0</xdr:rowOff>
    </xdr:from>
    <xdr:to>
      <xdr:col>11</xdr:col>
      <xdr:colOff>805320</xdr:colOff>
      <xdr:row>40</xdr:row>
      <xdr:rowOff>68400</xdr:rowOff>
    </xdr:to>
    <xdr:graphicFrame>
      <xdr:nvGraphicFramePr>
        <xdr:cNvPr id="1" name="Chart 2"/>
        <xdr:cNvGraphicFramePr/>
      </xdr:nvGraphicFramePr>
      <xdr:xfrm>
        <a:off x="4865400" y="7696080"/>
        <a:ext cx="485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5</xdr:col>
      <xdr:colOff>805320</xdr:colOff>
      <xdr:row>56</xdr:row>
      <xdr:rowOff>68760</xdr:rowOff>
    </xdr:to>
    <xdr:graphicFrame>
      <xdr:nvGraphicFramePr>
        <xdr:cNvPr id="2" name="Chart 3"/>
        <xdr:cNvGraphicFramePr/>
      </xdr:nvGraphicFramePr>
      <xdr:xfrm>
        <a:off x="0" y="10744200"/>
        <a:ext cx="485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42</xdr:row>
      <xdr:rowOff>0</xdr:rowOff>
    </xdr:from>
    <xdr:to>
      <xdr:col>11</xdr:col>
      <xdr:colOff>805320</xdr:colOff>
      <xdr:row>56</xdr:row>
      <xdr:rowOff>68760</xdr:rowOff>
    </xdr:to>
    <xdr:graphicFrame>
      <xdr:nvGraphicFramePr>
        <xdr:cNvPr id="3" name="Chart 4"/>
        <xdr:cNvGraphicFramePr/>
      </xdr:nvGraphicFramePr>
      <xdr:xfrm>
        <a:off x="4865400" y="10744200"/>
        <a:ext cx="485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134640</xdr:rowOff>
    </xdr:from>
    <xdr:to>
      <xdr:col>18</xdr:col>
      <xdr:colOff>364680</xdr:colOff>
      <xdr:row>12</xdr:row>
      <xdr:rowOff>154800</xdr:rowOff>
    </xdr:to>
    <xdr:graphicFrame>
      <xdr:nvGraphicFramePr>
        <xdr:cNvPr id="4" name="Chart 1"/>
        <xdr:cNvGraphicFramePr/>
      </xdr:nvGraphicFramePr>
      <xdr:xfrm>
        <a:off x="11466360" y="14097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0</xdr:rowOff>
    </xdr:from>
    <xdr:to>
      <xdr:col>21</xdr:col>
      <xdr:colOff>4680</xdr:colOff>
      <xdr:row>16</xdr:row>
      <xdr:rowOff>98640</xdr:rowOff>
    </xdr:to>
    <xdr:graphicFrame>
      <xdr:nvGraphicFramePr>
        <xdr:cNvPr id="5" name="Chart 1"/>
        <xdr:cNvGraphicFramePr/>
      </xdr:nvGraphicFramePr>
      <xdr:xfrm>
        <a:off x="11912040" y="1028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19</xdr:row>
      <xdr:rowOff>40320</xdr:rowOff>
    </xdr:from>
    <xdr:to>
      <xdr:col>21</xdr:col>
      <xdr:colOff>4680</xdr:colOff>
      <xdr:row>32</xdr:row>
      <xdr:rowOff>178560</xdr:rowOff>
    </xdr:to>
    <xdr:graphicFrame>
      <xdr:nvGraphicFramePr>
        <xdr:cNvPr id="6" name="Chart 2"/>
        <xdr:cNvGraphicFramePr/>
      </xdr:nvGraphicFramePr>
      <xdr:xfrm>
        <a:off x="11912040" y="46864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34</xdr:row>
      <xdr:rowOff>270720</xdr:rowOff>
    </xdr:from>
    <xdr:to>
      <xdr:col>21</xdr:col>
      <xdr:colOff>4680</xdr:colOff>
      <xdr:row>48</xdr:row>
      <xdr:rowOff>31680</xdr:rowOff>
    </xdr:to>
    <xdr:graphicFrame>
      <xdr:nvGraphicFramePr>
        <xdr:cNvPr id="7" name="Chart 3"/>
        <xdr:cNvGraphicFramePr/>
      </xdr:nvGraphicFramePr>
      <xdr:xfrm>
        <a:off x="11912040" y="803916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33</xdr:row>
      <xdr:rowOff>42120</xdr:rowOff>
    </xdr:from>
    <xdr:to>
      <xdr:col>6</xdr:col>
      <xdr:colOff>269280</xdr:colOff>
      <xdr:row>49</xdr:row>
      <xdr:rowOff>53640</xdr:rowOff>
    </xdr:to>
    <xdr:graphicFrame>
      <xdr:nvGraphicFramePr>
        <xdr:cNvPr id="8" name="Chart 1"/>
        <xdr:cNvGraphicFramePr/>
      </xdr:nvGraphicFramePr>
      <xdr:xfrm>
        <a:off x="0" y="101347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15</xdr:col>
      <xdr:colOff>255960</xdr:colOff>
      <xdr:row>11</xdr:row>
      <xdr:rowOff>137520</xdr:rowOff>
    </xdr:to>
    <xdr:graphicFrame>
      <xdr:nvGraphicFramePr>
        <xdr:cNvPr id="9" name="Chart 1"/>
        <xdr:cNvGraphicFramePr/>
      </xdr:nvGraphicFramePr>
      <xdr:xfrm>
        <a:off x="8646840" y="1028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420840</xdr:rowOff>
    </xdr:from>
    <xdr:to>
      <xdr:col>15</xdr:col>
      <xdr:colOff>255960</xdr:colOff>
      <xdr:row>26</xdr:row>
      <xdr:rowOff>301320</xdr:rowOff>
    </xdr:to>
    <xdr:graphicFrame>
      <xdr:nvGraphicFramePr>
        <xdr:cNvPr id="10" name="Chart 2"/>
        <xdr:cNvGraphicFramePr/>
      </xdr:nvGraphicFramePr>
      <xdr:xfrm>
        <a:off x="8646840" y="60102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39960</xdr:rowOff>
    </xdr:from>
    <xdr:to>
      <xdr:col>5</xdr:col>
      <xdr:colOff>606600</xdr:colOff>
      <xdr:row>25</xdr:row>
      <xdr:rowOff>72720</xdr:rowOff>
    </xdr:to>
    <xdr:graphicFrame>
      <xdr:nvGraphicFramePr>
        <xdr:cNvPr id="11" name="Chart 1"/>
        <xdr:cNvGraphicFramePr/>
      </xdr:nvGraphicFramePr>
      <xdr:xfrm>
        <a:off x="0" y="33717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emweb.securities.eastmoney.com/PC_HSF10/NewFinanceAnalysis/Index?type=web&amp;code=SH600690" TargetMode="External"/><Relationship Id="rId2" Type="http://schemas.openxmlformats.org/officeDocument/2006/relationships/hyperlink" Target="https://stockmc.xueqiu.com/202608/600690_20260828_OP9Q.pdf" TargetMode="External"/><Relationship Id="rId3" Type="http://schemas.openxmlformats.org/officeDocument/2006/relationships/hyperlink" Target="https://www1.hkexnews.hk/listedco/listconews/sehk/2026/0827/2026082702358_c.pdf" TargetMode="External"/><Relationship Id="rId4" Type="http://schemas.openxmlformats.org/officeDocument/2006/relationships/hyperlink" Target="https://stockmc.xueqiu.com/202603/600690_20260327_PV3G.pdf" TargetMode="External"/><Relationship Id="rId5" Type="http://schemas.openxmlformats.org/officeDocument/2006/relationships/hyperlink" Target="https://paper.cnstock.com/html/2026-08/15/content_2255299.htm" TargetMode="External"/><Relationship Id="rId6" Type="http://schemas.openxmlformats.org/officeDocument/2006/relationships/hyperlink" Target="https://www.guandian.cn/article/20260807/582342.html" TargetMode="External"/><Relationship Id="rId7" Type="http://schemas.openxmlformats.org/officeDocument/2006/relationships/hyperlink" Target="https://paper.cnstock.com/html/2025-11/01/content_2140756.htm" TargetMode="External"/><Relationship Id="rId8" Type="http://schemas.openxmlformats.org/officeDocument/2006/relationships/hyperlink" Target="https://paper.cnstock.com/html/2025-07/19/content_2096091.htm" TargetMode="External"/><Relationship Id="rId9" Type="http://schemas.openxmlformats.org/officeDocument/2006/relationships/hyperlink" Target="https://paper.cnstock.com/html/2024-08/10/content_1952872.htm" TargetMode="External"/><Relationship Id="rId10" Type="http://schemas.openxmlformats.org/officeDocument/2006/relationships/hyperlink" Target="https://epaper.cs.com.cn/zgzqb/images/2023-08/15/B012/zqB01215.pdf" TargetMode="External"/><Relationship Id="rId11" Type="http://schemas.openxmlformats.org/officeDocument/2006/relationships/hyperlink" Target="https://m.sohu.com/a/1001616905_122014422/?pvid=000115_3w_a" TargetMode="External"/><Relationship Id="rId12" Type="http://schemas.openxmlformats.org/officeDocument/2006/relationships/hyperlink" Target="https://finance.sina.com.cn/money/smjj/smdt/2026-08-28/doc-inipvmnc5769873.shtml" TargetMode="External"/><Relationship Id="rId13" Type="http://schemas.openxmlformats.org/officeDocument/2006/relationships/hyperlink" Target="https://www.yicai.com/news/103155612.html" TargetMode="External"/><Relationship Id="rId14" Type="http://schemas.openxmlformats.org/officeDocument/2006/relationships/hyperlink" Target="https://stock.10jqka.com.cn/20260928/c680311399.shtml" TargetMode="External"/><Relationship Id="rId15" Type="http://schemas.openxmlformats.org/officeDocument/2006/relationships/hyperlink" Target="https://cj.sina.com.cn/articles/view/6456450127/180d59c4f020021irw" TargetMode="External"/><Relationship Id="rId16" Type="http://schemas.openxmlformats.org/officeDocument/2006/relationships/hyperlink" Target="https://finance.sina.com.cn/stock/relnews/cn/2025-03-28/doc-inerehfx1504883.shtml" TargetMode="External"/><Relationship Id="rId17" Type="http://schemas.openxmlformats.org/officeDocument/2006/relationships/hyperlink" Target="https://cj.sina.com.cn/articles/view/9176774560/222fa77a0001015dsg" TargetMode="External"/><Relationship Id="rId18" Type="http://schemas.openxmlformats.org/officeDocument/2006/relationships/hyperlink" Target="https://www.sohu.com/a/1087651939_323087" TargetMode="External"/><Relationship Id="rId19" Type="http://schemas.openxmlformats.org/officeDocument/2006/relationships/hyperlink" Target="https://www.chinamoneynetwork.com/2025/12/24/haier-agrees-to-sell-49-stake-in-indian-unit-to-bharti-warburg-pincus-deal-approved-by-china" TargetMode="External"/><Relationship Id="rId20" Type="http://schemas.openxmlformats.org/officeDocument/2006/relationships/hyperlink" Target="https://quote.cfi.cn/quote_600690.html" TargetMode="External"/><Relationship Id="rId21" Type="http://schemas.openxmlformats.org/officeDocument/2006/relationships/hyperlink" Target="https://www.hstong.com/quotes/10000-06690-HK" TargetMode="External"/><Relationship Id="rId22" Type="http://schemas.openxmlformats.org/officeDocument/2006/relationships/hyperlink" Target="https://quote.cfi.cn/quote_000333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5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1.5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tr">
        <f aca="false">"研究日 2026-10-20 ｜ 股价：2026-10-20收盘 ｜ 最新财报：2026年中报(截至06-30) ｜ 币种：人民币 ｜ 当前情景："&amp;估值模型!D4&amp;"（可在估值模型C4切换）"</f>
        <v>研究日 2026-10-20 ｜ 股价：2026-10-20收盘 ｜ 最新财报：2026年中报(截至06-30) ｜ 币种：人民币 ｜ 当前情景：基准（可在估值模型C4切换）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A4" s="3" t="s">
        <v>1</v>
      </c>
      <c r="B4" s="3"/>
      <c r="C4" s="3" t="s">
        <v>2</v>
      </c>
      <c r="D4" s="3"/>
      <c r="E4" s="4" t="s">
        <v>3</v>
      </c>
      <c r="F4" s="4"/>
      <c r="G4" s="3" t="s">
        <v>4</v>
      </c>
      <c r="H4" s="3"/>
      <c r="I4" s="3" t="s">
        <v>5</v>
      </c>
      <c r="J4" s="3"/>
      <c r="K4" s="3" t="s">
        <v>6</v>
      </c>
      <c r="L4" s="3"/>
    </row>
    <row r="5" customFormat="false" ht="37.5" hidden="false" customHeight="true" outlineLevel="0" collapsed="false">
      <c r="A5" s="5" t="n">
        <f aca="false">数据与来源!$B$7</f>
        <v>20.11</v>
      </c>
      <c r="B5" s="5"/>
      <c r="C5" s="5" t="n">
        <f aca="false">数据与来源!$B$10</f>
        <v>17.07698</v>
      </c>
      <c r="D5" s="5"/>
      <c r="E5" s="5" t="n">
        <f aca="false">估值模型!F63</f>
        <v>24.4091128660295</v>
      </c>
      <c r="F5" s="5"/>
      <c r="G5" s="6" t="n">
        <f aca="false">估值模型!F65</f>
        <v>0.176127370528595</v>
      </c>
      <c r="H5" s="6"/>
      <c r="I5" s="6" t="n">
        <f aca="false">估值模型!F68</f>
        <v>0.300385061360985</v>
      </c>
      <c r="J5" s="6"/>
      <c r="K5" s="7" t="n">
        <f aca="false">分红与回报!B16</f>
        <v>0.0577180507210343</v>
      </c>
      <c r="L5" s="7"/>
    </row>
    <row r="6" customFormat="false" ht="21.75" hidden="false" customHeight="true" outlineLevel="0" collapsed="false">
      <c r="A6" s="8" t="s">
        <v>7</v>
      </c>
      <c r="B6" s="8"/>
      <c r="C6" s="8" t="str">
        <f aca="false">"港元19.64 · 较A股"&amp;TEXT(数据与来源!$B$11,"0.0%")</f>
        <v>港元19.64 · 较A股-15.1%</v>
      </c>
      <c r="D6" s="8"/>
      <c r="E6" s="8" t="str">
        <f aca="false">"区间 "&amp;TEXT(估值模型!C63,"0.0")&amp;" – "&amp;TEXT(估值模型!E63,"0.0")&amp;" 元"</f>
        <v>区间 17.0 – 33.5 元</v>
      </c>
      <c r="F6" s="8"/>
      <c r="G6" s="8" t="str">
        <f aca="false">"要求≥"&amp;TEXT(估值模型!C29,"0%")&amp;" · 观察价"&amp;TEXT(估值模型!F69,"0.00")</f>
        <v>要求≥25% · 观察价18.31</v>
      </c>
      <c r="H6" s="8"/>
      <c r="I6" s="8" t="s">
        <v>8</v>
      </c>
      <c r="J6" s="8"/>
      <c r="K6" s="8" t="str">
        <f aca="false">"H股 "&amp;TEXT(分红与回报!C16,"0.00%")&amp;" · 税后 "&amp;TEXT(分红与回报!C18,"0.00%")</f>
        <v>H股 6.80% · 税后 5.44%</v>
      </c>
      <c r="L6" s="8"/>
    </row>
    <row r="8" customFormat="false" ht="66.75" hidden="false" customHeight="true" outlineLevel="0" collapsed="false">
      <c r="A8" s="9" t="s">
        <v>9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customFormat="false" ht="25.5" hidden="false" customHeight="true" outlineLevel="0" collapsed="false">
      <c r="A9" s="10" t="str">
        <f aca="false">"动作提示（随情景/股价自动变化）："&amp;IF(估值模型!F65&gt;=估值模型!C29,"A股已达要求安全边际，可按计划分批",IF(估值模型!F65&gt;=0.1,"A股有折价但未达要求：观察或小仓，等三季报验证；A股条件观察价约"&amp;TEXT(估值模型!F69,"0.00")&amp;"元",IF(估值模型!F65&gt;=0,"A股接近合理价值：观察，不追高","A股高于估值：回避")))&amp;" ｜ H股安全边际 "&amp;TEXT(估值模型!F68,"0%")</f>
        <v>动作提示（随情景/股价自动变化）：A股有折价但未达要求：观察或小仓，等三季报验证；A股条件观察价约18.31元 ｜ H股安全边际 30%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1" customFormat="false" ht="24" hidden="false" customHeight="true" outlineLevel="0" collapsed="false">
      <c r="A11" s="11" t="s">
        <v>10</v>
      </c>
      <c r="B11" s="11"/>
      <c r="C11" s="11"/>
      <c r="D11" s="11"/>
      <c r="E11" s="11"/>
      <c r="F11" s="11"/>
      <c r="G11" s="12" t="s">
        <v>11</v>
      </c>
      <c r="H11" s="12"/>
      <c r="I11" s="12"/>
      <c r="J11" s="12"/>
      <c r="K11" s="12"/>
      <c r="L11" s="12"/>
    </row>
    <row r="12" customFormat="false" ht="15" hidden="false" customHeight="true" outlineLevel="0" collapsed="false">
      <c r="A12" s="13" t="s">
        <v>12</v>
      </c>
      <c r="B12" s="14" t="s">
        <v>13</v>
      </c>
      <c r="C12" s="14"/>
      <c r="D12" s="14" t="s">
        <v>14</v>
      </c>
      <c r="E12" s="14" t="s">
        <v>15</v>
      </c>
      <c r="F12" s="14"/>
      <c r="G12" s="14" t="s">
        <v>16</v>
      </c>
      <c r="H12" s="14"/>
      <c r="I12" s="14" t="s">
        <v>17</v>
      </c>
      <c r="J12" s="14" t="s">
        <v>18</v>
      </c>
      <c r="K12" s="14" t="s">
        <v>19</v>
      </c>
      <c r="L12" s="14" t="s">
        <v>20</v>
      </c>
    </row>
    <row r="13" customFormat="false" ht="19.5" hidden="false" customHeight="true" outlineLevel="0" collapsed="false">
      <c r="A13" s="15" t="n">
        <v>1</v>
      </c>
      <c r="B13" s="16" t="s">
        <v>21</v>
      </c>
      <c r="C13" s="16"/>
      <c r="D13" s="17" t="s">
        <v>22</v>
      </c>
      <c r="E13" s="16" t="s">
        <v>23</v>
      </c>
      <c r="F13" s="16"/>
      <c r="G13" s="16" t="s">
        <v>24</v>
      </c>
      <c r="H13" s="16"/>
      <c r="I13" s="18" t="n">
        <f aca="false">估值模型!C51</f>
        <v>15.6381117600883</v>
      </c>
      <c r="J13" s="18" t="n">
        <f aca="false">估值模型!D51</f>
        <v>25.6307419917814</v>
      </c>
      <c r="K13" s="18" t="n">
        <f aca="false">估值模型!E51</f>
        <v>38.4394161292205</v>
      </c>
      <c r="L13" s="19" t="n">
        <f aca="false">估值模型!C25</f>
        <v>0.4</v>
      </c>
    </row>
    <row r="14" customFormat="false" ht="19.5" hidden="false" customHeight="true" outlineLevel="0" collapsed="false">
      <c r="A14" s="15" t="n">
        <v>2</v>
      </c>
      <c r="B14" s="16" t="s">
        <v>25</v>
      </c>
      <c r="C14" s="16"/>
      <c r="D14" s="17" t="s">
        <v>22</v>
      </c>
      <c r="E14" s="16" t="s">
        <v>26</v>
      </c>
      <c r="F14" s="16"/>
      <c r="G14" s="16" t="s">
        <v>27</v>
      </c>
      <c r="H14" s="16"/>
      <c r="I14" s="18" t="n">
        <f aca="false">估值模型!C55</f>
        <v>17.8338269311138</v>
      </c>
      <c r="J14" s="18" t="n">
        <f aca="false">估值模型!D55</f>
        <v>23.9946035073167</v>
      </c>
      <c r="K14" s="18" t="n">
        <f aca="false">估值模型!E55</f>
        <v>31.0200504801798</v>
      </c>
      <c r="L14" s="19" t="n">
        <f aca="false">估值模型!C26</f>
        <v>0.3</v>
      </c>
    </row>
    <row r="15" customFormat="false" ht="19.5" hidden="false" customHeight="true" outlineLevel="0" collapsed="false">
      <c r="A15" s="15" t="n">
        <v>3</v>
      </c>
      <c r="B15" s="16" t="s">
        <v>28</v>
      </c>
      <c r="C15" s="16"/>
      <c r="D15" s="20" t="s">
        <v>29</v>
      </c>
      <c r="E15" s="16" t="s">
        <v>30</v>
      </c>
      <c r="F15" s="16"/>
      <c r="G15" s="16" t="s">
        <v>31</v>
      </c>
      <c r="H15" s="16"/>
      <c r="I15" s="18" t="n">
        <f aca="false">估值模型!C59</f>
        <v>17.8338269311138</v>
      </c>
      <c r="J15" s="18" t="n">
        <f aca="false">估值模型!D59</f>
        <v>23.1947833904062</v>
      </c>
      <c r="K15" s="18" t="n">
        <f aca="false">估值模型!E59</f>
        <v>29.5429052192188</v>
      </c>
      <c r="L15" s="19" t="n">
        <f aca="false">估值模型!C27</f>
        <v>0.3</v>
      </c>
    </row>
    <row r="16" customFormat="false" ht="19.5" hidden="false" customHeight="true" outlineLevel="0" collapsed="false">
      <c r="A16" s="15" t="n">
        <v>4</v>
      </c>
      <c r="B16" s="16" t="s">
        <v>32</v>
      </c>
      <c r="C16" s="16"/>
      <c r="D16" s="20" t="s">
        <v>29</v>
      </c>
      <c r="E16" s="16" t="s">
        <v>33</v>
      </c>
      <c r="F16" s="16"/>
      <c r="G16" s="21" t="s">
        <v>34</v>
      </c>
      <c r="H16" s="21"/>
      <c r="I16" s="22" t="n">
        <f aca="false">估值模型!C63</f>
        <v>16.9555408627036</v>
      </c>
      <c r="J16" s="22" t="n">
        <f aca="false">估值模型!D63</f>
        <v>24.4091128660295</v>
      </c>
      <c r="K16" s="22" t="n">
        <f aca="false">估值模型!E63</f>
        <v>33.5446531615078</v>
      </c>
      <c r="L16" s="19"/>
    </row>
    <row r="17" customFormat="false" ht="19.5" hidden="false" customHeight="true" outlineLevel="0" collapsed="false">
      <c r="A17" s="15" t="n">
        <v>5</v>
      </c>
      <c r="B17" s="16" t="s">
        <v>35</v>
      </c>
      <c r="C17" s="16"/>
      <c r="D17" s="17" t="s">
        <v>22</v>
      </c>
      <c r="E17" s="23" t="s">
        <v>36</v>
      </c>
      <c r="F17" s="23"/>
      <c r="G17" s="23" t="s">
        <v>37</v>
      </c>
      <c r="H17" s="23"/>
      <c r="I17" s="19" t="n">
        <f aca="false">估值模型!C65</f>
        <v>-0.186042967478267</v>
      </c>
      <c r="J17" s="19" t="n">
        <f aca="false">估值模型!D65</f>
        <v>0.176127370528595</v>
      </c>
      <c r="K17" s="19" t="n">
        <f aca="false">估值模型!E65</f>
        <v>0.400500583411127</v>
      </c>
      <c r="L17" s="19"/>
    </row>
    <row r="18" customFormat="false" ht="19.5" hidden="false" customHeight="true" outlineLevel="0" collapsed="false">
      <c r="A18" s="15" t="n">
        <v>6</v>
      </c>
      <c r="B18" s="16" t="s">
        <v>38</v>
      </c>
      <c r="C18" s="16"/>
      <c r="D18" s="17" t="s">
        <v>22</v>
      </c>
      <c r="E18" s="16" t="s">
        <v>39</v>
      </c>
      <c r="F18" s="16"/>
      <c r="G18" s="23" t="s">
        <v>40</v>
      </c>
      <c r="H18" s="23"/>
      <c r="I18" s="19" t="n">
        <f aca="false">估值模型!C68</f>
        <v>-0.00716220958562985</v>
      </c>
      <c r="J18" s="19" t="n">
        <f aca="false">估值模型!D68</f>
        <v>0.300385061360985</v>
      </c>
      <c r="K18" s="19" t="n">
        <f aca="false">估值模型!E68</f>
        <v>0.490917973789167</v>
      </c>
      <c r="L18" s="19"/>
    </row>
    <row r="19" customFormat="false" ht="19.5" hidden="false" customHeight="true" outlineLevel="0" collapsed="false">
      <c r="A19" s="15" t="n">
        <v>7</v>
      </c>
      <c r="B19" s="16" t="s">
        <v>41</v>
      </c>
      <c r="C19" s="16"/>
      <c r="D19" s="20" t="s">
        <v>29</v>
      </c>
      <c r="E19" s="16" t="s">
        <v>42</v>
      </c>
      <c r="F19" s="16"/>
      <c r="G19" s="16" t="s">
        <v>43</v>
      </c>
      <c r="H19" s="16"/>
      <c r="I19" s="18" t="n">
        <f aca="false">估值模型!C69</f>
        <v>12.7166556470277</v>
      </c>
      <c r="J19" s="18" t="n">
        <f aca="false">估值模型!D69</f>
        <v>18.3068346495221</v>
      </c>
      <c r="K19" s="18" t="n">
        <f aca="false">估值模型!E69</f>
        <v>25.1584898711308</v>
      </c>
      <c r="L19" s="19"/>
    </row>
    <row r="20" customFormat="false" ht="19.5" hidden="false" customHeight="true" outlineLevel="0" collapsed="false">
      <c r="A20" s="15" t="n">
        <v>8</v>
      </c>
      <c r="B20" s="16" t="s">
        <v>44</v>
      </c>
      <c r="C20" s="16"/>
      <c r="D20" s="20" t="s">
        <v>29</v>
      </c>
      <c r="E20" s="23" t="s">
        <v>45</v>
      </c>
      <c r="F20" s="23"/>
      <c r="G20" s="16" t="s">
        <v>46</v>
      </c>
      <c r="H20" s="16"/>
      <c r="I20" s="24" t="n">
        <f aca="false">估值模型!C70</f>
        <v>11.2763234036521</v>
      </c>
      <c r="J20" s="24" t="n">
        <f aca="false">估值模型!D70</f>
        <v>10.0572614140681</v>
      </c>
      <c r="K20" s="24" t="n">
        <f aca="false">估值模型!E70</f>
        <v>9.07606517854927</v>
      </c>
      <c r="L20" s="19"/>
    </row>
    <row r="22" customFormat="false" ht="24" hidden="false" customHeight="true" outlineLevel="0" collapsed="false">
      <c r="A22" s="11" t="s">
        <v>47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customFormat="false" ht="30" hidden="false" customHeight="true" outlineLevel="0" collapsed="false">
      <c r="A23" s="25" t="s">
        <v>48</v>
      </c>
      <c r="B23" s="25" t="s">
        <v>49</v>
      </c>
      <c r="C23" s="25" t="s">
        <v>50</v>
      </c>
      <c r="D23" s="25" t="s">
        <v>51</v>
      </c>
      <c r="E23" s="25" t="s">
        <v>52</v>
      </c>
      <c r="F23" s="25" t="s">
        <v>53</v>
      </c>
      <c r="G23" s="25" t="s">
        <v>54</v>
      </c>
      <c r="H23" s="26" t="s">
        <v>55</v>
      </c>
      <c r="I23" s="26" t="s">
        <v>56</v>
      </c>
      <c r="J23" s="25" t="s">
        <v>57</v>
      </c>
      <c r="K23" s="25" t="s">
        <v>58</v>
      </c>
      <c r="L23" s="25" t="s">
        <v>59</v>
      </c>
    </row>
    <row r="24" customFormat="false" ht="25.5" hidden="false" customHeight="true" outlineLevel="0" collapsed="false">
      <c r="A24" s="27" t="n">
        <f aca="false">财务五年!F6</f>
        <v>3023.467839183</v>
      </c>
      <c r="B24" s="27" t="n">
        <f aca="false">财务五年!F12</f>
        <v>195.5279822285</v>
      </c>
      <c r="C24" s="27" t="n">
        <f aca="false">财务五年!I12</f>
        <v>178.3605734884</v>
      </c>
      <c r="D24" s="28" t="n">
        <f aca="false">财务五年!H7</f>
        <v>-0.0279817964093148</v>
      </c>
      <c r="E24" s="28" t="n">
        <f aca="false">财务五年!H13</f>
        <v>-0.142669448211566</v>
      </c>
      <c r="F24" s="28" t="n">
        <f aca="false">财务五年!F17</f>
        <v>0.1698</v>
      </c>
      <c r="G24" s="29" t="n">
        <f aca="false">财务五年!F21</f>
        <v>1.28963057726927</v>
      </c>
      <c r="H24" s="27" t="n">
        <f aca="false">AVERAGE(财务五年!D25:F25)</f>
        <v>143.289868270861</v>
      </c>
      <c r="I24" s="27" t="n">
        <f aca="false">财务五年!H36</f>
        <v>161.2965344142</v>
      </c>
      <c r="J24" s="28" t="n">
        <f aca="false">分红与回报!F9</f>
        <v>0.547504716981132</v>
      </c>
      <c r="K24" s="30" t="n">
        <f aca="false">同业比较!E5</f>
        <v>10.4316403856125</v>
      </c>
      <c r="L24" s="31" t="n">
        <f aca="false">同业比较!G5</f>
        <v>1.55466154338929</v>
      </c>
    </row>
    <row r="26" customFormat="false" ht="24" hidden="false" customHeight="true" outlineLevel="0" collapsed="false">
      <c r="A26" s="11" t="s">
        <v>60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59" customFormat="false" ht="24" hidden="false" customHeight="true" outlineLevel="0" collapsed="false">
      <c r="A59" s="32" t="s">
        <v>61</v>
      </c>
      <c r="B59" s="32"/>
      <c r="C59" s="32"/>
      <c r="D59" s="32"/>
      <c r="E59" s="32"/>
      <c r="F59" s="32"/>
      <c r="G59" s="33" t="s">
        <v>62</v>
      </c>
      <c r="H59" s="33"/>
      <c r="I59" s="33"/>
      <c r="J59" s="33"/>
      <c r="K59" s="33"/>
      <c r="L59" s="33"/>
    </row>
    <row r="60" customFormat="false" ht="30" hidden="false" customHeight="true" outlineLevel="0" collapsed="false">
      <c r="A60" s="34" t="s">
        <v>63</v>
      </c>
      <c r="B60" s="34"/>
      <c r="C60" s="34"/>
      <c r="D60" s="34"/>
      <c r="E60" s="34"/>
      <c r="F60" s="34"/>
      <c r="G60" s="35" t="s">
        <v>64</v>
      </c>
      <c r="H60" s="35"/>
      <c r="I60" s="35"/>
      <c r="J60" s="35"/>
      <c r="K60" s="35"/>
      <c r="L60" s="35"/>
    </row>
    <row r="61" customFormat="false" ht="30" hidden="false" customHeight="true" outlineLevel="0" collapsed="false">
      <c r="A61" s="34" t="s">
        <v>65</v>
      </c>
      <c r="B61" s="34"/>
      <c r="C61" s="34"/>
      <c r="D61" s="34"/>
      <c r="E61" s="34"/>
      <c r="F61" s="34"/>
      <c r="G61" s="36" t="s">
        <v>66</v>
      </c>
      <c r="H61" s="36"/>
      <c r="I61" s="36"/>
      <c r="J61" s="36"/>
      <c r="K61" s="36"/>
      <c r="L61" s="36"/>
    </row>
    <row r="62" customFormat="false" ht="30" hidden="false" customHeight="true" outlineLevel="0" collapsed="false">
      <c r="A62" s="34" t="s">
        <v>67</v>
      </c>
      <c r="B62" s="34"/>
      <c r="C62" s="34"/>
      <c r="D62" s="34"/>
      <c r="E62" s="34"/>
      <c r="F62" s="34"/>
      <c r="G62" s="36" t="s">
        <v>68</v>
      </c>
      <c r="H62" s="36"/>
      <c r="I62" s="36"/>
      <c r="J62" s="36"/>
      <c r="K62" s="36"/>
      <c r="L62" s="36"/>
    </row>
    <row r="63" customFormat="false" ht="30" hidden="false" customHeight="true" outlineLevel="0" collapsed="false">
      <c r="A63" s="37" t="s">
        <v>69</v>
      </c>
      <c r="B63" s="37"/>
      <c r="C63" s="37"/>
      <c r="D63" s="37"/>
      <c r="E63" s="37"/>
      <c r="F63" s="37"/>
      <c r="G63" s="36" t="s">
        <v>70</v>
      </c>
      <c r="H63" s="36"/>
      <c r="I63" s="36"/>
      <c r="J63" s="36"/>
      <c r="K63" s="36"/>
      <c r="L63" s="36"/>
    </row>
    <row r="65" customFormat="false" ht="25.5" hidden="false" customHeight="true" outlineLevel="0" collapsed="false">
      <c r="A65" s="38" t="s">
        <v>71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</row>
  </sheetData>
  <mergeCells count="64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8:L8"/>
    <mergeCell ref="A9:L9"/>
    <mergeCell ref="A11:F11"/>
    <mergeCell ref="G11:L11"/>
    <mergeCell ref="B12:C12"/>
    <mergeCell ref="E12:F12"/>
    <mergeCell ref="G12:H12"/>
    <mergeCell ref="B13:C13"/>
    <mergeCell ref="E13:F13"/>
    <mergeCell ref="G13:H13"/>
    <mergeCell ref="B14:C14"/>
    <mergeCell ref="E14:F14"/>
    <mergeCell ref="G14:H14"/>
    <mergeCell ref="B15:C15"/>
    <mergeCell ref="E15:F15"/>
    <mergeCell ref="G15:H15"/>
    <mergeCell ref="B16:C16"/>
    <mergeCell ref="E16:F16"/>
    <mergeCell ref="G16:H16"/>
    <mergeCell ref="B17:C17"/>
    <mergeCell ref="E17:F17"/>
    <mergeCell ref="G17:H17"/>
    <mergeCell ref="B18:C18"/>
    <mergeCell ref="E18:F18"/>
    <mergeCell ref="G18:H18"/>
    <mergeCell ref="B19:C19"/>
    <mergeCell ref="E19:F19"/>
    <mergeCell ref="G19:H19"/>
    <mergeCell ref="B20:C20"/>
    <mergeCell ref="E20:F20"/>
    <mergeCell ref="G20:H20"/>
    <mergeCell ref="A22:L22"/>
    <mergeCell ref="A26:L26"/>
    <mergeCell ref="A59:F59"/>
    <mergeCell ref="G59:L59"/>
    <mergeCell ref="A60:F60"/>
    <mergeCell ref="G60:L60"/>
    <mergeCell ref="A61:F61"/>
    <mergeCell ref="G61:L61"/>
    <mergeCell ref="A62:F62"/>
    <mergeCell ref="G62:L62"/>
    <mergeCell ref="A63:F63"/>
    <mergeCell ref="G63:L63"/>
    <mergeCell ref="A65:L65"/>
  </mergeCells>
  <conditionalFormatting sqref="G5">
    <cfRule type="expression" priority="2" aboveAverage="0" equalAverage="0" bottom="0" percent="0" rank="0" text="" dxfId="0">
      <formula>G5&gt;=估值模型!$C$29</formula>
    </cfRule>
    <cfRule type="expression" priority="3" aboveAverage="0" equalAverage="0" bottom="0" percent="0" rank="0" text="" dxfId="1">
      <formula>G5&lt;0</formula>
    </cfRule>
  </conditionalFormatting>
  <conditionalFormatting sqref="I5">
    <cfRule type="expression" priority="4" aboveAverage="0" equalAverage="0" bottom="0" percent="0" rank="0" text="" dxfId="0">
      <formula>I5&gt;=估值模型!$C$29</formula>
    </cfRule>
    <cfRule type="expression" priority="5" aboveAverage="0" equalAverage="0" bottom="0" percent="0" rank="0" text="" dxfId="1">
      <formula>I5&lt;0</formula>
    </cfRule>
  </conditionalFormatting>
  <conditionalFormatting sqref="I17:K17">
    <cfRule type="expression" priority="6" aboveAverage="0" equalAverage="0" bottom="0" percent="0" rank="0" text="" dxfId="2">
      <formula>I17&gt;=估值模型!$C$29</formula>
    </cfRule>
    <cfRule type="expression" priority="7" aboveAverage="0" equalAverage="0" bottom="0" percent="0" rank="0" text="" dxfId="3">
      <formula>I17&lt;0</formula>
    </cfRule>
  </conditionalFormatting>
  <conditionalFormatting sqref="I18:K18">
    <cfRule type="expression" priority="8" aboveAverage="0" equalAverage="0" bottom="0" percent="0" rank="0" text="" dxfId="2">
      <formula>I18&gt;=估值模型!$C$29</formula>
    </cfRule>
    <cfRule type="expression" priority="9" aboveAverage="0" equalAverage="0" bottom="0" percent="0" rank="0" text="" dxfId="3">
      <formula>I18&lt;0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5" min="3" style="0" width="13"/>
    <col collapsed="false" customWidth="true" hidden="false" outlineLevel="0" max="6" min="6" style="0" width="14"/>
    <col collapsed="false" customWidth="true" hidden="false" outlineLevel="0" max="7" min="7" style="0" width="62"/>
  </cols>
  <sheetData>
    <row r="1" customFormat="false" ht="36" hidden="false" customHeight="true" outlineLevel="0" collapsed="false">
      <c r="A1" s="1" t="s">
        <v>72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73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C3" s="39" t="s">
        <v>74</v>
      </c>
      <c r="D3" s="40" t="s">
        <v>75</v>
      </c>
      <c r="E3" s="41" t="s">
        <v>76</v>
      </c>
      <c r="F3" s="42" t="s">
        <v>77</v>
      </c>
      <c r="G3" s="43" t="s">
        <v>78</v>
      </c>
    </row>
    <row r="4" customFormat="false" ht="19.4" hidden="false" customHeight="false" outlineLevel="0" collapsed="false">
      <c r="A4" s="44" t="s">
        <v>79</v>
      </c>
      <c r="B4" s="45"/>
      <c r="C4" s="46" t="n">
        <v>2</v>
      </c>
      <c r="D4" s="47" t="str">
        <f aca="false">CHOOSE(C4,"悲观","基准","乐观")</f>
        <v>基准</v>
      </c>
    </row>
    <row r="6" customFormat="false" ht="24" hidden="false" customHeight="true" outlineLevel="0" collapsed="false">
      <c r="A6" s="48" t="s">
        <v>80</v>
      </c>
      <c r="B6" s="48"/>
      <c r="C6" s="48"/>
      <c r="D6" s="48"/>
      <c r="E6" s="48"/>
      <c r="F6" s="48"/>
      <c r="G6" s="48"/>
    </row>
    <row r="7" customFormat="false" ht="30" hidden="false" customHeight="true" outlineLevel="0" collapsed="false">
      <c r="A7" s="49" t="s">
        <v>81</v>
      </c>
      <c r="B7" s="49" t="s">
        <v>82</v>
      </c>
      <c r="C7" s="49" t="s">
        <v>17</v>
      </c>
      <c r="D7" s="49" t="s">
        <v>18</v>
      </c>
      <c r="E7" s="49" t="s">
        <v>19</v>
      </c>
      <c r="F7" s="49" t="s">
        <v>83</v>
      </c>
      <c r="G7" s="49" t="s">
        <v>84</v>
      </c>
    </row>
    <row r="8" customFormat="false" ht="57.75" hidden="false" customHeight="true" outlineLevel="0" collapsed="false">
      <c r="A8" s="44" t="s">
        <v>85</v>
      </c>
      <c r="B8" s="50" t="s">
        <v>86</v>
      </c>
      <c r="C8" s="51" t="n">
        <v>165</v>
      </c>
      <c r="D8" s="51" t="n">
        <v>185</v>
      </c>
      <c r="E8" s="51" t="n">
        <v>205</v>
      </c>
      <c r="F8" s="52" t="n">
        <f aca="false">CHOOSE($C$4,C8,D8,E8)</f>
        <v>185</v>
      </c>
      <c r="G8" s="16" t="s">
        <v>87</v>
      </c>
    </row>
    <row r="9" customFormat="false" ht="57.75" hidden="false" customHeight="true" outlineLevel="0" collapsed="false">
      <c r="A9" s="44" t="s">
        <v>88</v>
      </c>
      <c r="B9" s="50" t="s">
        <v>86</v>
      </c>
      <c r="C9" s="51" t="n">
        <v>125</v>
      </c>
      <c r="D9" s="51" t="n">
        <v>145</v>
      </c>
      <c r="E9" s="51" t="n">
        <v>170</v>
      </c>
      <c r="F9" s="52" t="n">
        <f aca="false">CHOOSE($C$4,C9,D9,E9)</f>
        <v>145</v>
      </c>
      <c r="G9" s="16" t="s">
        <v>89</v>
      </c>
    </row>
    <row r="10" customFormat="false" ht="31.5" hidden="false" customHeight="true" outlineLevel="0" collapsed="false">
      <c r="A10" s="44" t="s">
        <v>90</v>
      </c>
      <c r="B10" s="53" t="s">
        <v>91</v>
      </c>
      <c r="C10" s="54" t="n">
        <v>0</v>
      </c>
      <c r="D10" s="54" t="n">
        <v>0.03</v>
      </c>
      <c r="E10" s="54" t="n">
        <v>0.05</v>
      </c>
      <c r="F10" s="55" t="n">
        <f aca="false">CHOOSE($C$4,C10,D10,E10)</f>
        <v>0.03</v>
      </c>
      <c r="G10" s="16" t="s">
        <v>92</v>
      </c>
    </row>
    <row r="11" customFormat="false" ht="18.75" hidden="false" customHeight="true" outlineLevel="0" collapsed="false">
      <c r="A11" s="44" t="s">
        <v>93</v>
      </c>
      <c r="B11" s="53" t="s">
        <v>91</v>
      </c>
      <c r="C11" s="54" t="n">
        <v>0.01</v>
      </c>
      <c r="D11" s="54" t="n">
        <v>0.02</v>
      </c>
      <c r="E11" s="54" t="n">
        <v>0.03</v>
      </c>
      <c r="F11" s="55" t="n">
        <f aca="false">CHOOSE($C$4,C11,D11,E11)</f>
        <v>0.02</v>
      </c>
      <c r="G11" s="16" t="s">
        <v>94</v>
      </c>
    </row>
    <row r="12" customFormat="false" ht="18.75" hidden="false" customHeight="true" outlineLevel="0" collapsed="false">
      <c r="A12" s="44" t="s">
        <v>95</v>
      </c>
      <c r="B12" s="53" t="s">
        <v>91</v>
      </c>
      <c r="C12" s="54" t="n">
        <v>0.015</v>
      </c>
      <c r="D12" s="54" t="n">
        <v>0.02</v>
      </c>
      <c r="E12" s="54" t="n">
        <v>0.025</v>
      </c>
      <c r="F12" s="55" t="n">
        <f aca="false">CHOOSE($C$4,C12,D12,E12)</f>
        <v>0.02</v>
      </c>
      <c r="G12" s="16" t="s">
        <v>96</v>
      </c>
    </row>
    <row r="13" customFormat="false" ht="45" hidden="false" customHeight="true" outlineLevel="0" collapsed="false">
      <c r="A13" s="44" t="s">
        <v>97</v>
      </c>
      <c r="B13" s="53" t="s">
        <v>91</v>
      </c>
      <c r="C13" s="54" t="n">
        <v>0.1</v>
      </c>
      <c r="D13" s="54" t="n">
        <v>0.09</v>
      </c>
      <c r="E13" s="54" t="n">
        <v>0.085</v>
      </c>
      <c r="F13" s="55" t="n">
        <f aca="false">CHOOSE($C$4,C13,D13,E13)</f>
        <v>0.09</v>
      </c>
      <c r="G13" s="16" t="s">
        <v>98</v>
      </c>
    </row>
    <row r="14" customFormat="false" ht="31.5" hidden="false" customHeight="true" outlineLevel="0" collapsed="false">
      <c r="A14" s="44" t="s">
        <v>99</v>
      </c>
      <c r="B14" s="53" t="s">
        <v>91</v>
      </c>
      <c r="C14" s="54" t="n">
        <v>0.3</v>
      </c>
      <c r="D14" s="54" t="n">
        <v>0.5</v>
      </c>
      <c r="E14" s="54" t="n">
        <v>0.7</v>
      </c>
      <c r="F14" s="55" t="n">
        <f aca="false">CHOOSE($C$4,C14,D14,E14)</f>
        <v>0.5</v>
      </c>
      <c r="G14" s="16" t="s">
        <v>100</v>
      </c>
    </row>
    <row r="15" customFormat="false" ht="31.5" hidden="false" customHeight="true" outlineLevel="0" collapsed="false">
      <c r="A15" s="44" t="s">
        <v>101</v>
      </c>
      <c r="B15" s="53" t="s">
        <v>91</v>
      </c>
      <c r="C15" s="54" t="n">
        <v>0</v>
      </c>
      <c r="D15" s="54" t="n">
        <v>0.35</v>
      </c>
      <c r="E15" s="54" t="n">
        <v>0.7</v>
      </c>
      <c r="F15" s="55" t="n">
        <f aca="false">CHOOSE($C$4,C15,D15,E15)</f>
        <v>0.35</v>
      </c>
      <c r="G15" s="23" t="s">
        <v>102</v>
      </c>
    </row>
    <row r="16" customFormat="false" ht="31.5" hidden="false" customHeight="true" outlineLevel="0" collapsed="false">
      <c r="A16" s="44" t="s">
        <v>103</v>
      </c>
      <c r="B16" s="50" t="s">
        <v>104</v>
      </c>
      <c r="C16" s="56" t="n">
        <v>10</v>
      </c>
      <c r="D16" s="56" t="n">
        <v>12</v>
      </c>
      <c r="E16" s="56" t="n">
        <v>14</v>
      </c>
      <c r="F16" s="57" t="n">
        <f aca="false">CHOOSE($C$4,C16,D16,E16)</f>
        <v>12</v>
      </c>
      <c r="G16" s="16" t="s">
        <v>105</v>
      </c>
    </row>
    <row r="17" customFormat="false" ht="18.75" hidden="false" customHeight="true" outlineLevel="0" collapsed="false">
      <c r="A17" s="44" t="s">
        <v>106</v>
      </c>
      <c r="B17" s="53" t="s">
        <v>91</v>
      </c>
      <c r="C17" s="54" t="n">
        <v>0.55</v>
      </c>
      <c r="D17" s="54" t="n">
        <v>0.58</v>
      </c>
      <c r="E17" s="54" t="n">
        <v>0.6</v>
      </c>
      <c r="F17" s="55" t="n">
        <f aca="false">CHOOSE($C$4,C17,D17,E17)</f>
        <v>0.58</v>
      </c>
      <c r="G17" s="16" t="s">
        <v>107</v>
      </c>
    </row>
    <row r="18" customFormat="false" ht="31.5" hidden="false" customHeight="true" outlineLevel="0" collapsed="false">
      <c r="A18" s="44" t="s">
        <v>108</v>
      </c>
      <c r="B18" s="53" t="s">
        <v>91</v>
      </c>
      <c r="C18" s="58" t="n">
        <v>0.055</v>
      </c>
      <c r="D18" s="58" t="n">
        <v>0.05</v>
      </c>
      <c r="E18" s="58" t="n">
        <v>0.045</v>
      </c>
      <c r="F18" s="59" t="n">
        <f aca="false">CHOOSE($C$4,C18,D18,E18)</f>
        <v>0.05</v>
      </c>
      <c r="G18" s="16" t="s">
        <v>109</v>
      </c>
    </row>
    <row r="19" customFormat="false" ht="15" hidden="false" customHeight="false" outlineLevel="0" collapsed="false">
      <c r="A19" s="60" t="s">
        <v>110</v>
      </c>
      <c r="B19" s="50" t="s">
        <v>111</v>
      </c>
      <c r="C19" s="61" t="n">
        <f aca="false">数据与来源!$B$15</f>
        <v>92.52080366</v>
      </c>
      <c r="D19" s="61" t="n">
        <f aca="false">数据与来源!$B$15</f>
        <v>92.52080366</v>
      </c>
      <c r="E19" s="61" t="n">
        <f aca="false">数据与来源!$B$15</f>
        <v>92.52080366</v>
      </c>
      <c r="F19" s="61" t="n">
        <f aca="false">数据与来源!$B$15</f>
        <v>92.52080366</v>
      </c>
      <c r="G19" s="37" t="s">
        <v>112</v>
      </c>
    </row>
    <row r="20" customFormat="false" ht="15" hidden="false" customHeight="false" outlineLevel="0" collapsed="false">
      <c r="A20" s="60" t="s">
        <v>113</v>
      </c>
      <c r="B20" s="50" t="s">
        <v>86</v>
      </c>
      <c r="C20" s="62" t="n">
        <f aca="false">数据与来源!$I$58/100000000</f>
        <v>218.5725599755</v>
      </c>
      <c r="D20" s="62" t="n">
        <f aca="false">数据与来源!$I$58/100000000</f>
        <v>218.5725599755</v>
      </c>
      <c r="E20" s="62" t="n">
        <f aca="false">数据与来源!$I$58/100000000</f>
        <v>218.5725599755</v>
      </c>
      <c r="F20" s="62" t="n">
        <f aca="false">数据与来源!$I$58/100000000</f>
        <v>218.5725599755</v>
      </c>
      <c r="G20" s="37" t="s">
        <v>114</v>
      </c>
    </row>
    <row r="21" customFormat="false" ht="27.6" hidden="false" customHeight="false" outlineLevel="0" collapsed="false">
      <c r="A21" s="60" t="s">
        <v>115</v>
      </c>
      <c r="B21" s="50" t="s">
        <v>86</v>
      </c>
      <c r="C21" s="62" t="n">
        <f aca="false">财务五年!H36</f>
        <v>161.2965344142</v>
      </c>
      <c r="D21" s="62" t="n">
        <f aca="false">财务五年!H36</f>
        <v>161.2965344142</v>
      </c>
      <c r="E21" s="62" t="n">
        <f aca="false">财务五年!H36</f>
        <v>161.2965344142</v>
      </c>
      <c r="F21" s="62" t="n">
        <f aca="false">财务五年!H36</f>
        <v>161.2965344142</v>
      </c>
      <c r="G21" s="37" t="s">
        <v>116</v>
      </c>
    </row>
    <row r="23" customFormat="false" ht="24" hidden="false" customHeight="true" outlineLevel="0" collapsed="false">
      <c r="A23" s="48" t="s">
        <v>117</v>
      </c>
      <c r="B23" s="48"/>
      <c r="C23" s="48"/>
      <c r="D23" s="48"/>
      <c r="E23" s="48"/>
      <c r="F23" s="48"/>
      <c r="G23" s="48"/>
    </row>
    <row r="24" customFormat="false" ht="30" hidden="false" customHeight="true" outlineLevel="0" collapsed="false">
      <c r="A24" s="49" t="s">
        <v>118</v>
      </c>
      <c r="B24" s="49"/>
      <c r="C24" s="49" t="s">
        <v>119</v>
      </c>
      <c r="D24" s="49"/>
      <c r="E24" s="49"/>
      <c r="F24" s="49"/>
      <c r="G24" s="49" t="s">
        <v>120</v>
      </c>
    </row>
    <row r="25" customFormat="false" ht="15" hidden="false" customHeight="false" outlineLevel="0" collapsed="false">
      <c r="A25" s="44" t="s">
        <v>121</v>
      </c>
      <c r="C25" s="54" t="n">
        <v>0.4</v>
      </c>
      <c r="D25" s="63"/>
      <c r="E25" s="63"/>
      <c r="F25" s="63"/>
      <c r="G25" s="16" t="s">
        <v>122</v>
      </c>
    </row>
    <row r="26" customFormat="false" ht="15" hidden="false" customHeight="false" outlineLevel="0" collapsed="false">
      <c r="A26" s="44" t="s">
        <v>123</v>
      </c>
      <c r="C26" s="54" t="n">
        <v>0.3</v>
      </c>
      <c r="D26" s="63"/>
      <c r="E26" s="63"/>
      <c r="F26" s="63"/>
      <c r="G26" s="16" t="s">
        <v>124</v>
      </c>
    </row>
    <row r="27" customFormat="false" ht="15" hidden="false" customHeight="false" outlineLevel="0" collapsed="false">
      <c r="A27" s="44" t="s">
        <v>125</v>
      </c>
      <c r="C27" s="54" t="n">
        <v>0.3</v>
      </c>
      <c r="D27" s="63"/>
      <c r="E27" s="63"/>
      <c r="F27" s="63"/>
      <c r="G27" s="16" t="s">
        <v>126</v>
      </c>
    </row>
    <row r="28" customFormat="false" ht="15" hidden="false" customHeight="false" outlineLevel="0" collapsed="false">
      <c r="A28" s="44" t="s">
        <v>127</v>
      </c>
      <c r="C28" s="55" t="n">
        <f aca="false">SUM(C25:C27)</f>
        <v>1</v>
      </c>
      <c r="D28" s="63"/>
      <c r="E28" s="63"/>
      <c r="F28" s="63"/>
      <c r="G28" s="23"/>
    </row>
    <row r="29" customFormat="false" ht="26.85" hidden="false" customHeight="false" outlineLevel="0" collapsed="false">
      <c r="A29" s="44" t="s">
        <v>128</v>
      </c>
      <c r="C29" s="54" t="n">
        <v>0.25</v>
      </c>
      <c r="D29" s="63"/>
      <c r="E29" s="63"/>
      <c r="F29" s="63"/>
      <c r="G29" s="16" t="s">
        <v>129</v>
      </c>
    </row>
    <row r="31" customFormat="false" ht="24" hidden="false" customHeight="true" outlineLevel="0" collapsed="false">
      <c r="A31" s="48" t="s">
        <v>130</v>
      </c>
      <c r="B31" s="48"/>
      <c r="C31" s="48"/>
      <c r="D31" s="48"/>
      <c r="E31" s="48"/>
      <c r="F31" s="48"/>
      <c r="G31" s="48"/>
    </row>
    <row r="32" customFormat="false" ht="30" hidden="false" customHeight="true" outlineLevel="0" collapsed="false">
      <c r="A32" s="49" t="s">
        <v>131</v>
      </c>
      <c r="B32" s="64" t="s">
        <v>132</v>
      </c>
      <c r="C32" s="49" t="s">
        <v>17</v>
      </c>
      <c r="D32" s="49" t="s">
        <v>18</v>
      </c>
      <c r="E32" s="49" t="s">
        <v>19</v>
      </c>
      <c r="F32" s="49" t="s">
        <v>83</v>
      </c>
      <c r="G32" s="49" t="s">
        <v>120</v>
      </c>
    </row>
    <row r="33" customFormat="false" ht="15" hidden="false" customHeight="false" outlineLevel="0" collapsed="false">
      <c r="A33" s="60" t="s">
        <v>133</v>
      </c>
      <c r="B33" s="53" t="n">
        <v>1</v>
      </c>
      <c r="C33" s="65" t="n">
        <f aca="false">C$9*(1+C$10)^$B33</f>
        <v>125</v>
      </c>
      <c r="D33" s="65" t="n">
        <f aca="false">D$9*(1+D$10)^$B33</f>
        <v>149.35</v>
      </c>
      <c r="E33" s="65" t="n">
        <f aca="false">E$9*(1+E$10)^$B33</f>
        <v>178.5</v>
      </c>
      <c r="F33" s="65" t="n">
        <f aca="false">CHOOSE($C$4,C33,D33,E33)</f>
        <v>149.35</v>
      </c>
      <c r="G33" s="37" t="s">
        <v>134</v>
      </c>
    </row>
    <row r="34" customFormat="false" ht="15" hidden="false" customHeight="false" outlineLevel="0" collapsed="false">
      <c r="A34" s="60" t="s">
        <v>135</v>
      </c>
      <c r="B34" s="53" t="n">
        <v>2</v>
      </c>
      <c r="C34" s="65" t="n">
        <f aca="false">C$9*(1+C$10)^$B34</f>
        <v>125</v>
      </c>
      <c r="D34" s="65" t="n">
        <f aca="false">D$9*(1+D$10)^$B34</f>
        <v>153.8305</v>
      </c>
      <c r="E34" s="65" t="n">
        <f aca="false">E$9*(1+E$10)^$B34</f>
        <v>187.425</v>
      </c>
      <c r="F34" s="65" t="n">
        <f aca="false">CHOOSE($C$4,C34,D34,E34)</f>
        <v>153.8305</v>
      </c>
      <c r="G34" s="37"/>
    </row>
    <row r="35" customFormat="false" ht="15" hidden="false" customHeight="false" outlineLevel="0" collapsed="false">
      <c r="A35" s="60" t="s">
        <v>136</v>
      </c>
      <c r="B35" s="53" t="n">
        <v>3</v>
      </c>
      <c r="C35" s="65" t="n">
        <f aca="false">C$9*(1+C$10)^$B35</f>
        <v>125</v>
      </c>
      <c r="D35" s="65" t="n">
        <f aca="false">D$9*(1+D$10)^$B35</f>
        <v>158.445415</v>
      </c>
      <c r="E35" s="65" t="n">
        <f aca="false">E$9*(1+E$10)^$B35</f>
        <v>196.79625</v>
      </c>
      <c r="F35" s="65" t="n">
        <f aca="false">CHOOSE($C$4,C35,D35,E35)</f>
        <v>158.445415</v>
      </c>
      <c r="G35" s="37"/>
    </row>
    <row r="36" customFormat="false" ht="15" hidden="false" customHeight="false" outlineLevel="0" collapsed="false">
      <c r="A36" s="60" t="s">
        <v>137</v>
      </c>
      <c r="B36" s="53" t="n">
        <v>4</v>
      </c>
      <c r="C36" s="65" t="n">
        <f aca="false">C$9*(1+C$10)^$B36</f>
        <v>125</v>
      </c>
      <c r="D36" s="65" t="n">
        <f aca="false">D$9*(1+D$10)^$B36</f>
        <v>163.19877745</v>
      </c>
      <c r="E36" s="65" t="n">
        <f aca="false">E$9*(1+E$10)^$B36</f>
        <v>206.6360625</v>
      </c>
      <c r="F36" s="65" t="n">
        <f aca="false">CHOOSE($C$4,C36,D36,E36)</f>
        <v>163.19877745</v>
      </c>
      <c r="G36" s="37"/>
    </row>
    <row r="37" customFormat="false" ht="15" hidden="false" customHeight="false" outlineLevel="0" collapsed="false">
      <c r="A37" s="60" t="s">
        <v>138</v>
      </c>
      <c r="B37" s="53" t="n">
        <v>5</v>
      </c>
      <c r="C37" s="65" t="n">
        <f aca="false">C$9*(1+C$10)^$B37</f>
        <v>125</v>
      </c>
      <c r="D37" s="65" t="n">
        <f aca="false">D$9*(1+D$10)^$B37</f>
        <v>168.0947407735</v>
      </c>
      <c r="E37" s="65" t="n">
        <f aca="false">E$9*(1+E$10)^$B37</f>
        <v>216.967865625</v>
      </c>
      <c r="F37" s="65" t="n">
        <f aca="false">CHOOSE($C$4,C37,D37,E37)</f>
        <v>168.0947407735</v>
      </c>
      <c r="G37" s="37"/>
    </row>
    <row r="38" customFormat="false" ht="15" hidden="false" customHeight="false" outlineLevel="0" collapsed="false">
      <c r="A38" s="60" t="s">
        <v>139</v>
      </c>
      <c r="B38" s="53" t="n">
        <v>6</v>
      </c>
      <c r="C38" s="65" t="n">
        <f aca="false">C$9*(1+C$10)^5*(1+C$11)^($B38-5)</f>
        <v>126.25</v>
      </c>
      <c r="D38" s="65" t="n">
        <f aca="false">D$9*(1+D$10)^5*(1+D$11)^($B38-5)</f>
        <v>171.45663558897</v>
      </c>
      <c r="E38" s="65" t="n">
        <f aca="false">E$9*(1+E$10)^5*(1+E$11)^($B38-5)</f>
        <v>223.47690159375</v>
      </c>
      <c r="F38" s="65" t="n">
        <f aca="false">CHOOSE($C$4,C38,D38,E38)</f>
        <v>171.45663558897</v>
      </c>
      <c r="G38" s="37"/>
    </row>
    <row r="39" customFormat="false" ht="15" hidden="false" customHeight="false" outlineLevel="0" collapsed="false">
      <c r="A39" s="60" t="s">
        <v>140</v>
      </c>
      <c r="B39" s="53" t="n">
        <v>7</v>
      </c>
      <c r="C39" s="65" t="n">
        <f aca="false">C$9*(1+C$10)^5*(1+C$11)^($B39-5)</f>
        <v>127.5125</v>
      </c>
      <c r="D39" s="65" t="n">
        <f aca="false">D$9*(1+D$10)^5*(1+D$11)^($B39-5)</f>
        <v>174.885768300749</v>
      </c>
      <c r="E39" s="65" t="n">
        <f aca="false">E$9*(1+E$10)^5*(1+E$11)^($B39-5)</f>
        <v>230.181208641563</v>
      </c>
      <c r="F39" s="65" t="n">
        <f aca="false">CHOOSE($C$4,C39,D39,E39)</f>
        <v>174.885768300749</v>
      </c>
      <c r="G39" s="37"/>
    </row>
    <row r="40" customFormat="false" ht="15" hidden="false" customHeight="false" outlineLevel="0" collapsed="false">
      <c r="A40" s="60" t="s">
        <v>141</v>
      </c>
      <c r="B40" s="53" t="n">
        <v>8</v>
      </c>
      <c r="C40" s="65" t="n">
        <f aca="false">C$9*(1+C$10)^5*(1+C$11)^($B40-5)</f>
        <v>128.787625</v>
      </c>
      <c r="D40" s="65" t="n">
        <f aca="false">D$9*(1+D$10)^5*(1+D$11)^($B40-5)</f>
        <v>178.383483666764</v>
      </c>
      <c r="E40" s="65" t="n">
        <f aca="false">E$9*(1+E$10)^5*(1+E$11)^($B40-5)</f>
        <v>237.086644900809</v>
      </c>
      <c r="F40" s="65" t="n">
        <f aca="false">CHOOSE($C$4,C40,D40,E40)</f>
        <v>178.383483666764</v>
      </c>
      <c r="G40" s="37"/>
    </row>
    <row r="41" customFormat="false" ht="15" hidden="false" customHeight="false" outlineLevel="0" collapsed="false">
      <c r="A41" s="60" t="s">
        <v>142</v>
      </c>
      <c r="B41" s="53" t="n">
        <v>9</v>
      </c>
      <c r="C41" s="65" t="n">
        <f aca="false">C$9*(1+C$10)^5*(1+C$11)^($B41-5)</f>
        <v>130.07550125</v>
      </c>
      <c r="D41" s="65" t="n">
        <f aca="false">D$9*(1+D$10)^5*(1+D$11)^($B41-5)</f>
        <v>181.9511533401</v>
      </c>
      <c r="E41" s="65" t="n">
        <f aca="false">E$9*(1+E$10)^5*(1+E$11)^($B41-5)</f>
        <v>244.199244247834</v>
      </c>
      <c r="F41" s="65" t="n">
        <f aca="false">CHOOSE($C$4,C41,D41,E41)</f>
        <v>181.9511533401</v>
      </c>
      <c r="G41" s="37"/>
    </row>
    <row r="42" customFormat="false" ht="15" hidden="false" customHeight="false" outlineLevel="0" collapsed="false">
      <c r="A42" s="60" t="s">
        <v>143</v>
      </c>
      <c r="B42" s="53" t="n">
        <v>10</v>
      </c>
      <c r="C42" s="65" t="n">
        <f aca="false">C$9*(1+C$10)^5*(1+C$11)^($B42-5)</f>
        <v>131.3762562625</v>
      </c>
      <c r="D42" s="65" t="n">
        <f aca="false">D$9*(1+D$10)^5*(1+D$11)^($B42-5)</f>
        <v>185.590176406902</v>
      </c>
      <c r="E42" s="65" t="n">
        <f aca="false">E$9*(1+E$10)^5*(1+E$11)^($B42-5)</f>
        <v>251.525221575269</v>
      </c>
      <c r="F42" s="65" t="n">
        <f aca="false">CHOOSE($C$4,C42,D42,E42)</f>
        <v>185.590176406902</v>
      </c>
      <c r="G42" s="37"/>
    </row>
    <row r="43" customFormat="false" ht="15" hidden="false" customHeight="false" outlineLevel="0" collapsed="false">
      <c r="A43" s="66" t="s">
        <v>144</v>
      </c>
      <c r="C43" s="65" t="n">
        <f aca="false">SUMPRODUCT(C33:C42/(1+C$13)^$B$33:$B$42)</f>
        <v>776.443576219535</v>
      </c>
      <c r="D43" s="65" t="n">
        <f aca="false">SUMPRODUCT(D33:D42/(1+D$13)^$B$33:$B$42)</f>
        <v>1063.3053220017</v>
      </c>
      <c r="E43" s="65" t="n">
        <f aca="false">SUMPRODUCT(E33:E42/(1+E$13)^$B$33:$B$42)</f>
        <v>1390.08588238916</v>
      </c>
      <c r="F43" s="52" t="n">
        <f aca="false">CHOOSE($C$4,C43,D43,E43)</f>
        <v>1063.3053220017</v>
      </c>
      <c r="G43" s="37" t="s">
        <v>145</v>
      </c>
    </row>
    <row r="44" customFormat="false" ht="15" hidden="false" customHeight="false" outlineLevel="0" collapsed="false">
      <c r="A44" s="60" t="s">
        <v>146</v>
      </c>
      <c r="C44" s="65" t="n">
        <f aca="false">C42*(1+C$12)/(C$13-C$12)</f>
        <v>1568.78706007574</v>
      </c>
      <c r="D44" s="65" t="n">
        <f aca="false">D42*(1+D$12)/(D$13-D$12)</f>
        <v>2704.313999072</v>
      </c>
      <c r="E44" s="65" t="n">
        <f aca="false">E42*(1+E$12)/(E$13-E$12)</f>
        <v>4296.88920191084</v>
      </c>
      <c r="F44" s="52" t="n">
        <f aca="false">CHOOSE($C$4,C44,D44,E44)</f>
        <v>2704.313999072</v>
      </c>
      <c r="G44" s="67" t="s">
        <v>147</v>
      </c>
    </row>
    <row r="45" customFormat="false" ht="15" hidden="false" customHeight="false" outlineLevel="0" collapsed="false">
      <c r="A45" s="60" t="s">
        <v>148</v>
      </c>
      <c r="C45" s="65" t="n">
        <f aca="false">C44/(1+C$13)^10</f>
        <v>604.835323556083</v>
      </c>
      <c r="D45" s="65" t="n">
        <f aca="false">D44/(1+D$13)^10</f>
        <v>1142.33145844731</v>
      </c>
      <c r="E45" s="65" t="n">
        <f aca="false">E44/(1+E$13)^10</f>
        <v>1900.45142403469</v>
      </c>
      <c r="F45" s="52" t="n">
        <f aca="false">CHOOSE($C$4,C45,D45,E45)</f>
        <v>1142.33145844731</v>
      </c>
      <c r="G45" s="37"/>
    </row>
    <row r="46" customFormat="false" ht="15" hidden="false" customHeight="false" outlineLevel="0" collapsed="false">
      <c r="A46" s="60" t="s">
        <v>149</v>
      </c>
      <c r="C46" s="65" t="n">
        <f aca="false">C43+C45</f>
        <v>1381.27889977562</v>
      </c>
      <c r="D46" s="65" t="n">
        <f aca="false">D43+D45</f>
        <v>2205.63678044901</v>
      </c>
      <c r="E46" s="65" t="n">
        <f aca="false">E43+E45</f>
        <v>3290.53730642385</v>
      </c>
      <c r="F46" s="52" t="n">
        <f aca="false">CHOOSE($C$4,C46,D46,E46)</f>
        <v>2205.63678044901</v>
      </c>
      <c r="G46" s="37"/>
    </row>
    <row r="47" customFormat="false" ht="15" hidden="false" customHeight="false" outlineLevel="0" collapsed="false">
      <c r="A47" s="60" t="s">
        <v>150</v>
      </c>
      <c r="C47" s="68" t="n">
        <f aca="false">C45/C46</f>
        <v>0.437880665269219</v>
      </c>
      <c r="D47" s="68" t="n">
        <f aca="false">D45/D46</f>
        <v>0.517914585290313</v>
      </c>
      <c r="E47" s="68" t="n">
        <f aca="false">E45/E46</f>
        <v>0.577550487066228</v>
      </c>
      <c r="F47" s="55" t="n">
        <f aca="false">CHOOSE($C$4,C47,D47,E47)</f>
        <v>0.517914585290313</v>
      </c>
      <c r="G47" s="37" t="s">
        <v>151</v>
      </c>
    </row>
    <row r="48" customFormat="false" ht="15" hidden="false" customHeight="false" outlineLevel="0" collapsed="false">
      <c r="A48" s="66" t="s">
        <v>152</v>
      </c>
      <c r="C48" s="65" t="n">
        <f aca="false">C$20*C$14</f>
        <v>65.57176799265</v>
      </c>
      <c r="D48" s="65" t="n">
        <f aca="false">D$20*D$14</f>
        <v>109.28627998775</v>
      </c>
      <c r="E48" s="65" t="n">
        <f aca="false">E$20*E$14</f>
        <v>153.00079198285</v>
      </c>
      <c r="F48" s="52" t="n">
        <f aca="false">CHOOSE($C$4,C48,D48,E48)</f>
        <v>109.28627998775</v>
      </c>
      <c r="G48" s="37"/>
    </row>
    <row r="49" customFormat="false" ht="15" hidden="false" customHeight="false" outlineLevel="0" collapsed="false">
      <c r="A49" s="66" t="s">
        <v>153</v>
      </c>
      <c r="C49" s="65" t="n">
        <f aca="false">C$21*C$15</f>
        <v>0</v>
      </c>
      <c r="D49" s="65" t="n">
        <f aca="false">D$21*D$15</f>
        <v>56.45378704497</v>
      </c>
      <c r="E49" s="65" t="n">
        <f aca="false">E$21*E$15</f>
        <v>112.90757408994</v>
      </c>
      <c r="F49" s="52" t="n">
        <f aca="false">CHOOSE($C$4,C49,D49,E49)</f>
        <v>56.45378704497</v>
      </c>
      <c r="G49" s="37" t="s">
        <v>154</v>
      </c>
    </row>
    <row r="50" customFormat="false" ht="15" hidden="false" customHeight="false" outlineLevel="0" collapsed="false">
      <c r="A50" s="60" t="s">
        <v>155</v>
      </c>
      <c r="C50" s="65" t="n">
        <f aca="false">C46+C48+C49</f>
        <v>1446.85066776827</v>
      </c>
      <c r="D50" s="65" t="n">
        <f aca="false">D46+D48+D49</f>
        <v>2371.37684748173</v>
      </c>
      <c r="E50" s="65" t="n">
        <f aca="false">E46+E48+E49</f>
        <v>3556.44567249665</v>
      </c>
      <c r="F50" s="52" t="n">
        <f aca="false">CHOOSE($C$4,C50,D50,E50)</f>
        <v>2371.37684748173</v>
      </c>
      <c r="G50" s="37" t="s">
        <v>156</v>
      </c>
    </row>
    <row r="51" customFormat="false" ht="15" hidden="false" customHeight="false" outlineLevel="0" collapsed="false">
      <c r="A51" s="69" t="s">
        <v>157</v>
      </c>
      <c r="C51" s="70" t="n">
        <f aca="false">C50/C$19</f>
        <v>15.6381117600883</v>
      </c>
      <c r="D51" s="70" t="n">
        <f aca="false">D50/D$19</f>
        <v>25.6307419917814</v>
      </c>
      <c r="E51" s="70" t="n">
        <f aca="false">E50/E$19</f>
        <v>38.4394161292205</v>
      </c>
      <c r="F51" s="71" t="n">
        <f aca="false">CHOOSE($C$4,C51,D51,E51)</f>
        <v>25.6307419917814</v>
      </c>
      <c r="G51" s="37"/>
    </row>
    <row r="53" customFormat="false" ht="24" hidden="false" customHeight="true" outlineLevel="0" collapsed="false">
      <c r="A53" s="48" t="s">
        <v>158</v>
      </c>
      <c r="B53" s="48"/>
      <c r="C53" s="48"/>
      <c r="D53" s="48"/>
      <c r="E53" s="48"/>
      <c r="F53" s="48"/>
      <c r="G53" s="48"/>
    </row>
    <row r="54" customFormat="false" ht="15" hidden="false" customHeight="false" outlineLevel="0" collapsed="false">
      <c r="A54" s="60" t="s">
        <v>159</v>
      </c>
      <c r="C54" s="72" t="n">
        <f aca="false">C$8/C$19</f>
        <v>1.78338269311138</v>
      </c>
      <c r="D54" s="72" t="n">
        <f aca="false">D$8/D$19</f>
        <v>1.9995502922764</v>
      </c>
      <c r="E54" s="72" t="n">
        <f aca="false">E$8/E$19</f>
        <v>2.21571789144141</v>
      </c>
      <c r="F54" s="71" t="n">
        <f aca="false">CHOOSE($C$4,C54,D54,E54)</f>
        <v>1.9995502922764</v>
      </c>
      <c r="G54" s="37" t="s">
        <v>160</v>
      </c>
    </row>
    <row r="55" customFormat="false" ht="15" hidden="false" customHeight="false" outlineLevel="0" collapsed="false">
      <c r="A55" s="69" t="s">
        <v>161</v>
      </c>
      <c r="C55" s="70" t="n">
        <f aca="false">C54*C$16</f>
        <v>17.8338269311138</v>
      </c>
      <c r="D55" s="70" t="n">
        <f aca="false">D54*D$16</f>
        <v>23.9946035073167</v>
      </c>
      <c r="E55" s="70" t="n">
        <f aca="false">E54*E$16</f>
        <v>31.0200504801798</v>
      </c>
      <c r="F55" s="71" t="n">
        <f aca="false">CHOOSE($C$4,C55,D55,E55)</f>
        <v>23.9946035073167</v>
      </c>
      <c r="G55" s="67" t="s">
        <v>162</v>
      </c>
    </row>
    <row r="57" customFormat="false" ht="24" hidden="false" customHeight="true" outlineLevel="0" collapsed="false">
      <c r="A57" s="48" t="s">
        <v>163</v>
      </c>
      <c r="B57" s="48"/>
      <c r="C57" s="48"/>
      <c r="D57" s="48"/>
      <c r="E57" s="48"/>
      <c r="F57" s="48"/>
      <c r="G57" s="48"/>
    </row>
    <row r="58" customFormat="false" ht="15" hidden="false" customHeight="false" outlineLevel="0" collapsed="false">
      <c r="A58" s="60" t="s">
        <v>164</v>
      </c>
      <c r="C58" s="73" t="n">
        <f aca="false">C$8*C$17/C$19</f>
        <v>0.980860481211259</v>
      </c>
      <c r="D58" s="73" t="n">
        <f aca="false">D$8*D$17/D$19</f>
        <v>1.15973916952031</v>
      </c>
      <c r="E58" s="73" t="n">
        <f aca="false">E$8*E$17/E$19</f>
        <v>1.32943073486485</v>
      </c>
      <c r="F58" s="74" t="n">
        <f aca="false">CHOOSE($C$4,C58,D58,E58)</f>
        <v>1.15973916952031</v>
      </c>
      <c r="G58" s="37" t="s">
        <v>165</v>
      </c>
    </row>
    <row r="59" customFormat="false" ht="15" hidden="false" customHeight="false" outlineLevel="0" collapsed="false">
      <c r="A59" s="44" t="s">
        <v>166</v>
      </c>
      <c r="C59" s="70" t="n">
        <f aca="false">C58/C$18</f>
        <v>17.8338269311138</v>
      </c>
      <c r="D59" s="70" t="n">
        <f aca="false">D58/D$18</f>
        <v>23.1947833904062</v>
      </c>
      <c r="E59" s="70" t="n">
        <f aca="false">E58/E$18</f>
        <v>29.5429052192188</v>
      </c>
      <c r="F59" s="71" t="n">
        <f aca="false">CHOOSE($C$4,C59,D59,E59)</f>
        <v>23.1947833904062</v>
      </c>
      <c r="G59" s="67" t="s">
        <v>167</v>
      </c>
    </row>
    <row r="61" customFormat="false" ht="24" hidden="false" customHeight="true" outlineLevel="0" collapsed="false">
      <c r="A61" s="75" t="s">
        <v>168</v>
      </c>
      <c r="B61" s="75"/>
      <c r="C61" s="75"/>
      <c r="D61" s="75"/>
      <c r="E61" s="75"/>
      <c r="F61" s="75"/>
      <c r="G61" s="75"/>
    </row>
    <row r="62" customFormat="false" ht="30" hidden="false" customHeight="true" outlineLevel="0" collapsed="false">
      <c r="A62" s="49" t="s">
        <v>118</v>
      </c>
      <c r="B62" s="49"/>
      <c r="C62" s="49" t="s">
        <v>17</v>
      </c>
      <c r="D62" s="49" t="s">
        <v>18</v>
      </c>
      <c r="E62" s="49" t="s">
        <v>19</v>
      </c>
      <c r="F62" s="49" t="s">
        <v>83</v>
      </c>
      <c r="G62" s="49" t="s">
        <v>120</v>
      </c>
    </row>
    <row r="63" customFormat="false" ht="15" hidden="false" customHeight="false" outlineLevel="0" collapsed="false">
      <c r="A63" s="44" t="s">
        <v>169</v>
      </c>
      <c r="C63" s="70" t="n">
        <f aca="false">C51*$C$25+C55*$C$26+C59*$C$27</f>
        <v>16.9555408627036</v>
      </c>
      <c r="D63" s="70" t="n">
        <f aca="false">D51*$C$25+D55*$C$26+D59*$C$27</f>
        <v>24.4091128660295</v>
      </c>
      <c r="E63" s="70" t="n">
        <f aca="false">E51*$C$25+E55*$C$26+E59*$C$27</f>
        <v>33.5446531615078</v>
      </c>
      <c r="F63" s="31" t="n">
        <f aca="false">CHOOSE($C$4,C63,D63,E63)</f>
        <v>24.4091128660295</v>
      </c>
      <c r="G63" s="37" t="s">
        <v>170</v>
      </c>
    </row>
    <row r="64" customFormat="false" ht="15" hidden="false" customHeight="false" outlineLevel="0" collapsed="false">
      <c r="A64" s="66" t="s">
        <v>171</v>
      </c>
      <c r="C64" s="72" t="n">
        <f aca="false">数据与来源!$B$7</f>
        <v>20.11</v>
      </c>
      <c r="D64" s="72" t="n">
        <f aca="false">数据与来源!$B$7</f>
        <v>20.11</v>
      </c>
      <c r="E64" s="72" t="n">
        <f aca="false">数据与来源!$B$7</f>
        <v>20.11</v>
      </c>
      <c r="F64" s="76" t="n">
        <f aca="false">CHOOSE($C$4,C64,D64,E64)</f>
        <v>20.11</v>
      </c>
      <c r="G64" s="67" t="s">
        <v>172</v>
      </c>
    </row>
    <row r="65" customFormat="false" ht="15" hidden="false" customHeight="false" outlineLevel="0" collapsed="false">
      <c r="A65" s="69" t="s">
        <v>173</v>
      </c>
      <c r="C65" s="68" t="n">
        <f aca="false">1-C64/C63</f>
        <v>-0.186042967478267</v>
      </c>
      <c r="D65" s="68" t="n">
        <f aca="false">1-D64/D63</f>
        <v>0.176127370528595</v>
      </c>
      <c r="E65" s="68" t="n">
        <f aca="false">1-E64/E63</f>
        <v>0.400500583411127</v>
      </c>
      <c r="F65" s="77" t="n">
        <f aca="false">CHOOSE($C$4,C65,D65,E65)</f>
        <v>0.176127370528595</v>
      </c>
      <c r="G65" s="37" t="s">
        <v>174</v>
      </c>
    </row>
    <row r="66" customFormat="false" ht="15" hidden="false" customHeight="false" outlineLevel="0" collapsed="false">
      <c r="A66" s="66" t="s">
        <v>175</v>
      </c>
      <c r="C66" s="68" t="n">
        <f aca="false">C63/C64-1</f>
        <v>-0.156860225623888</v>
      </c>
      <c r="D66" s="68" t="n">
        <f aca="false">D63/D64-1</f>
        <v>0.213779854103902</v>
      </c>
      <c r="E66" s="68" t="n">
        <f aca="false">E63/E64-1</f>
        <v>0.668058337220674</v>
      </c>
      <c r="F66" s="77" t="n">
        <f aca="false">CHOOSE($C$4,C66,D66,E66)</f>
        <v>0.213779854103902</v>
      </c>
      <c r="G66" s="37" t="s">
        <v>176</v>
      </c>
    </row>
    <row r="67" customFormat="false" ht="15" hidden="false" customHeight="false" outlineLevel="0" collapsed="false">
      <c r="A67" s="66" t="s">
        <v>177</v>
      </c>
      <c r="C67" s="72" t="n">
        <f aca="false">数据与来源!$B$10</f>
        <v>17.07698</v>
      </c>
      <c r="D67" s="72" t="n">
        <f aca="false">数据与来源!$B$10</f>
        <v>17.07698</v>
      </c>
      <c r="E67" s="72" t="n">
        <f aca="false">数据与来源!$B$10</f>
        <v>17.07698</v>
      </c>
      <c r="F67" s="76" t="n">
        <f aca="false">CHOOSE($C$4,C67,D67,E67)</f>
        <v>17.07698</v>
      </c>
      <c r="G67" s="67" t="s">
        <v>178</v>
      </c>
    </row>
    <row r="68" customFormat="false" ht="15" hidden="false" customHeight="false" outlineLevel="0" collapsed="false">
      <c r="A68" s="69" t="s">
        <v>179</v>
      </c>
      <c r="C68" s="68" t="n">
        <f aca="false">1-C67/C63</f>
        <v>-0.00716220958562985</v>
      </c>
      <c r="D68" s="68" t="n">
        <f aca="false">1-D67/D63</f>
        <v>0.300385061360985</v>
      </c>
      <c r="E68" s="68" t="n">
        <f aca="false">1-E67/E63</f>
        <v>0.490917973789167</v>
      </c>
      <c r="F68" s="77" t="n">
        <f aca="false">CHOOSE($C$4,C68,D68,E68)</f>
        <v>0.300385061360985</v>
      </c>
      <c r="G68" s="37" t="s">
        <v>180</v>
      </c>
    </row>
    <row r="69" customFormat="false" ht="15" hidden="false" customHeight="false" outlineLevel="0" collapsed="false">
      <c r="A69" s="60" t="s">
        <v>181</v>
      </c>
      <c r="C69" s="72" t="n">
        <f aca="false">C63*(1-$C$29)</f>
        <v>12.7166556470277</v>
      </c>
      <c r="D69" s="72" t="n">
        <f aca="false">D63*(1-$C$29)</f>
        <v>18.3068346495221</v>
      </c>
      <c r="E69" s="72" t="n">
        <f aca="false">E63*(1-$C$29)</f>
        <v>25.1584898711308</v>
      </c>
      <c r="F69" s="76" t="n">
        <f aca="false">CHOOSE($C$4,C69,D69,E69)</f>
        <v>18.3068346495221</v>
      </c>
      <c r="G69" s="37" t="s">
        <v>182</v>
      </c>
    </row>
    <row r="70" customFormat="false" ht="15" hidden="false" customHeight="false" outlineLevel="0" collapsed="false">
      <c r="A70" s="60" t="s">
        <v>183</v>
      </c>
      <c r="C70" s="78" t="n">
        <f aca="false">数据与来源!$B$16/C$8</f>
        <v>11.2763234036521</v>
      </c>
      <c r="D70" s="78" t="n">
        <f aca="false">数据与来源!$B$16/D$8</f>
        <v>10.0572614140681</v>
      </c>
      <c r="E70" s="78" t="n">
        <f aca="false">数据与来源!$B$16/E$8</f>
        <v>9.07606517854927</v>
      </c>
      <c r="F70" s="79" t="n">
        <f aca="false">CHOOSE($C$4,C70,D70,E70)</f>
        <v>10.0572614140681</v>
      </c>
      <c r="G70" s="37" t="s">
        <v>184</v>
      </c>
    </row>
    <row r="71" customFormat="false" ht="15" hidden="false" customHeight="false" outlineLevel="0" collapsed="false">
      <c r="A71" s="60" t="s">
        <v>185</v>
      </c>
      <c r="C71" s="80" t="n">
        <f aca="false">C58/C64</f>
        <v>0.0487747628648065</v>
      </c>
      <c r="D71" s="80" t="n">
        <f aca="false">D58/D64</f>
        <v>0.0576697747150825</v>
      </c>
      <c r="E71" s="80" t="n">
        <f aca="false">E58/E64</f>
        <v>0.066107943056432</v>
      </c>
      <c r="F71" s="81" t="n">
        <f aca="false">CHOOSE($C$4,C71,D71,E71)</f>
        <v>0.0576697747150825</v>
      </c>
      <c r="G71" s="37"/>
    </row>
    <row r="73" customFormat="false" ht="30" hidden="false" customHeight="true" outlineLevel="0" collapsed="false">
      <c r="A73" s="49" t="s">
        <v>186</v>
      </c>
      <c r="B73" s="49"/>
      <c r="C73" s="49" t="s">
        <v>187</v>
      </c>
      <c r="D73" s="49" t="s">
        <v>188</v>
      </c>
      <c r="E73" s="49" t="s">
        <v>189</v>
      </c>
      <c r="F73" s="49" t="s">
        <v>190</v>
      </c>
      <c r="G73" s="49" t="s">
        <v>191</v>
      </c>
    </row>
    <row r="74" customFormat="false" ht="15" hidden="false" customHeight="true" outlineLevel="0" collapsed="false">
      <c r="A74" s="60" t="s">
        <v>192</v>
      </c>
      <c r="B74" s="60"/>
      <c r="C74" s="54" t="n">
        <v>0</v>
      </c>
      <c r="D74" s="71" t="n">
        <f aca="false">$F$63*(1-C74)</f>
        <v>24.4091128660295</v>
      </c>
      <c r="E74" s="68" t="n">
        <f aca="false">D74/$F$64-1</f>
        <v>0.213779854103902</v>
      </c>
      <c r="F74" s="68" t="n">
        <f aca="false">D74/$F$67-1</f>
        <v>0.429357700602183</v>
      </c>
      <c r="G74" s="37" t="s">
        <v>193</v>
      </c>
    </row>
    <row r="75" customFormat="false" ht="15" hidden="false" customHeight="true" outlineLevel="0" collapsed="false">
      <c r="A75" s="60" t="s">
        <v>194</v>
      </c>
      <c r="B75" s="60"/>
      <c r="C75" s="54" t="n">
        <v>0.1</v>
      </c>
      <c r="D75" s="71" t="n">
        <f aca="false">$F$63*(1-C75)</f>
        <v>21.9682015794265</v>
      </c>
      <c r="E75" s="68" t="n">
        <f aca="false">D75/$F$64-1</f>
        <v>0.0924018686935115</v>
      </c>
      <c r="F75" s="68" t="n">
        <f aca="false">D75/$F$67-1</f>
        <v>0.286421930541964</v>
      </c>
      <c r="G75" s="37" t="s">
        <v>193</v>
      </c>
    </row>
    <row r="76" customFormat="false" ht="15" hidden="false" customHeight="true" outlineLevel="0" collapsed="false">
      <c r="A76" s="60" t="s">
        <v>195</v>
      </c>
      <c r="B76" s="60"/>
      <c r="C76" s="54" t="n">
        <v>0.2</v>
      </c>
      <c r="D76" s="71" t="n">
        <f aca="false">$F$63*(1-C76)</f>
        <v>19.5272902928236</v>
      </c>
      <c r="E76" s="68" t="n">
        <f aca="false">D76/$F$64-1</f>
        <v>-0.0289761167168787</v>
      </c>
      <c r="F76" s="68" t="n">
        <f aca="false">D76/$F$67-1</f>
        <v>0.143486160481746</v>
      </c>
      <c r="G76" s="37" t="s">
        <v>193</v>
      </c>
    </row>
    <row r="77" customFormat="false" ht="15" hidden="false" customHeight="true" outlineLevel="0" collapsed="false">
      <c r="A77" s="60" t="s">
        <v>196</v>
      </c>
      <c r="B77" s="60"/>
      <c r="C77" s="54" t="n">
        <v>0.25</v>
      </c>
      <c r="D77" s="71" t="n">
        <f aca="false">$F$63*(1-C77)</f>
        <v>18.3068346495221</v>
      </c>
      <c r="E77" s="68" t="n">
        <f aca="false">D77/$F$64-1</f>
        <v>-0.0896651094220738</v>
      </c>
      <c r="F77" s="68" t="n">
        <f aca="false">D77/$F$67-1</f>
        <v>0.0720182754516368</v>
      </c>
      <c r="G77" s="37" t="s">
        <v>193</v>
      </c>
    </row>
    <row r="78" customFormat="false" ht="15" hidden="false" customHeight="true" outlineLevel="0" collapsed="false">
      <c r="A78" s="60" t="s">
        <v>197</v>
      </c>
      <c r="B78" s="60"/>
      <c r="C78" s="54" t="n">
        <v>0.3</v>
      </c>
      <c r="D78" s="71" t="n">
        <f aca="false">$F$63*(1-C78)</f>
        <v>17.0863790062206</v>
      </c>
      <c r="E78" s="68" t="n">
        <f aca="false">D78/$F$64-1</f>
        <v>-0.150354102127269</v>
      </c>
      <c r="F78" s="68" t="n">
        <f aca="false">D78/$F$67-1</f>
        <v>0.000550390421527602</v>
      </c>
      <c r="G78" s="37" t="s">
        <v>193</v>
      </c>
    </row>
    <row r="79" customFormat="false" ht="15" hidden="false" customHeight="true" outlineLevel="0" collapsed="false">
      <c r="A79" s="60" t="s">
        <v>198</v>
      </c>
      <c r="B79" s="60"/>
      <c r="C79" s="54" t="n">
        <v>0.35</v>
      </c>
      <c r="D79" s="71" t="n">
        <f aca="false">$F$63*(1-C79)</f>
        <v>15.8659233629192</v>
      </c>
      <c r="E79" s="68" t="n">
        <f aca="false">D79/$F$64-1</f>
        <v>-0.211043094832464</v>
      </c>
      <c r="F79" s="68" t="n">
        <f aca="false">D79/$F$67-1</f>
        <v>-0.0709174946085814</v>
      </c>
      <c r="G79" s="37" t="s">
        <v>193</v>
      </c>
    </row>
    <row r="81" customFormat="false" ht="30" hidden="false" customHeight="true" outlineLevel="0" collapsed="false">
      <c r="A81" s="49" t="s">
        <v>199</v>
      </c>
      <c r="B81" s="49"/>
      <c r="C81" s="49" t="s">
        <v>17</v>
      </c>
      <c r="D81" s="49" t="s">
        <v>18</v>
      </c>
      <c r="E81" s="49" t="s">
        <v>19</v>
      </c>
      <c r="F81" s="49" t="s">
        <v>20</v>
      </c>
      <c r="G81" s="49"/>
    </row>
    <row r="82" customFormat="false" ht="15" hidden="false" customHeight="true" outlineLevel="0" collapsed="false">
      <c r="A82" s="60" t="s">
        <v>200</v>
      </c>
      <c r="B82" s="60"/>
      <c r="C82" s="72" t="n">
        <f aca="false">C51</f>
        <v>15.6381117600883</v>
      </c>
      <c r="D82" s="72" t="n">
        <f aca="false">D51</f>
        <v>25.6307419917814</v>
      </c>
      <c r="E82" s="72" t="n">
        <f aca="false">E51</f>
        <v>38.4394161292205</v>
      </c>
      <c r="F82" s="68" t="n">
        <f aca="false">C25</f>
        <v>0.4</v>
      </c>
    </row>
    <row r="83" customFormat="false" ht="15" hidden="false" customHeight="true" outlineLevel="0" collapsed="false">
      <c r="A83" s="60" t="s">
        <v>201</v>
      </c>
      <c r="B83" s="60"/>
      <c r="C83" s="72" t="n">
        <f aca="false">C55</f>
        <v>17.8338269311138</v>
      </c>
      <c r="D83" s="72" t="n">
        <f aca="false">D55</f>
        <v>23.9946035073167</v>
      </c>
      <c r="E83" s="72" t="n">
        <f aca="false">E55</f>
        <v>31.0200504801798</v>
      </c>
      <c r="F83" s="68" t="n">
        <f aca="false">C26</f>
        <v>0.3</v>
      </c>
    </row>
    <row r="84" customFormat="false" ht="15" hidden="false" customHeight="true" outlineLevel="0" collapsed="false">
      <c r="A84" s="60" t="s">
        <v>31</v>
      </c>
      <c r="B84" s="60"/>
      <c r="C84" s="72" t="n">
        <f aca="false">C59</f>
        <v>17.8338269311138</v>
      </c>
      <c r="D84" s="72" t="n">
        <f aca="false">D59</f>
        <v>23.1947833904062</v>
      </c>
      <c r="E84" s="72" t="n">
        <f aca="false">E59</f>
        <v>29.5429052192188</v>
      </c>
      <c r="F84" s="68" t="n">
        <f aca="false">C27</f>
        <v>0.3</v>
      </c>
    </row>
    <row r="85" customFormat="false" ht="15" hidden="false" customHeight="true" outlineLevel="0" collapsed="false">
      <c r="A85" s="60" t="s">
        <v>34</v>
      </c>
      <c r="B85" s="60"/>
      <c r="C85" s="72" t="n">
        <f aca="false">C63</f>
        <v>16.9555408627036</v>
      </c>
      <c r="D85" s="72" t="n">
        <f aca="false">D63</f>
        <v>24.4091128660295</v>
      </c>
      <c r="E85" s="72" t="n">
        <f aca="false">E63</f>
        <v>33.5446531615078</v>
      </c>
      <c r="F85" s="68" t="n">
        <f aca="false">SUM(F82:F84)</f>
        <v>1</v>
      </c>
    </row>
    <row r="86" customFormat="false" ht="15" hidden="false" customHeight="true" outlineLevel="0" collapsed="false">
      <c r="A86" s="66" t="s">
        <v>202</v>
      </c>
      <c r="B86" s="66"/>
      <c r="C86" s="72" t="n">
        <f aca="false">C64</f>
        <v>20.11</v>
      </c>
      <c r="D86" s="72" t="n">
        <f aca="false">D64</f>
        <v>20.11</v>
      </c>
      <c r="E86" s="72" t="n">
        <f aca="false">E64</f>
        <v>20.11</v>
      </c>
      <c r="F86" s="68"/>
    </row>
  </sheetData>
  <mergeCells count="24">
    <mergeCell ref="A1:G1"/>
    <mergeCell ref="A2:G2"/>
    <mergeCell ref="A6:G6"/>
    <mergeCell ref="A23:G23"/>
    <mergeCell ref="D25:F25"/>
    <mergeCell ref="D26:F26"/>
    <mergeCell ref="D27:F27"/>
    <mergeCell ref="D28:F28"/>
    <mergeCell ref="D29:F29"/>
    <mergeCell ref="A31:G31"/>
    <mergeCell ref="A53:G53"/>
    <mergeCell ref="A57:G57"/>
    <mergeCell ref="A61:G61"/>
    <mergeCell ref="A74:B74"/>
    <mergeCell ref="A75:B75"/>
    <mergeCell ref="A76:B76"/>
    <mergeCell ref="A77:B77"/>
    <mergeCell ref="A78:B78"/>
    <mergeCell ref="A79:B79"/>
    <mergeCell ref="A82:B82"/>
    <mergeCell ref="A83:B83"/>
    <mergeCell ref="A84:B84"/>
    <mergeCell ref="A85:B85"/>
    <mergeCell ref="A86:B86"/>
  </mergeCells>
  <conditionalFormatting sqref="C65:F65">
    <cfRule type="expression" priority="2" aboveAverage="0" equalAverage="0" bottom="0" percent="0" rank="0" text="" dxfId="4">
      <formula>C65&gt;=$C$29</formula>
    </cfRule>
    <cfRule type="expression" priority="3" aboveAverage="0" equalAverage="0" bottom="0" percent="0" rank="0" text="" dxfId="5">
      <formula>C65&lt;0</formula>
    </cfRule>
  </conditionalFormatting>
  <conditionalFormatting sqref="C68:F68">
    <cfRule type="expression" priority="4" aboveAverage="0" equalAverage="0" bottom="0" percent="0" rank="0" text="" dxfId="4">
      <formula>C68&gt;=$C$29</formula>
    </cfRule>
    <cfRule type="expression" priority="5" aboveAverage="0" equalAverage="0" bottom="0" percent="0" rank="0" text="" dxfId="5">
      <formula>C68&lt;0</formula>
    </cfRule>
  </conditionalFormatting>
  <dataValidations count="1">
    <dataValidation allowBlank="false" errorStyle="stop" operator="between" showDropDown="false" showErrorMessage="false" showInputMessage="false" sqref="C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1"/>
    <col collapsed="false" customWidth="true" hidden="false" outlineLevel="0" max="9" min="9" style="0" width="3"/>
    <col collapsed="false" customWidth="true" hidden="false" outlineLevel="0" max="10" min="10" style="0" width="40"/>
  </cols>
  <sheetData>
    <row r="1" customFormat="false" ht="36" hidden="false" customHeight="true" outlineLevel="0" collapsed="false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204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A3" s="69" t="s">
        <v>205</v>
      </c>
      <c r="B3" s="82" t="n">
        <f aca="false">数据与来源!$B$7</f>
        <v>20.11</v>
      </c>
      <c r="C3" s="83" t="s">
        <v>128</v>
      </c>
      <c r="D3" s="83"/>
      <c r="E3" s="84" t="n">
        <f aca="false">估值模型!C29</f>
        <v>0.25</v>
      </c>
      <c r="F3" s="83" t="s">
        <v>206</v>
      </c>
      <c r="G3" s="71" t="n">
        <f aca="false">B3/(1-E3)</f>
        <v>26.8133333333333</v>
      </c>
    </row>
    <row r="5" customFormat="false" ht="24" hidden="false" customHeight="true" outlineLevel="0" collapsed="false">
      <c r="A5" s="11" t="s">
        <v>207</v>
      </c>
      <c r="B5" s="11"/>
      <c r="C5" s="11"/>
      <c r="D5" s="11"/>
      <c r="E5" s="11"/>
      <c r="F5" s="11"/>
      <c r="G5" s="11"/>
      <c r="H5" s="11"/>
    </row>
    <row r="6" customFormat="false" ht="15" hidden="false" customHeight="false" outlineLevel="0" collapsed="false">
      <c r="A6" s="64" t="s">
        <v>208</v>
      </c>
      <c r="B6" s="85" t="n">
        <v>0.01</v>
      </c>
      <c r="C6" s="85" t="n">
        <v>0.015</v>
      </c>
      <c r="D6" s="85" t="n">
        <v>0.02</v>
      </c>
      <c r="E6" s="85" t="n">
        <v>0.025</v>
      </c>
      <c r="F6" s="85" t="n">
        <v>0.03</v>
      </c>
    </row>
    <row r="7" customFormat="false" ht="15" hidden="false" customHeight="true" outlineLevel="0" collapsed="false">
      <c r="A7" s="85" t="n">
        <v>0.08</v>
      </c>
      <c r="B7" s="72" t="n">
        <f aca="false">((SUMPRODUCT(估值模型!$D$33:$D$42/(1+$A7)^估值模型!$B$33:$B$42)+估值模型!$D$42*(1+B$6)/($A7-B$6)/(1+$A7)^10)*1+估值模型!$D$48+估值模型!$D$49)/估值模型!$D$19</f>
        <v>27.2353938284805</v>
      </c>
      <c r="C7" s="72" t="n">
        <f aca="false">((SUMPRODUCT(估值模型!$D$33:$D$42/(1+$A7)^估值模型!$B$33:$B$42)+估值模型!$D$42*(1+C$6)/($A7-C$6)/(1+$A7)^10)*1+估值模型!$D$48+估值模型!$D$49)/估值模型!$D$19</f>
        <v>28.3381015009936</v>
      </c>
      <c r="D7" s="72" t="n">
        <f aca="false">((SUMPRODUCT(估值模型!$D$33:$D$42/(1+$A7)^估值模型!$B$33:$B$42)+估值模型!$D$42*(1+D$6)/($A7-D$6)/(1+$A7)^10)*1+估值模型!$D$48+估值模型!$D$49)/估值模型!$D$19</f>
        <v>29.6245937855923</v>
      </c>
      <c r="E7" s="72" t="n">
        <f aca="false">((SUMPRODUCT(估值模型!$D$33:$D$42/(1+$A7)^估值模型!$B$33:$B$42)+估值模型!$D$42*(1+E$6)/($A7-E$6)/(1+$A7)^10)*1+估值模型!$D$48+估值模型!$D$49)/估值模型!$D$19</f>
        <v>31.1449937582998</v>
      </c>
      <c r="F7" s="72" t="n">
        <f aca="false">((SUMPRODUCT(估值模型!$D$33:$D$42/(1+$A7)^估值模型!$B$33:$B$42)+估值模型!$D$42*(1+F$6)/($A7-F$6)/(1+$A7)^10)*1+估值模型!$D$48+估值模型!$D$49)/估值模型!$D$19</f>
        <v>32.9694737255488</v>
      </c>
      <c r="J7" s="86" t="s">
        <v>209</v>
      </c>
    </row>
    <row r="8" customFormat="false" ht="15" hidden="false" customHeight="false" outlineLevel="0" collapsed="false">
      <c r="A8" s="85" t="n">
        <v>0.085</v>
      </c>
      <c r="B8" s="72" t="n">
        <f aca="false">((SUMPRODUCT(估值模型!$D$33:$D$42/(1+$A8)^估值模型!$B$33:$B$42)+估值模型!$D$42*(1+B$6)/($A8-B$6)/(1+$A8)^10)*1+估值模型!$D$48+估值模型!$D$49)/估值模型!$D$19</f>
        <v>25.4993980371984</v>
      </c>
      <c r="C8" s="72" t="n">
        <f aca="false">((SUMPRODUCT(估值模型!$D$33:$D$42/(1+$A8)^估值模型!$B$33:$B$42)+估值模型!$D$42*(1+C$6)/($A8-C$6)/(1+$A8)^10)*1+估值模型!$D$48+估值模型!$D$49)/估值模型!$D$19</f>
        <v>26.4161643475866</v>
      </c>
      <c r="D8" s="72" t="n">
        <f aca="false">((SUMPRODUCT(估值模型!$D$33:$D$42/(1+$A8)^估值模型!$B$33:$B$42)+估值模型!$D$42*(1+D$6)/($A8-D$6)/(1+$A8)^10)*1+估值模型!$D$48+估值模型!$D$49)/估值模型!$D$19</f>
        <v>27.4739716288037</v>
      </c>
      <c r="E8" s="72" t="n">
        <f aca="false">((SUMPRODUCT(估值模型!$D$33:$D$42/(1+$A8)^估值模型!$B$33:$B$42)+估值模型!$D$42*(1+E$6)/($A8-E$6)/(1+$A8)^10)*1+估值模型!$D$48+估值模型!$D$49)/估值模型!$D$19</f>
        <v>28.708080123557</v>
      </c>
      <c r="F8" s="72" t="n">
        <f aca="false">((SUMPRODUCT(估值模型!$D$33:$D$42/(1+$A8)^估值模型!$B$33:$B$42)+估值模型!$D$42*(1+F$6)/($A8-F$6)/(1+$A8)^10)*1+估值模型!$D$48+估值模型!$D$49)/估值模型!$D$19</f>
        <v>30.1665719809927</v>
      </c>
      <c r="J8" s="86"/>
    </row>
    <row r="9" customFormat="false" ht="15" hidden="false" customHeight="false" outlineLevel="0" collapsed="false">
      <c r="A9" s="85" t="n">
        <v>0.09</v>
      </c>
      <c r="B9" s="72" t="n">
        <f aca="false">((SUMPRODUCT(估值模型!$D$33:$D$42/(1+$A9)^估值模型!$B$33:$B$42)+估值模型!$D$42*(1+B$6)/($A9-B$6)/(1+$A9)^10)*1+估值模型!$D$48+估值模型!$D$49)/估值模型!$D$19</f>
        <v>23.9814821681459</v>
      </c>
      <c r="C9" s="72" t="n">
        <f aca="false">((SUMPRODUCT(估值模型!$D$33:$D$42/(1+$A9)^估值模型!$B$33:$B$42)+估值模型!$D$42*(1+C$6)/($A9-C$6)/(1+$A9)^10)*1+估值模型!$D$48+估值模型!$D$49)/估值模型!$D$19</f>
        <v>24.7511367525092</v>
      </c>
      <c r="D9" s="72" t="n">
        <f aca="false">((SUMPRODUCT(估值模型!$D$33:$D$42/(1+$A9)^估值模型!$B$33:$B$42)+估值模型!$D$42*(1+D$6)/($A9-D$6)/(1+$A9)^10)*1+估值模型!$D$48+估值模型!$D$49)/估值模型!$D$19</f>
        <v>25.6307419917814</v>
      </c>
      <c r="E9" s="72" t="n">
        <f aca="false">((SUMPRODUCT(估值模型!$D$33:$D$42/(1+$A9)^估值模型!$B$33:$B$42)+估值模型!$D$42*(1+E$6)/($A9-E$6)/(1+$A9)^10)*1+估值模型!$D$48+估值模型!$D$49)/估值模型!$D$19</f>
        <v>26.6456711140187</v>
      </c>
      <c r="F9" s="72" t="n">
        <f aca="false">((SUMPRODUCT(估值模型!$D$33:$D$42/(1+$A9)^估值模型!$B$33:$B$42)+估值模型!$D$42*(1+F$6)/($A9-F$6)/(1+$A9)^10)*1+估值模型!$D$48+估值模型!$D$49)/估值模型!$D$19</f>
        <v>27.8297550899621</v>
      </c>
      <c r="J9" s="86"/>
    </row>
    <row r="10" customFormat="false" ht="15" hidden="false" customHeight="false" outlineLevel="0" collapsed="false">
      <c r="A10" s="85" t="n">
        <v>0.095</v>
      </c>
      <c r="B10" s="72" t="n">
        <f aca="false">((SUMPRODUCT(估值模型!$D$33:$D$42/(1+$A10)^估值模型!$B$33:$B$42)+估值模型!$D$42*(1+B$6)/($A10-B$6)/(1+$A10)^10)*1+估值模型!$D$48+估值模型!$D$49)/估值模型!$D$19</f>
        <v>22.6431234497823</v>
      </c>
      <c r="C10" s="72" t="n">
        <f aca="false">((SUMPRODUCT(估值模型!$D$33:$D$42/(1+$A10)^估值模型!$B$33:$B$42)+估值模型!$D$42*(1+C$6)/($A10-C$6)/(1+$A10)^10)*1+估值模型!$D$48+估值模型!$D$49)/估值模型!$D$19</f>
        <v>23.2948262800728</v>
      </c>
      <c r="D10" s="72" t="n">
        <f aca="false">((SUMPRODUCT(估值模型!$D$33:$D$42/(1+$A10)^估值模型!$B$33:$B$42)+估值模型!$D$42*(1+D$6)/($A10-D$6)/(1+$A10)^10)*1+估值模型!$D$48+估值模型!$D$49)/估值模型!$D$19</f>
        <v>24.0334228210687</v>
      </c>
      <c r="E10" s="72" t="n">
        <f aca="false">((SUMPRODUCT(估值模型!$D$33:$D$42/(1+$A10)^估值模型!$B$33:$B$42)+估值模型!$D$42*(1+E$6)/($A10-E$6)/(1+$A10)^10)*1+估值模型!$D$48+估值模型!$D$49)/估值模型!$D$19</f>
        <v>24.8775331536355</v>
      </c>
      <c r="F10" s="72" t="n">
        <f aca="false">((SUMPRODUCT(估值模型!$D$33:$D$42/(1+$A10)^估值模型!$B$33:$B$42)+估值模型!$D$42*(1+F$6)/($A10-F$6)/(1+$A10)^10)*1+估值模型!$D$48+估值模型!$D$49)/估值模型!$D$19</f>
        <v>25.8515066142895</v>
      </c>
      <c r="J10" s="86"/>
    </row>
    <row r="11" customFormat="false" ht="15" hidden="false" customHeight="false" outlineLevel="0" collapsed="false">
      <c r="A11" s="85" t="n">
        <v>0.1</v>
      </c>
      <c r="B11" s="72" t="n">
        <f aca="false">((SUMPRODUCT(估值模型!$D$33:$D$42/(1+$A11)^估值模型!$B$33:$B$42)+估值模型!$D$42*(1+B$6)/($A11-B$6)/(1+$A11)^10)*1+估值模型!$D$48+估值模型!$D$49)/估值模型!$D$19</f>
        <v>21.4543613219883</v>
      </c>
      <c r="C11" s="72" t="n">
        <f aca="false">((SUMPRODUCT(估值模型!$D$33:$D$42/(1+$A11)^估值模型!$B$33:$B$42)+估值模型!$D$42*(1+C$6)/($A11-C$6)/(1+$A11)^10)*1+估值模型!$D$48+估值模型!$D$49)/估值模型!$D$19</f>
        <v>22.0103807809577</v>
      </c>
      <c r="D11" s="72" t="n">
        <f aca="false">((SUMPRODUCT(估值模型!$D$33:$D$42/(1+$A11)^估值模型!$B$33:$B$42)+估值模型!$D$42*(1+D$6)/($A11-D$6)/(1+$A11)^10)*1+估值模型!$D$48+估值模型!$D$49)/估值模型!$D$19</f>
        <v>22.6359026722982</v>
      </c>
      <c r="E11" s="72" t="n">
        <f aca="false">((SUMPRODUCT(估值模型!$D$33:$D$42/(1+$A11)^估值模型!$B$33:$B$42)+估值模型!$D$42*(1+E$6)/($A11-E$6)/(1+$A11)^10)*1+估值模型!$D$48+估值模型!$D$49)/估值模型!$D$19</f>
        <v>23.3448274824841</v>
      </c>
      <c r="F11" s="72" t="n">
        <f aca="false">((SUMPRODUCT(估值模型!$D$33:$D$42/(1+$A11)^估值模型!$B$33:$B$42)+估值模型!$D$42*(1+F$6)/($A11-F$6)/(1+$A11)^10)*1+估值模型!$D$48+估值模型!$D$49)/估值模型!$D$19</f>
        <v>24.1550272655537</v>
      </c>
      <c r="J11" s="86"/>
    </row>
    <row r="12" customFormat="false" ht="15" hidden="false" customHeight="false" outlineLevel="0" collapsed="false">
      <c r="A12" s="85" t="n">
        <v>0.11</v>
      </c>
      <c r="B12" s="72" t="n">
        <f aca="false">((SUMPRODUCT(估值模型!$D$33:$D$42/(1+$A12)^估值模型!$B$33:$B$42)+估值模型!$D$42*(1+B$6)/($A12-B$6)/(1+$A12)^10)*1+估值模型!$D$48+估值模型!$D$49)/估值模型!$D$19</f>
        <v>19.4357519077007</v>
      </c>
      <c r="C12" s="72" t="n">
        <f aca="false">((SUMPRODUCT(估值模型!$D$33:$D$42/(1+$A12)^估值模型!$B$33:$B$42)+估值模型!$D$42*(1+C$6)/($A12-C$6)/(1+$A12)^10)*1+估值模型!$D$48+估值模型!$D$49)/估值模型!$D$19</f>
        <v>19.8484715875955</v>
      </c>
      <c r="D12" s="72" t="n">
        <f aca="false">((SUMPRODUCT(估值模型!$D$33:$D$42/(1+$A12)^估值模型!$B$33:$B$42)+估值模型!$D$42*(1+D$6)/($A12-D$6)/(1+$A12)^10)*1+估值模型!$D$48+估值模型!$D$49)/估值模型!$D$19</f>
        <v>20.3070490097008</v>
      </c>
      <c r="E12" s="72" t="n">
        <f aca="false">((SUMPRODUCT(估值模型!$D$33:$D$42/(1+$A12)^估值模型!$B$33:$B$42)+估值模型!$D$42*(1+E$6)/($A12-E$6)/(1+$A12)^10)*1+估值模型!$D$48+估值模型!$D$49)/估值模型!$D$19</f>
        <v>20.8195767167597</v>
      </c>
      <c r="F12" s="72" t="n">
        <f aca="false">((SUMPRODUCT(估值模型!$D$33:$D$42/(1+$A12)^估值模型!$B$33:$B$42)+估值模型!$D$42*(1+F$6)/($A12-F$6)/(1+$A12)^10)*1+估值模型!$D$48+估值模型!$D$49)/估值模型!$D$19</f>
        <v>21.396170387201</v>
      </c>
      <c r="J12" s="86"/>
    </row>
    <row r="14" customFormat="false" ht="24" hidden="false" customHeight="true" outlineLevel="0" collapsed="false">
      <c r="A14" s="11" t="s">
        <v>210</v>
      </c>
      <c r="B14" s="11"/>
      <c r="C14" s="11"/>
      <c r="D14" s="11"/>
      <c r="E14" s="11"/>
      <c r="F14" s="11"/>
      <c r="G14" s="11"/>
      <c r="H14" s="11"/>
    </row>
    <row r="15" customFormat="false" ht="15" hidden="false" customHeight="false" outlineLevel="0" collapsed="false">
      <c r="A15" s="49" t="s">
        <v>211</v>
      </c>
      <c r="B15" s="85" t="n">
        <v>0.08</v>
      </c>
      <c r="C15" s="85" t="n">
        <v>0.085</v>
      </c>
      <c r="D15" s="85" t="n">
        <v>0.09</v>
      </c>
      <c r="E15" s="85" t="n">
        <v>0.1</v>
      </c>
      <c r="F15" s="85" t="n">
        <v>0.11</v>
      </c>
    </row>
    <row r="16" customFormat="false" ht="15" hidden="false" customHeight="true" outlineLevel="0" collapsed="false">
      <c r="A16" s="87" t="n">
        <v>115</v>
      </c>
      <c r="B16" s="72" t="n">
        <f aca="false">((SUMPRODUCT(估值模型!$D$33:$D$42/(1+B$15)^估值模型!$B$33:$B$42)+估值模型!$D$42*(1+估值模型!$D$12)/(B$15-估值模型!$D$12)/(1+B$15)^10)*$A16/估值模型!$D$9+估值模型!$D$48+估值模型!$D$49)/估值模型!$D$19</f>
        <v>23.8659981648757</v>
      </c>
      <c r="C16" s="72" t="n">
        <f aca="false">((SUMPRODUCT(估值模型!$D$33:$D$42/(1+C$15)^估值模型!$B$33:$B$42)+估值模型!$D$42*(1+估值模型!$D$12)/(C$15-估值模型!$D$12)/(1+C$15)^10)*$A16/估值模型!$D$9+估值模型!$D$48+估值模型!$D$49)/估值模型!$D$19</f>
        <v>22.1603323163882</v>
      </c>
      <c r="D16" s="72" t="n">
        <f aca="false">((SUMPRODUCT(估值模型!$D$33:$D$42/(1+D$15)^估值模型!$B$33:$B$42)+估值模型!$D$42*(1+估值模型!$D$12)/(D$15-估值模型!$D$12)/(1+D$15)^10)*$A16/估值模型!$D$9+估值模型!$D$48+估值模型!$D$49)/估值模型!$D$19</f>
        <v>20.6984605353016</v>
      </c>
      <c r="E16" s="72" t="n">
        <f aca="false">((SUMPRODUCT(估值模型!$D$33:$D$42/(1+E$15)^估值模型!$B$33:$B$42)+估值模型!$D$42*(1+估值模型!$D$12)/(E$15-估值模型!$D$12)/(1+E$15)^10)*$A16/估值模型!$D$9+估值模型!$D$48+估值模型!$D$49)/估值模型!$D$19</f>
        <v>18.3232431439873</v>
      </c>
      <c r="F16" s="72" t="n">
        <f aca="false">((SUMPRODUCT(估值模型!$D$33:$D$42/(1+F$15)^估值模型!$B$33:$B$42)+估值模型!$D$42*(1+估值模型!$D$12)/(F$15-估值模型!$D$12)/(1+F$15)^10)*$A16/估值模型!$D$9+估值模型!$D$48+估值模型!$D$49)/估值模型!$D$19</f>
        <v>16.4762212736515</v>
      </c>
      <c r="J16" s="86" t="s">
        <v>212</v>
      </c>
    </row>
    <row r="17" customFormat="false" ht="15" hidden="false" customHeight="false" outlineLevel="0" collapsed="false">
      <c r="A17" s="87" t="n">
        <v>125</v>
      </c>
      <c r="B17" s="72" t="n">
        <f aca="false">((SUMPRODUCT(估值模型!$D$33:$D$42/(1+B$15)^估值模型!$B$33:$B$42)+估值模型!$D$42*(1+估值模型!$D$12)/(B$15-估值模型!$D$12)/(1+B$15)^10)*$A17/估值模型!$D$9+估值模型!$D$48+估值模型!$D$49)/估值模型!$D$19</f>
        <v>25.7855300384479</v>
      </c>
      <c r="C17" s="72" t="n">
        <f aca="false">((SUMPRODUCT(估值模型!$D$33:$D$42/(1+C$15)^估值模型!$B$33:$B$42)+估值模型!$D$42*(1+估值模型!$D$12)/(C$15-估值模型!$D$12)/(1+C$15)^10)*$A17/估值模型!$D$9+估值模型!$D$48+估值模型!$D$49)/估值模型!$D$19</f>
        <v>23.9315454205267</v>
      </c>
      <c r="D17" s="72" t="n">
        <f aca="false">((SUMPRODUCT(估值模型!$D$33:$D$42/(1+D$15)^估值模型!$B$33:$B$42)+估值模型!$D$42*(1+估值模型!$D$12)/(D$15-估值模型!$D$12)/(1+D$15)^10)*$A17/估值模型!$D$9+估值模型!$D$48+估值模型!$D$49)/估值模型!$D$19</f>
        <v>22.3425543541282</v>
      </c>
      <c r="E17" s="72" t="n">
        <f aca="false">((SUMPRODUCT(估值模型!$D$33:$D$42/(1+E$15)^估值模型!$B$33:$B$42)+估值模型!$D$42*(1+估值模型!$D$12)/(E$15-估值模型!$D$12)/(1+E$15)^10)*$A17/估值模型!$D$9+估值模型!$D$48+估值模型!$D$49)/估值模型!$D$19</f>
        <v>19.7607963200909</v>
      </c>
      <c r="F17" s="72" t="n">
        <f aca="false">((SUMPRODUCT(估值模型!$D$33:$D$42/(1+F$15)^估值模型!$B$33:$B$42)+估值模型!$D$42*(1+估值模型!$D$12)/(F$15-估值模型!$D$12)/(1+F$15)^10)*$A17/估值模型!$D$9+估值模型!$D$48+估值模型!$D$49)/估值模型!$D$19</f>
        <v>17.7531638523346</v>
      </c>
      <c r="J17" s="86"/>
    </row>
    <row r="18" customFormat="false" ht="15" hidden="false" customHeight="false" outlineLevel="0" collapsed="false">
      <c r="A18" s="87" t="n">
        <v>135</v>
      </c>
      <c r="B18" s="72" t="n">
        <f aca="false">((SUMPRODUCT(估值模型!$D$33:$D$42/(1+B$15)^估值模型!$B$33:$B$42)+估值模型!$D$42*(1+估值模型!$D$12)/(B$15-估值模型!$D$12)/(1+B$15)^10)*$A18/估值模型!$D$9+估值模型!$D$48+估值模型!$D$49)/估值模型!$D$19</f>
        <v>27.7050619120201</v>
      </c>
      <c r="C18" s="72" t="n">
        <f aca="false">((SUMPRODUCT(估值模型!$D$33:$D$42/(1+C$15)^估值模型!$B$33:$B$42)+估值模型!$D$42*(1+估值模型!$D$12)/(C$15-估值模型!$D$12)/(1+C$15)^10)*$A18/估值模型!$D$9+估值模型!$D$48+估值模型!$D$49)/估值模型!$D$19</f>
        <v>25.7027585246652</v>
      </c>
      <c r="D18" s="72" t="n">
        <f aca="false">((SUMPRODUCT(估值模型!$D$33:$D$42/(1+D$15)^估值模型!$B$33:$B$42)+估值模型!$D$42*(1+估值模型!$D$12)/(D$15-估值模型!$D$12)/(1+D$15)^10)*$A18/估值模型!$D$9+估值模型!$D$48+估值模型!$D$49)/估值模型!$D$19</f>
        <v>23.9866481729548</v>
      </c>
      <c r="E18" s="72" t="n">
        <f aca="false">((SUMPRODUCT(估值模型!$D$33:$D$42/(1+E$15)^估值模型!$B$33:$B$42)+估值模型!$D$42*(1+估值模型!$D$12)/(E$15-估值模型!$D$12)/(1+E$15)^10)*$A18/估值模型!$D$9+估值模型!$D$48+估值模型!$D$49)/估值模型!$D$19</f>
        <v>21.1983494961946</v>
      </c>
      <c r="F18" s="72" t="n">
        <f aca="false">((SUMPRODUCT(估值模型!$D$33:$D$42/(1+F$15)^估值模型!$B$33:$B$42)+估值模型!$D$42*(1+估值模型!$D$12)/(F$15-估值模型!$D$12)/(1+F$15)^10)*$A18/估值模型!$D$9+估值模型!$D$48+估值模型!$D$49)/估值模型!$D$19</f>
        <v>19.0301064310177</v>
      </c>
      <c r="J18" s="86"/>
    </row>
    <row r="19" customFormat="false" ht="15" hidden="false" customHeight="false" outlineLevel="0" collapsed="false">
      <c r="A19" s="87" t="n">
        <v>145</v>
      </c>
      <c r="B19" s="72" t="n">
        <f aca="false">((SUMPRODUCT(估值模型!$D$33:$D$42/(1+B$15)^估值模型!$B$33:$B$42)+估值模型!$D$42*(1+估值模型!$D$12)/(B$15-估值模型!$D$12)/(1+B$15)^10)*$A19/估值模型!$D$9+估值模型!$D$48+估值模型!$D$49)/估值模型!$D$19</f>
        <v>29.6245937855923</v>
      </c>
      <c r="C19" s="72" t="n">
        <f aca="false">((SUMPRODUCT(估值模型!$D$33:$D$42/(1+C$15)^估值模型!$B$33:$B$42)+估值模型!$D$42*(1+估值模型!$D$12)/(C$15-估值模型!$D$12)/(1+C$15)^10)*$A19/估值模型!$D$9+估值模型!$D$48+估值模型!$D$49)/估值模型!$D$19</f>
        <v>27.4739716288037</v>
      </c>
      <c r="D19" s="72" t="n">
        <f aca="false">((SUMPRODUCT(估值模型!$D$33:$D$42/(1+D$15)^估值模型!$B$33:$B$42)+估值模型!$D$42*(1+估值模型!$D$12)/(D$15-估值模型!$D$12)/(1+D$15)^10)*$A19/估值模型!$D$9+估值模型!$D$48+估值模型!$D$49)/估值模型!$D$19</f>
        <v>25.6307419917814</v>
      </c>
      <c r="E19" s="72" t="n">
        <f aca="false">((SUMPRODUCT(估值模型!$D$33:$D$42/(1+E$15)^估值模型!$B$33:$B$42)+估值模型!$D$42*(1+估值模型!$D$12)/(E$15-估值模型!$D$12)/(1+E$15)^10)*$A19/估值模型!$D$9+估值模型!$D$48+估值模型!$D$49)/估值模型!$D$19</f>
        <v>22.6359026722982</v>
      </c>
      <c r="F19" s="72" t="n">
        <f aca="false">((SUMPRODUCT(估值模型!$D$33:$D$42/(1+F$15)^估值模型!$B$33:$B$42)+估值模型!$D$42*(1+估值模型!$D$12)/(F$15-估值模型!$D$12)/(1+F$15)^10)*$A19/估值模型!$D$9+估值模型!$D$48+估值模型!$D$49)/估值模型!$D$19</f>
        <v>20.3070490097008</v>
      </c>
      <c r="J19" s="86"/>
    </row>
    <row r="20" customFormat="false" ht="15" hidden="false" customHeight="false" outlineLevel="0" collapsed="false">
      <c r="A20" s="87" t="n">
        <v>155</v>
      </c>
      <c r="B20" s="72" t="n">
        <f aca="false">((SUMPRODUCT(估值模型!$D$33:$D$42/(1+B$15)^估值模型!$B$33:$B$42)+估值模型!$D$42*(1+估值模型!$D$12)/(B$15-估值模型!$D$12)/(1+B$15)^10)*$A20/估值模型!$D$9+估值模型!$D$48+估值模型!$D$49)/估值模型!$D$19</f>
        <v>31.5441256591645</v>
      </c>
      <c r="C20" s="72" t="n">
        <f aca="false">((SUMPRODUCT(估值模型!$D$33:$D$42/(1+C$15)^估值模型!$B$33:$B$42)+估值模型!$D$42*(1+估值模型!$D$12)/(C$15-估值模型!$D$12)/(1+C$15)^10)*$A20/估值模型!$D$9+估值模型!$D$48+估值模型!$D$49)/估值模型!$D$19</f>
        <v>29.2451847329422</v>
      </c>
      <c r="D20" s="72" t="n">
        <f aca="false">((SUMPRODUCT(估值模型!$D$33:$D$42/(1+D$15)^估值模型!$B$33:$B$42)+估值模型!$D$42*(1+估值模型!$D$12)/(D$15-估值模型!$D$12)/(1+D$15)^10)*$A20/估值模型!$D$9+估值模型!$D$48+估值模型!$D$49)/估值模型!$D$19</f>
        <v>27.2748358106081</v>
      </c>
      <c r="E20" s="72" t="n">
        <f aca="false">((SUMPRODUCT(估值模型!$D$33:$D$42/(1+E$15)^估值模型!$B$33:$B$42)+估值模型!$D$42*(1+估值模型!$D$12)/(E$15-估值模型!$D$12)/(1+E$15)^10)*$A20/估值模型!$D$9+估值模型!$D$48+估值模型!$D$49)/估值模型!$D$19</f>
        <v>24.0734558484018</v>
      </c>
      <c r="F20" s="72" t="n">
        <f aca="false">((SUMPRODUCT(估值模型!$D$33:$D$42/(1+F$15)^估值模型!$B$33:$B$42)+估值模型!$D$42*(1+估值模型!$D$12)/(F$15-估值模型!$D$12)/(1+F$15)^10)*$A20/估值模型!$D$9+估值模型!$D$48+估值模型!$D$49)/估值模型!$D$19</f>
        <v>21.5839915883839</v>
      </c>
      <c r="J20" s="86"/>
    </row>
    <row r="21" customFormat="false" ht="15" hidden="false" customHeight="false" outlineLevel="0" collapsed="false">
      <c r="A21" s="87" t="n">
        <v>170</v>
      </c>
      <c r="B21" s="72" t="n">
        <f aca="false">((SUMPRODUCT(估值模型!$D$33:$D$42/(1+B$15)^估值模型!$B$33:$B$42)+估值模型!$D$42*(1+估值模型!$D$12)/(B$15-估值模型!$D$12)/(1+B$15)^10)*$A21/估值模型!$D$9+估值模型!$D$48+估值模型!$D$49)/估值模型!$D$19</f>
        <v>34.4234234695227</v>
      </c>
      <c r="C21" s="72" t="n">
        <f aca="false">((SUMPRODUCT(估值模型!$D$33:$D$42/(1+C$15)^估值模型!$B$33:$B$42)+估值模型!$D$42*(1+估值模型!$D$12)/(C$15-估值模型!$D$12)/(1+C$15)^10)*$A21/估值模型!$D$9+估值模型!$D$48+估值模型!$D$49)/估值模型!$D$19</f>
        <v>31.9020043891499</v>
      </c>
      <c r="D21" s="72" t="n">
        <f aca="false">((SUMPRODUCT(估值模型!$D$33:$D$42/(1+D$15)^估值模型!$B$33:$B$42)+估值模型!$D$42*(1+估值模型!$D$12)/(D$15-估值模型!$D$12)/(1+D$15)^10)*$A21/估值模型!$D$9+估值模型!$D$48+估值模型!$D$49)/估值模型!$D$19</f>
        <v>29.740976538848</v>
      </c>
      <c r="E21" s="72" t="n">
        <f aca="false">((SUMPRODUCT(估值模型!$D$33:$D$42/(1+E$15)^估值模型!$B$33:$B$42)+估值模型!$D$42*(1+估值模型!$D$12)/(E$15-估值模型!$D$12)/(1+E$15)^10)*$A21/估值模型!$D$9+估值模型!$D$48+估值模型!$D$49)/估值模型!$D$19</f>
        <v>26.2297856125572</v>
      </c>
      <c r="F21" s="72" t="n">
        <f aca="false">((SUMPRODUCT(估值模型!$D$33:$D$42/(1+F$15)^估值模型!$B$33:$B$42)+估值模型!$D$42*(1+估值模型!$D$12)/(F$15-估值模型!$D$12)/(1+F$15)^10)*$A21/估值模型!$D$9+估值模型!$D$48+估值模型!$D$49)/估值模型!$D$19</f>
        <v>23.4994054564086</v>
      </c>
      <c r="J21" s="86"/>
    </row>
    <row r="22" customFormat="false" ht="15" hidden="false" customHeight="false" outlineLevel="0" collapsed="false">
      <c r="A22" s="87" t="n">
        <v>185</v>
      </c>
      <c r="B22" s="72" t="n">
        <f aca="false">((SUMPRODUCT(估值模型!$D$33:$D$42/(1+B$15)^估值模型!$B$33:$B$42)+估值模型!$D$42*(1+估值模型!$D$12)/(B$15-估值模型!$D$12)/(1+B$15)^10)*$A22/估值模型!$D$9+估值模型!$D$48+估值模型!$D$49)/估值模型!$D$19</f>
        <v>37.302721279881</v>
      </c>
      <c r="C22" s="72" t="n">
        <f aca="false">((SUMPRODUCT(估值模型!$D$33:$D$42/(1+C$15)^估值模型!$B$33:$B$42)+估值模型!$D$42*(1+估值模型!$D$12)/(C$15-估值模型!$D$12)/(1+C$15)^10)*$A22/估值模型!$D$9+估值模型!$D$48+估值模型!$D$49)/估值模型!$D$19</f>
        <v>34.5588240453577</v>
      </c>
      <c r="D22" s="72" t="n">
        <f aca="false">((SUMPRODUCT(估值模型!$D$33:$D$42/(1+D$15)^估值模型!$B$33:$B$42)+估值模型!$D$42*(1+估值模型!$D$12)/(D$15-估值模型!$D$12)/(1+D$15)^10)*$A22/估值模型!$D$9+估值模型!$D$48+估值模型!$D$49)/估值模型!$D$19</f>
        <v>32.2071172670879</v>
      </c>
      <c r="E22" s="72" t="n">
        <f aca="false">((SUMPRODUCT(估值模型!$D$33:$D$42/(1+E$15)^估值模型!$B$33:$B$42)+估值模型!$D$42*(1+估值模型!$D$12)/(E$15-估值模型!$D$12)/(1+E$15)^10)*$A22/估值模型!$D$9+估值模型!$D$48+估值模型!$D$49)/估值模型!$D$19</f>
        <v>28.3861153767127</v>
      </c>
      <c r="F22" s="72" t="n">
        <f aca="false">((SUMPRODUCT(估值模型!$D$33:$D$42/(1+F$15)^估值模型!$B$33:$B$42)+估值模型!$D$42*(1+估值模型!$D$12)/(F$15-估值模型!$D$12)/(1+F$15)^10)*$A22/估值模型!$D$9+估值模型!$D$48+估值模型!$D$49)/估值模型!$D$19</f>
        <v>25.4148193244333</v>
      </c>
      <c r="J22" s="86"/>
    </row>
    <row r="24" customFormat="false" ht="24" hidden="false" customHeight="true" outlineLevel="0" collapsed="false">
      <c r="A24" s="11" t="s">
        <v>213</v>
      </c>
      <c r="B24" s="11"/>
      <c r="C24" s="11"/>
      <c r="D24" s="11"/>
      <c r="E24" s="11"/>
      <c r="F24" s="11"/>
      <c r="G24" s="11"/>
      <c r="H24" s="11"/>
    </row>
    <row r="25" customFormat="false" ht="15" hidden="false" customHeight="false" outlineLevel="0" collapsed="false">
      <c r="A25" s="49" t="s">
        <v>214</v>
      </c>
      <c r="B25" s="88" t="n">
        <v>8</v>
      </c>
      <c r="C25" s="88" t="n">
        <v>10</v>
      </c>
      <c r="D25" s="88" t="n">
        <v>11</v>
      </c>
      <c r="E25" s="88" t="n">
        <v>12</v>
      </c>
      <c r="F25" s="88" t="n">
        <v>13</v>
      </c>
      <c r="G25" s="88" t="n">
        <v>14</v>
      </c>
      <c r="H25" s="88" t="n">
        <v>16</v>
      </c>
    </row>
    <row r="26" customFormat="false" ht="15" hidden="false" customHeight="true" outlineLevel="0" collapsed="false">
      <c r="A26" s="87" t="n">
        <v>150</v>
      </c>
      <c r="B26" s="72" t="n">
        <f aca="false">$A26/估值模型!$D$19*B$25</f>
        <v>12.9700559499009</v>
      </c>
      <c r="C26" s="72" t="n">
        <f aca="false">$A26/估值模型!$D$19*C$25</f>
        <v>16.2125699373762</v>
      </c>
      <c r="D26" s="72" t="n">
        <f aca="false">$A26/估值模型!$D$19*D$25</f>
        <v>17.8338269311138</v>
      </c>
      <c r="E26" s="72" t="n">
        <f aca="false">$A26/估值模型!$D$19*E$25</f>
        <v>19.4550839248514</v>
      </c>
      <c r="F26" s="72" t="n">
        <f aca="false">$A26/估值模型!$D$19*F$25</f>
        <v>21.076340918589</v>
      </c>
      <c r="G26" s="72" t="n">
        <f aca="false">$A26/估值模型!$D$19*G$25</f>
        <v>22.6975979123267</v>
      </c>
      <c r="H26" s="72" t="n">
        <f aca="false">$A26/估值模型!$D$19*H$25</f>
        <v>25.9401118998019</v>
      </c>
      <c r="J26" s="86" t="s">
        <v>215</v>
      </c>
    </row>
    <row r="27" customFormat="false" ht="15" hidden="false" customHeight="false" outlineLevel="0" collapsed="false">
      <c r="A27" s="87" t="n">
        <v>165</v>
      </c>
      <c r="B27" s="72" t="n">
        <f aca="false">$A27/估值模型!$D$19*B$25</f>
        <v>14.267061544891</v>
      </c>
      <c r="C27" s="72" t="n">
        <f aca="false">$A27/估值模型!$D$19*C$25</f>
        <v>17.8338269311138</v>
      </c>
      <c r="D27" s="72" t="n">
        <f aca="false">$A27/估值模型!$D$19*D$25</f>
        <v>19.6172096242252</v>
      </c>
      <c r="E27" s="72" t="n">
        <f aca="false">$A27/估值模型!$D$19*E$25</f>
        <v>21.4005923173366</v>
      </c>
      <c r="F27" s="72" t="n">
        <f aca="false">$A27/估值模型!$D$19*F$25</f>
        <v>23.1839750104479</v>
      </c>
      <c r="G27" s="72" t="n">
        <f aca="false">$A27/估值模型!$D$19*G$25</f>
        <v>24.9673577035593</v>
      </c>
      <c r="H27" s="72" t="n">
        <f aca="false">$A27/估值模型!$D$19*H$25</f>
        <v>28.5341230897821</v>
      </c>
      <c r="J27" s="86"/>
    </row>
    <row r="28" customFormat="false" ht="15" hidden="false" customHeight="false" outlineLevel="0" collapsed="false">
      <c r="A28" s="87" t="n">
        <v>175</v>
      </c>
      <c r="B28" s="72" t="n">
        <f aca="false">$A28/估值模型!$D$19*B$25</f>
        <v>15.1317319415511</v>
      </c>
      <c r="C28" s="72" t="n">
        <f aca="false">$A28/估值模型!$D$19*C$25</f>
        <v>18.9146649269389</v>
      </c>
      <c r="D28" s="72" t="n">
        <f aca="false">$A28/估值模型!$D$19*D$25</f>
        <v>20.8061314196328</v>
      </c>
      <c r="E28" s="72" t="n">
        <f aca="false">$A28/估值模型!$D$19*E$25</f>
        <v>22.6975979123267</v>
      </c>
      <c r="F28" s="72" t="n">
        <f aca="false">$A28/估值模型!$D$19*F$25</f>
        <v>24.5890644050205</v>
      </c>
      <c r="G28" s="72" t="n">
        <f aca="false">$A28/估值模型!$D$19*G$25</f>
        <v>26.4805308977144</v>
      </c>
      <c r="H28" s="72" t="n">
        <f aca="false">$A28/估值模型!$D$19*H$25</f>
        <v>30.2634638831022</v>
      </c>
      <c r="J28" s="86"/>
    </row>
    <row r="29" customFormat="false" ht="15" hidden="false" customHeight="false" outlineLevel="0" collapsed="false">
      <c r="A29" s="87" t="n">
        <v>185</v>
      </c>
      <c r="B29" s="72" t="n">
        <f aca="false">$A29/估值模型!$D$19*B$25</f>
        <v>15.9964023382112</v>
      </c>
      <c r="C29" s="72" t="n">
        <f aca="false">$A29/估值模型!$D$19*C$25</f>
        <v>19.995502922764</v>
      </c>
      <c r="D29" s="72" t="n">
        <f aca="false">$A29/估值模型!$D$19*D$25</f>
        <v>21.9950532150404</v>
      </c>
      <c r="E29" s="72" t="n">
        <f aca="false">$A29/估值模型!$D$19*E$25</f>
        <v>23.9946035073167</v>
      </c>
      <c r="F29" s="72" t="n">
        <f aca="false">$A29/估值模型!$D$19*F$25</f>
        <v>25.9941537995931</v>
      </c>
      <c r="G29" s="72" t="n">
        <f aca="false">$A29/估值模型!$D$19*G$25</f>
        <v>27.9937040918695</v>
      </c>
      <c r="H29" s="72" t="n">
        <f aca="false">$A29/估值模型!$D$19*H$25</f>
        <v>31.9928046764223</v>
      </c>
      <c r="J29" s="86"/>
    </row>
    <row r="30" customFormat="false" ht="15" hidden="false" customHeight="false" outlineLevel="0" collapsed="false">
      <c r="A30" s="87" t="n">
        <v>195</v>
      </c>
      <c r="B30" s="72" t="n">
        <f aca="false">$A30/估值模型!$D$19*B$25</f>
        <v>16.8610727348712</v>
      </c>
      <c r="C30" s="72" t="n">
        <f aca="false">$A30/估值模型!$D$19*C$25</f>
        <v>21.076340918589</v>
      </c>
      <c r="D30" s="72" t="n">
        <f aca="false">$A30/估值模型!$D$19*D$25</f>
        <v>23.1839750104479</v>
      </c>
      <c r="E30" s="72" t="n">
        <f aca="false">$A30/估值模型!$D$19*E$25</f>
        <v>25.2916091023068</v>
      </c>
      <c r="F30" s="72" t="n">
        <f aca="false">$A30/估值模型!$D$19*F$25</f>
        <v>27.3992431941657</v>
      </c>
      <c r="G30" s="72" t="n">
        <f aca="false">$A30/估值模型!$D$19*G$25</f>
        <v>29.5068772860246</v>
      </c>
      <c r="H30" s="72" t="n">
        <f aca="false">$A30/估值模型!$D$19*H$25</f>
        <v>33.7221454697425</v>
      </c>
      <c r="J30" s="86"/>
    </row>
    <row r="31" customFormat="false" ht="15" hidden="false" customHeight="false" outlineLevel="0" collapsed="false">
      <c r="A31" s="87" t="n">
        <v>205</v>
      </c>
      <c r="B31" s="72" t="n">
        <f aca="false">$A31/估值模型!$D$19*B$25</f>
        <v>17.7257431315313</v>
      </c>
      <c r="C31" s="72" t="n">
        <f aca="false">$A31/估值模型!$D$19*C$25</f>
        <v>22.1571789144141</v>
      </c>
      <c r="D31" s="72" t="n">
        <f aca="false">$A31/估值模型!$D$19*D$25</f>
        <v>24.3728968058555</v>
      </c>
      <c r="E31" s="72" t="n">
        <f aca="false">$A31/估值模型!$D$19*E$25</f>
        <v>26.5886146972969</v>
      </c>
      <c r="F31" s="72" t="n">
        <f aca="false">$A31/估值模型!$D$19*F$25</f>
        <v>28.8043325887383</v>
      </c>
      <c r="G31" s="72" t="n">
        <f aca="false">$A31/估值模型!$D$19*G$25</f>
        <v>31.0200504801798</v>
      </c>
      <c r="H31" s="72" t="n">
        <f aca="false">$A31/估值模型!$D$19*H$25</f>
        <v>35.4514862630626</v>
      </c>
      <c r="J31" s="86"/>
    </row>
    <row r="32" customFormat="false" ht="15" hidden="false" customHeight="false" outlineLevel="0" collapsed="false">
      <c r="A32" s="87" t="n">
        <v>220</v>
      </c>
      <c r="B32" s="72" t="n">
        <f aca="false">$A32/估值模型!$D$19*B$25</f>
        <v>19.0227487265214</v>
      </c>
      <c r="C32" s="72" t="n">
        <f aca="false">$A32/估值模型!$D$19*C$25</f>
        <v>23.7784359081517</v>
      </c>
      <c r="D32" s="72" t="n">
        <f aca="false">$A32/估值模型!$D$19*D$25</f>
        <v>26.1562794989669</v>
      </c>
      <c r="E32" s="72" t="n">
        <f aca="false">$A32/估值模型!$D$19*E$25</f>
        <v>28.5341230897821</v>
      </c>
      <c r="F32" s="72" t="n">
        <f aca="false">$A32/估值模型!$D$19*F$25</f>
        <v>30.9119666805973</v>
      </c>
      <c r="G32" s="72" t="n">
        <f aca="false">$A32/估值模型!$D$19*G$25</f>
        <v>33.2898102714124</v>
      </c>
      <c r="H32" s="72" t="n">
        <f aca="false">$A32/估值模型!$D$19*H$25</f>
        <v>38.0454974530428</v>
      </c>
      <c r="J32" s="86"/>
    </row>
    <row r="34" customFormat="false" ht="24" hidden="false" customHeight="true" outlineLevel="0" collapsed="false">
      <c r="A34" s="11" t="s">
        <v>216</v>
      </c>
      <c r="B34" s="11"/>
      <c r="C34" s="11"/>
      <c r="D34" s="11"/>
      <c r="E34" s="11"/>
      <c r="F34" s="11"/>
      <c r="G34" s="11"/>
      <c r="H34" s="11"/>
    </row>
    <row r="35" customFormat="false" ht="15" hidden="false" customHeight="false" outlineLevel="0" collapsed="false">
      <c r="A35" s="64" t="s">
        <v>217</v>
      </c>
      <c r="B35" s="85" t="n">
        <v>0.04</v>
      </c>
      <c r="C35" s="85" t="n">
        <v>0.045</v>
      </c>
      <c r="D35" s="85" t="n">
        <v>0.05</v>
      </c>
      <c r="E35" s="85" t="n">
        <v>0.055</v>
      </c>
      <c r="F35" s="85" t="n">
        <v>0.06</v>
      </c>
      <c r="G35" s="85" t="n">
        <v>0.065</v>
      </c>
      <c r="H35" s="49" t="s">
        <v>218</v>
      </c>
    </row>
    <row r="36" customFormat="false" ht="15" hidden="false" customHeight="true" outlineLevel="0" collapsed="false">
      <c r="A36" s="89" t="n">
        <v>0.95</v>
      </c>
      <c r="B36" s="72" t="n">
        <f aca="false">$A36/B$35</f>
        <v>23.75</v>
      </c>
      <c r="C36" s="72" t="n">
        <f aca="false">$A36/C$35</f>
        <v>21.1111111111111</v>
      </c>
      <c r="D36" s="72" t="n">
        <f aca="false">$A36/D$35</f>
        <v>19</v>
      </c>
      <c r="E36" s="72" t="n">
        <f aca="false">$A36/E$35</f>
        <v>17.2727272727273</v>
      </c>
      <c r="F36" s="72" t="n">
        <f aca="false">$A36/F$35</f>
        <v>15.8333333333333</v>
      </c>
      <c r="G36" s="72" t="n">
        <f aca="false">$A36/G$35</f>
        <v>14.6153846153846</v>
      </c>
      <c r="H36" s="59" t="n">
        <f aca="false">$A36/$B$3</f>
        <v>0.0472401790154152</v>
      </c>
      <c r="J36" s="86" t="s">
        <v>219</v>
      </c>
    </row>
    <row r="37" customFormat="false" ht="15" hidden="false" customHeight="false" outlineLevel="0" collapsed="false">
      <c r="A37" s="89" t="n">
        <v>1.05</v>
      </c>
      <c r="B37" s="72" t="n">
        <f aca="false">$A37/B$35</f>
        <v>26.25</v>
      </c>
      <c r="C37" s="72" t="n">
        <f aca="false">$A37/C$35</f>
        <v>23.3333333333333</v>
      </c>
      <c r="D37" s="72" t="n">
        <f aca="false">$A37/D$35</f>
        <v>21</v>
      </c>
      <c r="E37" s="72" t="n">
        <f aca="false">$A37/E$35</f>
        <v>19.0909090909091</v>
      </c>
      <c r="F37" s="72" t="n">
        <f aca="false">$A37/F$35</f>
        <v>17.5</v>
      </c>
      <c r="G37" s="72" t="n">
        <f aca="false">$A37/G$35</f>
        <v>16.1538461538462</v>
      </c>
      <c r="H37" s="59" t="n">
        <f aca="false">$A37/$B$3</f>
        <v>0.0522128294380905</v>
      </c>
      <c r="J37" s="86"/>
    </row>
    <row r="38" customFormat="false" ht="15" hidden="false" customHeight="false" outlineLevel="0" collapsed="false">
      <c r="A38" s="89" t="n">
        <v>1.16</v>
      </c>
      <c r="B38" s="72" t="n">
        <f aca="false">$A38/B$35</f>
        <v>29</v>
      </c>
      <c r="C38" s="72" t="n">
        <f aca="false">$A38/C$35</f>
        <v>25.7777777777778</v>
      </c>
      <c r="D38" s="72" t="n">
        <f aca="false">$A38/D$35</f>
        <v>23.2</v>
      </c>
      <c r="E38" s="72" t="n">
        <f aca="false">$A38/E$35</f>
        <v>21.0909090909091</v>
      </c>
      <c r="F38" s="72" t="n">
        <f aca="false">$A38/F$35</f>
        <v>19.3333333333333</v>
      </c>
      <c r="G38" s="72" t="n">
        <f aca="false">$A38/G$35</f>
        <v>17.8461538461538</v>
      </c>
      <c r="H38" s="59" t="n">
        <f aca="false">$A38/$B$3</f>
        <v>0.0576827449030333</v>
      </c>
      <c r="J38" s="86"/>
    </row>
    <row r="39" customFormat="false" ht="15" hidden="false" customHeight="false" outlineLevel="0" collapsed="false">
      <c r="A39" s="89" t="n">
        <v>1.25</v>
      </c>
      <c r="B39" s="72" t="n">
        <f aca="false">$A39/B$35</f>
        <v>31.25</v>
      </c>
      <c r="C39" s="72" t="n">
        <f aca="false">$A39/C$35</f>
        <v>27.7777777777778</v>
      </c>
      <c r="D39" s="72" t="n">
        <f aca="false">$A39/D$35</f>
        <v>25</v>
      </c>
      <c r="E39" s="72" t="n">
        <f aca="false">$A39/E$35</f>
        <v>22.7272727272727</v>
      </c>
      <c r="F39" s="72" t="n">
        <f aca="false">$A39/F$35</f>
        <v>20.8333333333333</v>
      </c>
      <c r="G39" s="72" t="n">
        <f aca="false">$A39/G$35</f>
        <v>19.2307692307692</v>
      </c>
      <c r="H39" s="59" t="n">
        <f aca="false">$A39/$B$3</f>
        <v>0.0621581302834411</v>
      </c>
      <c r="J39" s="86"/>
    </row>
    <row r="40" customFormat="false" ht="15" hidden="false" customHeight="false" outlineLevel="0" collapsed="false">
      <c r="A40" s="89" t="n">
        <v>1.35</v>
      </c>
      <c r="B40" s="72" t="n">
        <f aca="false">$A40/B$35</f>
        <v>33.75</v>
      </c>
      <c r="C40" s="72" t="n">
        <f aca="false">$A40/C$35</f>
        <v>30</v>
      </c>
      <c r="D40" s="72" t="n">
        <f aca="false">$A40/D$35</f>
        <v>27</v>
      </c>
      <c r="E40" s="72" t="n">
        <f aca="false">$A40/E$35</f>
        <v>24.5454545454545</v>
      </c>
      <c r="F40" s="72" t="n">
        <f aca="false">$A40/F$35</f>
        <v>22.5</v>
      </c>
      <c r="G40" s="72" t="n">
        <f aca="false">$A40/G$35</f>
        <v>20.7692307692308</v>
      </c>
      <c r="H40" s="59" t="n">
        <f aca="false">$A40/$B$3</f>
        <v>0.0671307807061164</v>
      </c>
      <c r="J40" s="86"/>
    </row>
  </sheetData>
  <mergeCells count="11">
    <mergeCell ref="A1:J1"/>
    <mergeCell ref="A2:J2"/>
    <mergeCell ref="C3:D3"/>
    <mergeCell ref="A5:H5"/>
    <mergeCell ref="J7:J12"/>
    <mergeCell ref="A14:H14"/>
    <mergeCell ref="J16:J22"/>
    <mergeCell ref="A24:H24"/>
    <mergeCell ref="J26:J32"/>
    <mergeCell ref="A34:H34"/>
    <mergeCell ref="J36:J40"/>
  </mergeCells>
  <conditionalFormatting sqref="B7:F12">
    <cfRule type="expression" priority="2" aboveAverage="0" equalAverage="0" bottom="0" percent="0" rank="0" text="" dxfId="6">
      <formula>B7&gt;=$G$3</formula>
    </cfRule>
    <cfRule type="expression" priority="3" aboveAverage="0" equalAverage="0" bottom="0" percent="0" rank="0" text="" dxfId="7">
      <formula>AND(B7&gt;=$B$3,B7&lt;$G$3)</formula>
    </cfRule>
    <cfRule type="expression" priority="4" aboveAverage="0" equalAverage="0" bottom="0" percent="0" rank="0" text="" dxfId="8">
      <formula>B7&lt;$B$3</formula>
    </cfRule>
  </conditionalFormatting>
  <conditionalFormatting sqref="B16:F22">
    <cfRule type="expression" priority="5" aboveAverage="0" equalAverage="0" bottom="0" percent="0" rank="0" text="" dxfId="6">
      <formula>B16&gt;=$G$3</formula>
    </cfRule>
    <cfRule type="expression" priority="6" aboveAverage="0" equalAverage="0" bottom="0" percent="0" rank="0" text="" dxfId="7">
      <formula>AND(B16&gt;=$B$3,B16&lt;$G$3)</formula>
    </cfRule>
    <cfRule type="expression" priority="7" aboveAverage="0" equalAverage="0" bottom="0" percent="0" rank="0" text="" dxfId="8">
      <formula>B16&lt;$B$3</formula>
    </cfRule>
  </conditionalFormatting>
  <conditionalFormatting sqref="B26:H32">
    <cfRule type="expression" priority="8" aboveAverage="0" equalAverage="0" bottom="0" percent="0" rank="0" text="" dxfId="6">
      <formula>B26&gt;=$G$3</formula>
    </cfRule>
    <cfRule type="expression" priority="9" aboveAverage="0" equalAverage="0" bottom="0" percent="0" rank="0" text="" dxfId="7">
      <formula>AND(B26&gt;=$B$3,B26&lt;$G$3)</formula>
    </cfRule>
    <cfRule type="expression" priority="10" aboveAverage="0" equalAverage="0" bottom="0" percent="0" rank="0" text="" dxfId="8">
      <formula>B26&lt;$B$3</formula>
    </cfRule>
  </conditionalFormatting>
  <conditionalFormatting sqref="B36:G40">
    <cfRule type="expression" priority="11" aboveAverage="0" equalAverage="0" bottom="0" percent="0" rank="0" text="" dxfId="6">
      <formula>B36&gt;=$G$3</formula>
    </cfRule>
    <cfRule type="expression" priority="12" aboveAverage="0" equalAverage="0" bottom="0" percent="0" rank="0" text="" dxfId="7">
      <formula>AND(B36&gt;=$B$3,B36&lt;$G$3)</formula>
    </cfRule>
    <cfRule type="expression" priority="13" aboveAverage="0" equalAverage="0" bottom="0" percent="0" rank="0" text="" dxfId="8">
      <formula>B36&lt;$B$3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2"/>
    <col collapsed="false" customWidth="true" hidden="false" outlineLevel="0" max="10" min="10" style="0" width="40"/>
    <col collapsed="false" customWidth="true" hidden="false" outlineLevel="0" max="11" min="11" style="0" width="3"/>
  </cols>
  <sheetData>
    <row r="1" customFormat="false" ht="36" hidden="false" customHeight="true" outlineLevel="0" collapsed="false">
      <c r="A1" s="1" t="s">
        <v>220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221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49" t="s">
        <v>222</v>
      </c>
      <c r="B4" s="64" t="s">
        <v>223</v>
      </c>
      <c r="C4" s="64" t="s">
        <v>224</v>
      </c>
      <c r="D4" s="64" t="s">
        <v>225</v>
      </c>
      <c r="E4" s="64" t="s">
        <v>226</v>
      </c>
      <c r="F4" s="64" t="s">
        <v>227</v>
      </c>
      <c r="G4" s="64" t="s">
        <v>228</v>
      </c>
      <c r="H4" s="64" t="s">
        <v>229</v>
      </c>
      <c r="I4" s="64" t="s">
        <v>230</v>
      </c>
      <c r="J4" s="49" t="s">
        <v>120</v>
      </c>
    </row>
    <row r="5" customFormat="false" ht="24" hidden="false" customHeight="true" outlineLevel="0" collapsed="false">
      <c r="A5" s="11" t="s">
        <v>231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15" hidden="false" customHeight="false" outlineLevel="0" collapsed="false">
      <c r="A6" s="44" t="s">
        <v>232</v>
      </c>
      <c r="B6" s="90" t="n">
        <f aca="false">(数据与来源!$C$23/100000000)</f>
        <v>2271.0581764169</v>
      </c>
      <c r="C6" s="90" t="n">
        <f aca="false">(数据与来源!$D$23/100000000)</f>
        <v>2435.7892495847</v>
      </c>
      <c r="D6" s="90" t="n">
        <f aca="false">(数据与来源!$E$23/100000000)</f>
        <v>2742.0452084797</v>
      </c>
      <c r="E6" s="90" t="n">
        <f aca="false">(数据与来源!$F$23/100000000)</f>
        <v>2860.1529493652</v>
      </c>
      <c r="F6" s="90" t="n">
        <f aca="false">(数据与来源!$G$23/100000000)</f>
        <v>3023.467839183</v>
      </c>
      <c r="G6" s="90" t="n">
        <f aca="false">(数据与来源!$H$23/100000000)</f>
        <v>1564.9403444885</v>
      </c>
      <c r="H6" s="90" t="n">
        <f aca="false">(数据与来源!$I$23/100000000)</f>
        <v>1521.1505023763</v>
      </c>
      <c r="I6" s="90" t="n">
        <f aca="false">((数据与来源!$G$23+数据与来源!$I$23-数据与来源!$H$23)/100000000)</f>
        <v>2979.6779970708</v>
      </c>
      <c r="J6" s="37"/>
    </row>
    <row r="7" customFormat="false" ht="15" hidden="false" customHeight="false" outlineLevel="0" collapsed="false">
      <c r="A7" s="60" t="s">
        <v>233</v>
      </c>
      <c r="B7" s="68" t="n">
        <f aca="false">(数据与来源!$C$23/100000000)/(数据与来源!$B$23/100000000)-1</f>
        <v>0.0828824302270093</v>
      </c>
      <c r="C7" s="68" t="n">
        <f aca="false">(数据与来源!$D$23/100000000)/(数据与来源!$C$23/100000000)-1</f>
        <v>0.0725349420276409</v>
      </c>
      <c r="D7" s="68" t="n">
        <f aca="false">(数据与来源!$E$23/100000000)/(数据与来源!$D$23/100000000)-1</f>
        <v>0.125731714657668</v>
      </c>
      <c r="E7" s="68" t="n">
        <f aca="false">(数据与来源!$F$23/100000000)/(数据与来源!$E$23/100000000)-1</f>
        <v>0.0430728641964966</v>
      </c>
      <c r="F7" s="68" t="n">
        <f aca="false">(数据与来源!$G$23/100000000)/(数据与来源!$F$23/100000000)-1</f>
        <v>0.0571000546855534</v>
      </c>
      <c r="G7" s="91" t="s">
        <v>234</v>
      </c>
      <c r="H7" s="68" t="n">
        <f aca="false">(数据与来源!$I$23/100000000)/(数据与来源!$H$23/100000000)-1</f>
        <v>-0.0279817964093148</v>
      </c>
      <c r="I7" s="91" t="s">
        <v>234</v>
      </c>
      <c r="J7" s="67" t="s">
        <v>235</v>
      </c>
    </row>
    <row r="8" customFormat="false" ht="15" hidden="false" customHeight="false" outlineLevel="0" collapsed="false">
      <c r="A8" s="60" t="s">
        <v>236</v>
      </c>
      <c r="B8" s="68" t="n">
        <f aca="false">1-(数据与来源!$C$24/100000000)/(数据与来源!$C$23/100000000)</f>
        <v>0.31331769203973</v>
      </c>
      <c r="C8" s="68" t="n">
        <f aca="false">1-(数据与来源!$D$24/100000000)/(数据与来源!$D$23/100000000)</f>
        <v>0.313309464435118</v>
      </c>
      <c r="D8" s="68" t="n">
        <f aca="false">1-(数据与来源!$E$24/100000000)/(数据与来源!$E$23/100000000)</f>
        <v>0.274853418967829</v>
      </c>
      <c r="E8" s="68" t="n">
        <f aca="false">1-(数据与来源!$F$24/100000000)/(数据与来源!$F$23/100000000)</f>
        <v>0.278222358629183</v>
      </c>
      <c r="F8" s="68" t="n">
        <f aca="false">1-(数据与来源!$G$24/100000000)/(数据与来源!$G$23/100000000)</f>
        <v>0.266607862337877</v>
      </c>
      <c r="G8" s="68" t="n">
        <f aca="false">1-(数据与来源!$H$24/100000000)/(数据与来源!$H$23/100000000)</f>
        <v>0.268739325995433</v>
      </c>
      <c r="H8" s="68" t="n">
        <f aca="false">1-(数据与来源!$I$24/100000000)/(数据与来源!$I$23/100000000)</f>
        <v>0.27229325533933</v>
      </c>
      <c r="I8" s="68" t="n">
        <f aca="false">1-((数据与来源!$G$24+数据与来源!$I$24-数据与来源!$H$24)/100000000)/((数据与来源!$G$23+数据与来源!$I$23-数据与来源!$H$23)/100000000)</f>
        <v>0.268390848605208</v>
      </c>
      <c r="J8" s="67" t="s">
        <v>237</v>
      </c>
    </row>
    <row r="9" customFormat="false" ht="15" hidden="false" customHeight="false" outlineLevel="0" collapsed="false">
      <c r="A9" s="60" t="s">
        <v>238</v>
      </c>
      <c r="B9" s="68" t="n">
        <f aca="false">(数据与来源!$C$25/100000000)/(数据与来源!$C$23/100000000)</f>
        <v>0.161089835654365</v>
      </c>
      <c r="C9" s="68" t="n">
        <f aca="false">(数据与来源!$D$25/100000000)/(数据与来源!$D$23/100000000)</f>
        <v>0.158471420637279</v>
      </c>
      <c r="D9" s="68" t="n">
        <f aca="false">(数据与来源!$E$25/100000000)/(数据与来源!$E$23/100000000)</f>
        <v>0.119351554513118</v>
      </c>
      <c r="E9" s="68" t="n">
        <f aca="false">(数据与来源!$F$25/100000000)/(数据与来源!$F$23/100000000)</f>
        <v>0.11750707355727</v>
      </c>
      <c r="F9" s="68" t="n">
        <f aca="false">(数据与来源!$G$25/100000000)/(数据与来源!$G$23/100000000)</f>
        <v>0.112049529123467</v>
      </c>
      <c r="G9" s="68" t="n">
        <f aca="false">(数据与来源!$H$25/100000000)/(数据与来源!$H$23/100000000)</f>
        <v>0.101069760044046</v>
      </c>
      <c r="H9" s="68" t="n">
        <f aca="false">(数据与来源!$I$25/100000000)/(数据与来源!$I$23/100000000)</f>
        <v>0.108067857108418</v>
      </c>
      <c r="I9" s="68" t="n">
        <f aca="false">((数据与来源!$G$25+数据与来源!$I$25-数据与来源!$H$25)/100000000)/((数据与来源!$G$23+数据与来源!$I$23-数据与来源!$H$23)/100000000)</f>
        <v>0.115783476627358</v>
      </c>
      <c r="J9" s="37"/>
    </row>
    <row r="10" customFormat="false" ht="15" hidden="false" customHeight="false" outlineLevel="0" collapsed="false">
      <c r="A10" s="60" t="s">
        <v>239</v>
      </c>
      <c r="B10" s="68" t="n">
        <f aca="false">(数据与来源!$C$26/100000000)/(数据与来源!$C$23/100000000)</f>
        <v>0.0461086029188436</v>
      </c>
      <c r="C10" s="68" t="n">
        <f aca="false">(数据与来源!$D$26/100000000)/(数据与来源!$D$23/100000000)</f>
        <v>0.044529085586363</v>
      </c>
      <c r="D10" s="68" t="n">
        <f aca="false">(数据与来源!$E$26/100000000)/(数据与来源!$E$23/100000000)</f>
        <v>0.0433049786545775</v>
      </c>
      <c r="E10" s="68" t="n">
        <f aca="false">(数据与来源!$F$26/100000000)/(数据与来源!$F$23/100000000)</f>
        <v>0.0424277548160958</v>
      </c>
      <c r="F10" s="68" t="n">
        <f aca="false">(数据与来源!$G$26/100000000)/(数据与来源!$G$23/100000000)</f>
        <v>0.0455187723521441</v>
      </c>
      <c r="G10" s="68" t="n">
        <f aca="false">(数据与来源!$H$26/100000000)/(数据与来源!$H$23/100000000)</f>
        <v>0.0376439071254533</v>
      </c>
      <c r="H10" s="68" t="n">
        <f aca="false">(数据与来源!$I$26/100000000)/(数据与来源!$I$23/100000000)</f>
        <v>0.0396052496457688</v>
      </c>
      <c r="I10" s="68" t="n">
        <f aca="false">((数据与来源!$G$26+数据与来源!$I$26-数据与来源!$H$26)/100000000)/((数据与来源!$G$23+数据与来源!$I$23-数据与来源!$H$23)/100000000)</f>
        <v>0.0466357844146265</v>
      </c>
      <c r="J10" s="37"/>
    </row>
    <row r="11" customFormat="false" ht="15" hidden="false" customHeight="false" outlineLevel="0" collapsed="false">
      <c r="A11" s="60" t="s">
        <v>240</v>
      </c>
      <c r="B11" s="68" t="n">
        <f aca="false">(数据与来源!$C$27/100000000)/(数据与来源!$C$23/100000000)</f>
        <v>0.0368280696620281</v>
      </c>
      <c r="C11" s="68" t="n">
        <f aca="false">(数据与来源!$D$27/100000000)/(数据与来源!$D$23/100000000)</f>
        <v>0.0390320500405813</v>
      </c>
      <c r="D11" s="68" t="n">
        <f aca="false">(数据与来源!$E$27/100000000)/(数据与来源!$E$23/100000000)</f>
        <v>0.0378557573410878</v>
      </c>
      <c r="E11" s="68" t="n">
        <f aca="false">(数据与来源!$F$27/100000000)/(数据与来源!$F$23/100000000)</f>
        <v>0.0376549659645312</v>
      </c>
      <c r="F11" s="68" t="n">
        <f aca="false">(数据与来源!$G$27/100000000)/(数据与来源!$G$23/100000000)</f>
        <v>0.0333919016257111</v>
      </c>
      <c r="G11" s="68" t="n">
        <f aca="false">(数据与来源!$H$27/100000000)/(数据与来源!$H$23/100000000)</f>
        <v>0.0370010066165979</v>
      </c>
      <c r="H11" s="68" t="n">
        <f aca="false">(数据与来源!$I$27/100000000)/(数据与来源!$I$23/100000000)</f>
        <v>0.0333411581734821</v>
      </c>
      <c r="I11" s="68" t="n">
        <f aca="false">((数据与来源!$G$27+数据与来源!$I$27-数据与来源!$H$27)/100000000)/((数据与来源!$G$23+数据与来源!$I$23-数据与来源!$H$23)/100000000)</f>
        <v>0.0314704784245423</v>
      </c>
      <c r="J11" s="37"/>
    </row>
    <row r="12" customFormat="false" ht="15" hidden="false" customHeight="false" outlineLevel="0" collapsed="false">
      <c r="A12" s="44" t="s">
        <v>241</v>
      </c>
      <c r="B12" s="90" t="n">
        <f aca="false">(数据与来源!$C$33/100000000)</f>
        <v>130.788405171</v>
      </c>
      <c r="C12" s="90" t="n">
        <f aca="false">(数据与来源!$D$33/100000000)</f>
        <v>147.1205476324</v>
      </c>
      <c r="D12" s="90" t="n">
        <f aca="false">(数据与来源!$E$33/100000000)</f>
        <v>165.9661504587</v>
      </c>
      <c r="E12" s="90" t="n">
        <f aca="false">(数据与来源!$F$33/100000000)</f>
        <v>187.3104627317</v>
      </c>
      <c r="F12" s="90" t="n">
        <f aca="false">(数据与来源!$G$33/100000000)</f>
        <v>195.5279822285</v>
      </c>
      <c r="G12" s="90" t="n">
        <f aca="false">(数据与来源!$H$33/100000000)</f>
        <v>120.3299582027</v>
      </c>
      <c r="H12" s="90" t="n">
        <f aca="false">(数据与来源!$I$33/100000000)</f>
        <v>103.1625494626</v>
      </c>
      <c r="I12" s="90" t="n">
        <f aca="false">((数据与来源!$G$33+数据与来源!$I$33-数据与来源!$H$33)/100000000)</f>
        <v>178.3605734884</v>
      </c>
      <c r="J12" s="37"/>
    </row>
    <row r="13" customFormat="false" ht="15" hidden="false" customHeight="false" outlineLevel="0" collapsed="false">
      <c r="A13" s="60" t="s">
        <v>242</v>
      </c>
      <c r="B13" s="68" t="n">
        <f aca="false">(数据与来源!$C$33/100000000)/(数据与来源!$B$33/100000000)-1</f>
        <v>0.472323596323619</v>
      </c>
      <c r="C13" s="68" t="n">
        <f aca="false">(数据与来源!$D$33/100000000)/(数据与来源!$C$33/100000000)-1</f>
        <v>0.124874544039637</v>
      </c>
      <c r="D13" s="68" t="n">
        <f aca="false">(数据与来源!$E$33/100000000)/(数据与来源!$D$33/100000000)-1</f>
        <v>0.128096334125864</v>
      </c>
      <c r="E13" s="68" t="n">
        <f aca="false">(数据与来源!$F$33/100000000)/(数据与来源!$E$33/100000000)-1</f>
        <v>0.128606418923426</v>
      </c>
      <c r="F13" s="68" t="n">
        <f aca="false">(数据与来源!$G$33/100000000)/(数据与来源!$F$33/100000000)-1</f>
        <v>0.0438711184466543</v>
      </c>
      <c r="G13" s="91" t="s">
        <v>234</v>
      </c>
      <c r="H13" s="68" t="n">
        <f aca="false">(数据与来源!$I$33/100000000)/(数据与来源!$H$33/100000000)-1</f>
        <v>-0.142669448211566</v>
      </c>
      <c r="I13" s="91" t="s">
        <v>234</v>
      </c>
      <c r="J13" s="67" t="s">
        <v>243</v>
      </c>
    </row>
    <row r="14" customFormat="false" ht="15" hidden="false" customHeight="false" outlineLevel="0" collapsed="false">
      <c r="A14" s="60" t="s">
        <v>244</v>
      </c>
      <c r="B14" s="62" t="n">
        <f aca="false">(数据与来源!$C$34/100000000)</f>
        <v>118.3127255829</v>
      </c>
      <c r="C14" s="62" t="n">
        <f aca="false">(数据与来源!$D$34/100000000)</f>
        <v>139.6293185378</v>
      </c>
      <c r="D14" s="62" t="n">
        <f aca="false">(数据与来源!$E$34/100000000)</f>
        <v>158.2416416143</v>
      </c>
      <c r="E14" s="62" t="n">
        <f aca="false">(数据与来源!$F$34/100000000)</f>
        <v>178.0473280963</v>
      </c>
      <c r="F14" s="62" t="n">
        <f aca="false">(数据与来源!$G$34/100000000)</f>
        <v>186.0363163754</v>
      </c>
      <c r="G14" s="62" t="n">
        <f aca="false">(数据与来源!$H$34/100000000)</f>
        <v>117.024085567</v>
      </c>
      <c r="H14" s="62" t="n">
        <f aca="false">(数据与来源!$I$34/100000000)</f>
        <v>92.9875060278</v>
      </c>
      <c r="I14" s="62" t="n">
        <f aca="false">((数据与来源!$G$34+数据与来源!$I$34-数据与来源!$H$34)/100000000)</f>
        <v>161.9997368362</v>
      </c>
      <c r="J14" s="37"/>
    </row>
    <row r="15" customFormat="false" ht="15" hidden="false" customHeight="false" outlineLevel="0" collapsed="false">
      <c r="A15" s="60" t="s">
        <v>245</v>
      </c>
      <c r="B15" s="68" t="n">
        <f aca="false">(数据与来源!$C$34/100000000)/(数据与来源!$C$33/100000000)</f>
        <v>0.904611730896263</v>
      </c>
      <c r="C15" s="68" t="n">
        <f aca="false">(数据与来源!$D$34/100000000)/(数据与来源!$D$33/100000000)</f>
        <v>0.949081014072094</v>
      </c>
      <c r="D15" s="68" t="n">
        <f aca="false">(数据与来源!$E$34/100000000)/(数据与来源!$E$33/100000000)</f>
        <v>0.953457323538258</v>
      </c>
      <c r="E15" s="68" t="n">
        <f aca="false">(数据与来源!$F$34/100000000)/(数据与来源!$F$33/100000000)</f>
        <v>0.950546624570202</v>
      </c>
      <c r="F15" s="68" t="n">
        <f aca="false">(数据与来源!$G$34/100000000)/(数据与来源!$G$33/100000000)</f>
        <v>0.951456227671763</v>
      </c>
      <c r="G15" s="68" t="n">
        <f aca="false">(数据与来源!$H$34/100000000)/(数据与来源!$H$33/100000000)</f>
        <v>0.972526603639876</v>
      </c>
      <c r="H15" s="68" t="n">
        <f aca="false">(数据与来源!$I$34/100000000)/(数据与来源!$I$33/100000000)</f>
        <v>0.901368825336284</v>
      </c>
      <c r="I15" s="68" t="n">
        <f aca="false">((数据与来源!$G$34+数据与来源!$I$34-数据与来源!$H$34)/100000000)/((数据与来源!$G$33+数据与来源!$I$33-数据与来源!$H$33)/100000000)</f>
        <v>0.908271002205181</v>
      </c>
      <c r="J15" s="67" t="s">
        <v>246</v>
      </c>
    </row>
    <row r="16" customFormat="false" ht="15" hidden="false" customHeight="false" outlineLevel="0" collapsed="false">
      <c r="A16" s="60" t="s">
        <v>247</v>
      </c>
      <c r="B16" s="68" t="n">
        <f aca="false">(数据与来源!$C$33/100000000)/(数据与来源!$C$23/100000000)</f>
        <v>0.0575891919146465</v>
      </c>
      <c r="C16" s="68" t="n">
        <f aca="false">(数据与来源!$D$33/100000000)/(数据与来源!$D$23/100000000)</f>
        <v>0.0603995389410163</v>
      </c>
      <c r="D16" s="68" t="n">
        <f aca="false">(数据与来源!$E$33/100000000)/(数据与来源!$E$23/100000000)</f>
        <v>0.0605264092457171</v>
      </c>
      <c r="E16" s="68" t="n">
        <f aca="false">(数据与来源!$F$33/100000000)/(数据与来源!$F$23/100000000)</f>
        <v>0.0654896664785961</v>
      </c>
      <c r="F16" s="68" t="n">
        <f aca="false">(数据与来源!$G$33/100000000)/(数据与来源!$G$23/100000000)</f>
        <v>0.0646701048691609</v>
      </c>
      <c r="G16" s="68" t="n">
        <f aca="false">(数据与来源!$H$33/100000000)/(数据与来源!$H$23/100000000)</f>
        <v>0.0768910831818511</v>
      </c>
      <c r="H16" s="68" t="n">
        <f aca="false">(数据与来源!$I$33/100000000)/(数据与来源!$I$23/100000000)</f>
        <v>0.0678187656654896</v>
      </c>
      <c r="I16" s="68" t="n">
        <f aca="false">((数据与来源!$G$33+数据与来源!$I$33-数据与来源!$H$33)/100000000)/((数据与来源!$G$23+数据与来源!$I$23-数据与来源!$H$23)/100000000)</f>
        <v>0.0598590094848299</v>
      </c>
      <c r="J16" s="37"/>
    </row>
    <row r="17" customFormat="false" ht="15" hidden="false" customHeight="false" outlineLevel="0" collapsed="false">
      <c r="A17" s="60" t="s">
        <v>248</v>
      </c>
      <c r="B17" s="92" t="n">
        <f aca="false">数据与来源!$C$36</f>
        <v>0.1726</v>
      </c>
      <c r="C17" s="92" t="n">
        <f aca="false">数据与来源!$D$36</f>
        <v>0.1681</v>
      </c>
      <c r="D17" s="92" t="n">
        <f aca="false">数据与来源!$E$36</f>
        <v>0.1724</v>
      </c>
      <c r="E17" s="92" t="n">
        <f aca="false">数据与来源!$F$36</f>
        <v>0.1761</v>
      </c>
      <c r="F17" s="92" t="n">
        <f aca="false">数据与来源!$G$36</f>
        <v>0.1698</v>
      </c>
      <c r="G17" s="92" t="n">
        <f aca="false">数据与来源!$H$36</f>
        <v>0.1034</v>
      </c>
      <c r="H17" s="92" t="n">
        <f aca="false">数据与来源!$I$36</f>
        <v>0.0836</v>
      </c>
      <c r="I17" s="91" t="s">
        <v>234</v>
      </c>
      <c r="J17" s="67" t="s">
        <v>249</v>
      </c>
    </row>
    <row r="18" customFormat="false" ht="26.85" hidden="false" customHeight="false" outlineLevel="0" collapsed="false">
      <c r="A18" s="60" t="s">
        <v>250</v>
      </c>
      <c r="B18" s="91" t="s">
        <v>234</v>
      </c>
      <c r="C18" s="68" t="n">
        <f aca="false">((数据与来源!$D$30+数据与来源!$D$29)*(1-数据与来源!$D$31/数据与来源!$D$30))/(((数据与来源!$D$61+数据与来源!$D$62+数据与来源!$D$52+数据与来源!$D$53+数据与来源!$D$54+数据与来源!$D$55-数据与来源!$D$44-N(数据与来源!$D$45))+(数据与来源!$C$61+数据与来源!$C$62+数据与来源!$C$52+数据与来源!$C$53+数据与来源!$C$54+数据与来源!$C$55-数据与来源!$C$44-N(数据与来源!$C$45)))/2)</f>
        <v>0.241058265561246</v>
      </c>
      <c r="D18" s="68" t="n">
        <f aca="false">((数据与来源!$E$30+数据与来源!$E$29)*(1-数据与来源!$E$31/数据与来源!$E$30))/(((数据与来源!$E$61+数据与来源!$E$62+数据与来源!$E$52+数据与来源!$E$53+数据与来源!$E$54+数据与来源!$E$55-数据与来源!$E$44-N(数据与来源!$E$45))+(数据与来源!$D$61+数据与来源!$D$62+数据与来源!$D$52+数据与来源!$D$53+数据与来源!$D$54+数据与来源!$D$55-数据与来源!$D$44-N(数据与来源!$D$45)))/2)</f>
        <v>0.248529193692</v>
      </c>
      <c r="E18" s="68" t="n">
        <f aca="false">((数据与来源!$F$30+数据与来源!$F$29)*(1-数据与来源!$F$31/数据与来源!$F$30))/(((数据与来源!$F$61+数据与来源!$F$62+数据与来源!$F$52+数据与来源!$F$53+数据与来源!$F$54+数据与来源!$F$55-数据与来源!$F$44-N(数据与来源!$F$45))+(数据与来源!$E$61+数据与来源!$E$62+数据与来源!$E$52+数据与来源!$E$53+数据与来源!$E$54+数据与来源!$E$55-数据与来源!$E$44-N(数据与来源!$E$45)))/2)</f>
        <v>0.237456514918757</v>
      </c>
      <c r="F18" s="68" t="n">
        <f aca="false">((数据与来源!$G$30+数据与来源!$G$29)*(1-数据与来源!$G$31/数据与来源!$G$30))/(((数据与来源!$G$61+数据与来源!$G$62+数据与来源!$G$52+数据与来源!$G$53+数据与来源!$G$54+数据与来源!$G$55-数据与来源!$G$44-N(数据与来源!$G$45))+(数据与来源!$F$61+数据与来源!$F$62+数据与来源!$F$52+数据与来源!$F$53+数据与来源!$F$54+数据与来源!$F$55-数据与来源!$F$44-N(数据与来源!$F$45)))/2)</f>
        <v>0.205120256439231</v>
      </c>
      <c r="G18" s="91" t="s">
        <v>234</v>
      </c>
      <c r="H18" s="91" t="s">
        <v>234</v>
      </c>
      <c r="I18" s="91" t="s">
        <v>234</v>
      </c>
      <c r="J18" s="67" t="s">
        <v>251</v>
      </c>
    </row>
    <row r="19" customFormat="false" ht="24" hidden="false" customHeight="true" outlineLevel="0" collapsed="false">
      <c r="A19" s="11" t="s">
        <v>252</v>
      </c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15" hidden="false" customHeight="false" outlineLevel="0" collapsed="false">
      <c r="A20" s="44" t="s">
        <v>253</v>
      </c>
      <c r="B20" s="90" t="n">
        <f aca="false">(数据与来源!$C$37/100000000)</f>
        <v>232.3538069095</v>
      </c>
      <c r="C20" s="90" t="n">
        <f aca="false">(数据与来源!$D$37/100000000)</f>
        <v>202.5655714586</v>
      </c>
      <c r="D20" s="90" t="n">
        <f aca="false">(数据与来源!$E$37/100000000)</f>
        <v>265.3578056836</v>
      </c>
      <c r="E20" s="90" t="n">
        <f aca="false">(数据与来源!$F$37/100000000)</f>
        <v>263.1809131195</v>
      </c>
      <c r="F20" s="90" t="n">
        <f aca="false">(数据与来源!$G$37/100000000)</f>
        <v>260.0294196992</v>
      </c>
      <c r="G20" s="90" t="n">
        <f aca="false">(数据与来源!$H$37/100000000)</f>
        <v>111.3904578134</v>
      </c>
      <c r="H20" s="90" t="n">
        <f aca="false">(数据与来源!$I$37/100000000)</f>
        <v>97.5203397771</v>
      </c>
      <c r="I20" s="90" t="n">
        <f aca="false">((数据与来源!$G$37+数据与来源!$I$37-数据与来源!$H$37)/100000000)</f>
        <v>246.1593016629</v>
      </c>
      <c r="J20" s="37"/>
    </row>
    <row r="21" customFormat="false" ht="15" hidden="false" customHeight="false" outlineLevel="0" collapsed="false">
      <c r="A21" s="60" t="s">
        <v>254</v>
      </c>
      <c r="B21" s="93" t="n">
        <f aca="false">(数据与来源!$C$37/100000000)/(数据与来源!$C$32/100000000)</f>
        <v>1.75596472525738</v>
      </c>
      <c r="C21" s="93" t="n">
        <f aca="false">(数据与来源!$D$37/100000000)/(数据与来源!$D$32/100000000)</f>
        <v>1.37488135203531</v>
      </c>
      <c r="D21" s="93" t="n">
        <f aca="false">(数据与来源!$E$37/100000000)/(数据与来源!$E$32/100000000)</f>
        <v>1.55284610902131</v>
      </c>
      <c r="E21" s="93" t="n">
        <f aca="false">(数据与来源!$F$37/100000000)/(数据与来源!$F$32/100000000)</f>
        <v>1.34512480234565</v>
      </c>
      <c r="F21" s="93" t="n">
        <f aca="false">(数据与来源!$G$37/100000000)/(数据与来源!$G$32/100000000)</f>
        <v>1.28963057726927</v>
      </c>
      <c r="G21" s="93" t="n">
        <f aca="false">(数据与来源!$H$37/100000000)/(数据与来源!$H$32/100000000)</f>
        <v>0.892186020560548</v>
      </c>
      <c r="H21" s="93" t="n">
        <f aca="false">(数据与来源!$I$37/100000000)/(数据与来源!$I$32/100000000)</f>
        <v>0.896655216043907</v>
      </c>
      <c r="I21" s="93" t="n">
        <f aca="false">((数据与来源!$G$37+数据与来源!$I$37-数据与来源!$H$37)/100000000)/((数据与来源!$G$32+数据与来源!$I$32-数据与来源!$H$32)/100000000)</f>
        <v>1.32671888320468</v>
      </c>
      <c r="J21" s="67" t="s">
        <v>255</v>
      </c>
    </row>
    <row r="22" customFormat="false" ht="15" hidden="false" customHeight="false" outlineLevel="0" collapsed="false">
      <c r="A22" s="60" t="s">
        <v>256</v>
      </c>
      <c r="B22" s="62" t="n">
        <f aca="false">(数据与来源!$C$38/100000000)</f>
        <v>73.7242883238</v>
      </c>
      <c r="C22" s="62" t="n">
        <f aca="false">(数据与来源!$D$38/100000000)</f>
        <v>82.0978623064</v>
      </c>
      <c r="D22" s="62" t="n">
        <f aca="false">(数据与来源!$E$38/100000000)</f>
        <v>105.4156203881</v>
      </c>
      <c r="E22" s="62" t="n">
        <f aca="false">(数据与来源!$F$38/100000000)</f>
        <v>100.8006731304</v>
      </c>
      <c r="F22" s="62" t="n">
        <f aca="false">(数据与来源!$G$38/100000000)</f>
        <v>88.5156394089</v>
      </c>
      <c r="G22" s="62" t="n">
        <f aca="false">(数据与来源!$H$38/100000000)</f>
        <v>37.6446280618</v>
      </c>
      <c r="H22" s="62" t="n">
        <f aca="false">(数据与来源!$I$38/100000000)</f>
        <v>43.6678921892</v>
      </c>
      <c r="I22" s="62" t="n">
        <f aca="false">((数据与来源!$G$38+数据与来源!$I$38-数据与来源!$H$38)/100000000)</f>
        <v>94.5389035363</v>
      </c>
      <c r="J22" s="37"/>
    </row>
    <row r="23" customFormat="false" ht="15" hidden="false" customHeight="false" outlineLevel="0" collapsed="false">
      <c r="A23" s="44" t="s">
        <v>257</v>
      </c>
      <c r="B23" s="52" t="n">
        <f aca="false">(数据与来源!$C$37/100000000)-(数据与来源!$C$38/100000000)</f>
        <v>158.6295185857</v>
      </c>
      <c r="C23" s="52" t="n">
        <f aca="false">(数据与来源!$D$37/100000000)-(数据与来源!$D$38/100000000)</f>
        <v>120.4677091522</v>
      </c>
      <c r="D23" s="52" t="n">
        <f aca="false">(数据与来源!$E$37/100000000)-(数据与来源!$E$38/100000000)</f>
        <v>159.9421852955</v>
      </c>
      <c r="E23" s="52" t="n">
        <f aca="false">(数据与来源!$F$37/100000000)-(数据与来源!$F$38/100000000)</f>
        <v>162.3802399891</v>
      </c>
      <c r="F23" s="52" t="n">
        <f aca="false">(数据与来源!$G$37/100000000)-(数据与来源!$G$38/100000000)</f>
        <v>171.5137802903</v>
      </c>
      <c r="G23" s="52" t="n">
        <f aca="false">(数据与来源!$H$37/100000000)-(数据与来源!$H$38/100000000)</f>
        <v>73.7458297516</v>
      </c>
      <c r="H23" s="52" t="n">
        <f aca="false">(数据与来源!$I$37/100000000)-(数据与来源!$I$38/100000000)</f>
        <v>53.8524475879</v>
      </c>
      <c r="I23" s="52" t="n">
        <f aca="false">((数据与来源!$G$37+数据与来源!$I$37-数据与来源!$H$37)/100000000)-((数据与来源!$G$38+数据与来源!$I$38-数据与来源!$H$38)/100000000)</f>
        <v>151.6203981266</v>
      </c>
      <c r="J23" s="37"/>
    </row>
    <row r="24" customFormat="false" ht="15" hidden="false" customHeight="false" outlineLevel="0" collapsed="false">
      <c r="A24" s="60" t="s">
        <v>258</v>
      </c>
      <c r="B24" s="91" t="s">
        <v>234</v>
      </c>
      <c r="C24" s="62" t="n">
        <f aca="false">(数据与来源!$D$42/100000000)</f>
        <v>8.9610938687</v>
      </c>
      <c r="D24" s="62" t="n">
        <f aca="false">(数据与来源!$E$42/100000000)</f>
        <v>15.9875780078</v>
      </c>
      <c r="E24" s="62" t="n">
        <f aca="false">(数据与来源!$F$42/100000000)</f>
        <v>15.0959418735</v>
      </c>
      <c r="F24" s="62" t="n">
        <f aca="false">(数据与来源!$G$42/100000000)</f>
        <v>17.8052881326</v>
      </c>
      <c r="G24" s="62" t="n">
        <f aca="false">(数据与来源!$H$42/100000000)</f>
        <v>7.7131501594</v>
      </c>
      <c r="H24" s="62" t="n">
        <f aca="false">(数据与来源!$I$42/100000000)</f>
        <v>8.8967994468</v>
      </c>
      <c r="I24" s="62" t="n">
        <f aca="false">((数据与来源!$G$42+数据与来源!$I$42-数据与来源!$H$42)/100000000)</f>
        <v>18.98893742</v>
      </c>
      <c r="J24" s="37" t="s">
        <v>259</v>
      </c>
    </row>
    <row r="25" customFormat="false" ht="26.85" hidden="false" customHeight="false" outlineLevel="0" collapsed="false">
      <c r="A25" s="44" t="s">
        <v>260</v>
      </c>
      <c r="B25" s="91" t="s">
        <v>234</v>
      </c>
      <c r="C25" s="52" t="n">
        <f aca="false">((数据与来源!$D$37/100000000)-(数据与来源!$D$38/100000000)-(数据与来源!$D$42/100000000))*(数据与来源!$D$33/100000000)/(数据与来源!$D$32/100000000)</f>
        <v>111.345726707015</v>
      </c>
      <c r="D25" s="52" t="n">
        <f aca="false">((数据与来源!$E$37/100000000)-(数据与来源!$E$38/100000000)-(数据与来源!$E$42/100000000))*(数据与来源!$E$33/100000000)/(数据与来源!$E$32/100000000)</f>
        <v>139.811096188039</v>
      </c>
      <c r="E25" s="52" t="n">
        <f aca="false">((数据与来源!$F$37/100000000)-(数据与来源!$F$38/100000000)-(数据与来源!$F$42/100000000))*(数据与来源!$F$33/100000000)/(数据与来源!$F$32/100000000)</f>
        <v>141.00245602203</v>
      </c>
      <c r="F25" s="52" t="n">
        <f aca="false">((数据与来源!$G$37/100000000)-(数据与来源!$G$38/100000000)-(数据与来源!$G$42/100000000))*(数据与来源!$G$33/100000000)/(数据与来源!$G$32/100000000)</f>
        <v>149.056052602515</v>
      </c>
      <c r="G25" s="52" t="n">
        <f aca="false">((数据与来源!$H$37/100000000)-(数据与来源!$H$38/100000000)-(数据与来源!$H$42/100000000))*(数据与来源!$H$33/100000000)/(数据与来源!$H$32/100000000)</f>
        <v>63.6414567792643</v>
      </c>
      <c r="H25" s="52" t="n">
        <f aca="false">((数据与来源!$I$37/100000000)-(数据与来源!$I$38/100000000)-(数据与来源!$I$42/100000000))*(数据与来源!$I$33/100000000)/(数据与来源!$I$32/100000000)</f>
        <v>42.6419054841986</v>
      </c>
      <c r="I25" s="52" t="n">
        <f aca="false">(((数据与来源!$G$37+数据与来源!$I$37-数据与来源!$H$37)/100000000)-((数据与来源!$G$38+数据与来源!$I$38-数据与来源!$H$38)/100000000)-((数据与来源!$G$42+数据与来源!$I$42-数据与来源!$H$42)/100000000))*((数据与来源!$G$33+数据与来源!$I$33-数据与来源!$H$33)/100000000)/((数据与来源!$G$32+数据与来源!$I$32-数据与来源!$H$32)/100000000)</f>
        <v>127.499379752944</v>
      </c>
      <c r="J25" s="67" t="s">
        <v>261</v>
      </c>
    </row>
    <row r="26" customFormat="false" ht="15" hidden="false" customHeight="false" outlineLevel="0" collapsed="false">
      <c r="A26" s="60" t="s">
        <v>262</v>
      </c>
      <c r="B26" s="91" t="s">
        <v>234</v>
      </c>
      <c r="C26" s="68" t="n">
        <f aca="false">C25/(数据与来源!$D$33/100000000)</f>
        <v>0.756833280591281</v>
      </c>
      <c r="D26" s="68" t="n">
        <f aca="false">D25/(数据与来源!$E$33/100000000)</f>
        <v>0.84240729691944</v>
      </c>
      <c r="E26" s="68" t="n">
        <f aca="false">E25/(数据与来源!$F$33/100000000)</f>
        <v>0.752774052050679</v>
      </c>
      <c r="F26" s="68" t="n">
        <f aca="false">F25/(数据与来源!$G$33/100000000)</f>
        <v>0.762325938741207</v>
      </c>
      <c r="G26" s="68" t="n">
        <f aca="false">G25/(数据与来源!$H$33/100000000)</f>
        <v>0.52889120656103</v>
      </c>
      <c r="H26" s="68" t="n">
        <f aca="false">H25/(数据与来源!$I$33/100000000)</f>
        <v>0.413346759132371</v>
      </c>
      <c r="I26" s="68" t="n">
        <f aca="false">I25/((数据与来源!$G$33+数据与来源!$I$33-数据与来源!$H$33)/100000000)</f>
        <v>0.714840602153797</v>
      </c>
      <c r="J26" s="37"/>
    </row>
    <row r="27" customFormat="false" ht="15" hidden="false" customHeight="false" outlineLevel="0" collapsed="false">
      <c r="A27" s="60" t="s">
        <v>263</v>
      </c>
      <c r="B27" s="91" t="s">
        <v>234</v>
      </c>
      <c r="C27" s="65" t="n">
        <f aca="false">(数据与来源!$D$39/100000000)+(数据与来源!$D$40/100000000)+(数据与来源!$D$41/100000000)+(数据与来源!$D$42/100000000)</f>
        <v>60.5138160973</v>
      </c>
      <c r="D27" s="65" t="n">
        <f aca="false">(数据与来源!$E$39/100000000)+(数据与来源!$E$40/100000000)+(数据与来源!$E$41/100000000)+(数据与来源!$E$42/100000000)</f>
        <v>76.3814788164</v>
      </c>
      <c r="E27" s="65" t="n">
        <f aca="false">(数据与来源!$F$39/100000000)+(数据与来源!$F$40/100000000)+(数据与来源!$F$41/100000000)+(数据与来源!$F$42/100000000)</f>
        <v>81.0266335611</v>
      </c>
      <c r="F27" s="65" t="n">
        <f aca="false">(数据与来源!$G$39/100000000)+(数据与来源!$G$40/100000000)+(数据与来源!$G$41/100000000)+(数据与来源!$G$42/100000000)</f>
        <v>87.4993246366</v>
      </c>
      <c r="G27" s="65" t="n">
        <f aca="false">(数据与来源!$H$39/100000000)+(数据与来源!$H$40/100000000)+(数据与来源!$H$41/100000000)+(数据与来源!$H$42/100000000)</f>
        <v>41.8622150403</v>
      </c>
      <c r="H27" s="65" t="n">
        <f aca="false">(数据与来源!$I$39/100000000)+(数据与来源!$I$40/100000000)+(数据与来源!$I$41/100000000)+(数据与来源!$I$42/100000000)</f>
        <v>42.6942705103</v>
      </c>
      <c r="I27" s="65" t="n">
        <f aca="false">((数据与来源!$G$39+数据与来源!$I$39-数据与来源!$H$39)/100000000)+((数据与来源!$G$40+数据与来源!$I$40-数据与来源!$H$40)/100000000)+((数据与来源!$G$41+数据与来源!$I$41-数据与来源!$H$41)/100000000)+((数据与来源!$G$42+数据与来源!$I$42-数据与来源!$H$42)/100000000)</f>
        <v>88.3313801066</v>
      </c>
      <c r="J27" s="37" t="s">
        <v>264</v>
      </c>
    </row>
    <row r="28" customFormat="false" ht="15" hidden="false" customHeight="false" outlineLevel="0" collapsed="false">
      <c r="A28" s="60" t="s">
        <v>265</v>
      </c>
      <c r="B28" s="93" t="n">
        <f aca="false">(数据与来源!$C$38/100000000)/((数据与来源!$C$39/100000000)+(数据与来源!$C$40/100000000))</f>
        <v>1.53420603091197</v>
      </c>
      <c r="C28" s="93" t="n">
        <f aca="false">(数据与来源!$D$38/100000000)/((数据与来源!$D$39/100000000)+(数据与来源!$D$40/100000000))</f>
        <v>1.73058610776102</v>
      </c>
      <c r="D28" s="93" t="n">
        <f aca="false">(数据与来源!$E$38/100000000)/((数据与来源!$E$39/100000000)+(数据与来源!$E$40/100000000))</f>
        <v>1.90690633489744</v>
      </c>
      <c r="E28" s="93" t="n">
        <f aca="false">(数据与来源!$F$38/100000000)/((数据与来源!$F$39/100000000)+(数据与来源!$F$40/100000000))</f>
        <v>1.64555947522101</v>
      </c>
      <c r="F28" s="93" t="n">
        <f aca="false">(数据与来源!$G$38/100000000)/((数据与来源!$G$39/100000000)+(数据与来源!$G$40/100000000))</f>
        <v>1.31813368106608</v>
      </c>
      <c r="G28" s="93" t="n">
        <f aca="false">(数据与来源!$H$38/100000000)/((数据与来源!$H$39/100000000)+(数据与来源!$H$40/100000000))</f>
        <v>1.16330511085499</v>
      </c>
      <c r="H28" s="93" t="n">
        <f aca="false">(数据与来源!$I$38/100000000)/((数据与来源!$I$39/100000000)+(数据与来源!$I$40/100000000))</f>
        <v>1.34793365342559</v>
      </c>
      <c r="I28" s="93" t="n">
        <f aca="false">((数据与来源!$G$38+数据与来源!$I$38-数据与来源!$H$38)/100000000)/(((数据与来源!$G$39+数据与来源!$I$39-数据与来源!$H$39)/100000000)+((数据与来源!$G$40+数据与来源!$I$40-数据与来源!$H$40)/100000000))</f>
        <v>1.40707271497593</v>
      </c>
      <c r="J28" s="67" t="s">
        <v>266</v>
      </c>
    </row>
    <row r="29" customFormat="false" ht="24" hidden="false" customHeight="true" outlineLevel="0" collapsed="false">
      <c r="A29" s="11" t="s">
        <v>267</v>
      </c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15" hidden="false" customHeight="false" outlineLevel="0" collapsed="false">
      <c r="A30" s="60" t="s">
        <v>268</v>
      </c>
      <c r="B30" s="91" t="s">
        <v>234</v>
      </c>
      <c r="C30" s="65" t="n">
        <f aca="false">(数据与来源!$D$46/100000000)+N(数据与来源!$D$47)/100000000</f>
        <v>255.1094064996</v>
      </c>
      <c r="D30" s="65" t="n">
        <f aca="false">(数据与来源!$E$46/100000000)+N(数据与来源!$E$47)/100000000</f>
        <v>314.7307252416</v>
      </c>
      <c r="E30" s="65" t="n">
        <f aca="false">(数据与来源!$F$46/100000000)+N(数据与来源!$F$47)/100000000</f>
        <v>386.7470238057</v>
      </c>
      <c r="F30" s="65" t="n">
        <f aca="false">(数据与来源!$G$46/100000000)+N(数据与来源!$G$47)/100000000</f>
        <v>335.4819215479</v>
      </c>
      <c r="G30" s="91" t="s">
        <v>234</v>
      </c>
      <c r="H30" s="65" t="n">
        <f aca="false">(数据与来源!$I$46/100000000)+N(数据与来源!$I$47)/100000000</f>
        <v>425.8842835694</v>
      </c>
      <c r="I30" s="65" t="n">
        <f aca="false">(数据与来源!$I$46/100000000)+N(数据与来源!$I$47)/100000000</f>
        <v>425.8842835694</v>
      </c>
      <c r="J30" s="67" t="s">
        <v>269</v>
      </c>
    </row>
    <row r="31" customFormat="false" ht="15" hidden="false" customHeight="false" outlineLevel="0" collapsed="false">
      <c r="A31" s="60" t="s">
        <v>270</v>
      </c>
      <c r="B31" s="62" t="n">
        <f aca="false">(数据与来源!$C$48/100000000)</f>
        <v>399.1394989886</v>
      </c>
      <c r="C31" s="62" t="n">
        <f aca="false">(数据与来源!$D$48/100000000)</f>
        <v>415.8778630753</v>
      </c>
      <c r="D31" s="62" t="n">
        <f aca="false">(数据与来源!$E$48/100000000)</f>
        <v>395.2400661633</v>
      </c>
      <c r="E31" s="62" t="n">
        <f aca="false">(数据与来源!$F$48/100000000)</f>
        <v>431.8985569796</v>
      </c>
      <c r="F31" s="62" t="n">
        <f aca="false">(数据与来源!$G$48/100000000)</f>
        <v>468.4879068712</v>
      </c>
      <c r="G31" s="91" t="s">
        <v>234</v>
      </c>
      <c r="H31" s="62" t="n">
        <f aca="false">(数据与来源!$I$48/100000000)</f>
        <v>453.174062077</v>
      </c>
      <c r="I31" s="62" t="n">
        <f aca="false">(数据与来源!$I$48/100000000)</f>
        <v>453.174062077</v>
      </c>
      <c r="J31" s="37"/>
    </row>
    <row r="32" customFormat="false" ht="15" hidden="false" customHeight="false" outlineLevel="0" collapsed="false">
      <c r="A32" s="60" t="s">
        <v>271</v>
      </c>
      <c r="B32" s="65" t="n">
        <f aca="false">(数据与来源!$C$49/100000000)+N(数据与来源!$C$50)/100000000</f>
        <v>423.6321884033</v>
      </c>
      <c r="C32" s="65" t="n">
        <f aca="false">(数据与来源!$D$49/100000000)+N(数据与来源!$D$50)/100000000</f>
        <v>669.8387162085</v>
      </c>
      <c r="D32" s="65" t="n">
        <f aca="false">(数据与来源!$E$49/100000000)+N(数据与来源!$E$50)/100000000</f>
        <v>721.7896281373</v>
      </c>
      <c r="E32" s="65" t="n">
        <f aca="false">(数据与来源!$F$49/100000000)+N(数据与来源!$F$50)/100000000</f>
        <v>758.8564173213</v>
      </c>
      <c r="F32" s="65" t="n">
        <f aca="false">(数据与来源!$G$49/100000000)+N(数据与来源!$G$50)/100000000</f>
        <v>774.1540400497</v>
      </c>
      <c r="G32" s="91" t="s">
        <v>234</v>
      </c>
      <c r="H32" s="65" t="n">
        <f aca="false">(数据与来源!$I$49/100000000)+N(数据与来源!$I$50)/100000000</f>
        <v>842.4805300548</v>
      </c>
      <c r="I32" s="65" t="n">
        <f aca="false">(数据与来源!$I$49/100000000)+N(数据与来源!$I$50)/100000000</f>
        <v>842.4805300548</v>
      </c>
      <c r="J32" s="37" t="s">
        <v>272</v>
      </c>
    </row>
    <row r="33" customFormat="false" ht="15" hidden="false" customHeight="false" outlineLevel="0" collapsed="false">
      <c r="A33" s="60" t="s">
        <v>273</v>
      </c>
      <c r="B33" s="68" t="n">
        <f aca="false">B31/B6</f>
        <v>0.175750451103957</v>
      </c>
      <c r="C33" s="68" t="n">
        <f aca="false">C31/C6</f>
        <v>0.170736389918055</v>
      </c>
      <c r="D33" s="68" t="n">
        <f aca="false">D31/D6</f>
        <v>0.144140608966268</v>
      </c>
      <c r="E33" s="68" t="n">
        <f aca="false">E31/E6</f>
        <v>0.151005405873647</v>
      </c>
      <c r="F33" s="68" t="n">
        <f aca="false">F31/F6</f>
        <v>0.154950517680319</v>
      </c>
      <c r="G33" s="91" t="s">
        <v>234</v>
      </c>
      <c r="H33" s="91" t="s">
        <v>234</v>
      </c>
      <c r="I33" s="68" t="n">
        <f aca="false">I31/I6</f>
        <v>0.152088266759864</v>
      </c>
      <c r="J33" s="67" t="s">
        <v>274</v>
      </c>
    </row>
    <row r="34" customFormat="false" ht="15" hidden="false" customHeight="false" outlineLevel="0" collapsed="false">
      <c r="A34" s="60" t="s">
        <v>275</v>
      </c>
      <c r="B34" s="65" t="n">
        <f aca="false">(数据与来源!$C$44/100000000)+N(数据与来源!$C$45)/100000000</f>
        <v>460.9733390345</v>
      </c>
      <c r="C34" s="65" t="n">
        <f aca="false">(数据与来源!$D$44/100000000)+N(数据与来源!$D$45)/100000000</f>
        <v>546.8212503622</v>
      </c>
      <c r="D34" s="65" t="n">
        <f aca="false">(数据与来源!$E$44/100000000)+N(数据与来源!$E$45)/100000000</f>
        <v>582.1295775007</v>
      </c>
      <c r="E34" s="65" t="n">
        <f aca="false">(数据与来源!$F$44/100000000)+N(数据与来源!$F$45)/100000000</f>
        <v>568.3357246236</v>
      </c>
      <c r="F34" s="65" t="n">
        <f aca="false">(数据与来源!$G$44/100000000)+N(数据与来源!$G$45)/100000000</f>
        <v>496.5592820283</v>
      </c>
      <c r="G34" s="91" t="s">
        <v>234</v>
      </c>
      <c r="H34" s="65" t="n">
        <f aca="false">(数据与来源!$I$44/100000000)+N(数据与来源!$I$45)/100000000</f>
        <v>586.0878431582</v>
      </c>
      <c r="I34" s="65" t="n">
        <f aca="false">(数据与来源!$I$44/100000000)+N(数据与来源!$I$45)/100000000</f>
        <v>586.0878431582</v>
      </c>
      <c r="J34" s="37"/>
    </row>
    <row r="35" customFormat="false" ht="26.85" hidden="false" customHeight="false" outlineLevel="0" collapsed="false">
      <c r="A35" s="60" t="s">
        <v>276</v>
      </c>
      <c r="B35" s="65" t="n">
        <f aca="false">(数据与来源!$C$52+数据与来源!$C$53+数据与来源!$C$54+数据与来源!$C$55)/100000000</f>
        <v>242.238551782</v>
      </c>
      <c r="C35" s="65" t="n">
        <f aca="false">(数据与来源!$D$52+数据与来源!$D$53+数据与来源!$D$54+数据与来源!$D$55)/100000000</f>
        <v>295.5784106287</v>
      </c>
      <c r="D35" s="65" t="n">
        <f aca="false">(数据与来源!$E$52+数据与来源!$E$53+数据与来源!$E$54+数据与来源!$E$55)/100000000</f>
        <v>333.0696175582</v>
      </c>
      <c r="E35" s="65" t="n">
        <f aca="false">(数据与来源!$F$52+数据与来源!$F$53+数据与来源!$F$54+数据与来源!$F$55)/100000000</f>
        <v>399.7948221897</v>
      </c>
      <c r="F35" s="65" t="n">
        <f aca="false">(数据与来源!$G$52+数据与来源!$G$53+数据与来源!$G$54+数据与来源!$G$55)/100000000</f>
        <v>407.6556805293</v>
      </c>
      <c r="G35" s="91" t="s">
        <v>234</v>
      </c>
      <c r="H35" s="65" t="n">
        <f aca="false">(数据与来源!$I$52+数据与来源!$I$53+数据与来源!$I$54+数据与来源!$I$55)/100000000</f>
        <v>424.791308744</v>
      </c>
      <c r="I35" s="65" t="n">
        <f aca="false">(数据与来源!$I$52+数据与来源!$I$53+数据与来源!$I$54+数据与来源!$I$55)/100000000</f>
        <v>424.791308744</v>
      </c>
      <c r="J35" s="37" t="s">
        <v>277</v>
      </c>
    </row>
    <row r="36" customFormat="false" ht="15" hidden="false" customHeight="false" outlineLevel="0" collapsed="false">
      <c r="A36" s="44" t="s">
        <v>278</v>
      </c>
      <c r="B36" s="52" t="n">
        <f aca="false">B34-B35</f>
        <v>218.7347872525</v>
      </c>
      <c r="C36" s="52" t="n">
        <f aca="false">C34-C35</f>
        <v>251.2428397335</v>
      </c>
      <c r="D36" s="52" t="n">
        <f aca="false">D34-D35</f>
        <v>249.0599599425</v>
      </c>
      <c r="E36" s="52" t="n">
        <f aca="false">E34-E35</f>
        <v>168.5409024339</v>
      </c>
      <c r="F36" s="52" t="n">
        <f aca="false">F34-F35</f>
        <v>88.9036014990001</v>
      </c>
      <c r="G36" s="91" t="s">
        <v>234</v>
      </c>
      <c r="H36" s="52" t="n">
        <f aca="false">H34-H35</f>
        <v>161.2965344142</v>
      </c>
      <c r="I36" s="52" t="n">
        <f aca="false">I34-I35</f>
        <v>161.2965344142</v>
      </c>
      <c r="J36" s="37" t="s">
        <v>279</v>
      </c>
    </row>
    <row r="37" customFormat="false" ht="26.85" hidden="false" customHeight="false" outlineLevel="0" collapsed="false">
      <c r="A37" s="60" t="s">
        <v>280</v>
      </c>
      <c r="B37" s="68" t="n">
        <f aca="false">(数据与来源!$C$57/100000000)/(数据与来源!$C$61/100000000)</f>
        <v>0.272889639442534</v>
      </c>
      <c r="C37" s="68" t="n">
        <f aca="false">(数据与来源!$D$57/100000000)/(数据与来源!$D$61/100000000)</f>
        <v>0.252982430136651</v>
      </c>
      <c r="D37" s="68" t="n">
        <f aca="false">(数据与来源!$E$57/100000000)/(数据与来源!$E$61/100000000)</f>
        <v>0.241764887486979</v>
      </c>
      <c r="E37" s="68" t="n">
        <f aca="false">(数据与来源!$F$57/100000000)/(数据与来源!$F$61/100000000)</f>
        <v>0.24498374720704</v>
      </c>
      <c r="F37" s="68" t="n">
        <f aca="false">(数据与来源!$G$57/100000000)/(数据与来源!$G$61/100000000)</f>
        <v>0.229996607465319</v>
      </c>
      <c r="G37" s="91" t="s">
        <v>234</v>
      </c>
      <c r="H37" s="68" t="n">
        <f aca="false">(数据与来源!$I$57/100000000)/(数据与来源!$I$61/100000000)</f>
        <v>0.220051440059441</v>
      </c>
      <c r="I37" s="68" t="n">
        <f aca="false">(数据与来源!$I$57/100000000)/(数据与来源!$I$61/100000000)</f>
        <v>0.220051440059441</v>
      </c>
      <c r="J37" s="67" t="s">
        <v>281</v>
      </c>
    </row>
    <row r="38" customFormat="false" ht="15" hidden="false" customHeight="false" outlineLevel="0" collapsed="false">
      <c r="A38" s="60" t="s">
        <v>282</v>
      </c>
      <c r="B38" s="68" t="n">
        <f aca="false">(数据与来源!$C$60/100000000)/(数据与来源!$C$59/100000000)</f>
        <v>0.626737530013257</v>
      </c>
      <c r="C38" s="68" t="n">
        <f aca="false">(数据与来源!$D$60/100000000)/(数据与来源!$D$59/100000000)</f>
        <v>0.598545854824955</v>
      </c>
      <c r="D38" s="68" t="n">
        <f aca="false">(数据与来源!$E$60/100000000)/(数据与来源!$E$59/100000000)</f>
        <v>0.588113174498933</v>
      </c>
      <c r="E38" s="68" t="n">
        <f aca="false">(数据与来源!$F$60/100000000)/(数据与来源!$F$59/100000000)</f>
        <v>0.591376455247736</v>
      </c>
      <c r="F38" s="68" t="n">
        <f aca="false">(数据与来源!$G$60/100000000)/(数据与来源!$G$59/100000000)</f>
        <v>0.574107161708441</v>
      </c>
      <c r="G38" s="91" t="s">
        <v>234</v>
      </c>
      <c r="H38" s="68" t="n">
        <f aca="false">(数据与来源!$I$60/100000000)/(数据与来源!$I$59/100000000)</f>
        <v>0.585217800318627</v>
      </c>
      <c r="I38" s="68" t="n">
        <f aca="false">(数据与来源!$I$60/100000000)/(数据与来源!$I$59/100000000)</f>
        <v>0.585217800318627</v>
      </c>
      <c r="J38" s="37"/>
    </row>
    <row r="39" customFormat="false" ht="26.85" hidden="false" customHeight="false" outlineLevel="0" collapsed="false">
      <c r="A39" s="60" t="s">
        <v>283</v>
      </c>
      <c r="B39" s="72" t="n">
        <f aca="false">(数据与来源!$C$61/100000000)/(数据与来源!$C$33/数据与来源!$C$35/100000000)</f>
        <v>8.62301060381546</v>
      </c>
      <c r="C39" s="72" t="n">
        <f aca="false">(数据与来源!$D$61/100000000)/(数据与来源!$D$33/数据与来源!$D$35/100000000)</f>
        <v>10.0370691781829</v>
      </c>
      <c r="D39" s="72" t="n">
        <f aca="false">(数据与来源!$E$61/100000000)/(数据与来源!$E$33/数据与来源!$E$35/100000000)</f>
        <v>10.9218724564863</v>
      </c>
      <c r="E39" s="72" t="n">
        <f aca="false">(数据与来源!$F$61/100000000)/(数据与来源!$F$33/数据与来源!$F$35/100000000)</f>
        <v>12.0544962484667</v>
      </c>
      <c r="F39" s="72" t="n">
        <f aca="false">(数据与来源!$G$61/100000000)/(数据与来源!$G$33/数据与来源!$G$35/100000000)</f>
        <v>12.8698004313815</v>
      </c>
      <c r="G39" s="91" t="s">
        <v>234</v>
      </c>
      <c r="H39" s="72" t="n">
        <f aca="false">(数据与来源!$I$61/100000000)/数据与来源!$B$15</f>
        <v>12.9352913407497</v>
      </c>
      <c r="I39" s="72" t="n">
        <f aca="false">(数据与来源!$I$61/100000000)/数据与来源!$B$15</f>
        <v>12.9352913407497</v>
      </c>
      <c r="J39" s="37" t="s">
        <v>284</v>
      </c>
    </row>
  </sheetData>
  <mergeCells count="5">
    <mergeCell ref="A1:J1"/>
    <mergeCell ref="A2:J2"/>
    <mergeCell ref="A5:J5"/>
    <mergeCell ref="A19:J19"/>
    <mergeCell ref="A29:J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2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50"/>
  </cols>
  <sheetData>
    <row r="1" customFormat="false" ht="36" hidden="false" customHeight="true" outlineLevel="0" collapsed="false">
      <c r="A1" s="1" t="s">
        <v>285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94" t="s">
        <v>286</v>
      </c>
      <c r="B2" s="94"/>
      <c r="C2" s="94"/>
      <c r="D2" s="94"/>
      <c r="E2" s="94"/>
      <c r="F2" s="94"/>
      <c r="G2" s="94"/>
      <c r="H2" s="94"/>
      <c r="I2" s="94"/>
      <c r="J2" s="94"/>
    </row>
    <row r="4" customFormat="false" ht="30" hidden="false" customHeight="true" outlineLevel="0" collapsed="false">
      <c r="A4" s="49" t="s">
        <v>287</v>
      </c>
      <c r="B4" s="49" t="s">
        <v>288</v>
      </c>
      <c r="C4" s="49" t="s">
        <v>289</v>
      </c>
      <c r="D4" s="49" t="s">
        <v>290</v>
      </c>
      <c r="E4" s="49" t="s">
        <v>291</v>
      </c>
      <c r="F4" s="49" t="s">
        <v>292</v>
      </c>
      <c r="G4" s="49" t="s">
        <v>293</v>
      </c>
      <c r="H4" s="49" t="s">
        <v>294</v>
      </c>
      <c r="I4" s="64" t="s">
        <v>295</v>
      </c>
      <c r="J4" s="49" t="s">
        <v>296</v>
      </c>
    </row>
    <row r="5" customFormat="false" ht="30" hidden="false" customHeight="true" outlineLevel="0" collapsed="false">
      <c r="A5" s="53" t="s">
        <v>223</v>
      </c>
      <c r="B5" s="95" t="n">
        <v>0</v>
      </c>
      <c r="C5" s="95" t="n">
        <v>0.46136</v>
      </c>
      <c r="D5" s="96" t="n">
        <f aca="false">B5+C5</f>
        <v>0.46136</v>
      </c>
      <c r="E5" s="97" t="n">
        <f aca="false">数据与来源!$C$35</f>
        <v>1.41</v>
      </c>
      <c r="F5" s="68" t="n">
        <f aca="false">D5/E5</f>
        <v>0.327205673758865</v>
      </c>
      <c r="G5" s="98" t="s">
        <v>297</v>
      </c>
      <c r="H5" s="50" t="s">
        <v>298</v>
      </c>
      <c r="I5" s="80" t="n">
        <f aca="false">D5/数据与来源!$B$7</f>
        <v>0.0229418199900547</v>
      </c>
      <c r="J5" s="37" t="s">
        <v>299</v>
      </c>
    </row>
    <row r="6" customFormat="false" ht="30" hidden="false" customHeight="true" outlineLevel="0" collapsed="false">
      <c r="A6" s="53" t="s">
        <v>224</v>
      </c>
      <c r="B6" s="95" t="n">
        <v>0</v>
      </c>
      <c r="C6" s="95" t="n">
        <v>0.56692</v>
      </c>
      <c r="D6" s="96" t="n">
        <f aca="false">B6+C6</f>
        <v>0.56692</v>
      </c>
      <c r="E6" s="97" t="n">
        <f aca="false">数据与来源!$D$35</f>
        <v>1.58</v>
      </c>
      <c r="F6" s="68" t="n">
        <f aca="false">D6/E6</f>
        <v>0.358810126582278</v>
      </c>
      <c r="G6" s="99" t="n">
        <v>0.3601</v>
      </c>
      <c r="H6" s="50" t="s">
        <v>298</v>
      </c>
      <c r="I6" s="80" t="n">
        <f aca="false">D6/数据与来源!$B$7</f>
        <v>0.0281909497762307</v>
      </c>
      <c r="J6" s="67" t="s">
        <v>300</v>
      </c>
    </row>
    <row r="7" customFormat="false" ht="30" hidden="false" customHeight="true" outlineLevel="0" collapsed="false">
      <c r="A7" s="53" t="s">
        <v>225</v>
      </c>
      <c r="B7" s="95" t="n">
        <v>0</v>
      </c>
      <c r="C7" s="95" t="n">
        <v>0.80131</v>
      </c>
      <c r="D7" s="96" t="n">
        <f aca="false">B7+C7</f>
        <v>0.80131</v>
      </c>
      <c r="E7" s="97" t="n">
        <f aca="false">数据与来源!$E$35</f>
        <v>1.79</v>
      </c>
      <c r="F7" s="68" t="n">
        <f aca="false">D7/E7</f>
        <v>0.447659217877095</v>
      </c>
      <c r="G7" s="98" t="s">
        <v>297</v>
      </c>
      <c r="H7" s="50" t="s">
        <v>298</v>
      </c>
      <c r="I7" s="80" t="n">
        <f aca="false">D7/数据与来源!$B$7</f>
        <v>0.0398463451019393</v>
      </c>
      <c r="J7" s="67" t="s">
        <v>301</v>
      </c>
    </row>
    <row r="8" customFormat="false" ht="30" hidden="false" customHeight="true" outlineLevel="0" collapsed="false">
      <c r="A8" s="53" t="s">
        <v>226</v>
      </c>
      <c r="B8" s="95" t="n">
        <v>0</v>
      </c>
      <c r="C8" s="95" t="n">
        <v>0.96504</v>
      </c>
      <c r="D8" s="96" t="n">
        <f aca="false">B8+C8</f>
        <v>0.96504</v>
      </c>
      <c r="E8" s="97" t="n">
        <f aca="false">数据与来源!$F$35</f>
        <v>2.02</v>
      </c>
      <c r="F8" s="68" t="n">
        <f aca="false">D8/E8</f>
        <v>0.477742574257426</v>
      </c>
      <c r="G8" s="99" t="n">
        <v>0.4801</v>
      </c>
      <c r="H8" s="50" t="s">
        <v>298</v>
      </c>
      <c r="I8" s="80" t="n">
        <f aca="false">D8/数据与来源!$B$7</f>
        <v>0.0479880656389856</v>
      </c>
      <c r="J8" s="67" t="s">
        <v>302</v>
      </c>
    </row>
    <row r="9" customFormat="false" ht="30" hidden="false" customHeight="true" outlineLevel="0" collapsed="false">
      <c r="A9" s="53" t="s">
        <v>227</v>
      </c>
      <c r="B9" s="95" t="n">
        <v>0.2692</v>
      </c>
      <c r="C9" s="95" t="n">
        <v>0.89151</v>
      </c>
      <c r="D9" s="96" t="n">
        <f aca="false">B9+C9</f>
        <v>1.16071</v>
      </c>
      <c r="E9" s="97" t="n">
        <f aca="false">数据与来源!$G$35</f>
        <v>2.12</v>
      </c>
      <c r="F9" s="68" t="n">
        <f aca="false">D9/E9</f>
        <v>0.547504716981132</v>
      </c>
      <c r="G9" s="99" t="n">
        <v>0.55</v>
      </c>
      <c r="H9" s="50" t="s">
        <v>298</v>
      </c>
      <c r="I9" s="80" t="n">
        <f aca="false">D9/数据与来源!$B$7</f>
        <v>0.0577180507210343</v>
      </c>
      <c r="J9" s="67" t="s">
        <v>303</v>
      </c>
    </row>
    <row r="10" customFormat="false" ht="30" hidden="false" customHeight="true" outlineLevel="0" collapsed="false">
      <c r="A10" s="53" t="s">
        <v>304</v>
      </c>
      <c r="B10" s="95" t="n">
        <v>0</v>
      </c>
      <c r="C10" s="100" t="n">
        <f aca="false">估值模型!F58</f>
        <v>1.15973916952031</v>
      </c>
      <c r="D10" s="101" t="n">
        <f aca="false">B10+C10</f>
        <v>1.15973916952031</v>
      </c>
      <c r="E10" s="102" t="n">
        <f aca="false">估值模型!F54</f>
        <v>1.9995502922764</v>
      </c>
      <c r="F10" s="103" t="n">
        <f aca="false">D10/E10</f>
        <v>0.58</v>
      </c>
      <c r="G10" s="42" t="s">
        <v>305</v>
      </c>
      <c r="H10" s="42" t="s">
        <v>306</v>
      </c>
      <c r="I10" s="104" t="n">
        <f aca="false">D10/数据与来源!$B$7</f>
        <v>0.0576697747150825</v>
      </c>
      <c r="J10" s="105" t="s">
        <v>307</v>
      </c>
    </row>
    <row r="12" customFormat="false" ht="24" hidden="false" customHeight="true" outlineLevel="0" collapsed="false">
      <c r="A12" s="48" t="s">
        <v>308</v>
      </c>
      <c r="B12" s="48"/>
      <c r="C12" s="48"/>
      <c r="D12" s="48"/>
      <c r="E12" s="48"/>
      <c r="F12" s="48"/>
      <c r="G12" s="48"/>
      <c r="H12" s="48"/>
      <c r="I12" s="48"/>
      <c r="J12" s="48"/>
    </row>
    <row r="13" customFormat="false" ht="30" hidden="false" customHeight="true" outlineLevel="0" collapsed="false">
      <c r="A13" s="49" t="s">
        <v>118</v>
      </c>
      <c r="B13" s="64" t="s">
        <v>309</v>
      </c>
      <c r="C13" s="64" t="s">
        <v>310</v>
      </c>
      <c r="D13" s="49"/>
      <c r="E13" s="49" t="s">
        <v>120</v>
      </c>
      <c r="F13" s="49"/>
      <c r="G13" s="49"/>
      <c r="H13" s="49"/>
      <c r="I13" s="49"/>
      <c r="J13" s="49"/>
    </row>
    <row r="14" customFormat="false" ht="15" hidden="false" customHeight="true" outlineLevel="0" collapsed="false">
      <c r="A14" s="44" t="s">
        <v>311</v>
      </c>
      <c r="B14" s="72" t="n">
        <f aca="false">数据与来源!$B$7</f>
        <v>20.11</v>
      </c>
      <c r="C14" s="72" t="n">
        <f aca="false">数据与来源!$B$10</f>
        <v>17.07698</v>
      </c>
      <c r="E14" s="106" t="s">
        <v>312</v>
      </c>
      <c r="F14" s="106"/>
      <c r="G14" s="106"/>
      <c r="H14" s="106"/>
      <c r="I14" s="106"/>
      <c r="J14" s="106"/>
    </row>
    <row r="15" customFormat="false" ht="15" hidden="false" customHeight="true" outlineLevel="0" collapsed="false">
      <c r="A15" s="69" t="s">
        <v>313</v>
      </c>
      <c r="B15" s="107" t="n">
        <f aca="false">D9</f>
        <v>1.16071</v>
      </c>
      <c r="C15" s="107" t="n">
        <f aca="false">D9</f>
        <v>1.16071</v>
      </c>
      <c r="E15" s="108" t="s">
        <v>314</v>
      </c>
      <c r="F15" s="108"/>
      <c r="G15" s="108"/>
      <c r="H15" s="108"/>
      <c r="I15" s="108"/>
      <c r="J15" s="108"/>
    </row>
    <row r="16" customFormat="false" ht="15" hidden="false" customHeight="false" outlineLevel="0" collapsed="false">
      <c r="A16" s="44" t="s">
        <v>315</v>
      </c>
      <c r="B16" s="80" t="n">
        <f aca="false">B15/B14</f>
        <v>0.0577180507210343</v>
      </c>
      <c r="C16" s="80" t="n">
        <f aca="false">C15/C14</f>
        <v>0.0679692779402447</v>
      </c>
      <c r="E16" s="108"/>
      <c r="F16" s="108"/>
      <c r="G16" s="108"/>
      <c r="H16" s="108"/>
      <c r="I16" s="108"/>
      <c r="J16" s="108"/>
    </row>
    <row r="17" customFormat="false" ht="15" hidden="false" customHeight="true" outlineLevel="0" collapsed="false">
      <c r="A17" s="44" t="s">
        <v>316</v>
      </c>
      <c r="B17" s="99" t="n">
        <v>0</v>
      </c>
      <c r="C17" s="99" t="n">
        <v>0.2</v>
      </c>
      <c r="E17" s="106" t="s">
        <v>317</v>
      </c>
      <c r="F17" s="106"/>
      <c r="G17" s="106"/>
      <c r="H17" s="106"/>
      <c r="I17" s="106"/>
      <c r="J17" s="106"/>
    </row>
    <row r="18" customFormat="false" ht="15" hidden="false" customHeight="true" outlineLevel="0" collapsed="false">
      <c r="A18" s="44" t="s">
        <v>318</v>
      </c>
      <c r="B18" s="59" t="n">
        <f aca="false">B16*(1-B17)</f>
        <v>0.0577180507210343</v>
      </c>
      <c r="C18" s="59" t="n">
        <f aca="false">C16*(1-C17)</f>
        <v>0.0543754223521958</v>
      </c>
      <c r="E18" s="108" t="s">
        <v>319</v>
      </c>
      <c r="F18" s="108"/>
      <c r="G18" s="108"/>
      <c r="H18" s="108"/>
      <c r="I18" s="108"/>
      <c r="J18" s="108"/>
    </row>
    <row r="19" customFormat="false" ht="29.85" hidden="false" customHeight="true" outlineLevel="0" collapsed="false">
      <c r="A19" s="69" t="s">
        <v>320</v>
      </c>
      <c r="B19" s="80" t="n">
        <f aca="false">D10/B14</f>
        <v>0.0576697747150825</v>
      </c>
      <c r="C19" s="80" t="n">
        <f aca="false">D10/C14</f>
        <v>0.0679124276962501</v>
      </c>
      <c r="E19" s="108" t="s">
        <v>321</v>
      </c>
      <c r="F19" s="108"/>
      <c r="G19" s="108"/>
      <c r="H19" s="108"/>
      <c r="I19" s="108"/>
      <c r="J19" s="108"/>
    </row>
    <row r="21" customFormat="false" ht="24" hidden="false" customHeight="true" outlineLevel="0" collapsed="false">
      <c r="A21" s="11" t="s">
        <v>322</v>
      </c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30" hidden="false" customHeight="true" outlineLevel="0" collapsed="false">
      <c r="A22" s="49" t="s">
        <v>287</v>
      </c>
      <c r="B22" s="49" t="s">
        <v>323</v>
      </c>
      <c r="C22" s="49" t="s">
        <v>324</v>
      </c>
      <c r="D22" s="49" t="s">
        <v>325</v>
      </c>
      <c r="E22" s="49" t="s">
        <v>260</v>
      </c>
      <c r="F22" s="64" t="s">
        <v>326</v>
      </c>
      <c r="G22" s="49" t="s">
        <v>327</v>
      </c>
      <c r="H22" s="49"/>
      <c r="I22" s="49"/>
      <c r="J22" s="49" t="s">
        <v>120</v>
      </c>
    </row>
    <row r="23" customFormat="false" ht="15" hidden="false" customHeight="false" outlineLevel="0" collapsed="false">
      <c r="A23" s="53" t="s">
        <v>224</v>
      </c>
      <c r="B23" s="62" t="n">
        <f aca="false">财务五年!C12</f>
        <v>147.1205476324</v>
      </c>
      <c r="C23" s="65" t="n">
        <f aca="false">F6*B23</f>
        <v>52.7883423188356</v>
      </c>
      <c r="D23" s="62" t="n">
        <f aca="false">财务五年!C23</f>
        <v>120.4677091522</v>
      </c>
      <c r="E23" s="62" t="n">
        <f aca="false">财务五年!C25</f>
        <v>111.345726707015</v>
      </c>
      <c r="F23" s="93" t="n">
        <f aca="false">D23/C23</f>
        <v>2.2820892617652</v>
      </c>
      <c r="G23" s="93" t="n">
        <f aca="false">E23/C23</f>
        <v>2.10928628966031</v>
      </c>
      <c r="J23" s="37"/>
    </row>
    <row r="24" customFormat="false" ht="15" hidden="false" customHeight="false" outlineLevel="0" collapsed="false">
      <c r="A24" s="53" t="s">
        <v>225</v>
      </c>
      <c r="B24" s="62" t="n">
        <f aca="false">财务五年!D12</f>
        <v>165.9661504587</v>
      </c>
      <c r="C24" s="65" t="n">
        <f aca="false">F7*B24</f>
        <v>74.2962771084139</v>
      </c>
      <c r="D24" s="62" t="n">
        <f aca="false">财务五年!D23</f>
        <v>159.9421852955</v>
      </c>
      <c r="E24" s="62" t="n">
        <f aca="false">财务五年!D25</f>
        <v>139.811096188039</v>
      </c>
      <c r="F24" s="93" t="n">
        <f aca="false">D24/C24</f>
        <v>2.1527617738115</v>
      </c>
      <c r="G24" s="93" t="n">
        <f aca="false">E24/C24</f>
        <v>1.88180487138036</v>
      </c>
      <c r="J24" s="37"/>
    </row>
    <row r="25" customFormat="false" ht="15" hidden="false" customHeight="false" outlineLevel="0" collapsed="false">
      <c r="A25" s="53" t="s">
        <v>226</v>
      </c>
      <c r="B25" s="62" t="n">
        <f aca="false">财务五年!E12</f>
        <v>187.3104627317</v>
      </c>
      <c r="C25" s="65" t="n">
        <f aca="false">F8*B25</f>
        <v>89.486182650792</v>
      </c>
      <c r="D25" s="62" t="n">
        <f aca="false">财务五年!E23</f>
        <v>162.3802399891</v>
      </c>
      <c r="E25" s="62" t="n">
        <f aca="false">财务五年!E25</f>
        <v>141.00245602203</v>
      </c>
      <c r="F25" s="93" t="n">
        <f aca="false">D25/C25</f>
        <v>1.81458449985254</v>
      </c>
      <c r="G25" s="93" t="n">
        <f aca="false">E25/C25</f>
        <v>1.57568969694766</v>
      </c>
      <c r="J25" s="37"/>
    </row>
    <row r="26" customFormat="false" ht="26.85" hidden="false" customHeight="false" outlineLevel="0" collapsed="false">
      <c r="A26" s="53" t="s">
        <v>227</v>
      </c>
      <c r="B26" s="62" t="n">
        <f aca="false">财务五年!F12</f>
        <v>195.5279822285</v>
      </c>
      <c r="C26" s="65" t="n">
        <f aca="false">F9*B26</f>
        <v>107.052492571907</v>
      </c>
      <c r="D26" s="62" t="n">
        <f aca="false">财务五年!F23</f>
        <v>171.5137802903</v>
      </c>
      <c r="E26" s="62" t="n">
        <f aca="false">财务五年!F25</f>
        <v>149.056052602515</v>
      </c>
      <c r="F26" s="93" t="n">
        <f aca="false">D26/C26</f>
        <v>1.60214653736432</v>
      </c>
      <c r="G26" s="93" t="n">
        <f aca="false">E26/C26</f>
        <v>1.39236414791925</v>
      </c>
      <c r="J26" s="37" t="s">
        <v>328</v>
      </c>
    </row>
    <row r="28" customFormat="false" ht="24" hidden="false" customHeight="true" outlineLevel="0" collapsed="false">
      <c r="A28" s="33" t="s">
        <v>329</v>
      </c>
      <c r="B28" s="33"/>
      <c r="C28" s="33"/>
      <c r="D28" s="33"/>
      <c r="E28" s="33"/>
      <c r="F28" s="33"/>
      <c r="G28" s="33"/>
      <c r="H28" s="33"/>
      <c r="I28" s="33"/>
      <c r="J28" s="33"/>
    </row>
    <row r="29" customFormat="false" ht="30" hidden="false" customHeight="true" outlineLevel="0" collapsed="false">
      <c r="A29" s="49" t="s">
        <v>330</v>
      </c>
      <c r="B29" s="49" t="s">
        <v>331</v>
      </c>
      <c r="C29" s="49"/>
      <c r="D29" s="49"/>
      <c r="E29" s="49"/>
      <c r="F29" s="49"/>
      <c r="G29" s="49"/>
      <c r="H29" s="49"/>
      <c r="I29" s="49"/>
      <c r="J29" s="49" t="s">
        <v>296</v>
      </c>
    </row>
    <row r="30" customFormat="false" ht="30" hidden="false" customHeight="true" outlineLevel="0" collapsed="false">
      <c r="A30" s="53" t="s">
        <v>332</v>
      </c>
      <c r="B30" s="66" t="s">
        <v>333</v>
      </c>
      <c r="C30" s="66"/>
      <c r="D30" s="66"/>
      <c r="E30" s="66"/>
      <c r="F30" s="66"/>
      <c r="G30" s="66"/>
      <c r="H30" s="66"/>
      <c r="I30" s="66"/>
      <c r="J30" s="37" t="s">
        <v>334</v>
      </c>
    </row>
    <row r="31" customFormat="false" ht="30" hidden="false" customHeight="true" outlineLevel="0" collapsed="false">
      <c r="A31" s="53" t="s">
        <v>335</v>
      </c>
      <c r="B31" s="66" t="s">
        <v>336</v>
      </c>
      <c r="C31" s="66"/>
      <c r="D31" s="66"/>
      <c r="E31" s="66"/>
      <c r="F31" s="66"/>
      <c r="G31" s="66"/>
      <c r="H31" s="66"/>
      <c r="I31" s="66"/>
      <c r="J31" s="37" t="s">
        <v>337</v>
      </c>
    </row>
    <row r="32" customFormat="false" ht="30" hidden="false" customHeight="true" outlineLevel="0" collapsed="false">
      <c r="A32" s="53" t="s">
        <v>338</v>
      </c>
      <c r="B32" s="60" t="s">
        <v>339</v>
      </c>
      <c r="C32" s="60"/>
      <c r="D32" s="60"/>
      <c r="E32" s="60"/>
      <c r="F32" s="60"/>
      <c r="G32" s="60"/>
      <c r="H32" s="60"/>
      <c r="I32" s="60"/>
      <c r="J32" s="37" t="s">
        <v>114</v>
      </c>
    </row>
    <row r="33" customFormat="false" ht="30" hidden="false" customHeight="true" outlineLevel="0" collapsed="false">
      <c r="A33" s="109" t="s">
        <v>340</v>
      </c>
      <c r="B33" s="110" t="s">
        <v>341</v>
      </c>
      <c r="C33" s="110"/>
      <c r="D33" s="110"/>
      <c r="E33" s="110"/>
      <c r="F33" s="110"/>
      <c r="G33" s="110"/>
      <c r="H33" s="110"/>
      <c r="I33" s="110"/>
      <c r="J33" s="37" t="s">
        <v>342</v>
      </c>
    </row>
  </sheetData>
  <mergeCells count="17">
    <mergeCell ref="A1:J1"/>
    <mergeCell ref="A2:J2"/>
    <mergeCell ref="A12:J12"/>
    <mergeCell ref="E13:J13"/>
    <mergeCell ref="E14:J14"/>
    <mergeCell ref="E15:J15"/>
    <mergeCell ref="E16:J16"/>
    <mergeCell ref="E17:J17"/>
    <mergeCell ref="E18:J18"/>
    <mergeCell ref="E19:J19"/>
    <mergeCell ref="A21:J21"/>
    <mergeCell ref="A28:J28"/>
    <mergeCell ref="B29:I29"/>
    <mergeCell ref="B30:I30"/>
    <mergeCell ref="B31:I31"/>
    <mergeCell ref="B32:I32"/>
    <mergeCell ref="B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52"/>
  </cols>
  <sheetData>
    <row r="1" customFormat="false" ht="36" hidden="false" customHeight="true" outlineLevel="0" collapsed="false">
      <c r="A1" s="1" t="s">
        <v>343</v>
      </c>
      <c r="B1" s="1"/>
      <c r="C1" s="1"/>
      <c r="D1" s="1"/>
      <c r="E1" s="1"/>
    </row>
    <row r="2" customFormat="false" ht="30" hidden="false" customHeight="true" outlineLevel="0" collapsed="false">
      <c r="A2" s="2" t="s">
        <v>344</v>
      </c>
      <c r="B2" s="2"/>
      <c r="C2" s="2"/>
      <c r="D2" s="2"/>
      <c r="E2" s="2"/>
    </row>
    <row r="4" customFormat="false" ht="24" hidden="false" customHeight="true" outlineLevel="0" collapsed="false">
      <c r="A4" s="11" t="s">
        <v>345</v>
      </c>
      <c r="B4" s="11"/>
      <c r="C4" s="11"/>
      <c r="D4" s="11"/>
      <c r="E4" s="11"/>
    </row>
    <row r="5" customFormat="false" ht="63.75" hidden="false" customHeight="true" outlineLevel="0" collapsed="false">
      <c r="A5" s="111" t="s">
        <v>346</v>
      </c>
      <c r="B5" s="111"/>
      <c r="C5" s="111"/>
      <c r="D5" s="111"/>
      <c r="E5" s="111"/>
    </row>
    <row r="7" customFormat="false" ht="24" hidden="false" customHeight="true" outlineLevel="0" collapsed="false">
      <c r="A7" s="48" t="s">
        <v>347</v>
      </c>
      <c r="B7" s="48"/>
      <c r="C7" s="48"/>
      <c r="D7" s="48"/>
      <c r="E7" s="48"/>
    </row>
    <row r="8" customFormat="false" ht="30" hidden="false" customHeight="true" outlineLevel="0" collapsed="false">
      <c r="A8" s="49" t="s">
        <v>348</v>
      </c>
      <c r="B8" s="49" t="s">
        <v>349</v>
      </c>
      <c r="C8" s="49" t="s">
        <v>350</v>
      </c>
      <c r="D8" s="49" t="s">
        <v>351</v>
      </c>
      <c r="E8" s="49" t="s">
        <v>352</v>
      </c>
    </row>
    <row r="9" customFormat="false" ht="15" hidden="false" customHeight="false" outlineLevel="0" collapsed="false">
      <c r="A9" s="112" t="str">
        <f aca="false">数据与来源!A69</f>
        <v>冰箱/冷柜</v>
      </c>
      <c r="B9" s="62" t="n">
        <f aca="false">数据与来源!B69</f>
        <v>847.6</v>
      </c>
      <c r="C9" s="92" t="n">
        <f aca="false">数据与来源!C69</f>
        <v>0.014</v>
      </c>
      <c r="D9" s="68" t="n">
        <f aca="false">B9/SUM($B$9:$B$13)</f>
        <v>0.320793278328666</v>
      </c>
      <c r="E9" s="16" t="s">
        <v>353</v>
      </c>
    </row>
    <row r="10" customFormat="false" ht="15" hidden="false" customHeight="false" outlineLevel="0" collapsed="false">
      <c r="A10" s="112" t="str">
        <f aca="false">数据与来源!A70</f>
        <v>洗护</v>
      </c>
      <c r="B10" s="62" t="n">
        <f aca="false">数据与来源!B70</f>
        <v>655.7</v>
      </c>
      <c r="C10" s="92" t="n">
        <f aca="false">数据与来源!C70</f>
        <v>0.035</v>
      </c>
      <c r="D10" s="68" t="n">
        <f aca="false">B10/SUM($B$9:$B$13)</f>
        <v>0.248164408447506</v>
      </c>
      <c r="E10" s="16" t="s">
        <v>354</v>
      </c>
    </row>
    <row r="11" customFormat="false" ht="15" hidden="false" customHeight="false" outlineLevel="0" collapsed="false">
      <c r="A11" s="112" t="str">
        <f aca="false">数据与来源!A71</f>
        <v>厨电</v>
      </c>
      <c r="B11" s="62" t="n">
        <f aca="false">数据与来源!B71</f>
        <v>415.4</v>
      </c>
      <c r="C11" s="92" t="n">
        <f aca="false">数据与来源!C71</f>
        <v>0.009</v>
      </c>
      <c r="D11" s="68" t="n">
        <f aca="false">B11/SUM($B$9:$B$13)</f>
        <v>0.15721747028991</v>
      </c>
      <c r="E11" s="16" t="s">
        <v>355</v>
      </c>
    </row>
    <row r="12" customFormat="false" ht="26.85" hidden="false" customHeight="false" outlineLevel="0" collapsed="false">
      <c r="A12" s="112" t="str">
        <f aca="false">数据与来源!A72</f>
        <v>智慧大暖通：空气</v>
      </c>
      <c r="B12" s="62" t="n">
        <f aca="false">数据与来源!B72</f>
        <v>543.9</v>
      </c>
      <c r="C12" s="92" t="n">
        <f aca="false">数据与来源!C72</f>
        <v>0.096</v>
      </c>
      <c r="D12" s="68" t="n">
        <f aca="false">B12/SUM($B$9:$B$13)</f>
        <v>0.205851184618878</v>
      </c>
      <c r="E12" s="16" t="s">
        <v>356</v>
      </c>
    </row>
    <row r="13" customFormat="false" ht="15" hidden="false" customHeight="false" outlineLevel="0" collapsed="false">
      <c r="A13" s="112" t="str">
        <f aca="false">数据与来源!A73</f>
        <v>智慧大暖通：全屋用水</v>
      </c>
      <c r="B13" s="62" t="n">
        <f aca="false">数据与来源!B73</f>
        <v>179.6</v>
      </c>
      <c r="C13" s="92" t="n">
        <f aca="false">数据与来源!C73</f>
        <v>0.111</v>
      </c>
      <c r="D13" s="68" t="n">
        <f aca="false">B13/SUM($B$9:$B$13)</f>
        <v>0.0679736583150405</v>
      </c>
      <c r="E13" s="16" t="s">
        <v>357</v>
      </c>
    </row>
    <row r="14" customFormat="false" ht="15" hidden="false" customHeight="true" outlineLevel="0" collapsed="false">
      <c r="A14" s="113" t="s">
        <v>358</v>
      </c>
      <c r="B14" s="113"/>
      <c r="C14" s="113"/>
      <c r="D14" s="113"/>
      <c r="E14" s="113"/>
    </row>
    <row r="16" customFormat="false" ht="24" hidden="false" customHeight="true" outlineLevel="0" collapsed="false">
      <c r="A16" s="11" t="s">
        <v>359</v>
      </c>
      <c r="B16" s="11"/>
      <c r="C16" s="11"/>
      <c r="D16" s="11"/>
      <c r="E16" s="11"/>
    </row>
    <row r="17" customFormat="false" ht="30" hidden="false" customHeight="true" outlineLevel="0" collapsed="false">
      <c r="A17" s="49" t="s">
        <v>360</v>
      </c>
      <c r="B17" s="64" t="s">
        <v>361</v>
      </c>
      <c r="C17" s="64" t="s">
        <v>362</v>
      </c>
      <c r="D17" s="49" t="s">
        <v>351</v>
      </c>
      <c r="E17" s="64" t="s">
        <v>363</v>
      </c>
    </row>
    <row r="18" customFormat="false" ht="31.5" hidden="false" customHeight="true" outlineLevel="0" collapsed="false">
      <c r="A18" s="112" t="str">
        <f aca="false">数据与来源!E69</f>
        <v>中国</v>
      </c>
      <c r="B18" s="62" t="n">
        <f aca="false">数据与来源!F69</f>
        <v>1417</v>
      </c>
      <c r="C18" s="92" t="n">
        <f aca="false">数据与来源!G69</f>
        <v>0.0312</v>
      </c>
      <c r="D18" s="68" t="n">
        <f aca="false">B18/SUM($B$18:$B$22)</f>
        <v>0.496297904831287</v>
      </c>
      <c r="E18" s="23" t="s">
        <v>364</v>
      </c>
    </row>
    <row r="19" customFormat="false" ht="45" hidden="false" customHeight="true" outlineLevel="0" collapsed="false">
      <c r="A19" s="112" t="str">
        <f aca="false">数据与来源!E70</f>
        <v>北美</v>
      </c>
      <c r="B19" s="62" t="n">
        <f aca="false">数据与来源!F70</f>
        <v>795.29</v>
      </c>
      <c r="C19" s="92" t="str">
        <f aca="false">数据与来源!G70</f>
        <v>未披露</v>
      </c>
      <c r="D19" s="68" t="n">
        <f aca="false">B19/SUM($B$18:$B$22)</f>
        <v>0.278546761279657</v>
      </c>
      <c r="E19" s="23" t="s">
        <v>365</v>
      </c>
    </row>
    <row r="20" customFormat="false" ht="18.75" hidden="false" customHeight="true" outlineLevel="0" collapsed="false">
      <c r="A20" s="112" t="str">
        <f aca="false">数据与来源!E71</f>
        <v>欧洲</v>
      </c>
      <c r="B20" s="62" t="n">
        <f aca="false">数据与来源!F71</f>
        <v>320.89</v>
      </c>
      <c r="C20" s="92" t="n">
        <f aca="false">数据与来源!G71</f>
        <v>0.1242</v>
      </c>
      <c r="D20" s="68" t="n">
        <f aca="false">B20/SUM($B$18:$B$22)</f>
        <v>0.112390285590199</v>
      </c>
      <c r="E20" s="23" t="s">
        <v>366</v>
      </c>
    </row>
    <row r="21" customFormat="false" ht="31.5" hidden="false" customHeight="true" outlineLevel="0" collapsed="false">
      <c r="A21" s="112" t="str">
        <f aca="false">数据与来源!E72</f>
        <v>南亚</v>
      </c>
      <c r="B21" s="62" t="n">
        <f aca="false">数据与来源!F72</f>
        <v>115.25</v>
      </c>
      <c r="C21" s="92" t="n">
        <f aca="false">数据与来源!G72</f>
        <v>0.2105</v>
      </c>
      <c r="D21" s="68" t="n">
        <f aca="false">B21/SUM($B$18:$B$22)</f>
        <v>0.0403657964232927</v>
      </c>
      <c r="E21" s="23" t="s">
        <v>367</v>
      </c>
    </row>
    <row r="22" customFormat="false" ht="18.75" hidden="false" customHeight="true" outlineLevel="0" collapsed="false">
      <c r="A22" s="112" t="str">
        <f aca="false">数据与来源!E73</f>
        <v>其他海外(倒算)</v>
      </c>
      <c r="B22" s="62" t="n">
        <f aca="false">数据与来源!F73</f>
        <v>206.71</v>
      </c>
      <c r="C22" s="92" t="str">
        <f aca="false">数据与来源!G73</f>
        <v>未披露</v>
      </c>
      <c r="D22" s="68" t="n">
        <f aca="false">B22/SUM($B$18:$B$22)</f>
        <v>0.0723992518755649</v>
      </c>
      <c r="E22" s="16" t="s">
        <v>368</v>
      </c>
    </row>
    <row r="24" customFormat="false" ht="24" hidden="false" customHeight="true" outlineLevel="0" collapsed="false">
      <c r="A24" s="11" t="s">
        <v>369</v>
      </c>
      <c r="B24" s="11"/>
      <c r="C24" s="11"/>
      <c r="D24" s="11"/>
      <c r="E24" s="11"/>
    </row>
    <row r="25" customFormat="false" ht="34.5" hidden="false" customHeight="true" outlineLevel="0" collapsed="false">
      <c r="A25" s="83" t="s">
        <v>370</v>
      </c>
      <c r="B25" s="60" t="s">
        <v>371</v>
      </c>
      <c r="C25" s="60"/>
      <c r="D25" s="60"/>
      <c r="E25" s="60"/>
    </row>
    <row r="26" customFormat="false" ht="34.5" hidden="false" customHeight="true" outlineLevel="0" collapsed="false">
      <c r="A26" s="83" t="s">
        <v>236</v>
      </c>
      <c r="B26" s="66" t="s">
        <v>372</v>
      </c>
      <c r="C26" s="66"/>
      <c r="D26" s="66"/>
      <c r="E26" s="66"/>
    </row>
    <row r="27" customFormat="false" ht="34.5" hidden="false" customHeight="true" outlineLevel="0" collapsed="false">
      <c r="A27" s="83" t="s">
        <v>373</v>
      </c>
      <c r="B27" s="60" t="s">
        <v>374</v>
      </c>
      <c r="C27" s="60"/>
      <c r="D27" s="60"/>
      <c r="E27" s="60"/>
    </row>
    <row r="28" customFormat="false" ht="20.25" hidden="false" customHeight="true" outlineLevel="0" collapsed="false">
      <c r="A28" s="83" t="s">
        <v>375</v>
      </c>
      <c r="B28" s="60" t="s">
        <v>376</v>
      </c>
      <c r="C28" s="60"/>
      <c r="D28" s="60"/>
      <c r="E28" s="60"/>
    </row>
    <row r="29" customFormat="false" ht="34.5" hidden="false" customHeight="true" outlineLevel="0" collapsed="false">
      <c r="A29" s="83" t="s">
        <v>256</v>
      </c>
      <c r="B29" s="66" t="s">
        <v>377</v>
      </c>
      <c r="C29" s="66"/>
      <c r="D29" s="66"/>
      <c r="E29" s="66"/>
    </row>
    <row r="30" customFormat="false" ht="34.5" hidden="false" customHeight="true" outlineLevel="0" collapsed="false">
      <c r="A30" s="83" t="s">
        <v>378</v>
      </c>
      <c r="B30" s="66" t="s">
        <v>379</v>
      </c>
      <c r="C30" s="66"/>
      <c r="D30" s="66"/>
      <c r="E30" s="66"/>
    </row>
  </sheetData>
  <mergeCells count="14">
    <mergeCell ref="A1:E1"/>
    <mergeCell ref="A2:E2"/>
    <mergeCell ref="A4:E4"/>
    <mergeCell ref="A5:E5"/>
    <mergeCell ref="A7:E7"/>
    <mergeCell ref="A14:E14"/>
    <mergeCell ref="A16:E16"/>
    <mergeCell ref="A24:E24"/>
    <mergeCell ref="B25:E25"/>
    <mergeCell ref="B26:E26"/>
    <mergeCell ref="B27:E27"/>
    <mergeCell ref="B28:E28"/>
    <mergeCell ref="B29:E29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8"/>
    <col collapsed="false" customWidth="true" hidden="false" outlineLevel="0" max="5" min="5" style="0" width="40"/>
  </cols>
  <sheetData>
    <row r="1" customFormat="false" ht="36" hidden="false" customHeight="true" outlineLevel="0" collapsed="false">
      <c r="A1" s="1" t="s">
        <v>380</v>
      </c>
      <c r="B1" s="1"/>
      <c r="C1" s="1"/>
      <c r="D1" s="1"/>
      <c r="E1" s="1"/>
    </row>
    <row r="2" customFormat="false" ht="30" hidden="false" customHeight="true" outlineLevel="0" collapsed="false">
      <c r="A2" s="2" t="s">
        <v>381</v>
      </c>
      <c r="B2" s="2"/>
      <c r="C2" s="2"/>
      <c r="D2" s="2"/>
      <c r="E2" s="2"/>
    </row>
    <row r="4" customFormat="false" ht="24" hidden="false" customHeight="true" outlineLevel="0" collapsed="false">
      <c r="A4" s="48" t="s">
        <v>382</v>
      </c>
      <c r="B4" s="48"/>
      <c r="C4" s="48"/>
      <c r="D4" s="48"/>
      <c r="E4" s="48"/>
    </row>
    <row r="5" customFormat="false" ht="30" hidden="false" customHeight="true" outlineLevel="0" collapsed="false">
      <c r="A5" s="64" t="s">
        <v>12</v>
      </c>
      <c r="B5" s="49" t="s">
        <v>13</v>
      </c>
      <c r="C5" s="49" t="s">
        <v>14</v>
      </c>
      <c r="D5" s="49" t="s">
        <v>84</v>
      </c>
      <c r="E5" s="49" t="s">
        <v>383</v>
      </c>
    </row>
    <row r="6" customFormat="false" ht="31.5" hidden="false" customHeight="true" outlineLevel="0" collapsed="false">
      <c r="A6" s="53" t="n">
        <v>1</v>
      </c>
      <c r="B6" s="44" t="s">
        <v>21</v>
      </c>
      <c r="C6" s="114" t="s">
        <v>22</v>
      </c>
      <c r="D6" s="115" t="s">
        <v>384</v>
      </c>
      <c r="E6" s="116" t="s">
        <v>385</v>
      </c>
    </row>
    <row r="7" customFormat="false" ht="31.5" hidden="false" customHeight="true" outlineLevel="0" collapsed="false">
      <c r="A7" s="53" t="n">
        <v>2</v>
      </c>
      <c r="B7" s="44" t="s">
        <v>25</v>
      </c>
      <c r="C7" s="114" t="s">
        <v>22</v>
      </c>
      <c r="D7" s="115" t="s">
        <v>386</v>
      </c>
      <c r="E7" s="116" t="s">
        <v>387</v>
      </c>
    </row>
    <row r="8" customFormat="false" ht="45" hidden="false" customHeight="true" outlineLevel="0" collapsed="false">
      <c r="A8" s="53" t="n">
        <v>3</v>
      </c>
      <c r="B8" s="44" t="s">
        <v>28</v>
      </c>
      <c r="C8" s="117" t="s">
        <v>29</v>
      </c>
      <c r="D8" s="115" t="s">
        <v>388</v>
      </c>
      <c r="E8" s="116" t="s">
        <v>389</v>
      </c>
    </row>
    <row r="9" customFormat="false" ht="45" hidden="false" customHeight="true" outlineLevel="0" collapsed="false">
      <c r="A9" s="53" t="n">
        <v>4</v>
      </c>
      <c r="B9" s="44" t="s">
        <v>32</v>
      </c>
      <c r="C9" s="117" t="s">
        <v>29</v>
      </c>
      <c r="D9" s="115" t="s">
        <v>390</v>
      </c>
      <c r="E9" s="118" t="s">
        <v>391</v>
      </c>
    </row>
    <row r="10" customFormat="false" ht="31.5" hidden="false" customHeight="true" outlineLevel="0" collapsed="false">
      <c r="A10" s="53" t="n">
        <v>5</v>
      </c>
      <c r="B10" s="44" t="s">
        <v>35</v>
      </c>
      <c r="C10" s="114" t="s">
        <v>22</v>
      </c>
      <c r="D10" s="119" t="s">
        <v>392</v>
      </c>
      <c r="E10" s="118" t="s">
        <v>393</v>
      </c>
    </row>
    <row r="11" customFormat="false" ht="31.5" hidden="false" customHeight="true" outlineLevel="0" collapsed="false">
      <c r="A11" s="53" t="n">
        <v>6</v>
      </c>
      <c r="B11" s="44" t="s">
        <v>38</v>
      </c>
      <c r="C11" s="114" t="s">
        <v>22</v>
      </c>
      <c r="D11" s="119" t="s">
        <v>394</v>
      </c>
      <c r="E11" s="116" t="s">
        <v>395</v>
      </c>
    </row>
    <row r="12" customFormat="false" ht="45" hidden="false" customHeight="true" outlineLevel="0" collapsed="false">
      <c r="A12" s="53" t="n">
        <v>7</v>
      </c>
      <c r="B12" s="44" t="s">
        <v>41</v>
      </c>
      <c r="C12" s="117" t="s">
        <v>29</v>
      </c>
      <c r="D12" s="115" t="s">
        <v>396</v>
      </c>
      <c r="E12" s="116" t="s">
        <v>397</v>
      </c>
    </row>
    <row r="13" customFormat="false" ht="31.5" hidden="false" customHeight="true" outlineLevel="0" collapsed="false">
      <c r="A13" s="53" t="n">
        <v>8</v>
      </c>
      <c r="B13" s="44" t="s">
        <v>44</v>
      </c>
      <c r="C13" s="117" t="s">
        <v>29</v>
      </c>
      <c r="D13" s="115" t="s">
        <v>398</v>
      </c>
      <c r="E13" s="118" t="s">
        <v>399</v>
      </c>
    </row>
    <row r="15" customFormat="false" ht="24" hidden="false" customHeight="true" outlineLevel="0" collapsed="false">
      <c r="A15" s="48" t="s">
        <v>400</v>
      </c>
      <c r="B15" s="48"/>
      <c r="C15" s="48"/>
      <c r="D15" s="48"/>
      <c r="E15" s="48"/>
    </row>
    <row r="16" customFormat="false" ht="30" hidden="false" customHeight="true" outlineLevel="0" collapsed="false">
      <c r="A16" s="64" t="s">
        <v>12</v>
      </c>
      <c r="B16" s="49" t="s">
        <v>401</v>
      </c>
      <c r="C16" s="49" t="s">
        <v>402</v>
      </c>
      <c r="D16" s="49" t="s">
        <v>403</v>
      </c>
      <c r="E16" s="49" t="s">
        <v>404</v>
      </c>
    </row>
    <row r="17" customFormat="false" ht="31.5" hidden="false" customHeight="true" outlineLevel="0" collapsed="false">
      <c r="A17" s="53" t="n">
        <v>1</v>
      </c>
      <c r="B17" s="44" t="s">
        <v>405</v>
      </c>
      <c r="C17" s="50" t="s">
        <v>406</v>
      </c>
      <c r="D17" s="115" t="s">
        <v>407</v>
      </c>
      <c r="E17" s="120" t="s">
        <v>408</v>
      </c>
    </row>
    <row r="18" customFormat="false" ht="31.5" hidden="false" customHeight="true" outlineLevel="0" collapsed="false">
      <c r="A18" s="53" t="n">
        <v>2</v>
      </c>
      <c r="B18" s="44" t="s">
        <v>409</v>
      </c>
      <c r="C18" s="50" t="s">
        <v>410</v>
      </c>
      <c r="D18" s="115" t="s">
        <v>411</v>
      </c>
      <c r="E18" s="120" t="s">
        <v>412</v>
      </c>
    </row>
    <row r="19" customFormat="false" ht="31.5" hidden="false" customHeight="true" outlineLevel="0" collapsed="false">
      <c r="A19" s="53" t="n">
        <v>3</v>
      </c>
      <c r="B19" s="44" t="s">
        <v>413</v>
      </c>
      <c r="C19" s="50" t="s">
        <v>414</v>
      </c>
      <c r="D19" s="115" t="s">
        <v>415</v>
      </c>
      <c r="E19" s="120" t="s">
        <v>416</v>
      </c>
    </row>
    <row r="20" customFormat="false" ht="31.5" hidden="false" customHeight="true" outlineLevel="0" collapsed="false">
      <c r="A20" s="53" t="n">
        <v>4</v>
      </c>
      <c r="B20" s="44" t="s">
        <v>417</v>
      </c>
      <c r="C20" s="50" t="s">
        <v>418</v>
      </c>
      <c r="D20" s="115" t="s">
        <v>419</v>
      </c>
      <c r="E20" s="120" t="s">
        <v>420</v>
      </c>
    </row>
    <row r="21" customFormat="false" ht="31.5" hidden="false" customHeight="true" outlineLevel="0" collapsed="false">
      <c r="A21" s="53" t="n">
        <v>5</v>
      </c>
      <c r="B21" s="44" t="s">
        <v>421</v>
      </c>
      <c r="C21" s="50" t="s">
        <v>422</v>
      </c>
      <c r="D21" s="115" t="s">
        <v>423</v>
      </c>
      <c r="E21" s="120" t="s">
        <v>424</v>
      </c>
    </row>
    <row r="22" customFormat="false" ht="48" hidden="false" customHeight="true" outlineLevel="0" collapsed="false">
      <c r="A22" s="121" t="s">
        <v>425</v>
      </c>
      <c r="B22" s="121"/>
      <c r="C22" s="121"/>
      <c r="D22" s="121"/>
      <c r="E22" s="121"/>
    </row>
    <row r="24" customFormat="false" ht="24" hidden="false" customHeight="true" outlineLevel="0" collapsed="false">
      <c r="A24" s="48" t="s">
        <v>426</v>
      </c>
      <c r="B24" s="48"/>
      <c r="C24" s="48"/>
      <c r="D24" s="48"/>
      <c r="E24" s="48"/>
    </row>
    <row r="25" customFormat="false" ht="30" hidden="false" customHeight="true" outlineLevel="0" collapsed="false">
      <c r="A25" s="64" t="s">
        <v>12</v>
      </c>
      <c r="B25" s="49" t="s">
        <v>427</v>
      </c>
      <c r="C25" s="49" t="s">
        <v>428</v>
      </c>
      <c r="D25" s="49" t="s">
        <v>429</v>
      </c>
      <c r="E25" s="49" t="s">
        <v>430</v>
      </c>
    </row>
    <row r="26" customFormat="false" ht="31.5" hidden="false" customHeight="true" outlineLevel="0" collapsed="false">
      <c r="A26" s="53" t="n">
        <v>1</v>
      </c>
      <c r="B26" s="83" t="s">
        <v>431</v>
      </c>
      <c r="C26" s="114" t="s">
        <v>432</v>
      </c>
      <c r="D26" s="115" t="s">
        <v>433</v>
      </c>
      <c r="E26" s="116" t="s">
        <v>434</v>
      </c>
    </row>
    <row r="27" customFormat="false" ht="18.75" hidden="false" customHeight="true" outlineLevel="0" collapsed="false">
      <c r="A27" s="53" t="n">
        <v>2</v>
      </c>
      <c r="B27" s="83" t="s">
        <v>435</v>
      </c>
      <c r="C27" s="117" t="s">
        <v>436</v>
      </c>
      <c r="D27" s="119" t="s">
        <v>437</v>
      </c>
      <c r="E27" s="116" t="s">
        <v>438</v>
      </c>
    </row>
    <row r="28" customFormat="false" ht="31.5" hidden="false" customHeight="true" outlineLevel="0" collapsed="false">
      <c r="A28" s="53" t="n">
        <v>3</v>
      </c>
      <c r="B28" s="83" t="s">
        <v>439</v>
      </c>
      <c r="C28" s="114" t="s">
        <v>432</v>
      </c>
      <c r="D28" s="119" t="s">
        <v>440</v>
      </c>
      <c r="E28" s="116" t="s">
        <v>441</v>
      </c>
    </row>
    <row r="29" customFormat="false" ht="31.5" hidden="false" customHeight="true" outlineLevel="0" collapsed="false">
      <c r="A29" s="53" t="n">
        <v>4</v>
      </c>
      <c r="B29" s="83" t="s">
        <v>442</v>
      </c>
      <c r="C29" s="117" t="s">
        <v>436</v>
      </c>
      <c r="D29" s="115" t="s">
        <v>443</v>
      </c>
      <c r="E29" s="116" t="s">
        <v>444</v>
      </c>
    </row>
    <row r="30" customFormat="false" ht="31.5" hidden="false" customHeight="true" outlineLevel="0" collapsed="false">
      <c r="A30" s="53" t="n">
        <v>5</v>
      </c>
      <c r="B30" s="83" t="s">
        <v>445</v>
      </c>
      <c r="C30" s="117" t="s">
        <v>436</v>
      </c>
      <c r="D30" s="119" t="s">
        <v>446</v>
      </c>
      <c r="E30" s="116" t="s">
        <v>447</v>
      </c>
    </row>
  </sheetData>
  <mergeCells count="6">
    <mergeCell ref="A1:E1"/>
    <mergeCell ref="A2:E2"/>
    <mergeCell ref="A4:E4"/>
    <mergeCell ref="A15:E15"/>
    <mergeCell ref="A22:E22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34"/>
  </cols>
  <sheetData>
    <row r="1" customFormat="false" ht="36" hidden="false" customHeight="true" outlineLevel="0" collapsed="false">
      <c r="A1" s="1" t="s">
        <v>448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449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122" t="s">
        <v>450</v>
      </c>
      <c r="B4" s="122"/>
      <c r="C4" s="122"/>
      <c r="D4" s="122"/>
      <c r="E4" s="122"/>
      <c r="F4" s="122"/>
    </row>
    <row r="5" customFormat="false" ht="30" hidden="false" customHeight="true" outlineLevel="0" collapsed="false">
      <c r="A5" s="64" t="s">
        <v>12</v>
      </c>
      <c r="B5" s="49" t="s">
        <v>451</v>
      </c>
      <c r="C5" s="49" t="s">
        <v>452</v>
      </c>
      <c r="D5" s="49" t="s">
        <v>453</v>
      </c>
      <c r="E5" s="49" t="s">
        <v>454</v>
      </c>
      <c r="F5" s="49" t="s">
        <v>455</v>
      </c>
    </row>
    <row r="6" customFormat="false" ht="45" hidden="false" customHeight="true" outlineLevel="0" collapsed="false">
      <c r="A6" s="53" t="n">
        <v>1</v>
      </c>
      <c r="B6" s="123" t="s">
        <v>456</v>
      </c>
      <c r="C6" s="16" t="s">
        <v>457</v>
      </c>
      <c r="D6" s="23" t="s">
        <v>458</v>
      </c>
      <c r="E6" s="16" t="s">
        <v>459</v>
      </c>
      <c r="F6" s="23" t="s">
        <v>460</v>
      </c>
    </row>
    <row r="7" customFormat="false" ht="31.5" hidden="false" customHeight="true" outlineLevel="0" collapsed="false">
      <c r="A7" s="53" t="n">
        <v>2</v>
      </c>
      <c r="B7" s="123" t="s">
        <v>461</v>
      </c>
      <c r="C7" s="16" t="s">
        <v>462</v>
      </c>
      <c r="D7" s="23" t="s">
        <v>463</v>
      </c>
      <c r="E7" s="16" t="s">
        <v>464</v>
      </c>
      <c r="F7" s="16" t="s">
        <v>465</v>
      </c>
    </row>
    <row r="8" customFormat="false" ht="45" hidden="false" customHeight="true" outlineLevel="0" collapsed="false">
      <c r="A8" s="53" t="n">
        <v>3</v>
      </c>
      <c r="B8" s="123" t="s">
        <v>466</v>
      </c>
      <c r="C8" s="16" t="s">
        <v>467</v>
      </c>
      <c r="D8" s="23" t="s">
        <v>468</v>
      </c>
      <c r="E8" s="23" t="s">
        <v>469</v>
      </c>
      <c r="F8" s="16" t="s">
        <v>470</v>
      </c>
    </row>
    <row r="10" customFormat="false" ht="24" hidden="false" customHeight="true" outlineLevel="0" collapsed="false">
      <c r="A10" s="48" t="s">
        <v>471</v>
      </c>
      <c r="B10" s="48"/>
      <c r="C10" s="48"/>
      <c r="D10" s="48"/>
      <c r="E10" s="48"/>
      <c r="F10" s="48"/>
    </row>
    <row r="11" customFormat="false" ht="30" hidden="false" customHeight="true" outlineLevel="0" collapsed="false">
      <c r="A11" s="64" t="s">
        <v>12</v>
      </c>
      <c r="B11" s="49" t="s">
        <v>472</v>
      </c>
      <c r="C11" s="49" t="s">
        <v>473</v>
      </c>
      <c r="D11" s="49" t="s">
        <v>474</v>
      </c>
      <c r="E11" s="49" t="s">
        <v>475</v>
      </c>
      <c r="F11" s="49" t="s">
        <v>476</v>
      </c>
    </row>
    <row r="12" customFormat="false" ht="30" hidden="false" customHeight="true" outlineLevel="0" collapsed="false">
      <c r="A12" s="53" t="n">
        <v>1</v>
      </c>
      <c r="B12" s="44" t="s">
        <v>477</v>
      </c>
      <c r="C12" s="16" t="s">
        <v>478</v>
      </c>
      <c r="D12" s="84" t="n">
        <f aca="false">财务五年!H7</f>
        <v>-0.0279817964093148</v>
      </c>
      <c r="E12" s="116" t="s">
        <v>479</v>
      </c>
      <c r="F12" s="16" t="s">
        <v>480</v>
      </c>
    </row>
    <row r="13" customFormat="false" ht="30" hidden="false" customHeight="true" outlineLevel="0" collapsed="false">
      <c r="A13" s="53" t="n">
        <v>2</v>
      </c>
      <c r="B13" s="44" t="s">
        <v>236</v>
      </c>
      <c r="C13" s="16" t="s">
        <v>481</v>
      </c>
      <c r="D13" s="84" t="n">
        <f aca="false">财务五年!H8</f>
        <v>0.27229325533933</v>
      </c>
      <c r="E13" s="116" t="s">
        <v>482</v>
      </c>
      <c r="F13" s="16" t="s">
        <v>483</v>
      </c>
    </row>
    <row r="14" customFormat="false" ht="30" hidden="false" customHeight="true" outlineLevel="0" collapsed="false">
      <c r="A14" s="53" t="n">
        <v>3</v>
      </c>
      <c r="B14" s="44" t="s">
        <v>484</v>
      </c>
      <c r="C14" s="16" t="s">
        <v>485</v>
      </c>
      <c r="D14" s="90" t="n">
        <f aca="false">财务五年!I14</f>
        <v>161.9997368362</v>
      </c>
      <c r="E14" s="118" t="s">
        <v>486</v>
      </c>
      <c r="F14" s="16" t="s">
        <v>487</v>
      </c>
    </row>
    <row r="15" customFormat="false" ht="30" hidden="false" customHeight="true" outlineLevel="0" collapsed="false">
      <c r="A15" s="53" t="n">
        <v>4</v>
      </c>
      <c r="B15" s="44" t="s">
        <v>488</v>
      </c>
      <c r="C15" s="16" t="s">
        <v>489</v>
      </c>
      <c r="D15" s="124" t="n">
        <f aca="false">财务五年!I21</f>
        <v>1.32671888320468</v>
      </c>
      <c r="E15" s="118" t="s">
        <v>490</v>
      </c>
      <c r="F15" s="16" t="s">
        <v>491</v>
      </c>
    </row>
    <row r="16" customFormat="false" ht="30" hidden="false" customHeight="true" outlineLevel="0" collapsed="false">
      <c r="A16" s="53" t="n">
        <v>5</v>
      </c>
      <c r="B16" s="44" t="s">
        <v>492</v>
      </c>
      <c r="C16" s="16" t="s">
        <v>493</v>
      </c>
      <c r="D16" s="90" t="n">
        <f aca="false">财务五年!I22</f>
        <v>94.5389035363</v>
      </c>
      <c r="E16" s="118" t="s">
        <v>494</v>
      </c>
      <c r="F16" s="16" t="s">
        <v>495</v>
      </c>
    </row>
    <row r="17" customFormat="false" ht="30" hidden="false" customHeight="true" outlineLevel="0" collapsed="false">
      <c r="A17" s="53" t="n">
        <v>6</v>
      </c>
      <c r="B17" s="44" t="s">
        <v>496</v>
      </c>
      <c r="C17" s="16" t="s">
        <v>497</v>
      </c>
      <c r="D17" s="90" t="n">
        <f aca="false">财务五年!H36</f>
        <v>161.2965344142</v>
      </c>
      <c r="E17" s="118" t="s">
        <v>498</v>
      </c>
      <c r="F17" s="16" t="s">
        <v>499</v>
      </c>
    </row>
    <row r="18" customFormat="false" ht="30" hidden="false" customHeight="true" outlineLevel="0" collapsed="false">
      <c r="A18" s="53" t="n">
        <v>7</v>
      </c>
      <c r="B18" s="44" t="s">
        <v>500</v>
      </c>
      <c r="C18" s="16" t="s">
        <v>501</v>
      </c>
      <c r="D18" s="84" t="n">
        <f aca="false">分红与回报!F9</f>
        <v>0.547504716981132</v>
      </c>
      <c r="E18" s="118" t="s">
        <v>502</v>
      </c>
      <c r="F18" s="16" t="s">
        <v>503</v>
      </c>
    </row>
    <row r="19" customFormat="false" ht="30" hidden="false" customHeight="true" outlineLevel="0" collapsed="false">
      <c r="A19" s="53" t="n">
        <v>8</v>
      </c>
      <c r="B19" s="44" t="s">
        <v>504</v>
      </c>
      <c r="C19" s="16" t="s">
        <v>505</v>
      </c>
      <c r="D19" s="125" t="s">
        <v>506</v>
      </c>
      <c r="E19" s="116" t="s">
        <v>507</v>
      </c>
      <c r="F19" s="16" t="s">
        <v>508</v>
      </c>
    </row>
    <row r="20" customFormat="false" ht="30" hidden="false" customHeight="true" outlineLevel="0" collapsed="false">
      <c r="A20" s="53" t="n">
        <v>9</v>
      </c>
      <c r="B20" s="44" t="s">
        <v>509</v>
      </c>
      <c r="C20" s="16" t="s">
        <v>510</v>
      </c>
      <c r="D20" s="90" t="n">
        <f aca="false">数据与来源!$I$57/100000000</f>
        <v>263.3539437099</v>
      </c>
      <c r="E20" s="116" t="s">
        <v>511</v>
      </c>
      <c r="F20" s="23" t="s">
        <v>512</v>
      </c>
    </row>
    <row r="21" customFormat="false" ht="30" hidden="false" customHeight="true" outlineLevel="0" collapsed="false">
      <c r="A21" s="53" t="n">
        <v>10</v>
      </c>
      <c r="B21" s="69" t="s">
        <v>513</v>
      </c>
      <c r="C21" s="16" t="s">
        <v>514</v>
      </c>
      <c r="D21" s="84" t="n">
        <f aca="false">数据与来源!$B$11</f>
        <v>-0.150821481849826</v>
      </c>
      <c r="E21" s="116" t="s">
        <v>515</v>
      </c>
      <c r="F21" s="23" t="s">
        <v>516</v>
      </c>
    </row>
    <row r="23" customFormat="false" ht="24" hidden="false" customHeight="true" outlineLevel="0" collapsed="false">
      <c r="A23" s="126" t="s">
        <v>517</v>
      </c>
      <c r="B23" s="126"/>
      <c r="C23" s="126"/>
      <c r="D23" s="126"/>
      <c r="E23" s="126"/>
      <c r="F23" s="126"/>
    </row>
    <row r="24" customFormat="false" ht="20.25" hidden="false" customHeight="true" outlineLevel="0" collapsed="false">
      <c r="A24" s="66" t="s">
        <v>518</v>
      </c>
      <c r="B24" s="66"/>
      <c r="C24" s="66"/>
      <c r="D24" s="66"/>
      <c r="E24" s="66"/>
      <c r="F24" s="66"/>
    </row>
    <row r="25" customFormat="false" ht="20.25" hidden="false" customHeight="true" outlineLevel="0" collapsed="false">
      <c r="A25" s="60" t="s">
        <v>519</v>
      </c>
      <c r="B25" s="60"/>
      <c r="C25" s="60"/>
      <c r="D25" s="60"/>
      <c r="E25" s="60"/>
      <c r="F25" s="60"/>
    </row>
    <row r="26" customFormat="false" ht="20.25" hidden="false" customHeight="true" outlineLevel="0" collapsed="false">
      <c r="A26" s="66" t="s">
        <v>520</v>
      </c>
      <c r="B26" s="66"/>
      <c r="C26" s="66"/>
      <c r="D26" s="66"/>
      <c r="E26" s="66"/>
      <c r="F26" s="66"/>
    </row>
    <row r="27" customFormat="false" ht="20.25" hidden="false" customHeight="true" outlineLevel="0" collapsed="false">
      <c r="A27" s="60" t="s">
        <v>521</v>
      </c>
      <c r="B27" s="60"/>
      <c r="C27" s="60"/>
      <c r="D27" s="60"/>
      <c r="E27" s="60"/>
      <c r="F27" s="60"/>
    </row>
  </sheetData>
  <mergeCells count="9">
    <mergeCell ref="A1:F1"/>
    <mergeCell ref="A2:F2"/>
    <mergeCell ref="A4:F4"/>
    <mergeCell ref="A10:F10"/>
    <mergeCell ref="A23:F23"/>
    <mergeCell ref="A24:F24"/>
    <mergeCell ref="A25:F25"/>
    <mergeCell ref="A26:F26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7" min="5" style="0" width="11"/>
    <col collapsed="false" customWidth="true" hidden="false" outlineLevel="0" max="8" min="8" style="0" width="40"/>
  </cols>
  <sheetData>
    <row r="1" customFormat="false" ht="36" hidden="false" customHeight="true" outlineLevel="0" collapsed="false">
      <c r="A1" s="1" t="s">
        <v>522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523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49" t="s">
        <v>524</v>
      </c>
      <c r="B4" s="49" t="s">
        <v>525</v>
      </c>
      <c r="C4" s="49" t="s">
        <v>526</v>
      </c>
      <c r="D4" s="49" t="s">
        <v>527</v>
      </c>
      <c r="E4" s="64" t="s">
        <v>528</v>
      </c>
      <c r="F4" s="64" t="s">
        <v>529</v>
      </c>
      <c r="G4" s="64" t="s">
        <v>59</v>
      </c>
      <c r="H4" s="49" t="s">
        <v>530</v>
      </c>
    </row>
    <row r="5" customFormat="false" ht="26.85" hidden="false" customHeight="false" outlineLevel="0" collapsed="false">
      <c r="A5" s="117" t="s">
        <v>531</v>
      </c>
      <c r="B5" s="127" t="s">
        <v>532</v>
      </c>
      <c r="C5" s="128" t="n">
        <f aca="false">数据与来源!$B$7</f>
        <v>20.11</v>
      </c>
      <c r="D5" s="127" t="s">
        <v>533</v>
      </c>
      <c r="E5" s="129" t="n">
        <f aca="false">数据与来源!$B$16/财务五年!I12</f>
        <v>10.4316403856125</v>
      </c>
      <c r="F5" s="129" t="n">
        <f aca="false">数据与来源!$B$16/财务五年!I14</f>
        <v>11.4851628647019</v>
      </c>
      <c r="G5" s="129" t="n">
        <f aca="false">数据与来源!$B$7/财务五年!H39</f>
        <v>1.55466154338929</v>
      </c>
      <c r="H5" s="130" t="s">
        <v>534</v>
      </c>
    </row>
    <row r="6" customFormat="false" ht="15" hidden="false" customHeight="false" outlineLevel="0" collapsed="false">
      <c r="A6" s="131" t="str">
        <f aca="false">数据与来源!A82</f>
        <v>美的集团</v>
      </c>
      <c r="B6" s="131" t="str">
        <f aca="false">数据与来源!B82</f>
        <v>000333</v>
      </c>
      <c r="C6" s="97" t="n">
        <f aca="false">数据与来源!C82</f>
        <v>86.54</v>
      </c>
      <c r="D6" s="131" t="str">
        <f aca="false">数据与来源!D82</f>
        <v>2026-10-19</v>
      </c>
      <c r="E6" s="97" t="n">
        <f aca="false">数据与来源!E82</f>
        <v>14.88</v>
      </c>
      <c r="F6" s="97" t="n">
        <f aca="false">数据与来源!F82</f>
        <v>19.07</v>
      </c>
      <c r="G6" s="97" t="n">
        <f aca="false">数据与来源!G82</f>
        <v>2.92</v>
      </c>
      <c r="H6" s="37" t="s">
        <v>535</v>
      </c>
    </row>
    <row r="7" customFormat="false" ht="15" hidden="false" customHeight="false" outlineLevel="0" collapsed="false">
      <c r="A7" s="131" t="str">
        <f aca="false">数据与来源!A83</f>
        <v>格力电器</v>
      </c>
      <c r="B7" s="131" t="str">
        <f aca="false">数据与来源!B83</f>
        <v>000651</v>
      </c>
      <c r="C7" s="97" t="n">
        <f aca="false">数据与来源!C83</f>
        <v>39.49</v>
      </c>
      <c r="D7" s="131" t="str">
        <f aca="false">数据与来源!D83</f>
        <v>2026-10-16</v>
      </c>
      <c r="E7" s="97" t="n">
        <f aca="false">数据与来源!E83</f>
        <v>7.94</v>
      </c>
      <c r="F7" s="97" t="n">
        <f aca="false">数据与来源!F83</f>
        <v>8.36</v>
      </c>
      <c r="G7" s="97" t="n">
        <f aca="false">数据与来源!G83</f>
        <v>1.45</v>
      </c>
      <c r="H7" s="37" t="s">
        <v>535</v>
      </c>
    </row>
    <row r="8" customFormat="false" ht="15" hidden="false" customHeight="false" outlineLevel="0" collapsed="false">
      <c r="A8" s="131" t="str">
        <f aca="false">数据与来源!A84</f>
        <v>老板电器</v>
      </c>
      <c r="B8" s="131" t="str">
        <f aca="false">数据与来源!B84</f>
        <v>002508</v>
      </c>
      <c r="C8" s="97" t="n">
        <f aca="false">数据与来源!C84</f>
        <v>17.05</v>
      </c>
      <c r="D8" s="131" t="str">
        <f aca="false">数据与来源!D84</f>
        <v>2026-10-19</v>
      </c>
      <c r="E8" s="97" t="n">
        <f aca="false">数据与来源!E84</f>
        <v>14.35</v>
      </c>
      <c r="F8" s="97" t="n">
        <f aca="false">数据与来源!F84</f>
        <v>15.74</v>
      </c>
      <c r="G8" s="97" t="n">
        <f aca="false">数据与来源!G84</f>
        <v>1.38</v>
      </c>
      <c r="H8" s="37" t="s">
        <v>535</v>
      </c>
    </row>
    <row r="9" customFormat="false" ht="15" hidden="false" customHeight="false" outlineLevel="0" collapsed="false">
      <c r="A9" s="131" t="str">
        <f aca="false">数据与来源!A85</f>
        <v>海尔智家(行情页口径)</v>
      </c>
      <c r="B9" s="131" t="str">
        <f aca="false">数据与来源!B85</f>
        <v>600690</v>
      </c>
      <c r="C9" s="97" t="n">
        <f aca="false">数据与来源!C85</f>
        <v>20.11</v>
      </c>
      <c r="D9" s="131" t="str">
        <f aca="false">数据与来源!D85</f>
        <v>2026-10-20</v>
      </c>
      <c r="E9" s="97" t="n">
        <f aca="false">数据与来源!E85</f>
        <v>10.48</v>
      </c>
      <c r="F9" s="97" t="n">
        <f aca="false">数据与来源!F85</f>
        <v>11.54</v>
      </c>
      <c r="G9" s="97" t="n">
        <f aca="false">数据与来源!G85</f>
        <v>1.45</v>
      </c>
      <c r="H9" s="37" t="s">
        <v>536</v>
      </c>
    </row>
    <row r="11" customFormat="false" ht="49.5" hidden="false" customHeight="true" outlineLevel="0" collapsed="false">
      <c r="A11" s="110" t="s">
        <v>537</v>
      </c>
      <c r="B11" s="110"/>
      <c r="C11" s="110"/>
      <c r="D11" s="110"/>
      <c r="E11" s="110"/>
      <c r="F11" s="110"/>
      <c r="G11" s="110"/>
      <c r="H11" s="110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7"/>
    <col collapsed="false" customWidth="true" hidden="false" outlineLevel="0" max="10" min="10" style="0" width="46"/>
  </cols>
  <sheetData>
    <row r="1" customFormat="false" ht="36" hidden="false" customHeight="true" outlineLevel="0" collapsed="false">
      <c r="A1" s="1" t="s">
        <v>538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539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9" t="s">
        <v>74</v>
      </c>
      <c r="B3" s="40" t="s">
        <v>75</v>
      </c>
      <c r="C3" s="41" t="s">
        <v>76</v>
      </c>
      <c r="D3" s="42" t="s">
        <v>77</v>
      </c>
      <c r="E3" s="43" t="s">
        <v>78</v>
      </c>
    </row>
    <row r="5" customFormat="false" ht="24" hidden="false" customHeight="true" outlineLevel="0" collapsed="false">
      <c r="A5" s="48" t="s">
        <v>540</v>
      </c>
      <c r="B5" s="48"/>
      <c r="C5" s="48"/>
      <c r="D5" s="48"/>
      <c r="E5" s="48"/>
      <c r="F5" s="48"/>
      <c r="G5" s="48"/>
      <c r="H5" s="48"/>
      <c r="I5" s="48"/>
      <c r="J5" s="48"/>
    </row>
    <row r="6" customFormat="false" ht="30" hidden="false" customHeight="true" outlineLevel="0" collapsed="false">
      <c r="A6" s="49" t="s">
        <v>472</v>
      </c>
      <c r="B6" s="49" t="s">
        <v>541</v>
      </c>
      <c r="C6" s="49" t="s">
        <v>82</v>
      </c>
      <c r="D6" s="49" t="s">
        <v>527</v>
      </c>
      <c r="E6" s="49" t="s">
        <v>542</v>
      </c>
      <c r="F6" s="49"/>
      <c r="G6" s="49"/>
      <c r="H6" s="49"/>
      <c r="I6" s="49"/>
      <c r="J6" s="49"/>
    </row>
    <row r="7" customFormat="false" ht="15" hidden="false" customHeight="true" outlineLevel="0" collapsed="false">
      <c r="A7" s="66" t="s">
        <v>543</v>
      </c>
      <c r="B7" s="132" t="n">
        <v>20.11</v>
      </c>
      <c r="C7" s="50" t="s">
        <v>544</v>
      </c>
      <c r="D7" s="53" t="s">
        <v>533</v>
      </c>
      <c r="E7" s="60" t="s">
        <v>545</v>
      </c>
      <c r="F7" s="60"/>
      <c r="G7" s="60"/>
      <c r="H7" s="60"/>
      <c r="I7" s="60"/>
      <c r="J7" s="60"/>
    </row>
    <row r="8" customFormat="false" ht="15" hidden="false" customHeight="true" outlineLevel="0" collapsed="false">
      <c r="A8" s="66" t="s">
        <v>546</v>
      </c>
      <c r="B8" s="132" t="n">
        <v>19.64</v>
      </c>
      <c r="C8" s="50" t="s">
        <v>547</v>
      </c>
      <c r="D8" s="53" t="s">
        <v>533</v>
      </c>
      <c r="E8" s="60" t="s">
        <v>548</v>
      </c>
      <c r="F8" s="60"/>
      <c r="G8" s="60"/>
      <c r="H8" s="60"/>
      <c r="I8" s="60"/>
      <c r="J8" s="60"/>
    </row>
    <row r="9" customFormat="false" ht="15" hidden="false" customHeight="true" outlineLevel="0" collapsed="false">
      <c r="A9" s="60" t="s">
        <v>549</v>
      </c>
      <c r="B9" s="95" t="n">
        <v>0.8695</v>
      </c>
      <c r="C9" s="53" t="s">
        <v>550</v>
      </c>
      <c r="D9" s="53" t="s">
        <v>551</v>
      </c>
      <c r="E9" s="60" t="s">
        <v>552</v>
      </c>
      <c r="F9" s="60"/>
      <c r="G9" s="60"/>
      <c r="H9" s="60"/>
      <c r="I9" s="60"/>
      <c r="J9" s="60"/>
    </row>
    <row r="10" customFormat="false" ht="15" hidden="false" customHeight="true" outlineLevel="0" collapsed="false">
      <c r="A10" s="66" t="s">
        <v>553</v>
      </c>
      <c r="B10" s="72" t="n">
        <f aca="false">B8*B9</f>
        <v>17.07698</v>
      </c>
      <c r="C10" s="50" t="s">
        <v>544</v>
      </c>
      <c r="D10" s="50" t="s">
        <v>554</v>
      </c>
      <c r="E10" s="66" t="s">
        <v>555</v>
      </c>
      <c r="F10" s="66"/>
      <c r="G10" s="66"/>
      <c r="H10" s="66"/>
      <c r="I10" s="66"/>
      <c r="J10" s="66"/>
    </row>
    <row r="11" customFormat="false" ht="15" hidden="false" customHeight="true" outlineLevel="0" collapsed="false">
      <c r="A11" s="66" t="s">
        <v>556</v>
      </c>
      <c r="B11" s="68" t="n">
        <f aca="false">B10/B7-1</f>
        <v>-0.150821481849826</v>
      </c>
      <c r="C11" s="53" t="s">
        <v>91</v>
      </c>
      <c r="D11" s="50" t="s">
        <v>554</v>
      </c>
      <c r="E11" s="60" t="s">
        <v>557</v>
      </c>
      <c r="F11" s="60"/>
      <c r="G11" s="60"/>
      <c r="H11" s="60"/>
      <c r="I11" s="60"/>
      <c r="J11" s="60"/>
    </row>
    <row r="12" customFormat="false" ht="15" hidden="false" customHeight="true" outlineLevel="0" collapsed="false">
      <c r="A12" s="60" t="s">
        <v>558</v>
      </c>
      <c r="B12" s="133" t="n">
        <v>9252080366</v>
      </c>
      <c r="C12" s="50" t="s">
        <v>559</v>
      </c>
      <c r="D12" s="53" t="s">
        <v>560</v>
      </c>
      <c r="E12" s="66" t="s">
        <v>561</v>
      </c>
      <c r="F12" s="66"/>
      <c r="G12" s="66"/>
      <c r="H12" s="66"/>
      <c r="I12" s="66"/>
      <c r="J12" s="66"/>
    </row>
    <row r="13" customFormat="false" ht="15" hidden="false" customHeight="true" outlineLevel="0" collapsed="false">
      <c r="A13" s="60" t="s">
        <v>562</v>
      </c>
      <c r="B13" s="133" t="n">
        <v>9377629650</v>
      </c>
      <c r="C13" s="50" t="s">
        <v>559</v>
      </c>
      <c r="D13" s="53" t="s">
        <v>563</v>
      </c>
      <c r="E13" s="66" t="s">
        <v>564</v>
      </c>
      <c r="F13" s="66"/>
      <c r="G13" s="66"/>
      <c r="H13" s="66"/>
      <c r="I13" s="66"/>
      <c r="J13" s="66"/>
    </row>
    <row r="14" customFormat="false" ht="15" hidden="false" customHeight="true" outlineLevel="0" collapsed="false">
      <c r="A14" s="66" t="s">
        <v>565</v>
      </c>
      <c r="B14" s="133" t="n">
        <v>124683686</v>
      </c>
      <c r="C14" s="50" t="s">
        <v>559</v>
      </c>
      <c r="D14" s="53" t="s">
        <v>551</v>
      </c>
      <c r="E14" s="66" t="s">
        <v>566</v>
      </c>
      <c r="F14" s="66"/>
      <c r="G14" s="66"/>
      <c r="H14" s="66"/>
      <c r="I14" s="66"/>
      <c r="J14" s="66"/>
    </row>
    <row r="15" customFormat="false" ht="15" hidden="false" customHeight="true" outlineLevel="0" collapsed="false">
      <c r="A15" s="60" t="s">
        <v>110</v>
      </c>
      <c r="B15" s="107" t="n">
        <f aca="false">B12/100000000</f>
        <v>92.52080366</v>
      </c>
      <c r="C15" s="50" t="s">
        <v>111</v>
      </c>
      <c r="D15" s="50" t="s">
        <v>554</v>
      </c>
      <c r="E15" s="60" t="s">
        <v>567</v>
      </c>
      <c r="F15" s="60"/>
      <c r="G15" s="60"/>
      <c r="H15" s="60"/>
      <c r="I15" s="60"/>
      <c r="J15" s="60"/>
    </row>
    <row r="16" customFormat="false" ht="15" hidden="false" customHeight="true" outlineLevel="0" collapsed="false">
      <c r="A16" s="66" t="s">
        <v>568</v>
      </c>
      <c r="B16" s="65" t="n">
        <f aca="false">B7*B15</f>
        <v>1860.5933616026</v>
      </c>
      <c r="C16" s="50" t="s">
        <v>86</v>
      </c>
      <c r="D16" s="50" t="s">
        <v>554</v>
      </c>
      <c r="E16" s="60" t="s">
        <v>569</v>
      </c>
      <c r="F16" s="60"/>
      <c r="G16" s="60"/>
      <c r="H16" s="60"/>
      <c r="I16" s="60"/>
      <c r="J16" s="60"/>
    </row>
    <row r="17" customFormat="false" ht="15" hidden="false" customHeight="true" outlineLevel="0" collapsed="false">
      <c r="A17" s="60" t="s">
        <v>570</v>
      </c>
      <c r="B17" s="134" t="s">
        <v>533</v>
      </c>
      <c r="C17" s="53"/>
      <c r="D17" s="53"/>
      <c r="E17" s="60" t="s">
        <v>571</v>
      </c>
      <c r="F17" s="60"/>
      <c r="G17" s="60"/>
      <c r="H17" s="60"/>
      <c r="I17" s="60"/>
      <c r="J17" s="60"/>
    </row>
    <row r="18" customFormat="false" ht="15" hidden="false" customHeight="true" outlineLevel="0" collapsed="false">
      <c r="A18" s="60" t="s">
        <v>572</v>
      </c>
      <c r="B18" s="134" t="s">
        <v>573</v>
      </c>
      <c r="C18" s="53"/>
      <c r="D18" s="53" t="s">
        <v>574</v>
      </c>
      <c r="E18" s="60" t="s">
        <v>575</v>
      </c>
      <c r="F18" s="60"/>
      <c r="G18" s="60"/>
      <c r="H18" s="60"/>
      <c r="I18" s="60"/>
      <c r="J18" s="60"/>
    </row>
    <row r="21" customFormat="false" ht="24" hidden="false" customHeight="true" outlineLevel="0" collapsed="false">
      <c r="A21" s="48" t="s">
        <v>576</v>
      </c>
      <c r="B21" s="48"/>
      <c r="C21" s="48"/>
      <c r="D21" s="48"/>
      <c r="E21" s="48"/>
      <c r="F21" s="48"/>
      <c r="G21" s="48"/>
      <c r="H21" s="48"/>
      <c r="I21" s="48"/>
      <c r="J21" s="48"/>
    </row>
    <row r="22" customFormat="false" ht="30" hidden="false" customHeight="true" outlineLevel="0" collapsed="false">
      <c r="A22" s="49" t="s">
        <v>118</v>
      </c>
      <c r="B22" s="64" t="s">
        <v>577</v>
      </c>
      <c r="C22" s="64" t="s">
        <v>223</v>
      </c>
      <c r="D22" s="64" t="s">
        <v>224</v>
      </c>
      <c r="E22" s="64" t="s">
        <v>225</v>
      </c>
      <c r="F22" s="64" t="s">
        <v>226</v>
      </c>
      <c r="G22" s="64" t="s">
        <v>227</v>
      </c>
      <c r="H22" s="64" t="s">
        <v>228</v>
      </c>
      <c r="I22" s="64" t="s">
        <v>229</v>
      </c>
      <c r="J22" s="49" t="s">
        <v>578</v>
      </c>
    </row>
    <row r="23" customFormat="false" ht="15" hidden="false" customHeight="false" outlineLevel="0" collapsed="false">
      <c r="A23" s="60" t="s">
        <v>232</v>
      </c>
      <c r="B23" s="133" t="n">
        <v>209723430081.03</v>
      </c>
      <c r="C23" s="133" t="n">
        <v>227105817641.69</v>
      </c>
      <c r="D23" s="133" t="n">
        <v>243578924958.47</v>
      </c>
      <c r="E23" s="133" t="n">
        <v>274204520847.97</v>
      </c>
      <c r="F23" s="133" t="n">
        <v>286015294936.52</v>
      </c>
      <c r="G23" s="133" t="n">
        <v>302346783918.3</v>
      </c>
      <c r="H23" s="133" t="n">
        <v>156494034448.85</v>
      </c>
      <c r="I23" s="133" t="n">
        <v>152115050237.63</v>
      </c>
      <c r="J23" s="37" t="s">
        <v>579</v>
      </c>
    </row>
    <row r="24" customFormat="false" ht="26.85" hidden="false" customHeight="false" outlineLevel="0" collapsed="false">
      <c r="A24" s="60" t="s">
        <v>580</v>
      </c>
      <c r="B24" s="133" t="n">
        <v>147471922284.89</v>
      </c>
      <c r="C24" s="133" t="n">
        <v>155949547009.4</v>
      </c>
      <c r="D24" s="133" t="n">
        <v>167263342432.05</v>
      </c>
      <c r="E24" s="133" t="n">
        <v>198838470796.47</v>
      </c>
      <c r="F24" s="133" t="n">
        <v>206439444975.26</v>
      </c>
      <c r="G24" s="133" t="n">
        <v>221738754173.11</v>
      </c>
      <c r="H24" s="133" t="n">
        <v>114437933108.76</v>
      </c>
      <c r="I24" s="133" t="n">
        <v>110695148022.32</v>
      </c>
      <c r="J24" s="37" t="s">
        <v>581</v>
      </c>
    </row>
    <row r="25" customFormat="false" ht="15" hidden="false" customHeight="false" outlineLevel="0" collapsed="false">
      <c r="A25" s="60" t="s">
        <v>582</v>
      </c>
      <c r="B25" s="133" t="n">
        <v>33641711147.72</v>
      </c>
      <c r="C25" s="133" t="n">
        <v>36584438840.05</v>
      </c>
      <c r="D25" s="133" t="n">
        <v>38600298275.47</v>
      </c>
      <c r="E25" s="133" t="n">
        <v>32726735817.73</v>
      </c>
      <c r="F25" s="133" t="n">
        <v>33608820300.61</v>
      </c>
      <c r="G25" s="133" t="n">
        <v>33877814770.04</v>
      </c>
      <c r="H25" s="133" t="n">
        <v>15816814510.07</v>
      </c>
      <c r="I25" s="133" t="n">
        <v>16438747513.12</v>
      </c>
      <c r="J25" s="37" t="s">
        <v>583</v>
      </c>
    </row>
    <row r="26" customFormat="false" ht="15" hidden="false" customHeight="false" outlineLevel="0" collapsed="false">
      <c r="A26" s="60" t="s">
        <v>584</v>
      </c>
      <c r="B26" s="133" t="n">
        <v>10052645415.72</v>
      </c>
      <c r="C26" s="133" t="n">
        <v>10471531966.2</v>
      </c>
      <c r="D26" s="133" t="n">
        <v>10846346796.51</v>
      </c>
      <c r="E26" s="133" t="n">
        <v>11874420922.31</v>
      </c>
      <c r="F26" s="133" t="n">
        <v>12134986807.22</v>
      </c>
      <c r="G26" s="133" t="n">
        <v>13762454428.58</v>
      </c>
      <c r="H26" s="133" t="n">
        <v>5891046898.48</v>
      </c>
      <c r="I26" s="133" t="n">
        <v>6024554539.54</v>
      </c>
      <c r="J26" s="37" t="s">
        <v>583</v>
      </c>
    </row>
    <row r="27" customFormat="false" ht="15" hidden="false" customHeight="false" outlineLevel="0" collapsed="false">
      <c r="A27" s="60" t="s">
        <v>585</v>
      </c>
      <c r="B27" s="133" t="n">
        <v>6852861422.32</v>
      </c>
      <c r="C27" s="133" t="n">
        <v>8363868872.76</v>
      </c>
      <c r="D27" s="133" t="n">
        <v>9507384787.81</v>
      </c>
      <c r="E27" s="133" t="n">
        <v>10380219803.05</v>
      </c>
      <c r="F27" s="133" t="n">
        <v>10769896196.17</v>
      </c>
      <c r="G27" s="133" t="n">
        <v>10095934065.45</v>
      </c>
      <c r="H27" s="133" t="n">
        <v>5790436804.1</v>
      </c>
      <c r="I27" s="133" t="n">
        <v>5071691950.54</v>
      </c>
      <c r="J27" s="37" t="s">
        <v>583</v>
      </c>
    </row>
    <row r="28" customFormat="false" ht="26.85" hidden="false" customHeight="false" outlineLevel="0" collapsed="false">
      <c r="A28" s="60" t="s">
        <v>586</v>
      </c>
      <c r="B28" s="133" t="n">
        <v>1196199335.22</v>
      </c>
      <c r="C28" s="133" t="n">
        <v>684721619.75</v>
      </c>
      <c r="D28" s="133" t="n">
        <v>-241752219.47</v>
      </c>
      <c r="E28" s="133" t="n">
        <v>505658528.21</v>
      </c>
      <c r="F28" s="133" t="n">
        <v>972078427.22</v>
      </c>
      <c r="G28" s="133" t="n">
        <v>-50959123.75</v>
      </c>
      <c r="H28" s="133" t="n">
        <v>-350857561.47</v>
      </c>
      <c r="I28" s="133" t="n">
        <v>1103388705.41</v>
      </c>
      <c r="J28" s="37" t="s">
        <v>587</v>
      </c>
    </row>
    <row r="29" customFormat="false" ht="15" hidden="false" customHeight="false" outlineLevel="0" collapsed="false">
      <c r="A29" s="60" t="s">
        <v>588</v>
      </c>
      <c r="B29" s="133" t="n">
        <v>1327091393.08</v>
      </c>
      <c r="C29" s="133" t="n">
        <v>712462772.83</v>
      </c>
      <c r="D29" s="133" t="n">
        <v>988036369.52</v>
      </c>
      <c r="E29" s="133" t="n">
        <v>2165467567.74</v>
      </c>
      <c r="F29" s="133" t="n">
        <v>2727313494.33</v>
      </c>
      <c r="G29" s="133" t="n">
        <v>2679484195.35</v>
      </c>
      <c r="H29" s="133" t="n">
        <v>1446615689.51</v>
      </c>
      <c r="I29" s="133" t="n">
        <v>964540808.97</v>
      </c>
      <c r="J29" s="37" t="s">
        <v>589</v>
      </c>
    </row>
    <row r="30" customFormat="false" ht="15" hidden="false" customHeight="false" outlineLevel="0" collapsed="false">
      <c r="A30" s="60" t="s">
        <v>590</v>
      </c>
      <c r="B30" s="133" t="n">
        <v>13562278629.27</v>
      </c>
      <c r="C30" s="133" t="n">
        <v>15937513226.9</v>
      </c>
      <c r="D30" s="133" t="n">
        <v>17791135761.49</v>
      </c>
      <c r="E30" s="133" t="n">
        <v>20211643792.71</v>
      </c>
      <c r="F30" s="133" t="n">
        <v>22722718578.69</v>
      </c>
      <c r="G30" s="133" t="n">
        <v>23478743800.22</v>
      </c>
      <c r="H30" s="133" t="n">
        <v>14997056148.11</v>
      </c>
      <c r="I30" s="133" t="n">
        <v>13071173672.62</v>
      </c>
      <c r="J30" s="37" t="s">
        <v>583</v>
      </c>
    </row>
    <row r="31" customFormat="false" ht="15" hidden="false" customHeight="false" outlineLevel="0" collapsed="false">
      <c r="A31" s="60" t="s">
        <v>591</v>
      </c>
      <c r="B31" s="133" t="n">
        <v>2233126505.02</v>
      </c>
      <c r="C31" s="133" t="n">
        <v>2705253855.89</v>
      </c>
      <c r="D31" s="133" t="n">
        <v>3057822871.71</v>
      </c>
      <c r="E31" s="133" t="n">
        <v>3123163218.75</v>
      </c>
      <c r="F31" s="133" t="n">
        <v>3157179926.77</v>
      </c>
      <c r="G31" s="133" t="n">
        <v>3315650253.71</v>
      </c>
      <c r="H31" s="133" t="n">
        <v>2511940348.67</v>
      </c>
      <c r="I31" s="133" t="n">
        <v>2195160459.05</v>
      </c>
      <c r="J31" s="37" t="s">
        <v>583</v>
      </c>
    </row>
    <row r="32" customFormat="false" ht="15" hidden="false" customHeight="false" outlineLevel="0" collapsed="false">
      <c r="A32" s="60" t="s">
        <v>592</v>
      </c>
      <c r="B32" s="133" t="n">
        <v>11329152124.25</v>
      </c>
      <c r="C32" s="133" t="n">
        <v>13232259371.01</v>
      </c>
      <c r="D32" s="133" t="n">
        <v>14733312889.78</v>
      </c>
      <c r="E32" s="133" t="n">
        <v>17088480573.96</v>
      </c>
      <c r="F32" s="133" t="n">
        <v>19565538651.92</v>
      </c>
      <c r="G32" s="133" t="n">
        <v>20163093546.51</v>
      </c>
      <c r="H32" s="133" t="n">
        <v>12485115799.44</v>
      </c>
      <c r="I32" s="133" t="n">
        <v>10876013213.57</v>
      </c>
      <c r="J32" s="37" t="s">
        <v>583</v>
      </c>
    </row>
    <row r="33" customFormat="false" ht="15" hidden="false" customHeight="false" outlineLevel="0" collapsed="false">
      <c r="A33" s="60" t="s">
        <v>241</v>
      </c>
      <c r="B33" s="133" t="n">
        <v>8883129055.16</v>
      </c>
      <c r="C33" s="133" t="n">
        <v>13078840517.1</v>
      </c>
      <c r="D33" s="133" t="n">
        <v>14712054763.24</v>
      </c>
      <c r="E33" s="133" t="n">
        <v>16596615045.87</v>
      </c>
      <c r="F33" s="133" t="n">
        <v>18731046273.17</v>
      </c>
      <c r="G33" s="133" t="n">
        <v>19552798222.85</v>
      </c>
      <c r="H33" s="133" t="n">
        <v>12032995820.27</v>
      </c>
      <c r="I33" s="133" t="n">
        <v>10316254946.26</v>
      </c>
      <c r="J33" s="37" t="s">
        <v>593</v>
      </c>
    </row>
    <row r="34" customFormat="false" ht="15" hidden="false" customHeight="false" outlineLevel="0" collapsed="false">
      <c r="A34" s="60" t="s">
        <v>244</v>
      </c>
      <c r="B34" s="133" t="n">
        <v>6457813335.37</v>
      </c>
      <c r="C34" s="133" t="n">
        <v>11831272558.29</v>
      </c>
      <c r="D34" s="133" t="n">
        <v>13962931853.78</v>
      </c>
      <c r="E34" s="133" t="n">
        <v>15824164161.43</v>
      </c>
      <c r="F34" s="133" t="n">
        <v>17804732809.63</v>
      </c>
      <c r="G34" s="133" t="n">
        <v>18603631637.54</v>
      </c>
      <c r="H34" s="133" t="n">
        <v>11702408556.7</v>
      </c>
      <c r="I34" s="133" t="n">
        <v>9298750602.78</v>
      </c>
      <c r="J34" s="37" t="s">
        <v>594</v>
      </c>
    </row>
    <row r="35" customFormat="false" ht="15" hidden="false" customHeight="false" outlineLevel="0" collapsed="false">
      <c r="A35" s="60" t="s">
        <v>595</v>
      </c>
      <c r="B35" s="132" t="n">
        <v>1.34</v>
      </c>
      <c r="C35" s="132" t="n">
        <v>1.41</v>
      </c>
      <c r="D35" s="132" t="n">
        <v>1.58</v>
      </c>
      <c r="E35" s="132" t="n">
        <v>1.79</v>
      </c>
      <c r="F35" s="132" t="n">
        <v>2.02</v>
      </c>
      <c r="G35" s="132" t="n">
        <v>2.12</v>
      </c>
      <c r="H35" s="132" t="n">
        <v>1.3</v>
      </c>
      <c r="I35" s="132" t="n">
        <v>1.12</v>
      </c>
      <c r="J35" s="37" t="s">
        <v>596</v>
      </c>
    </row>
    <row r="36" customFormat="false" ht="15" hidden="false" customHeight="false" outlineLevel="0" collapsed="false">
      <c r="A36" s="60" t="s">
        <v>597</v>
      </c>
      <c r="B36" s="135"/>
      <c r="C36" s="136" t="n">
        <v>0.1726</v>
      </c>
      <c r="D36" s="136" t="n">
        <v>0.1681</v>
      </c>
      <c r="E36" s="136" t="n">
        <v>0.1724</v>
      </c>
      <c r="F36" s="136" t="n">
        <v>0.1761</v>
      </c>
      <c r="G36" s="136" t="n">
        <v>0.1698</v>
      </c>
      <c r="H36" s="136" t="n">
        <v>0.1034</v>
      </c>
      <c r="I36" s="136" t="n">
        <v>0.0836</v>
      </c>
      <c r="J36" s="37" t="s">
        <v>598</v>
      </c>
    </row>
    <row r="37" customFormat="false" ht="15" hidden="false" customHeight="false" outlineLevel="0" collapsed="false">
      <c r="A37" s="60" t="s">
        <v>599</v>
      </c>
      <c r="B37" s="135"/>
      <c r="C37" s="133" t="n">
        <v>23235380690.95</v>
      </c>
      <c r="D37" s="133" t="n">
        <v>20256557145.86</v>
      </c>
      <c r="E37" s="133" t="n">
        <v>26535780568.36</v>
      </c>
      <c r="F37" s="133" t="n">
        <v>26318091311.95</v>
      </c>
      <c r="G37" s="133" t="n">
        <v>26002941969.92</v>
      </c>
      <c r="H37" s="133" t="n">
        <v>11139045781.34</v>
      </c>
      <c r="I37" s="133" t="n">
        <v>9752033977.71</v>
      </c>
      <c r="J37" s="37" t="s">
        <v>600</v>
      </c>
    </row>
    <row r="38" customFormat="false" ht="15" hidden="false" customHeight="false" outlineLevel="0" collapsed="false">
      <c r="A38" s="60" t="s">
        <v>601</v>
      </c>
      <c r="B38" s="135"/>
      <c r="C38" s="133" t="n">
        <v>7372428832.38</v>
      </c>
      <c r="D38" s="133" t="n">
        <v>8209786230.64</v>
      </c>
      <c r="E38" s="133" t="n">
        <v>10541562038.81</v>
      </c>
      <c r="F38" s="133" t="n">
        <v>10080067313.04</v>
      </c>
      <c r="G38" s="133" t="n">
        <v>8851563940.89</v>
      </c>
      <c r="H38" s="133" t="n">
        <v>3764462806.18</v>
      </c>
      <c r="I38" s="133" t="n">
        <v>4366789218.92</v>
      </c>
      <c r="J38" s="37" t="s">
        <v>602</v>
      </c>
    </row>
    <row r="39" customFormat="false" ht="15" hidden="false" customHeight="false" outlineLevel="0" collapsed="false">
      <c r="A39" s="60" t="s">
        <v>603</v>
      </c>
      <c r="B39" s="135"/>
      <c r="C39" s="133" t="n">
        <v>3899373994.04</v>
      </c>
      <c r="D39" s="133" t="n">
        <v>3668992233.2</v>
      </c>
      <c r="E39" s="133" t="n">
        <v>4231698278.31</v>
      </c>
      <c r="F39" s="133" t="n">
        <v>4722365794.59</v>
      </c>
      <c r="G39" s="133" t="n">
        <v>5302037821.98</v>
      </c>
      <c r="H39" s="133" t="n">
        <v>2519985504.97</v>
      </c>
      <c r="I39" s="133" t="n">
        <v>2575287901.06</v>
      </c>
      <c r="J39" s="37" t="s">
        <v>604</v>
      </c>
    </row>
    <row r="40" customFormat="false" ht="15" hidden="false" customHeight="false" outlineLevel="0" collapsed="false">
      <c r="A40" s="60" t="s">
        <v>605</v>
      </c>
      <c r="B40" s="135"/>
      <c r="C40" s="133" t="n">
        <v>905996786.57</v>
      </c>
      <c r="D40" s="133" t="n">
        <v>1074941740.28</v>
      </c>
      <c r="E40" s="133" t="n">
        <v>1296398118.4</v>
      </c>
      <c r="F40" s="133" t="n">
        <v>1403251337.35</v>
      </c>
      <c r="G40" s="133" t="n">
        <v>1413186944.7</v>
      </c>
      <c r="H40" s="133" t="n">
        <v>716020914.2</v>
      </c>
      <c r="I40" s="133" t="n">
        <v>664329425.67</v>
      </c>
      <c r="J40" s="37" t="s">
        <v>604</v>
      </c>
    </row>
    <row r="41" customFormat="false" ht="15" hidden="false" customHeight="false" outlineLevel="0" collapsed="false">
      <c r="A41" s="60" t="s">
        <v>606</v>
      </c>
      <c r="B41" s="135"/>
      <c r="C41" s="133" t="n">
        <v>257802793.09</v>
      </c>
      <c r="D41" s="133" t="n">
        <v>411338249.38</v>
      </c>
      <c r="E41" s="133" t="n">
        <v>511293684.15</v>
      </c>
      <c r="F41" s="133" t="n">
        <v>467452036.82</v>
      </c>
      <c r="G41" s="133" t="n">
        <v>254178883.72</v>
      </c>
      <c r="H41" s="133" t="n">
        <v>178900068.92</v>
      </c>
      <c r="I41" s="133" t="n">
        <v>140129779.62</v>
      </c>
      <c r="J41" s="37" t="s">
        <v>604</v>
      </c>
    </row>
    <row r="42" customFormat="false" ht="15" hidden="false" customHeight="false" outlineLevel="0" collapsed="false">
      <c r="A42" s="60" t="s">
        <v>258</v>
      </c>
      <c r="B42" s="135"/>
      <c r="C42" s="135"/>
      <c r="D42" s="133" t="n">
        <v>896109386.87</v>
      </c>
      <c r="E42" s="133" t="n">
        <v>1598757800.78</v>
      </c>
      <c r="F42" s="133" t="n">
        <v>1509594187.35</v>
      </c>
      <c r="G42" s="133" t="n">
        <v>1780528813.26</v>
      </c>
      <c r="H42" s="133" t="n">
        <v>771315015.94</v>
      </c>
      <c r="I42" s="133" t="n">
        <v>889679944.68</v>
      </c>
      <c r="J42" s="37" t="s">
        <v>607</v>
      </c>
    </row>
    <row r="43" customFormat="false" ht="29.85" hidden="false" customHeight="false" outlineLevel="0" collapsed="false">
      <c r="A43" s="60" t="s">
        <v>608</v>
      </c>
      <c r="B43" s="135"/>
      <c r="C43" s="133" t="n">
        <v>4036372354.42</v>
      </c>
      <c r="D43" s="133" t="n">
        <v>5153227150.11</v>
      </c>
      <c r="E43" s="133" t="n">
        <v>7256095863.08</v>
      </c>
      <c r="F43" s="133" t="n">
        <v>10091640214.86</v>
      </c>
      <c r="G43" s="133" t="n">
        <v>13873428690.71</v>
      </c>
      <c r="H43" s="133" t="n">
        <v>1318338742.42</v>
      </c>
      <c r="I43" s="133" t="n">
        <v>860742135.77</v>
      </c>
      <c r="J43" s="37" t="s">
        <v>609</v>
      </c>
    </row>
    <row r="44" customFormat="false" ht="15" hidden="false" customHeight="false" outlineLevel="0" collapsed="false">
      <c r="A44" s="60" t="s">
        <v>610</v>
      </c>
      <c r="B44" s="133" t="n">
        <v>46467732459.51</v>
      </c>
      <c r="C44" s="133" t="n">
        <v>46097333903.45</v>
      </c>
      <c r="D44" s="133" t="n">
        <v>54162212155.31</v>
      </c>
      <c r="E44" s="133" t="n">
        <v>57255962206.24</v>
      </c>
      <c r="F44" s="133" t="n">
        <v>55597554622.83</v>
      </c>
      <c r="G44" s="133" t="n">
        <v>47621657441.3</v>
      </c>
      <c r="H44" s="135"/>
      <c r="I44" s="133" t="n">
        <v>50859093158.21</v>
      </c>
      <c r="J44" s="37" t="s">
        <v>611</v>
      </c>
    </row>
    <row r="45" customFormat="false" ht="15" hidden="false" customHeight="false" outlineLevel="0" collapsed="false">
      <c r="A45" s="60" t="s">
        <v>612</v>
      </c>
      <c r="B45" s="135"/>
      <c r="C45" s="135"/>
      <c r="D45" s="133" t="n">
        <v>519912880.91</v>
      </c>
      <c r="E45" s="133" t="n">
        <v>956995543.83</v>
      </c>
      <c r="F45" s="133" t="n">
        <v>1236017839.53</v>
      </c>
      <c r="G45" s="133" t="n">
        <v>2034270761.53</v>
      </c>
      <c r="H45" s="135"/>
      <c r="I45" s="133" t="n">
        <v>7749691157.61</v>
      </c>
      <c r="J45" s="37" t="s">
        <v>114</v>
      </c>
    </row>
    <row r="46" customFormat="false" ht="15" hidden="false" customHeight="false" outlineLevel="0" collapsed="false">
      <c r="A46" s="60" t="s">
        <v>613</v>
      </c>
      <c r="B46" s="133" t="n">
        <v>15930024286.67</v>
      </c>
      <c r="C46" s="133" t="n">
        <v>14625260856.04</v>
      </c>
      <c r="D46" s="133" t="n">
        <v>15886748811.81</v>
      </c>
      <c r="E46" s="133" t="n">
        <v>22682921254.25</v>
      </c>
      <c r="F46" s="133" t="n">
        <v>26494845510.56</v>
      </c>
      <c r="G46" s="133" t="n">
        <v>27065839108.45</v>
      </c>
      <c r="H46" s="135"/>
      <c r="I46" s="133" t="n">
        <v>32955141174.95</v>
      </c>
      <c r="J46" s="37" t="s">
        <v>114</v>
      </c>
    </row>
    <row r="47" customFormat="false" ht="15" hidden="false" customHeight="false" outlineLevel="0" collapsed="false">
      <c r="A47" s="60" t="s">
        <v>614</v>
      </c>
      <c r="B47" s="135"/>
      <c r="C47" s="135"/>
      <c r="D47" s="133" t="n">
        <v>9624191838.15</v>
      </c>
      <c r="E47" s="133" t="n">
        <v>8790151269.91</v>
      </c>
      <c r="F47" s="133" t="n">
        <v>12179856870.01</v>
      </c>
      <c r="G47" s="133" t="n">
        <v>6482353046.34</v>
      </c>
      <c r="H47" s="135"/>
      <c r="I47" s="133" t="n">
        <v>9633287181.99</v>
      </c>
      <c r="J47" s="37" t="s">
        <v>114</v>
      </c>
    </row>
    <row r="48" customFormat="false" ht="15" hidden="false" customHeight="false" outlineLevel="0" collapsed="false">
      <c r="A48" s="60" t="s">
        <v>270</v>
      </c>
      <c r="B48" s="133" t="n">
        <v>29446973404.75</v>
      </c>
      <c r="C48" s="133" t="n">
        <v>39913949898.86</v>
      </c>
      <c r="D48" s="133" t="n">
        <v>41587786307.53</v>
      </c>
      <c r="E48" s="133" t="n">
        <v>39524006616.33</v>
      </c>
      <c r="F48" s="133" t="n">
        <v>43189855697.96</v>
      </c>
      <c r="G48" s="133" t="n">
        <v>46848790687.12</v>
      </c>
      <c r="H48" s="135"/>
      <c r="I48" s="133" t="n">
        <v>45317406207.7</v>
      </c>
      <c r="J48" s="37" t="s">
        <v>114</v>
      </c>
    </row>
    <row r="49" customFormat="false" ht="15" hidden="false" customHeight="false" outlineLevel="0" collapsed="false">
      <c r="A49" s="60" t="s">
        <v>615</v>
      </c>
      <c r="B49" s="133" t="n">
        <v>36309048800.85</v>
      </c>
      <c r="C49" s="133" t="n">
        <v>42363218840.33</v>
      </c>
      <c r="D49" s="133" t="n">
        <v>41885313890.79</v>
      </c>
      <c r="E49" s="133" t="n">
        <v>49917971699.31</v>
      </c>
      <c r="F49" s="133" t="n">
        <v>54665277420.32</v>
      </c>
      <c r="G49" s="133" t="n">
        <v>53544741780.87</v>
      </c>
      <c r="H49" s="135"/>
      <c r="I49" s="133" t="n">
        <v>55751128880.05</v>
      </c>
      <c r="J49" s="37" t="s">
        <v>114</v>
      </c>
    </row>
    <row r="50" customFormat="false" ht="15" hidden="false" customHeight="false" outlineLevel="0" collapsed="false">
      <c r="A50" s="60" t="s">
        <v>616</v>
      </c>
      <c r="B50" s="135"/>
      <c r="C50" s="135"/>
      <c r="D50" s="133" t="n">
        <v>25098557730.06</v>
      </c>
      <c r="E50" s="133" t="n">
        <v>22260991114.42</v>
      </c>
      <c r="F50" s="133" t="n">
        <v>21220364311.81</v>
      </c>
      <c r="G50" s="133" t="n">
        <v>23870662224.1</v>
      </c>
      <c r="H50" s="135"/>
      <c r="I50" s="133" t="n">
        <v>28496924125.43</v>
      </c>
      <c r="J50" s="37" t="s">
        <v>114</v>
      </c>
    </row>
    <row r="51" customFormat="false" ht="15" hidden="false" customHeight="false" outlineLevel="0" collapsed="false">
      <c r="A51" s="60" t="s">
        <v>617</v>
      </c>
      <c r="B51" s="135"/>
      <c r="C51" s="135"/>
      <c r="D51" s="133" t="n">
        <v>9353173914.03</v>
      </c>
      <c r="E51" s="133" t="n">
        <v>7849215139.13</v>
      </c>
      <c r="F51" s="133" t="n">
        <v>10865337767.67</v>
      </c>
      <c r="G51" s="133" t="n">
        <v>8534516748.92</v>
      </c>
      <c r="H51" s="135"/>
      <c r="I51" s="133" t="n">
        <v>6651241840.11</v>
      </c>
      <c r="J51" s="37" t="s">
        <v>114</v>
      </c>
    </row>
    <row r="52" customFormat="false" ht="15" hidden="false" customHeight="false" outlineLevel="0" collapsed="false">
      <c r="A52" s="60" t="s">
        <v>618</v>
      </c>
      <c r="B52" s="133" t="n">
        <v>7687908165.88</v>
      </c>
      <c r="C52" s="133" t="n">
        <v>11226212134.39</v>
      </c>
      <c r="D52" s="133" t="n">
        <v>9672223522.36</v>
      </c>
      <c r="E52" s="133" t="n">
        <v>10895076014.86</v>
      </c>
      <c r="F52" s="133" t="n">
        <v>13784367443.93</v>
      </c>
      <c r="G52" s="133" t="n">
        <v>17420784420.86</v>
      </c>
      <c r="H52" s="135"/>
      <c r="I52" s="133" t="n">
        <v>21678038269.11</v>
      </c>
      <c r="J52" s="37" t="s">
        <v>114</v>
      </c>
    </row>
    <row r="53" customFormat="false" ht="15" hidden="false" customHeight="false" outlineLevel="0" collapsed="false">
      <c r="A53" s="60" t="s">
        <v>619</v>
      </c>
      <c r="B53" s="133" t="n">
        <v>7522724913.4</v>
      </c>
      <c r="C53" s="133" t="n">
        <v>9624339170.46</v>
      </c>
      <c r="D53" s="133" t="n">
        <v>6294750667.08</v>
      </c>
      <c r="E53" s="133" t="n">
        <v>4046582815.19</v>
      </c>
      <c r="F53" s="133" t="n">
        <v>16530040461.37</v>
      </c>
      <c r="G53" s="133" t="n">
        <v>8678897462.98</v>
      </c>
      <c r="H53" s="135"/>
      <c r="I53" s="133" t="n">
        <v>5205051085.63</v>
      </c>
      <c r="J53" s="37" t="s">
        <v>620</v>
      </c>
    </row>
    <row r="54" customFormat="false" ht="15" hidden="false" customHeight="false" outlineLevel="0" collapsed="false">
      <c r="A54" s="60" t="s">
        <v>621</v>
      </c>
      <c r="B54" s="133" t="n">
        <v>11821416259.81</v>
      </c>
      <c r="C54" s="133" t="n">
        <v>3038573824.53</v>
      </c>
      <c r="D54" s="133" t="n">
        <v>13590866873.43</v>
      </c>
      <c r="E54" s="133" t="n">
        <v>18365302925.77</v>
      </c>
      <c r="F54" s="133" t="n">
        <v>9665074313.67</v>
      </c>
      <c r="G54" s="133" t="n">
        <v>11165886169.09</v>
      </c>
      <c r="H54" s="135"/>
      <c r="I54" s="133" t="n">
        <v>12096041519.66</v>
      </c>
      <c r="J54" s="37" t="s">
        <v>114</v>
      </c>
    </row>
    <row r="55" customFormat="false" ht="15" hidden="false" customHeight="false" outlineLevel="0" collapsed="false">
      <c r="A55" s="60" t="s">
        <v>622</v>
      </c>
      <c r="B55" s="133" t="n">
        <v>6713501050.27</v>
      </c>
      <c r="C55" s="133" t="n">
        <v>334730048.82</v>
      </c>
      <c r="D55" s="133" t="n">
        <v>0</v>
      </c>
      <c r="E55" s="133" t="n">
        <v>0</v>
      </c>
      <c r="F55" s="133" t="n">
        <v>0</v>
      </c>
      <c r="G55" s="133" t="n">
        <v>3500000000</v>
      </c>
      <c r="H55" s="135"/>
      <c r="I55" s="133" t="n">
        <v>3500000000</v>
      </c>
      <c r="J55" s="37" t="s">
        <v>623</v>
      </c>
    </row>
    <row r="56" customFormat="false" ht="15" hidden="false" customHeight="false" outlineLevel="0" collapsed="false">
      <c r="A56" s="60" t="s">
        <v>624</v>
      </c>
      <c r="B56" s="135"/>
      <c r="C56" s="135"/>
      <c r="D56" s="133" t="n">
        <v>2824477670.61</v>
      </c>
      <c r="E56" s="133" t="n">
        <v>3429765203.81</v>
      </c>
      <c r="F56" s="133" t="n">
        <v>4480895997.36</v>
      </c>
      <c r="G56" s="133" t="n">
        <v>4551410567.84</v>
      </c>
      <c r="H56" s="135"/>
      <c r="I56" s="133" t="n">
        <v>4569011749.05</v>
      </c>
      <c r="J56" s="37" t="s">
        <v>114</v>
      </c>
    </row>
    <row r="57" customFormat="false" ht="15" hidden="false" customHeight="false" outlineLevel="0" collapsed="false">
      <c r="A57" s="60" t="s">
        <v>625</v>
      </c>
      <c r="B57" s="133" t="n">
        <v>22518460337.64</v>
      </c>
      <c r="C57" s="133" t="n">
        <v>21827103060.76</v>
      </c>
      <c r="D57" s="133" t="n">
        <v>23643595643.87</v>
      </c>
      <c r="E57" s="133" t="n">
        <v>24482559414.46</v>
      </c>
      <c r="F57" s="133" t="n">
        <v>27384007599.06</v>
      </c>
      <c r="G57" s="133" t="n">
        <v>27300229637.37</v>
      </c>
      <c r="H57" s="135"/>
      <c r="I57" s="133" t="n">
        <v>26335394370.99</v>
      </c>
      <c r="J57" s="37" t="s">
        <v>114</v>
      </c>
    </row>
    <row r="58" customFormat="false" ht="15" hidden="false" customHeight="false" outlineLevel="0" collapsed="false">
      <c r="A58" s="60" t="s">
        <v>626</v>
      </c>
      <c r="B58" s="135"/>
      <c r="C58" s="135"/>
      <c r="D58" s="133" t="n">
        <v>24527800290.84</v>
      </c>
      <c r="E58" s="133" t="n">
        <v>20196199306.57</v>
      </c>
      <c r="F58" s="133" t="n">
        <v>20932439255.93</v>
      </c>
      <c r="G58" s="133" t="n">
        <v>21756902299.19</v>
      </c>
      <c r="H58" s="135"/>
      <c r="I58" s="133" t="n">
        <v>21857255997.55</v>
      </c>
      <c r="J58" s="37" t="s">
        <v>114</v>
      </c>
    </row>
    <row r="59" customFormat="false" ht="15" hidden="false" customHeight="false" outlineLevel="0" collapsed="false">
      <c r="A59" s="60" t="s">
        <v>627</v>
      </c>
      <c r="B59" s="133" t="n">
        <v>203498169276.71</v>
      </c>
      <c r="C59" s="133" t="n">
        <v>217741133577.31</v>
      </c>
      <c r="D59" s="133" t="n">
        <v>236017821177.5</v>
      </c>
      <c r="E59" s="133" t="n">
        <v>261067684897.49</v>
      </c>
      <c r="F59" s="133" t="n">
        <v>290736357978.75</v>
      </c>
      <c r="G59" s="133" t="n">
        <v>295795068591.57</v>
      </c>
      <c r="H59" s="135"/>
      <c r="I59" s="133" t="n">
        <v>311911862184.62</v>
      </c>
      <c r="J59" s="37" t="s">
        <v>114</v>
      </c>
    </row>
    <row r="60" customFormat="false" ht="15" hidden="false" customHeight="false" outlineLevel="0" collapsed="false">
      <c r="A60" s="60" t="s">
        <v>628</v>
      </c>
      <c r="B60" s="133" t="n">
        <v>135366059017.75</v>
      </c>
      <c r="C60" s="133" t="n">
        <v>136466540240.53</v>
      </c>
      <c r="D60" s="133" t="n">
        <v>141267488530.61</v>
      </c>
      <c r="E60" s="133" t="n">
        <v>153537344924.15</v>
      </c>
      <c r="F60" s="133" t="n">
        <v>171934636793.11</v>
      </c>
      <c r="G60" s="133" t="n">
        <v>169818067276.46</v>
      </c>
      <c r="H60" s="135"/>
      <c r="I60" s="133" t="n">
        <v>182536373880.97</v>
      </c>
      <c r="J60" s="37" t="s">
        <v>114</v>
      </c>
    </row>
    <row r="61" customFormat="false" ht="15" hidden="false" customHeight="false" outlineLevel="0" collapsed="false">
      <c r="A61" s="60" t="s">
        <v>629</v>
      </c>
      <c r="B61" s="133" t="n">
        <v>66837525701.87</v>
      </c>
      <c r="C61" s="133" t="n">
        <v>79985092528.06</v>
      </c>
      <c r="D61" s="133" t="n">
        <v>93459437602.44</v>
      </c>
      <c r="E61" s="133" t="n">
        <v>101265984771.17</v>
      </c>
      <c r="F61" s="133" t="n">
        <v>111778874767.22</v>
      </c>
      <c r="G61" s="133" t="n">
        <v>118698401416.58</v>
      </c>
      <c r="H61" s="135"/>
      <c r="I61" s="133" t="n">
        <v>119678355042.24</v>
      </c>
      <c r="J61" s="37" t="s">
        <v>114</v>
      </c>
    </row>
    <row r="62" customFormat="false" ht="26.85" hidden="false" customHeight="false" outlineLevel="0" collapsed="false">
      <c r="A62" s="60" t="s">
        <v>630</v>
      </c>
      <c r="B62" s="133" t="n">
        <v>1294584557.09</v>
      </c>
      <c r="C62" s="133" t="n">
        <v>1289500808.72</v>
      </c>
      <c r="D62" s="133" t="n">
        <v>1290895044.45</v>
      </c>
      <c r="E62" s="133" t="n">
        <v>6264355202.17</v>
      </c>
      <c r="F62" s="133" t="n">
        <v>7022846418.42</v>
      </c>
      <c r="G62" s="133" t="n">
        <v>7278599898.53</v>
      </c>
      <c r="H62" s="135"/>
      <c r="I62" s="133" t="n">
        <v>9697133261.41</v>
      </c>
      <c r="J62" s="37" t="s">
        <v>631</v>
      </c>
    </row>
    <row r="63" customFormat="false" ht="15" hidden="false" customHeight="false" outlineLevel="0" collapsed="false">
      <c r="A63" s="60" t="s">
        <v>632</v>
      </c>
      <c r="B63" s="135"/>
      <c r="C63" s="135"/>
      <c r="D63" s="133" t="n">
        <v>3857807196.38</v>
      </c>
      <c r="E63" s="133" t="n">
        <v>5034065107.42</v>
      </c>
      <c r="F63" s="133" t="n">
        <v>3510728776.44</v>
      </c>
      <c r="G63" s="133" t="n">
        <v>4261082044.07</v>
      </c>
      <c r="H63" s="135"/>
      <c r="I63" s="133" t="n">
        <v>5596835397.36</v>
      </c>
      <c r="J63" s="37" t="s">
        <v>114</v>
      </c>
    </row>
    <row r="64" customFormat="false" ht="15" hidden="false" customHeight="false" outlineLevel="0" collapsed="false">
      <c r="A64" s="60" t="s">
        <v>633</v>
      </c>
      <c r="B64" s="135"/>
      <c r="C64" s="135"/>
      <c r="D64" s="133" t="n">
        <v>9446598493</v>
      </c>
      <c r="E64" s="133" t="n">
        <v>9438114893</v>
      </c>
      <c r="F64" s="133" t="n">
        <v>9382913334</v>
      </c>
      <c r="G64" s="133" t="n">
        <v>9377629650</v>
      </c>
      <c r="H64" s="135"/>
      <c r="I64" s="133" t="n">
        <v>9377629650</v>
      </c>
      <c r="J64" s="37" t="s">
        <v>114</v>
      </c>
    </row>
    <row r="65" customFormat="false" ht="26.85" hidden="false" customHeight="false" outlineLevel="0" collapsed="false">
      <c r="A65" s="137" t="s">
        <v>634</v>
      </c>
    </row>
    <row r="67" customFormat="false" ht="24" hidden="false" customHeight="true" outlineLevel="0" collapsed="false">
      <c r="A67" s="48" t="s">
        <v>635</v>
      </c>
      <c r="B67" s="48"/>
      <c r="C67" s="48"/>
      <c r="D67" s="48"/>
      <c r="E67" s="48"/>
      <c r="F67" s="48"/>
      <c r="G67" s="48"/>
      <c r="H67" s="48"/>
      <c r="I67" s="48"/>
      <c r="J67" s="48"/>
    </row>
    <row r="68" customFormat="false" ht="30" hidden="false" customHeight="true" outlineLevel="0" collapsed="false">
      <c r="A68" s="64" t="s">
        <v>636</v>
      </c>
      <c r="B68" s="49" t="s">
        <v>349</v>
      </c>
      <c r="C68" s="49" t="s">
        <v>350</v>
      </c>
      <c r="D68" s="49"/>
      <c r="E68" s="64" t="s">
        <v>637</v>
      </c>
      <c r="F68" s="49" t="s">
        <v>349</v>
      </c>
      <c r="G68" s="49" t="s">
        <v>350</v>
      </c>
      <c r="H68" s="49"/>
      <c r="I68" s="64" t="s">
        <v>638</v>
      </c>
      <c r="J68" s="49" t="s">
        <v>350</v>
      </c>
    </row>
    <row r="69" customFormat="false" ht="15" hidden="false" customHeight="false" outlineLevel="0" collapsed="false">
      <c r="A69" s="60" t="s">
        <v>639</v>
      </c>
      <c r="B69" s="138" t="n">
        <v>847.6</v>
      </c>
      <c r="C69" s="99" t="n">
        <v>0.014</v>
      </c>
      <c r="E69" s="60" t="s">
        <v>640</v>
      </c>
      <c r="F69" s="138" t="n">
        <v>1417</v>
      </c>
      <c r="G69" s="99" t="n">
        <v>0.0312</v>
      </c>
      <c r="I69" s="60" t="s">
        <v>641</v>
      </c>
      <c r="J69" s="99" t="n">
        <v>0.083</v>
      </c>
    </row>
    <row r="70" customFormat="false" ht="15" hidden="false" customHeight="false" outlineLevel="0" collapsed="false">
      <c r="A70" s="60" t="s">
        <v>642</v>
      </c>
      <c r="B70" s="138" t="n">
        <v>655.7</v>
      </c>
      <c r="C70" s="99" t="n">
        <v>0.035</v>
      </c>
      <c r="E70" s="60" t="s">
        <v>643</v>
      </c>
      <c r="F70" s="138" t="n">
        <v>795.29</v>
      </c>
      <c r="G70" s="139" t="s">
        <v>644</v>
      </c>
      <c r="I70" s="60" t="s">
        <v>645</v>
      </c>
      <c r="J70" s="99" t="n">
        <v>0.199</v>
      </c>
    </row>
    <row r="71" customFormat="false" ht="15" hidden="false" customHeight="false" outlineLevel="0" collapsed="false">
      <c r="A71" s="60" t="s">
        <v>646</v>
      </c>
      <c r="B71" s="138" t="n">
        <v>415.4</v>
      </c>
      <c r="C71" s="99" t="n">
        <v>0.009</v>
      </c>
      <c r="E71" s="60" t="s">
        <v>645</v>
      </c>
      <c r="F71" s="138" t="n">
        <v>320.89</v>
      </c>
      <c r="G71" s="99" t="n">
        <v>0.1242</v>
      </c>
      <c r="I71" s="60" t="s">
        <v>647</v>
      </c>
      <c r="J71" s="99" t="n">
        <v>0.103</v>
      </c>
    </row>
    <row r="72" customFormat="false" ht="15" hidden="false" customHeight="false" outlineLevel="0" collapsed="false">
      <c r="A72" s="60" t="s">
        <v>648</v>
      </c>
      <c r="B72" s="138" t="n">
        <v>543.9</v>
      </c>
      <c r="C72" s="99" t="n">
        <v>0.096</v>
      </c>
      <c r="E72" s="60" t="s">
        <v>649</v>
      </c>
      <c r="F72" s="138" t="n">
        <v>115.25</v>
      </c>
      <c r="G72" s="99" t="n">
        <v>0.2105</v>
      </c>
      <c r="I72" s="60" t="s">
        <v>650</v>
      </c>
      <c r="J72" s="99" t="n">
        <v>0.134</v>
      </c>
    </row>
    <row r="73" customFormat="false" ht="15" hidden="false" customHeight="false" outlineLevel="0" collapsed="false">
      <c r="A73" s="60" t="s">
        <v>651</v>
      </c>
      <c r="B73" s="138" t="n">
        <v>179.6</v>
      </c>
      <c r="C73" s="99" t="n">
        <v>0.111</v>
      </c>
      <c r="E73" s="60" t="s">
        <v>652</v>
      </c>
      <c r="F73" s="65" t="n">
        <f aca="false">1438.14-SUM(F70:F72)</f>
        <v>206.71</v>
      </c>
      <c r="G73" s="139" t="s">
        <v>644</v>
      </c>
      <c r="I73" s="60" t="s">
        <v>649</v>
      </c>
      <c r="J73" s="99" t="n">
        <v>0.232</v>
      </c>
    </row>
    <row r="74" customFormat="false" ht="15" hidden="false" customHeight="false" outlineLevel="0" collapsed="false">
      <c r="I74" s="60" t="s">
        <v>653</v>
      </c>
      <c r="J74" s="99" t="n">
        <v>0.558</v>
      </c>
    </row>
    <row r="75" customFormat="false" ht="15" hidden="false" customHeight="false" outlineLevel="0" collapsed="false">
      <c r="I75" s="60" t="s">
        <v>640</v>
      </c>
      <c r="J75" s="99" t="n">
        <v>0.031</v>
      </c>
    </row>
    <row r="76" customFormat="false" ht="15" hidden="false" customHeight="false" outlineLevel="0" collapsed="false">
      <c r="I76" s="60" t="s">
        <v>654</v>
      </c>
      <c r="J76" s="99" t="n">
        <v>0.07</v>
      </c>
    </row>
    <row r="77" customFormat="false" ht="30" hidden="false" customHeight="true" outlineLevel="0" collapsed="false">
      <c r="A77" s="113" t="s">
        <v>655</v>
      </c>
      <c r="B77" s="113"/>
      <c r="C77" s="113"/>
      <c r="D77" s="113"/>
      <c r="E77" s="113"/>
      <c r="F77" s="113"/>
      <c r="G77" s="113"/>
      <c r="H77" s="113"/>
      <c r="I77" s="113"/>
      <c r="J77" s="113"/>
    </row>
    <row r="78" customFormat="false" ht="30" hidden="false" customHeight="true" outlineLevel="0" collapsed="false">
      <c r="A78" s="140" t="s">
        <v>656</v>
      </c>
      <c r="B78" s="140"/>
      <c r="C78" s="140"/>
      <c r="D78" s="140"/>
      <c r="E78" s="140"/>
      <c r="F78" s="140"/>
      <c r="G78" s="140"/>
      <c r="H78" s="140"/>
      <c r="I78" s="140"/>
      <c r="J78" s="140"/>
    </row>
    <row r="80" customFormat="false" ht="24" hidden="false" customHeight="true" outlineLevel="0" collapsed="false">
      <c r="A80" s="48" t="s">
        <v>657</v>
      </c>
      <c r="B80" s="48"/>
      <c r="C80" s="48"/>
      <c r="D80" s="48"/>
      <c r="E80" s="48"/>
      <c r="F80" s="48"/>
      <c r="G80" s="48"/>
      <c r="H80" s="48"/>
      <c r="I80" s="48"/>
      <c r="J80" s="48"/>
    </row>
    <row r="81" customFormat="false" ht="30" hidden="false" customHeight="true" outlineLevel="0" collapsed="false">
      <c r="A81" s="49" t="s">
        <v>524</v>
      </c>
      <c r="B81" s="49" t="s">
        <v>525</v>
      </c>
      <c r="C81" s="49" t="s">
        <v>526</v>
      </c>
      <c r="D81" s="49" t="s">
        <v>527</v>
      </c>
      <c r="E81" s="64" t="s">
        <v>528</v>
      </c>
      <c r="F81" s="64" t="s">
        <v>529</v>
      </c>
      <c r="G81" s="64" t="s">
        <v>59</v>
      </c>
      <c r="H81" s="49" t="s">
        <v>296</v>
      </c>
    </row>
    <row r="82" customFormat="false" ht="15" hidden="false" customHeight="false" outlineLevel="0" collapsed="false">
      <c r="A82" s="50" t="s">
        <v>658</v>
      </c>
      <c r="B82" s="53" t="s">
        <v>659</v>
      </c>
      <c r="C82" s="132" t="n">
        <v>86.54</v>
      </c>
      <c r="D82" s="53" t="s">
        <v>660</v>
      </c>
      <c r="E82" s="132" t="n">
        <v>14.88</v>
      </c>
      <c r="F82" s="132" t="n">
        <v>19.07</v>
      </c>
      <c r="G82" s="132" t="n">
        <v>2.92</v>
      </c>
      <c r="H82" s="60" t="s">
        <v>661</v>
      </c>
    </row>
    <row r="83" customFormat="false" ht="15" hidden="false" customHeight="false" outlineLevel="0" collapsed="false">
      <c r="A83" s="50" t="s">
        <v>662</v>
      </c>
      <c r="B83" s="53" t="s">
        <v>663</v>
      </c>
      <c r="C83" s="132" t="n">
        <v>39.49</v>
      </c>
      <c r="D83" s="53" t="s">
        <v>664</v>
      </c>
      <c r="E83" s="132" t="n">
        <v>7.94</v>
      </c>
      <c r="F83" s="132" t="n">
        <v>8.36</v>
      </c>
      <c r="G83" s="132" t="n">
        <v>1.45</v>
      </c>
      <c r="H83" s="60" t="s">
        <v>661</v>
      </c>
    </row>
    <row r="84" customFormat="false" ht="15" hidden="false" customHeight="false" outlineLevel="0" collapsed="false">
      <c r="A84" s="50" t="s">
        <v>665</v>
      </c>
      <c r="B84" s="53" t="s">
        <v>666</v>
      </c>
      <c r="C84" s="132" t="n">
        <v>17.05</v>
      </c>
      <c r="D84" s="53" t="s">
        <v>660</v>
      </c>
      <c r="E84" s="132" t="n">
        <v>14.35</v>
      </c>
      <c r="F84" s="132" t="n">
        <v>15.74</v>
      </c>
      <c r="G84" s="132" t="n">
        <v>1.38</v>
      </c>
      <c r="H84" s="60" t="s">
        <v>661</v>
      </c>
    </row>
    <row r="85" customFormat="false" ht="15" hidden="false" customHeight="false" outlineLevel="0" collapsed="false">
      <c r="A85" s="50" t="s">
        <v>667</v>
      </c>
      <c r="B85" s="53" t="s">
        <v>532</v>
      </c>
      <c r="C85" s="72" t="n">
        <f aca="false">B7</f>
        <v>20.11</v>
      </c>
      <c r="D85" s="53" t="s">
        <v>533</v>
      </c>
      <c r="E85" s="132" t="n">
        <v>10.48</v>
      </c>
      <c r="F85" s="132" t="n">
        <v>11.54</v>
      </c>
      <c r="G85" s="132" t="n">
        <v>1.45</v>
      </c>
      <c r="H85" s="60" t="s">
        <v>661</v>
      </c>
    </row>
    <row r="87" customFormat="false" ht="24" hidden="false" customHeight="true" outlineLevel="0" collapsed="false">
      <c r="A87" s="48" t="s">
        <v>668</v>
      </c>
      <c r="B87" s="48"/>
      <c r="C87" s="48"/>
      <c r="D87" s="48"/>
      <c r="E87" s="48"/>
      <c r="F87" s="48"/>
      <c r="G87" s="48"/>
      <c r="H87" s="48"/>
      <c r="I87" s="48"/>
      <c r="J87" s="48"/>
    </row>
    <row r="88" customFormat="false" ht="30" hidden="false" customHeight="true" outlineLevel="0" collapsed="false">
      <c r="A88" s="49" t="s">
        <v>669</v>
      </c>
      <c r="B88" s="49" t="s">
        <v>670</v>
      </c>
      <c r="C88" s="49" t="s">
        <v>671</v>
      </c>
      <c r="D88" s="49"/>
      <c r="E88" s="49"/>
      <c r="F88" s="49"/>
      <c r="G88" s="49"/>
      <c r="H88" s="49"/>
      <c r="I88" s="49"/>
      <c r="J88" s="49" t="s">
        <v>672</v>
      </c>
    </row>
    <row r="89" customFormat="false" ht="30" hidden="false" customHeight="true" outlineLevel="0" collapsed="false">
      <c r="A89" s="60" t="s">
        <v>673</v>
      </c>
      <c r="B89" s="60" t="s">
        <v>674</v>
      </c>
      <c r="C89" s="141" t="s">
        <v>675</v>
      </c>
      <c r="D89" s="141"/>
      <c r="E89" s="141"/>
      <c r="F89" s="141"/>
      <c r="G89" s="141"/>
      <c r="H89" s="141"/>
      <c r="I89" s="141"/>
      <c r="J89" s="16" t="s">
        <v>676</v>
      </c>
    </row>
    <row r="90" customFormat="false" ht="30" hidden="false" customHeight="true" outlineLevel="0" collapsed="false">
      <c r="A90" s="66" t="s">
        <v>677</v>
      </c>
      <c r="B90" s="60" t="s">
        <v>678</v>
      </c>
      <c r="C90" s="141" t="s">
        <v>679</v>
      </c>
      <c r="D90" s="141"/>
      <c r="E90" s="141"/>
      <c r="F90" s="141"/>
      <c r="G90" s="141"/>
      <c r="H90" s="141"/>
      <c r="I90" s="141"/>
      <c r="J90" s="16" t="s">
        <v>680</v>
      </c>
    </row>
    <row r="91" customFormat="false" ht="30" hidden="false" customHeight="true" outlineLevel="0" collapsed="false">
      <c r="A91" s="66" t="s">
        <v>681</v>
      </c>
      <c r="B91" s="60" t="s">
        <v>682</v>
      </c>
      <c r="C91" s="141" t="s">
        <v>683</v>
      </c>
      <c r="D91" s="141"/>
      <c r="E91" s="141"/>
      <c r="F91" s="141"/>
      <c r="G91" s="141"/>
      <c r="H91" s="141"/>
      <c r="I91" s="141"/>
      <c r="J91" s="16" t="s">
        <v>684</v>
      </c>
    </row>
    <row r="92" customFormat="false" ht="30" hidden="false" customHeight="true" outlineLevel="0" collapsed="false">
      <c r="A92" s="66" t="s">
        <v>685</v>
      </c>
      <c r="B92" s="60" t="s">
        <v>686</v>
      </c>
      <c r="C92" s="141" t="s">
        <v>687</v>
      </c>
      <c r="D92" s="141"/>
      <c r="E92" s="141"/>
      <c r="F92" s="141"/>
      <c r="G92" s="141"/>
      <c r="H92" s="141"/>
      <c r="I92" s="141"/>
      <c r="J92" s="16" t="s">
        <v>688</v>
      </c>
    </row>
    <row r="93" customFormat="false" ht="30" hidden="false" customHeight="true" outlineLevel="0" collapsed="false">
      <c r="A93" s="66" t="s">
        <v>566</v>
      </c>
      <c r="B93" s="60" t="s">
        <v>689</v>
      </c>
      <c r="C93" s="141" t="s">
        <v>690</v>
      </c>
      <c r="D93" s="141"/>
      <c r="E93" s="141"/>
      <c r="F93" s="141"/>
      <c r="G93" s="141"/>
      <c r="H93" s="141"/>
      <c r="I93" s="141"/>
      <c r="J93" s="16" t="s">
        <v>691</v>
      </c>
    </row>
    <row r="94" customFormat="false" ht="30" hidden="false" customHeight="true" outlineLevel="0" collapsed="false">
      <c r="A94" s="60" t="s">
        <v>692</v>
      </c>
      <c r="B94" s="60" t="s">
        <v>693</v>
      </c>
      <c r="C94" s="141" t="s">
        <v>694</v>
      </c>
      <c r="D94" s="141"/>
      <c r="E94" s="141"/>
      <c r="F94" s="141"/>
      <c r="G94" s="141"/>
      <c r="H94" s="141"/>
      <c r="I94" s="141"/>
      <c r="J94" s="16" t="s">
        <v>695</v>
      </c>
    </row>
    <row r="95" customFormat="false" ht="30" hidden="false" customHeight="true" outlineLevel="0" collapsed="false">
      <c r="A95" s="66" t="s">
        <v>696</v>
      </c>
      <c r="B95" s="60" t="s">
        <v>689</v>
      </c>
      <c r="C95" s="141" t="s">
        <v>697</v>
      </c>
      <c r="D95" s="141"/>
      <c r="E95" s="141"/>
      <c r="F95" s="141"/>
      <c r="G95" s="141"/>
      <c r="H95" s="141"/>
      <c r="I95" s="141"/>
      <c r="J95" s="16" t="s">
        <v>698</v>
      </c>
    </row>
    <row r="96" customFormat="false" ht="30" hidden="false" customHeight="true" outlineLevel="0" collapsed="false">
      <c r="A96" s="66" t="s">
        <v>699</v>
      </c>
      <c r="B96" s="60" t="s">
        <v>689</v>
      </c>
      <c r="C96" s="141" t="s">
        <v>700</v>
      </c>
      <c r="D96" s="141"/>
      <c r="E96" s="141"/>
      <c r="F96" s="141"/>
      <c r="G96" s="141"/>
      <c r="H96" s="141"/>
      <c r="I96" s="141"/>
      <c r="J96" s="16" t="s">
        <v>701</v>
      </c>
    </row>
    <row r="97" customFormat="false" ht="30" hidden="false" customHeight="true" outlineLevel="0" collapsed="false">
      <c r="A97" s="66" t="s">
        <v>702</v>
      </c>
      <c r="B97" s="60" t="s">
        <v>689</v>
      </c>
      <c r="C97" s="141" t="s">
        <v>703</v>
      </c>
      <c r="D97" s="141"/>
      <c r="E97" s="141"/>
      <c r="F97" s="141"/>
      <c r="G97" s="141"/>
      <c r="H97" s="141"/>
      <c r="I97" s="141"/>
      <c r="J97" s="16" t="s">
        <v>704</v>
      </c>
    </row>
    <row r="98" customFormat="false" ht="30" hidden="false" customHeight="true" outlineLevel="0" collapsed="false">
      <c r="A98" s="66" t="s">
        <v>705</v>
      </c>
      <c r="B98" s="60" t="s">
        <v>706</v>
      </c>
      <c r="C98" s="141" t="s">
        <v>707</v>
      </c>
      <c r="D98" s="141"/>
      <c r="E98" s="141"/>
      <c r="F98" s="141"/>
      <c r="G98" s="141"/>
      <c r="H98" s="141"/>
      <c r="I98" s="141"/>
      <c r="J98" s="16" t="s">
        <v>708</v>
      </c>
    </row>
    <row r="99" customFormat="false" ht="30" hidden="false" customHeight="true" outlineLevel="0" collapsed="false">
      <c r="A99" s="60" t="s">
        <v>709</v>
      </c>
      <c r="B99" s="60" t="s">
        <v>710</v>
      </c>
      <c r="C99" s="141" t="s">
        <v>711</v>
      </c>
      <c r="D99" s="141"/>
      <c r="E99" s="141"/>
      <c r="F99" s="141"/>
      <c r="G99" s="141"/>
      <c r="H99" s="141"/>
      <c r="I99" s="141"/>
      <c r="J99" s="23" t="s">
        <v>712</v>
      </c>
    </row>
    <row r="100" customFormat="false" ht="30" hidden="false" customHeight="true" outlineLevel="0" collapsed="false">
      <c r="A100" s="66" t="s">
        <v>713</v>
      </c>
      <c r="B100" s="60" t="s">
        <v>714</v>
      </c>
      <c r="C100" s="141" t="s">
        <v>715</v>
      </c>
      <c r="D100" s="141"/>
      <c r="E100" s="141"/>
      <c r="F100" s="141"/>
      <c r="G100" s="141"/>
      <c r="H100" s="141"/>
      <c r="I100" s="141"/>
      <c r="J100" s="23" t="s">
        <v>716</v>
      </c>
    </row>
    <row r="101" customFormat="false" ht="30" hidden="false" customHeight="true" outlineLevel="0" collapsed="false">
      <c r="A101" s="66" t="s">
        <v>717</v>
      </c>
      <c r="B101" s="60" t="s">
        <v>718</v>
      </c>
      <c r="C101" s="141" t="s">
        <v>719</v>
      </c>
      <c r="D101" s="141"/>
      <c r="E101" s="141"/>
      <c r="F101" s="141"/>
      <c r="G101" s="141"/>
      <c r="H101" s="141"/>
      <c r="I101" s="141"/>
      <c r="J101" s="23" t="s">
        <v>720</v>
      </c>
    </row>
    <row r="102" customFormat="false" ht="30" hidden="false" customHeight="true" outlineLevel="0" collapsed="false">
      <c r="A102" s="66" t="s">
        <v>721</v>
      </c>
      <c r="B102" s="60" t="s">
        <v>722</v>
      </c>
      <c r="C102" s="141" t="s">
        <v>723</v>
      </c>
      <c r="D102" s="141"/>
      <c r="E102" s="141"/>
      <c r="F102" s="141"/>
      <c r="G102" s="141"/>
      <c r="H102" s="141"/>
      <c r="I102" s="141"/>
      <c r="J102" s="23" t="s">
        <v>724</v>
      </c>
    </row>
    <row r="103" customFormat="false" ht="30" hidden="false" customHeight="true" outlineLevel="0" collapsed="false">
      <c r="A103" s="66" t="s">
        <v>725</v>
      </c>
      <c r="B103" s="60" t="s">
        <v>714</v>
      </c>
      <c r="C103" s="141" t="s">
        <v>726</v>
      </c>
      <c r="D103" s="141"/>
      <c r="E103" s="141"/>
      <c r="F103" s="141"/>
      <c r="G103" s="141"/>
      <c r="H103" s="141"/>
      <c r="I103" s="141"/>
      <c r="J103" s="16" t="s">
        <v>727</v>
      </c>
    </row>
    <row r="104" customFormat="false" ht="30" hidden="false" customHeight="true" outlineLevel="0" collapsed="false">
      <c r="A104" s="66" t="s">
        <v>728</v>
      </c>
      <c r="B104" s="60" t="s">
        <v>714</v>
      </c>
      <c r="C104" s="141" t="s">
        <v>729</v>
      </c>
      <c r="D104" s="141"/>
      <c r="E104" s="141"/>
      <c r="F104" s="141"/>
      <c r="G104" s="141"/>
      <c r="H104" s="141"/>
      <c r="I104" s="141"/>
      <c r="J104" s="16" t="s">
        <v>730</v>
      </c>
    </row>
    <row r="105" customFormat="false" ht="30" hidden="false" customHeight="true" outlineLevel="0" collapsed="false">
      <c r="A105" s="60" t="s">
        <v>731</v>
      </c>
      <c r="B105" s="60" t="s">
        <v>732</v>
      </c>
      <c r="C105" s="141" t="s">
        <v>733</v>
      </c>
      <c r="D105" s="141"/>
      <c r="E105" s="141"/>
      <c r="F105" s="141"/>
      <c r="G105" s="141"/>
      <c r="H105" s="141"/>
      <c r="I105" s="141"/>
      <c r="J105" s="16" t="s">
        <v>734</v>
      </c>
    </row>
    <row r="106" customFormat="false" ht="30" hidden="false" customHeight="true" outlineLevel="0" collapsed="false">
      <c r="A106" s="66" t="s">
        <v>735</v>
      </c>
      <c r="B106" s="60" t="s">
        <v>736</v>
      </c>
      <c r="C106" s="141" t="s">
        <v>737</v>
      </c>
      <c r="D106" s="141"/>
      <c r="E106" s="141"/>
      <c r="F106" s="141"/>
      <c r="G106" s="141"/>
      <c r="H106" s="141"/>
      <c r="I106" s="141"/>
      <c r="J106" s="16" t="s">
        <v>738</v>
      </c>
    </row>
    <row r="107" customFormat="false" ht="30" hidden="false" customHeight="true" outlineLevel="0" collapsed="false">
      <c r="A107" s="60" t="s">
        <v>739</v>
      </c>
      <c r="B107" s="66" t="s">
        <v>740</v>
      </c>
      <c r="C107" s="141" t="s">
        <v>741</v>
      </c>
      <c r="D107" s="141"/>
      <c r="E107" s="141"/>
      <c r="F107" s="141"/>
      <c r="G107" s="141"/>
      <c r="H107" s="141"/>
      <c r="I107" s="141"/>
      <c r="J107" s="16" t="s">
        <v>742</v>
      </c>
    </row>
    <row r="108" customFormat="false" ht="30" hidden="false" customHeight="true" outlineLevel="0" collapsed="false">
      <c r="A108" s="66" t="s">
        <v>743</v>
      </c>
      <c r="B108" s="60" t="s">
        <v>661</v>
      </c>
      <c r="C108" s="141" t="s">
        <v>744</v>
      </c>
      <c r="D108" s="141"/>
      <c r="E108" s="141"/>
      <c r="F108" s="141"/>
      <c r="G108" s="141"/>
      <c r="H108" s="141"/>
      <c r="I108" s="141"/>
      <c r="J108" s="23" t="s">
        <v>745</v>
      </c>
    </row>
    <row r="109" customFormat="false" ht="30" hidden="false" customHeight="true" outlineLevel="0" collapsed="false">
      <c r="A109" s="66" t="s">
        <v>746</v>
      </c>
      <c r="B109" s="60" t="s">
        <v>747</v>
      </c>
      <c r="C109" s="141" t="s">
        <v>748</v>
      </c>
      <c r="D109" s="141"/>
      <c r="E109" s="141"/>
      <c r="F109" s="141"/>
      <c r="G109" s="141"/>
      <c r="H109" s="141"/>
      <c r="I109" s="141"/>
      <c r="J109" s="23" t="s">
        <v>749</v>
      </c>
    </row>
    <row r="110" customFormat="false" ht="30" hidden="false" customHeight="true" outlineLevel="0" collapsed="false">
      <c r="A110" s="60" t="s">
        <v>750</v>
      </c>
      <c r="B110" s="60" t="s">
        <v>661</v>
      </c>
      <c r="C110" s="141" t="s">
        <v>751</v>
      </c>
      <c r="D110" s="141"/>
      <c r="E110" s="141"/>
      <c r="F110" s="141"/>
      <c r="G110" s="141"/>
      <c r="H110" s="141"/>
      <c r="I110" s="141"/>
      <c r="J110" s="16" t="s">
        <v>752</v>
      </c>
    </row>
    <row r="111" customFormat="false" ht="30" hidden="false" customHeight="true" outlineLevel="0" collapsed="false">
      <c r="A111" s="113" t="s">
        <v>753</v>
      </c>
      <c r="B111" s="113"/>
      <c r="C111" s="113"/>
      <c r="D111" s="113"/>
      <c r="E111" s="113"/>
      <c r="F111" s="113"/>
      <c r="G111" s="113"/>
      <c r="H111" s="113"/>
      <c r="I111" s="113"/>
      <c r="J111" s="113"/>
    </row>
  </sheetData>
  <mergeCells count="46">
    <mergeCell ref="A1:J1"/>
    <mergeCell ref="A2:J2"/>
    <mergeCell ref="A5:J5"/>
    <mergeCell ref="E6:J6"/>
    <mergeCell ref="E7:J7"/>
    <mergeCell ref="E8:J8"/>
    <mergeCell ref="E9:J9"/>
    <mergeCell ref="E10:J10"/>
    <mergeCell ref="E11:J11"/>
    <mergeCell ref="E12:J12"/>
    <mergeCell ref="E13:J13"/>
    <mergeCell ref="E14:J14"/>
    <mergeCell ref="E15:J15"/>
    <mergeCell ref="E16:J16"/>
    <mergeCell ref="E17:J17"/>
    <mergeCell ref="E18:J18"/>
    <mergeCell ref="A21:J21"/>
    <mergeCell ref="A67:J67"/>
    <mergeCell ref="A77:J77"/>
    <mergeCell ref="A78:J78"/>
    <mergeCell ref="A80:J80"/>
    <mergeCell ref="A87:J87"/>
    <mergeCell ref="C88:I88"/>
    <mergeCell ref="C89:I89"/>
    <mergeCell ref="C90:I90"/>
    <mergeCell ref="C91:I91"/>
    <mergeCell ref="C92:I92"/>
    <mergeCell ref="C93:I93"/>
    <mergeCell ref="C94:I94"/>
    <mergeCell ref="C95:I95"/>
    <mergeCell ref="C96:I96"/>
    <mergeCell ref="C97:I97"/>
    <mergeCell ref="C98:I98"/>
    <mergeCell ref="C99:I99"/>
    <mergeCell ref="C100:I100"/>
    <mergeCell ref="C101:I101"/>
    <mergeCell ref="C102:I102"/>
    <mergeCell ref="C103:I103"/>
    <mergeCell ref="C104:I104"/>
    <mergeCell ref="C105:I105"/>
    <mergeCell ref="C106:I106"/>
    <mergeCell ref="C107:I107"/>
    <mergeCell ref="C108:I108"/>
    <mergeCell ref="C109:I109"/>
    <mergeCell ref="C110:I110"/>
    <mergeCell ref="A111:J111"/>
  </mergeCells>
  <hyperlinks>
    <hyperlink ref="C89" r:id="rId1" display="https://emweb.securities.eastmoney.com/PC_HSF10/NewFinanceAnalysis/Index?type=web&amp;code=SH600690"/>
    <hyperlink ref="C90" r:id="rId2" display="https://stockmc.xueqiu.com/202608/600690_20260828_OP9Q.pdf"/>
    <hyperlink ref="C91" r:id="rId3" display="https://www1.hkexnews.hk/listedco/listconews/sehk/2026/0827/2026082702358_c.pdf"/>
    <hyperlink ref="C92" r:id="rId4" display="https://stockmc.xueqiu.com/202603/600690_20260327_PV3G.pdf"/>
    <hyperlink ref="C93" r:id="rId5" display="https://paper.cnstock.com/html/2026-08/15/content_2255299.htm"/>
    <hyperlink ref="C94" r:id="rId6" display="https://www.guandian.cn/article/20260807/582342.html"/>
    <hyperlink ref="C95" r:id="rId7" display="https://paper.cnstock.com/html/2025-11/01/content_2140756.htm"/>
    <hyperlink ref="C96" r:id="rId8" display="https://paper.cnstock.com/html/2025-07/19/content_2096091.htm"/>
    <hyperlink ref="C97" r:id="rId9" display="https://paper.cnstock.com/html/2024-08/10/content_1952872.htm"/>
    <hyperlink ref="C98" r:id="rId10" display="https://epaper.cs.com.cn/zgzqb/images/2023-08/15/B012/zqB01215.pdf"/>
    <hyperlink ref="C99" r:id="rId11" display="https://m.sohu.com/a/1001616905_122014422/?pvid=000115_3w_a"/>
    <hyperlink ref="C100" r:id="rId12" display="https://finance.sina.com.cn/money/smjj/smdt/2026-08-28/doc-inipvmnc5769873.shtml"/>
    <hyperlink ref="C101" r:id="rId13" display="https://www.yicai.com/news/103155612.html"/>
    <hyperlink ref="C102" r:id="rId14" display="https://stock.10jqka.com.cn/20260928/c680311399.shtml"/>
    <hyperlink ref="C103" r:id="rId15" display="https://cj.sina.com.cn/articles/view/6456450127/180d59c4f020021irw"/>
    <hyperlink ref="C104" r:id="rId16" display="https://finance.sina.com.cn/stock/relnews/cn/2025-03-28/doc-inerehfx1504883.shtml"/>
    <hyperlink ref="C105" r:id="rId17" display="https://cj.sina.com.cn/articles/view/9176774560/222fa77a0001015dsg"/>
    <hyperlink ref="C106" r:id="rId18" display="https://www.sohu.com/a/1087651939_323087"/>
    <hyperlink ref="C107" r:id="rId19" display="https://www.chinamoneynetwork.com/2025/12/24/haier-agrees-to-sell-49-stake-in-indian-unit-to-bharti-warburg-pincus-deal-approved-by-china"/>
    <hyperlink ref="C108" r:id="rId20" display="https://quote.cfi.cn/quote_600690.html"/>
    <hyperlink ref="C109" r:id="rId21" display="https://www.hstong.com/quotes/10000-06690-HK"/>
    <hyperlink ref="C110" r:id="rId22" display="https://quote.cfi.cn/quote_000333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2026-10-20T11:46:09Z</dcterms:created>
  <dc:creator>openpyxl</dc:creator>
  <dc:description/>
  <dc:language>en-US</dc:language>
  <cp:lastModifiedBy/>
  <dcterms:modified xsi:type="dcterms:W3CDTF">2026-10-20T07:46:12Z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