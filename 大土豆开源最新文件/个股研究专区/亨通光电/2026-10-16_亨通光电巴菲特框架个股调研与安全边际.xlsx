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7167bccba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图流" sheetId="1" r:id="R255291740dba495b"/>
    <x:sheet xmlns:r="http://schemas.openxmlformats.org/officeDocument/2006/relationships" name="投资结论" sheetId="2" r:id="R203ad3a639bc44d8"/>
    <x:sheet xmlns:r="http://schemas.openxmlformats.org/officeDocument/2006/relationships" name="估值模型" sheetId="3" r:id="Rd3387e1247b14c33"/>
    <x:sheet xmlns:r="http://schemas.openxmlformats.org/officeDocument/2006/relationships" name="产业推演" sheetId="4" r:id="R3640f3ae339c4027"/>
    <x:sheet xmlns:r="http://schemas.openxmlformats.org/officeDocument/2006/relationships" name="财务十年" sheetId="5" r:id="Rd0728a30cb994ae3"/>
    <x:sheet xmlns:r="http://schemas.openxmlformats.org/officeDocument/2006/relationships" name="巴菲特框架" sheetId="6" r:id="R9f2c147f13c34413"/>
    <x:sheet xmlns:r="http://schemas.openxmlformats.org/officeDocument/2006/relationships" name="数据与来源" sheetId="7" r:id="Radcc3a25c2ff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%"/>
    <x:numFmt numFmtId="202" formatCode="0%"/>
    <x:numFmt numFmtId="203" formatCode="0"/>
    <x:numFmt numFmtId="204" formatCode="0.0000"/>
    <x:numFmt numFmtId="205" formatCode="0.0x"/>
    <x:numFmt numFmtId="206" formatCode="0.0"/>
  </x:numFmts>
  <x:fonts count="22">
    <x:font>
      <x:sz val="11"/>
      <x:name val="Carlito"/>
    </x:font>
    <x:font>
      <x:sz val="9"/>
      <x:color rgb="FF203040"/>
      <x:name val="Microsoft YaHei"/>
    </x:font>
    <x:font>
      <x:b/>
      <x:sz val="18"/>
      <x:color rgb="FFFFFFFF"/>
      <x:name val="Microsoft YaHei"/>
    </x:font>
    <x:font>
      <x:i/>
      <x:sz val="9"/>
      <x:color rgb="FF17365D"/>
      <x:name val="Microsoft YaHei"/>
    </x:font>
    <x:font>
      <x:b/>
      <x:sz val="10"/>
      <x:color rgb="FFFFFFFF"/>
      <x:name val="Microsoft YaHei"/>
    </x:font>
    <x:font>
      <x:b/>
      <x:sz val="9"/>
      <x:color rgb="FFFFFFFF"/>
      <x:name val="Microsoft YaHei"/>
    </x:font>
    <x:font>
      <x:b/>
      <x:sz val="9"/>
      <x:color rgb="FF203040"/>
      <x:name val="Microsoft YaHei"/>
    </x:font>
    <x:font>
      <x:b/>
      <x:sz val="8"/>
      <x:color rgb="FF2E75B6"/>
      <x:name val="Microsoft YaHei"/>
    </x:font>
    <x:font>
      <x:sz val="8"/>
      <x:color rgb="FF2E75B6"/>
      <x:name val="Microsoft YaHei"/>
    </x:font>
    <x:font>
      <x:b/>
      <x:sz val="9"/>
      <x:color rgb="FF0000FF"/>
      <x:name val="Microsoft YaHei"/>
    </x:font>
    <x:font>
      <x:sz val="9"/>
      <x:color rgb="FF0000FF"/>
      <x:name val="Microsoft YaHei"/>
    </x:font>
    <x:font>
      <x:sz val="9"/>
      <x:color rgb="FF008000"/>
      <x:name val="Microsoft YaHei"/>
    </x:font>
    <x:font>
      <x:b/>
      <x:sz val="9"/>
      <x:color rgb="FF17365D"/>
      <x:name val="Microsoft YaHei"/>
    </x:font>
    <x:font>
      <x:b/>
      <x:sz val="10"/>
      <x:color rgb="FF008000"/>
      <x:name val="Microsoft YaHei"/>
    </x:font>
    <x:font>
      <x:b/>
      <x:sz val="10"/>
      <x:color rgb="FF17365D"/>
      <x:name val="Microsoft YaHei"/>
    </x:font>
    <x:font>
      <x:b/>
      <x:sz val="10"/>
      <x:color rgb="FF0000FF"/>
      <x:name val="Microsoft YaHei"/>
    </x:font>
    <x:font>
      <x:sz val="9"/>
      <x:color rgb="FF17365D"/>
      <x:name val="Microsoft YaHei"/>
    </x:font>
    <x:font>
      <x:b/>
      <x:sz val="10"/>
      <x:color rgb="FF203040"/>
      <x:name val="Microsoft YaHei"/>
    </x:font>
    <x:font>
      <x:b/>
      <x:sz val="11"/>
      <x:color rgb="FF17365D"/>
      <x:name val="Microsoft YaHei"/>
    </x:font>
    <x:font>
      <x:b/>
      <x:sz val="12"/>
      <x:color rgb="FF17365D"/>
      <x:name val="Microsoft YaHei"/>
    </x:font>
    <x:font>
      <x:b/>
      <x:sz val="16"/>
      <x:color rgb="FF17365D"/>
      <x:name val="Microsoft YaHei"/>
    </x:font>
    <x:font>
      <x:b/>
      <x:sz val="12"/>
      <x:color rgb="FF9C65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</x:fills>
  <x:borders count="10">
    <x:border>
      <x:left/>
      <x:right/>
      <x:top/>
      <x:bottom/>
      <x:diagonal/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  <x:diagonal/>
    </x:border>
    <x:border>
      <x:left style="thin">
        <x:color rgb="FFD7E1EA"/>
      </x:left>
      <x:right/>
      <x:top style="thin">
        <x:color rgb="FFD7E1EA"/>
      </x:top>
      <x:bottom/>
      <x:diagonal/>
    </x:border>
    <x:border>
      <x:left/>
      <x:right/>
      <x:top style="thin">
        <x:color rgb="FFD7E1EA"/>
      </x:top>
      <x:bottom/>
      <x:diagonal/>
    </x:border>
    <x:border>
      <x:left/>
      <x:right style="thin">
        <x:color rgb="FFD7E1EA"/>
      </x:right>
      <x:top style="thin">
        <x:color rgb="FFD7E1EA"/>
      </x:top>
      <x:bottom/>
      <x:diagonal/>
    </x:border>
    <x:border>
      <x:left style="thin">
        <x:color rgb="FFD7E1EA"/>
      </x:left>
      <x:right/>
      <x:top/>
      <x:bottom/>
      <x:diagonal/>
    </x:border>
    <x:border>
      <x:left/>
      <x:right style="thin">
        <x:color rgb="FFD7E1EA"/>
      </x:right>
      <x:top/>
      <x:bottom/>
      <x:diagonal/>
    </x:border>
    <x:border>
      <x:left style="thin">
        <x:color rgb="FFD7E1EA"/>
      </x:left>
      <x:right/>
      <x:top/>
      <x:bottom style="thin">
        <x:color rgb="FFD7E1EA"/>
      </x:bottom>
      <x:diagonal/>
    </x:border>
    <x:border>
      <x:left/>
      <x:right/>
      <x:top/>
      <x:bottom style="thin">
        <x:color rgb="FFD7E1EA"/>
      </x:bottom>
      <x:diagonal/>
    </x:border>
    <x:border>
      <x:left/>
      <x:right style="thin">
        <x:color rgb="FFD7E1EA"/>
      </x:right>
      <x:top/>
      <x:bottom style="thin">
        <x:color rgb="FFD7E1EA"/>
      </x:bottom>
      <x:diagonal/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horizontal="center" vertical="center" wrapText="1"/>
    </x:xf>
    <x:xf numFmtId="200" fontId="10" fillId="5" borderId="1" xfId="0" applyNumberFormat="1" applyFont="1" applyFill="1" applyBorder="1" applyAlignment="1">
      <x:alignment vertical="center" wrapText="1"/>
    </x:xf>
    <x:xf numFmtId="201" fontId="10" fillId="5" borderId="1" xfId="0" applyNumberFormat="1" applyFont="1" applyFill="1" applyBorder="1" applyAlignment="1">
      <x:alignment vertical="center" wrapText="1"/>
    </x:xf>
    <x:xf numFmtId="202" fontId="10" fillId="5" borderId="1" xfId="0" applyNumberFormat="1" applyFont="1" applyFill="1" applyBorder="1" applyAlignment="1">
      <x:alignment vertical="center" wrapText="1"/>
    </x:xf>
    <x:xf numFmtId="203" fontId="10" fillId="5" borderId="1" xfId="0" applyNumberFormat="1" applyFont="1" applyFill="1" applyBorder="1" applyAlignment="1">
      <x:alignment vertical="center" wrapText="1"/>
    </x:xf>
    <x:xf numFmtId="204" fontId="10" fillId="5" borderId="1" xfId="0" applyNumberFormat="1" applyFont="1" applyFill="1" applyBorder="1" applyAlignment="1">
      <x:alignment vertical="center" wrapText="1"/>
    </x:xf>
    <x:xf numFmtId="204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201" fontId="1" fillId="7" borderId="1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200" fontId="11" fillId="5" borderId="1" xfId="0" applyNumberFormat="1" applyFont="1" applyFill="1" applyBorder="1" applyAlignment="1">
      <x:alignment vertical="center" wrapText="1"/>
    </x:xf>
    <x:xf numFmtId="201" fontId="11" fillId="5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205" fontId="10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 wrapText="1"/>
    </x:xf>
    <x:xf numFmtId="205" fontId="1" fillId="5" borderId="1" xfId="0" applyNumberFormat="1" applyFont="1" applyFill="1" applyBorder="1" applyAlignment="1">
      <x:alignment vertical="center" wrapText="1"/>
    </x:xf>
    <x:xf numFmtId="205" fontId="6" fillId="7" borderId="1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2" fillId="8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5" fillId="6" borderId="1" xfId="0" applyNumberFormat="1" applyFont="1" applyFill="1" applyBorder="1" applyAlignment="1">
      <x:alignment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6" borderId="1" xfId="0" applyNumberFormat="1" applyFont="1" applyFill="1" applyBorder="1" applyAlignment="1">
      <x:alignment vertical="center" wrapText="1"/>
    </x:xf>
    <x:xf numFmtId="0" fontId="17" fillId="7" borderId="1" xfId="0" applyNumberFormat="1" applyFont="1" applyFill="1" applyBorder="1" applyAlignment="1">
      <x:alignment vertical="center" wrapText="1"/>
    </x:xf>
    <x:xf numFmtId="200" fontId="17" fillId="7" borderId="1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vertical="center" wrapText="1"/>
    </x:xf>
    <x:xf numFmtId="0" fontId="18" fillId="7" borderId="1" xfId="0" applyNumberFormat="1" applyFont="1" applyFill="1" applyBorder="1" applyAlignment="1">
      <x:alignment vertical="center" wrapText="1"/>
    </x:xf>
    <x:xf numFmtId="0" fontId="18" fillId="7" borderId="1" xfId="0" applyNumberFormat="1" applyFont="1" applyFill="1" applyBorder="1" applyAlignment="1">
      <x:alignment horizontal="left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horizontal="left" vertical="center" wrapText="1"/>
    </x:xf>
    <x:xf numFmtId="0" fontId="14" fillId="7" borderId="1" xfId="0" applyNumberFormat="1" applyFont="1" applyFill="1" applyBorder="1" applyAlignment="1">
      <x:alignment vertical="center" wrapText="1"/>
    </x:xf>
    <x:xf numFmtId="200" fontId="14" fillId="7" borderId="1" xfId="0" applyNumberFormat="1" applyFont="1" applyFill="1" applyBorder="1" applyAlignment="1">
      <x:alignment vertical="center" wrapText="1"/>
    </x:xf>
    <x:xf numFmtId="201" fontId="14" fillId="7" borderId="1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borderId="1" xfId="0" applyNumberFormat="1" applyFont="1" applyFill="1" applyBorder="1" applyAlignment="1">
      <x:alignment vertical="center" wrapText="1"/>
    </x:xf>
    <x:xf numFmtId="0" fontId="19" fillId="6" borderId="1" xfId="0" applyNumberFormat="1" applyFont="1" applyFill="1" applyBorder="1" applyAlignment="1">
      <x:alignment horizontal="left" vertical="center" wrapText="1"/>
    </x:xf>
    <x:xf numFmtId="206" fontId="1" fillId="5" borderId="1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0" fontId="20" fillId="3" borderId="1" xfId="0" applyNumberFormat="1" applyFont="1" applyFill="1" applyBorder="1" applyAlignment="1">
      <x:alignment vertical="center" wrapText="1"/>
    </x:xf>
    <x:xf numFmtId="0" fontId="20" fillId="6" borderId="1" xfId="0" applyNumberFormat="1" applyFont="1" applyFill="1" applyBorder="1" applyAlignment="1">
      <x:alignment vertical="center" wrapText="1"/>
    </x:xf>
    <x:xf numFmtId="0" fontId="21" fillId="6" borderId="1" xfId="0" applyNumberFormat="1" applyFont="1" applyFill="1" applyBorder="1" applyAlignment="1">
      <x:alignment vertical="center" wrapText="1"/>
    </x:xf>
    <x:xf numFmtId="200" fontId="20" fillId="3" borderId="1" xfId="0" applyNumberFormat="1" applyFont="1" applyFill="1" applyBorder="1" applyAlignment="1">
      <x:alignment vertical="center" wrapText="1"/>
    </x:xf>
    <x:xf numFmtId="201" fontId="20" fillId="3" borderId="1" xfId="0" applyNumberFormat="1" applyFont="1" applyFill="1" applyBorder="1" applyAlignment="1">
      <x:alignment vertical="center" wrapText="1"/>
    </x:xf>
    <x:xf numFmtId="205" fontId="2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70AD47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70AD47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b43dec5ed4e72" /><Relationship Type="http://schemas.openxmlformats.org/officeDocument/2006/relationships/theme" Target="/xl/theme/theme1.xml" Id="Rc361006a10ac47b6" /><Relationship Type="http://schemas.openxmlformats.org/officeDocument/2006/relationships/sharedStrings" Target="/xl/sharedStrings.xml" Id="Re8b1fa97a5b14d50" /><Relationship Type="http://schemas.openxmlformats.org/officeDocument/2006/relationships/worksheet" Target="/xl/worksheets/sheet1.xml" Id="R255291740dba495b" /><Relationship Type="http://schemas.openxmlformats.org/officeDocument/2006/relationships/worksheet" Target="/xl/worksheets/sheet2.xml" Id="R203ad3a639bc44d8" /><Relationship Type="http://schemas.openxmlformats.org/officeDocument/2006/relationships/worksheet" Target="/xl/worksheets/sheet3.xml" Id="Rd3387e1247b14c33" /><Relationship Type="http://schemas.openxmlformats.org/officeDocument/2006/relationships/worksheet" Target="/xl/worksheets/sheet4.xml" Id="R3640f3ae339c4027" /><Relationship Type="http://schemas.openxmlformats.org/officeDocument/2006/relationships/worksheet" Target="/xl/worksheets/sheet5.xml" Id="Rd0728a30cb994ae3" /><Relationship Type="http://schemas.openxmlformats.org/officeDocument/2006/relationships/worksheet" Target="/xl/worksheets/sheet6.xml" Id="R9f2c147f13c34413" /><Relationship Type="http://schemas.openxmlformats.org/officeDocument/2006/relationships/worksheet" Target="/xl/worksheets/sheet7.xml" Id="Radcc3a25c2ff44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f3cba32c1949e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15a4c80356e438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390fa0ae6db40d1" /><Relationship Type="http://schemas.openxmlformats.org/officeDocument/2006/relationships/chart" Target="/xl/drawings/charts/chart4.xml" Id="R60d7e64603e94dfb" /><Relationship Type="http://schemas.openxmlformats.org/officeDocument/2006/relationships/chart" Target="/xl/drawings/charts/chart5.xml" Id="Ree04e1ea720747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价格—价值对照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元/股</c:v>
          </c:tx>
          <c:invertIfNegative val="0"/>
          <c:cat>
            <c:strRef>
              <c:f>'一图流'!$H$15:$H$18</c:f>
              <c:strCache>
                <c:ptCount val="0"/>
              </c:strCache>
            </c:strRef>
          </c:cat>
          <c:val>
            <c:numRef>
              <c:f>'一图流'!$I$15:$I$18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三情景归母利润路径（亿元）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保守</c:v>
          </c:tx>
          <c:marker>
            <c:symbol val="none"/>
          </c:marker>
          <c:cat>
            <c:strRef>
              <c:f>'产业推演'!$A$49:$A$51</c:f>
              <c:strCache>
                <c:ptCount val="0"/>
              </c:strCache>
            </c:strRef>
          </c:cat>
          <c:val>
            <c:numRef>
              <c:f>'产业推演'!$B$49:$B$51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</c:v>
          </c:tx>
          <c:marker>
            <c:symbol val="none"/>
          </c:marker>
          <c:cat>
            <c:strRef>
              <c:f>'产业推演'!$A$49:$A$51</c:f>
              <c:strCache>
                <c:ptCount val="0"/>
              </c:strCache>
            </c:strRef>
          </c:cat>
          <c:val>
            <c:numRef>
              <c:f>'产业推演'!$C$49:$C$51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积极</c:v>
          </c:tx>
          <c:marker>
            <c:symbol val="none"/>
          </c:marker>
          <c:cat>
            <c:strRef>
              <c:f>'产业推演'!$A$49:$A$51</c:f>
              <c:strCache>
                <c:ptCount val="0"/>
              </c:strCache>
            </c:strRef>
          </c:cat>
          <c:val>
            <c:numRef>
              <c:f>'产业推演'!$D$49:$D$51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十年收入（亿元）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收入</c:v>
          </c:tx>
          <c:invertIfNegative val="0"/>
          <c:cat>
            <c:strRef>
              <c:f>'财务十年'!$P$5:$P$14</c:f>
              <c:strCache>
                <c:ptCount val="0"/>
              </c:strCache>
            </c:strRef>
          </c:cat>
          <c:val>
            <c:numRef>
              <c:f>'财务十年'!$Q$5:$Q$14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盈利质量趋势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毛利率</c:v>
          </c:tx>
          <c:marker>
            <c:symbol val="none"/>
          </c:marker>
          <c:cat>
            <c:strRef>
              <c:f>'财务十年'!$P$19:$P$28</c:f>
              <c:strCache>
                <c:ptCount val="0"/>
              </c:strCache>
            </c:strRef>
          </c:cat>
          <c:val>
            <c:numRef>
              <c:f>'财务十年'!$Q$19:$Q$28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ROE</c:v>
          </c:tx>
          <c:marker>
            <c:symbol val="none"/>
          </c:marker>
          <c:cat>
            <c:strRef>
              <c:f>'财务十年'!$P$19:$P$28</c:f>
              <c:strCache>
                <c:ptCount val="0"/>
              </c:strCache>
            </c:strRef>
          </c:cat>
          <c:val>
            <c:numRef>
              <c:f>'财务十年'!$R$19:$R$28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ROIC代理</c:v>
          </c:tx>
          <c:marker>
            <c:symbol val="none"/>
          </c:marker>
          <c:cat>
            <c:strRef>
              <c:f>'财务十年'!$P$19:$P$28</c:f>
              <c:strCache>
                <c:ptCount val="0"/>
              </c:strCache>
            </c:strRef>
          </c:cat>
          <c:val>
            <c:numRef>
              <c:f>'财务十年'!$S$19:$S$28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现金流与自由现金流（亿元）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经营现金流</c:v>
          </c:tx>
          <c:marker>
            <c:symbol val="none"/>
          </c:marker>
          <c:cat>
            <c:strRef>
              <c:f>'财务十年'!$P$33:$P$42</c:f>
              <c:strCache>
                <c:ptCount val="0"/>
              </c:strCache>
            </c:strRef>
          </c:cat>
          <c:val>
            <c:numRef>
              <c:f>'财务十年'!$Q$33:$Q$42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自由现金流</c:v>
          </c:tx>
          <c:marker>
            <c:symbol val="none"/>
          </c:marker>
          <c:cat>
            <c:strRef>
              <c:f>'财务十年'!$P$33:$P$42</c:f>
              <c:strCache>
                <c:ptCount val="0"/>
              </c:strCache>
            </c:strRef>
          </c:cat>
          <c:val>
            <c:numRef>
              <c:f>'财务十年'!$R$33:$R$42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f3cba32c1949e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47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5a4c80356e438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90fa0ae6db40d1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d7e64603e94dfb"/>
        </a:graphicData>
      </a:graphic>
    </xdr:graphicFrame>
    <xdr:clientData/>
  </xdr:twoCellAnchor>
  <xdr:twoCellAnchor>
    <xdr:from>
      <xdr:col>15</xdr:col>
      <xdr:colOff>0</xdr:colOff>
      <xdr:row>31</xdr:row>
      <xdr:rowOff>0</xdr:rowOff>
    </xdr:from>
    <xdr:to>
      <xdr:col>23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04e1ea720747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f171cf996743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5f6b8093ac7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357b3165ca964f9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7" customHeight="1">
      <x:c r="A1" s="6" t="str">
        <x:v>亨通光电 600487｜巴菲特框架一图流</x:v>
      </x:c>
      <x:c r="B1" s="6" t="str">
        <x:v>亨通光电 600487｜巴菲特框架一图流</x:v>
      </x:c>
      <x:c r="C1" s="6" t="str">
        <x:v>亨通光电 600487｜巴菲特框架一图流</x:v>
      </x:c>
      <x:c r="D1" s="6" t="str">
        <x:v>亨通光电 600487｜巴菲特框架一图流</x:v>
      </x:c>
      <x:c r="E1" s="6" t="str">
        <x:v>亨通光电 600487｜巴菲特框架一图流</x:v>
      </x:c>
      <x:c r="F1" s="6" t="str">
        <x:v>亨通光电 600487｜巴菲特框架一图流</x:v>
      </x:c>
      <x:c r="G1" s="6" t="str">
        <x:v>亨通光电 600487｜巴菲特框架一图流</x:v>
      </x:c>
      <x:c r="H1" s="6" t="str">
        <x:v>亨通光电 600487｜巴菲特框架一图流</x:v>
      </x:c>
      <x:c r="I1" s="6" t="str">
        <x:v>亨通光电 600487｜巴菲特框架一图流</x:v>
      </x:c>
      <x:c r="J1" s="6" t="str">
        <x:v>亨通光电 600487｜巴菲特框架一图流</x:v>
      </x:c>
      <x:c r="K1" s="6" t="str">
        <x:v>亨通光电 600487｜巴菲特框架一图流</x:v>
      </x:c>
      <x:c r="L1" s="6" t="str">
        <x:v>亨通光电 600487｜巴菲特框架一图流</x:v>
      </x:c>
      <x:c r="M1" s="6" t="str">
        <x:v>亨通光电 600487｜巴菲特框架一图流</x:v>
      </x:c>
      <x:c r="N1" s="6" t="str">
        <x:v>亨通光电 600487｜巴菲特框架一图流</x:v>
      </x:c>
    </x:row>
    <x:row r="2" ht="27" customHeight="1">
      <x:c r="A2" s="9" t="str">
        <x:v>估值日：2026-10-16｜正式三季报尚未披露；当前采用前三季度业绩预告。核心问题：低前瞻PE是真便宜，还是高景气利润分母？</x:v>
      </x:c>
      <x:c r="B2" s="9" t="str">
        <x:v>估值日：2026-10-16｜正式三季报尚未披露；当前采用前三季度业绩预告。核心问题：低前瞻PE是真便宜，还是高景气利润分母？</x:v>
      </x:c>
      <x:c r="C2" s="9" t="str">
        <x:v>估值日：2026-10-16｜正式三季报尚未披露；当前采用前三季度业绩预告。核心问题：低前瞻PE是真便宜，还是高景气利润分母？</x:v>
      </x:c>
      <x:c r="D2" s="9" t="str">
        <x:v>估值日：2026-10-16｜正式三季报尚未披露；当前采用前三季度业绩预告。核心问题：低前瞻PE是真便宜，还是高景气利润分母？</x:v>
      </x:c>
      <x:c r="E2" s="9" t="str">
        <x:v>估值日：2026-10-16｜正式三季报尚未披露；当前采用前三季度业绩预告。核心问题：低前瞻PE是真便宜，还是高景气利润分母？</x:v>
      </x:c>
      <x:c r="F2" s="9" t="str">
        <x:v>估值日：2026-10-16｜正式三季报尚未披露；当前采用前三季度业绩预告。核心问题：低前瞻PE是真便宜，还是高景气利润分母？</x:v>
      </x:c>
      <x:c r="G2" s="9" t="str">
        <x:v>估值日：2026-10-16｜正式三季报尚未披露；当前采用前三季度业绩预告。核心问题：低前瞻PE是真便宜，还是高景气利润分母？</x:v>
      </x:c>
      <x:c r="H2" s="9" t="str">
        <x:v>估值日：2026-10-16｜正式三季报尚未披露；当前采用前三季度业绩预告。核心问题：低前瞻PE是真便宜，还是高景气利润分母？</x:v>
      </x:c>
      <x:c r="I2" s="9" t="str">
        <x:v>估值日：2026-10-16｜正式三季报尚未披露；当前采用前三季度业绩预告。核心问题：低前瞻PE是真便宜，还是高景气利润分母？</x:v>
      </x:c>
      <x:c r="J2" s="9" t="str">
        <x:v>估值日：2026-10-16｜正式三季报尚未披露；当前采用前三季度业绩预告。核心问题：低前瞻PE是真便宜，还是高景气利润分母？</x:v>
      </x:c>
      <x:c r="K2" s="9" t="str">
        <x:v>估值日：2026-10-16｜正式三季报尚未披露；当前采用前三季度业绩预告。核心问题：低前瞻PE是真便宜，还是高景气利润分母？</x:v>
      </x:c>
      <x:c r="L2" s="9" t="str">
        <x:v>估值日：2026-10-16｜正式三季报尚未披露；当前采用前三季度业绩预告。核心问题：低前瞻PE是真便宜，还是高景气利润分母？</x:v>
      </x:c>
      <x:c r="M2" s="9" t="str">
        <x:v>估值日：2026-10-16｜正式三季报尚未披露；当前采用前三季度业绩预告。核心问题：低前瞻PE是真便宜，还是高景气利润分母？</x:v>
      </x:c>
      <x:c r="N2" s="9" t="str">
        <x:v>估值日：2026-10-16｜正式三季报尚未披露；当前采用前三季度业绩预告。核心问题：低前瞻PE是真便宜，还是高景气利润分母？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44" t="str">
        <x:v>当前价</x:v>
      </x:c>
      <x:c r="B4" s="44" t="str"/>
      <x:c r="C4" s="44" t="str"/>
      <x:c r="D4" s="44" t="str">
        <x:v>基准内在价值</x:v>
      </x:c>
      <x:c r="E4" s="44" t="str"/>
      <x:c r="F4" s="44" t="str"/>
      <x:c r="G4" s="44" t="str">
        <x:v>安全边际</x:v>
      </x:c>
      <x:c r="H4" s="44" t="str"/>
      <x:c r="I4" s="44" t="str"/>
      <x:c r="J4" s="44" t="str">
        <x:v>2026前瞻PE</x:v>
      </x:c>
      <x:c r="K4" s="44" t="str"/>
      <x:c r="L4" s="44" t="str"/>
      <x:c r="M4" s="44" t="str">
        <x:v>行动</x:v>
      </x:c>
      <x:c r="N4" s="44" t="str"/>
    </x:row>
    <x:row r="5">
      <x:c r="A5" s="94" t="n">
        <x:f>'估值模型'!B6</x:f>
        <x:v>45.68</x:v>
      </x:c>
      <x:c r="B5" s="91"/>
      <x:c r="C5" s="91"/>
      <x:c r="D5" s="94" t="n">
        <x:f>'估值模型'!B13</x:f>
        <x:v>42.4169485309533</x:v>
      </x:c>
      <x:c r="E5" s="91"/>
      <x:c r="F5" s="91"/>
      <x:c r="G5" s="95" t="n">
        <x:f>'估值模型'!B14</x:f>
        <x:v>-0.07143282550452501</x:v>
      </x:c>
      <x:c r="H5" s="91"/>
      <x:c r="I5" s="91"/>
      <x:c r="J5" s="96" t="n">
        <x:f>'估值模型'!B12</x:f>
        <x:v>12.995354952467528</x:v>
      </x:c>
      <x:c r="K5" s="91"/>
      <x:c r="L5" s="91"/>
      <x:c r="M5" s="93" t="str">
        <x:v>观察
等待验证</x:v>
      </x:c>
      <x:c r="N5" s="93"/>
    </x:row>
    <x:row r="6">
      <x:c r="A6" s="91"/>
      <x:c r="B6" s="91"/>
      <x:c r="C6" s="91"/>
      <x:c r="D6" s="91"/>
      <x:c r="E6" s="91"/>
      <x:c r="F6" s="91"/>
      <x:c r="G6" s="91"/>
      <x:c r="H6" s="91"/>
      <x:c r="I6" s="91"/>
      <x:c r="J6" s="91"/>
      <x:c r="K6" s="91"/>
      <x:c r="L6" s="91"/>
      <x:c r="M6" s="93"/>
      <x:c r="N6" s="9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ht="22" customHeight="1">
      <x:c r="A8" s="11" t="str">
        <x:v>核心结论</x:v>
      </x:c>
      <x:c r="B8" s="11" t="str">
        <x:v>核心结论</x:v>
      </x:c>
      <x:c r="C8" s="11" t="str">
        <x:v>核心结论</x:v>
      </x:c>
      <x:c r="D8" s="11" t="str">
        <x:v>核心结论</x:v>
      </x:c>
      <x:c r="E8" s="11" t="str">
        <x:v>核心结论</x:v>
      </x:c>
      <x:c r="F8" s="11" t="str">
        <x:v>核心结论</x:v>
      </x:c>
      <x:c r="G8" s="11" t="str">
        <x:v>核心结论</x:v>
      </x:c>
      <x:c r="H8" s="11" t="str">
        <x:v>核心结论</x:v>
      </x:c>
      <x:c r="I8" s="11" t="str">
        <x:v>核心结论</x:v>
      </x:c>
      <x:c r="J8" s="11" t="str">
        <x:v>核心结论</x:v>
      </x:c>
      <x:c r="K8" s="11" t="str">
        <x:v>核心结论</x:v>
      </x:c>
      <x:c r="L8" s="11" t="str">
        <x:v>核心结论</x:v>
      </x:c>
      <x:c r="M8" s="11" t="str">
        <x:v>核心结论</x:v>
      </x:c>
      <x:c r="N8" s="11" t="str">
        <x:v>核心结论</x:v>
      </x:c>
    </x:row>
    <x:row r="9">
      <x:c r="A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B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C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D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E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F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G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H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I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J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K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L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M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N9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</x:row>
    <x:row r="10">
      <x:c r="A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B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C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D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E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F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G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H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I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J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K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L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M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N10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</x:row>
    <x:row r="11">
      <x:c r="A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B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C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D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E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F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G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H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I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J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K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L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M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  <x:c r="N11" s="82" t="str">
        <x:v>Q4基准不再假设明显转弱：Q4E按25亿元、约为Q3中值的82%，对应2026E归母约86.7亿元。产业推演下，基准2027E约87.5亿元、2028E约85.6亿元；45.68元按13倍PE反推需约86.7亿元，现价接近计入基准盈利。三法加权基准价值约42.4元，观察区约36.1元、分批区约29.7元。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 ht="22" customHeight="1">
      <x:c r="A13" s="11" t="str">
        <x:v>8问结论</x:v>
      </x:c>
      <x:c r="B13" s="11" t="str">
        <x:v>8问结论</x:v>
      </x:c>
      <x:c r="C13" s="11" t="str">
        <x:v>8问结论</x:v>
      </x:c>
      <x:c r="D13" s="11" t="str">
        <x:v>8问结论</x:v>
      </x:c>
      <x:c r="E13" s="11" t="str">
        <x:v>8问结论</x:v>
      </x:c>
      <x:c r="F13" s="11" t="str">
        <x:v>8问结论</x:v>
      </x:c>
      <x:c r="G13" s="3"/>
      <x:c r="H13" s="11" t="str">
        <x:v>当前价与三情景价值（元/股）</x:v>
      </x:c>
      <x:c r="I13" s="11" t="str">
        <x:v>当前价与三情景价值（元/股）</x:v>
      </x:c>
      <x:c r="J13" s="11" t="str">
        <x:v>当前价与三情景价值（元/股）</x:v>
      </x:c>
      <x:c r="K13" s="11" t="str">
        <x:v>当前价与三情景价值（元/股）</x:v>
      </x:c>
      <x:c r="L13" s="11" t="str">
        <x:v>当前价与三情景价值（元/股）</x:v>
      </x:c>
      <x:c r="M13" s="11" t="str">
        <x:v>当前价与三情景价值（元/股）</x:v>
      </x:c>
      <x:c r="N13" s="11" t="str">
        <x:v>当前价与三情景价值（元/股）</x:v>
      </x:c>
    </x:row>
    <x:row r="14">
      <x:c r="A14" s="15" t="str">
        <x:v>问题</x:v>
      </x:c>
      <x:c r="B14" s="15" t="str">
        <x:v>结论</x:v>
      </x:c>
      <x:c r="C14" s="15" t="str">
        <x:v>一句话证据</x:v>
      </x:c>
      <x:c r="D14" s="15" t="str"/>
      <x:c r="E14" s="15" t="str"/>
      <x:c r="F14" s="15" t="str"/>
      <x:c r="G14" s="3"/>
      <x:c r="H14" s="15" t="str">
        <x:v>项目</x:v>
      </x:c>
      <x:c r="I14" s="15" t="str">
        <x:v>元/股</x:v>
      </x:c>
      <x:c r="J14" s="3"/>
      <x:c r="K14" s="3"/>
      <x:c r="L14" s="3"/>
      <x:c r="M14" s="3"/>
      <x:c r="N14" s="3"/>
    </x:row>
    <x:row r="15" ht="28" customHeight="1">
      <x:c r="A15" s="19" t="str">
        <x:v>能力圈</x:v>
      </x:c>
      <x:c r="B15" s="19" t="str">
        <x:v>谨慎</x:v>
      </x:c>
      <x:c r="C15" s="19" t="str">
        <x:v>制造/工程可理解，光纤价格与CPO兑现难预测</x:v>
      </x:c>
      <x:c r="D15" s="19" t="str"/>
      <x:c r="E15" s="19" t="str"/>
      <x:c r="F15" s="19" t="str"/>
      <x:c r="G15" s="3"/>
      <x:c r="H15" s="19" t="str">
        <x:v>当前价</x:v>
      </x:c>
      <x:c r="I15" s="31" t="n">
        <x:f>'估值模型'!B6</x:f>
        <x:v>45.68</x:v>
      </x:c>
      <x:c r="J15" s="3"/>
      <x:c r="K15" s="3"/>
      <x:c r="L15" s="3"/>
      <x:c r="M15" s="3"/>
      <x:c r="N15" s="3"/>
    </x:row>
    <x:row r="16" ht="28" customHeight="1">
      <x:c r="A16" s="19" t="str">
        <x:v>护城河</x:v>
      </x:c>
      <x:c r="B16" s="19" t="str">
        <x:v>通过</x:v>
      </x:c>
      <x:c r="C16" s="19" t="str">
        <x:v>一体化、认证交付、海洋系统能力与全球基地</x:v>
      </x:c>
      <x:c r="D16" s="19" t="str"/>
      <x:c r="E16" s="19" t="str"/>
      <x:c r="F16" s="19" t="str"/>
      <x:c r="G16" s="3"/>
      <x:c r="H16" s="19" t="str">
        <x:v>保守价值</x:v>
      </x:c>
      <x:c r="I16" s="31" t="n">
        <x:f>'估值模型'!F36</x:f>
        <x:v>25.318080485895173</x:v>
      </x:c>
      <x:c r="J16" s="3"/>
      <x:c r="K16" s="3"/>
      <x:c r="L16" s="3"/>
      <x:c r="M16" s="3"/>
      <x:c r="N16" s="3"/>
    </x:row>
    <x:row r="17" ht="28" customHeight="1">
      <x:c r="A17" s="19" t="str">
        <x:v>管理层</x:v>
      </x:c>
      <x:c r="B17" s="19" t="str">
        <x:v>谨慎</x:v>
      </x:c>
      <x:c r="C17" s="19" t="str">
        <x:v>定增尚未提请股东会；质押与员工持股折价需跟踪</x:v>
      </x:c>
      <x:c r="D17" s="19" t="str"/>
      <x:c r="E17" s="19" t="str"/>
      <x:c r="F17" s="19" t="str"/>
      <x:c r="G17" s="3"/>
      <x:c r="H17" s="19" t="str">
        <x:v>基准价值</x:v>
      </x:c>
      <x:c r="I17" s="31" t="n">
        <x:f>'估值模型'!G36</x:f>
        <x:v>42.4169485309533</x:v>
      </x:c>
      <x:c r="J17" s="3"/>
      <x:c r="K17" s="3"/>
      <x:c r="L17" s="3"/>
      <x:c r="M17" s="3"/>
      <x:c r="N17" s="3"/>
    </x:row>
    <x:row r="18" ht="28" customHeight="1">
      <x:c r="A18" s="19" t="str">
        <x:v>价格</x:v>
      </x:c>
      <x:c r="B18" s="19" t="str">
        <x:v>谨慎</x:v>
      </x:c>
      <x:c r="C18" s="19" t="str">
        <x:v>11–15倍2026E前瞻PE，但可能对应利润高位</x:v>
      </x:c>
      <x:c r="D18" s="19" t="str"/>
      <x:c r="E18" s="19" t="str"/>
      <x:c r="F18" s="19" t="str"/>
      <x:c r="G18" s="3"/>
      <x:c r="H18" s="19" t="str">
        <x:v>积极价值</x:v>
      </x:c>
      <x:c r="I18" s="31" t="n">
        <x:f>'估值模型'!H36</x:f>
        <x:v>82.9626262038174</x:v>
      </x:c>
      <x:c r="J18" s="3"/>
      <x:c r="K18" s="3"/>
      <x:c r="L18" s="3"/>
      <x:c r="M18" s="3"/>
      <x:c r="N18" s="3"/>
    </x:row>
    <x:row r="19" ht="28" customHeight="1">
      <x:c r="A19" s="19" t="str">
        <x:v>安全边际</x:v>
      </x:c>
      <x:c r="B19" s="19" t="str">
        <x:v>不通过</x:v>
      </x:c>
      <x:c r="C19" s="19" t="str">
        <x:v>产业驱动基准价值低于45.68元现价</x:v>
      </x:c>
      <x:c r="D19" s="19" t="str"/>
      <x:c r="E19" s="19" t="str"/>
      <x:c r="F19" s="19" t="str"/>
      <x:c r="G19" s="3"/>
      <x:c r="H19" s="3"/>
      <x:c r="I19" s="3"/>
      <x:c r="J19" s="3"/>
      <x:c r="K19" s="3"/>
      <x:c r="L19" s="3"/>
      <x:c r="M19" s="3"/>
      <x:c r="N19" s="3"/>
    </x:row>
    <x:row r="20" ht="28" customHeight="1">
      <x:c r="A20" s="19" t="str">
        <x:v>失败路径</x:v>
      </x:c>
      <x:c r="B20" s="19" t="str">
        <x:v>通过</x:v>
      </x:c>
      <x:c r="C20" s="19" t="str">
        <x:v>周期、现金、定增、治理风险均可量化跟踪</x:v>
      </x:c>
      <x:c r="D20" s="19" t="str"/>
      <x:c r="E20" s="19" t="str"/>
      <x:c r="F20" s="19" t="str"/>
      <x:c r="G20" s="3"/>
      <x:c r="H20" s="3"/>
      <x:c r="I20" s="3"/>
      <x:c r="J20" s="3"/>
      <x:c r="K20" s="3"/>
      <x:c r="L20" s="3"/>
      <x:c r="M20" s="3"/>
      <x:c r="N20" s="3"/>
    </x:row>
    <x:row r="21" ht="28" customHeight="1">
      <x:c r="A21" s="19" t="str">
        <x:v>制度惯性</x:v>
      </x:c>
      <x:c r="B21" s="19" t="str">
        <x:v>谨慎</x:v>
      </x:c>
      <x:c r="C21" s="19" t="str">
        <x:v>多项目扩张可能稀释资本回报</x:v>
      </x:c>
      <x:c r="D21" s="19" t="str"/>
      <x:c r="E21" s="19" t="str"/>
      <x:c r="F21" s="19" t="str"/>
      <x:c r="G21" s="3"/>
      <x:c r="H21" s="3"/>
      <x:c r="I21" s="3"/>
      <x:c r="J21" s="3"/>
      <x:c r="K21" s="3"/>
      <x:c r="L21" s="3"/>
      <x:c r="M21" s="3"/>
      <x:c r="N21" s="3"/>
    </x:row>
    <x:row r="22" ht="28" customHeight="1">
      <x:c r="A22" s="19" t="str">
        <x:v>卖出纪律</x:v>
      </x:c>
      <x:c r="B22" s="19" t="str">
        <x:v>已定义</x:v>
      </x:c>
      <x:c r="C22" s="19" t="str">
        <x:v>护城河破坏、治理红线、严重高估、更优机会</x:v>
      </x:c>
      <x:c r="D22" s="19" t="str"/>
      <x:c r="E22" s="19" t="str"/>
      <x:c r="F22" s="19" t="str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22" customHeight="1">
      <x:c r="A24" s="11" t="str">
        <x:v>核心财务证据</x:v>
      </x:c>
      <x:c r="B24" s="11" t="str">
        <x:v>核心财务证据</x:v>
      </x:c>
      <x:c r="C24" s="11" t="str">
        <x:v>核心财务证据</x:v>
      </x:c>
      <x:c r="D24" s="11" t="str">
        <x:v>核心财务证据</x:v>
      </x:c>
      <x:c r="E24" s="11" t="str">
        <x:v>核心财务证据</x:v>
      </x:c>
      <x:c r="F24" s="11" t="str">
        <x:v>核心财务证据</x:v>
      </x:c>
      <x:c r="G24" s="3"/>
      <x:c r="H24" s="3"/>
      <x:c r="I24" s="3"/>
      <x:c r="J24" s="3"/>
      <x:c r="K24" s="3"/>
      <x:c r="L24" s="3"/>
      <x:c r="M24" s="3"/>
      <x:c r="N24" s="3"/>
    </x:row>
    <x:row r="25">
      <x:c r="A25" s="15" t="str">
        <x:v>指标</x:v>
      </x:c>
      <x:c r="B25" s="15" t="str">
        <x:v>结果</x:v>
      </x:c>
      <x:c r="C25" s="15" t="str">
        <x:v>评价</x:v>
      </x:c>
      <x:c r="D25" s="15" t="str">
        <x:v>含义</x:v>
      </x:c>
      <x:c r="E25" s="15" t="str"/>
      <x:c r="F25" s="15" t="str"/>
      <x:c r="G25" s="3"/>
      <x:c r="H25" s="3"/>
      <x:c r="I25" s="3"/>
      <x:c r="J25" s="3"/>
      <x:c r="K25" s="3"/>
      <x:c r="L25" s="3"/>
      <x:c r="M25" s="3"/>
      <x:c r="N25" s="3"/>
    </x:row>
    <x:row r="26" ht="28" customHeight="1">
      <x:c r="A26" s="19" t="str">
        <x:v>2026Q1-3归母预告中值</x:v>
      </x:c>
      <x:c r="B26" s="31" t="n">
        <x:f>'数据与来源'!K21</x:f>
        <x:v>61.696207</x:v>
      </x:c>
      <x:c r="C26" s="19" t="str">
        <x:v>+约160%</x:v>
      </x:c>
      <x:c r="D26" s="19" t="str">
        <x:v>AI/数据中心拉动光通信量价</x:v>
      </x:c>
      <x:c r="E26" s="19" t="str"/>
      <x:c r="F26" s="19" t="str"/>
      <x:c r="G26" s="3"/>
      <x:c r="H26" s="3"/>
      <x:c r="I26" s="3"/>
      <x:c r="J26" s="3"/>
      <x:c r="K26" s="3"/>
      <x:c r="L26" s="3"/>
      <x:c r="M26" s="3"/>
      <x:c r="N26" s="3"/>
    </x:row>
    <x:row r="27" ht="28" customHeight="1">
      <x:c r="A27" s="19" t="str">
        <x:v>2027基准归母</x:v>
      </x:c>
      <x:c r="B27" s="31" t="n">
        <x:f>'产业推演'!E31</x:f>
        <x:v>87.536207</x:v>
      </x:c>
      <x:c r="C27" s="19" t="str">
        <x:v>约持平</x:v>
      </x:c>
      <x:c r="D27" s="19" t="str">
        <x:v>海洋/电网增长对冲光通信正常化</x:v>
      </x:c>
      <x:c r="E27" s="19" t="str"/>
      <x:c r="F27" s="19" t="str"/>
      <x:c r="G27" s="3"/>
      <x:c r="H27" s="3"/>
      <x:c r="I27" s="3"/>
      <x:c r="J27" s="3"/>
      <x:c r="K27" s="3"/>
      <x:c r="L27" s="3"/>
      <x:c r="M27" s="3"/>
      <x:c r="N27" s="3"/>
    </x:row>
    <x:row r="28" ht="28" customHeight="1">
      <x:c r="A28" s="19" t="str">
        <x:v>2028基准归母</x:v>
      </x:c>
      <x:c r="B28" s="31" t="n">
        <x:f>'产业推演'!G31</x:f>
        <x:v>85.57229321000001</x:v>
      </x:c>
      <x:c r="C28" s="19" t="str">
        <x:v>小幅回落</x:v>
      </x:c>
      <x:c r="D28" s="19" t="str">
        <x:v>新增供给释放是主要风险</x:v>
      </x:c>
      <x:c r="E28" s="19" t="str"/>
      <x:c r="F28" s="19" t="str"/>
      <x:c r="G28" s="3"/>
      <x:c r="H28" s="3"/>
      <x:c r="I28" s="3"/>
      <x:c r="J28" s="3"/>
      <x:c r="K28" s="3"/>
      <x:c r="L28" s="3"/>
      <x:c r="M28" s="3"/>
      <x:c r="N28" s="3"/>
    </x:row>
    <x:row r="29" ht="28" customHeight="1">
      <x:c r="A29" s="19" t="str">
        <x:v>45.68元隐含2028归母</x:v>
      </x:c>
      <x:c r="B29" s="31" t="n">
        <x:f>'产业推演'!J44</x:f>
        <x:v>86.66522946135385</x:v>
      </x:c>
      <x:c r="C29" s="19" t="str">
        <x:v>高于基准</x:v>
      </x:c>
      <x:c r="D29" s="19" t="str">
        <x:v>当前价已计入更强盈利</x:v>
      </x:c>
      <x:c r="E29" s="19" t="str"/>
      <x:c r="F29" s="19" t="str"/>
      <x:c r="G29" s="3"/>
      <x:c r="H29" s="3"/>
      <x:c r="I29" s="3"/>
      <x:c r="J29" s="3"/>
      <x:c r="K29" s="3"/>
      <x:c r="L29" s="3"/>
      <x:c r="M29" s="3"/>
      <x:c r="N29" s="3"/>
    </x:row>
    <x:row r="30" ht="28" customHeight="1">
      <x:c r="A30" s="19" t="str">
        <x:v>十年OCF/归母</x:v>
      </x:c>
      <x:c r="B30" s="32" t="n">
        <x:f>'财务十年'!E5</x:f>
        <x:v>0.947643058479436</x:v>
      </x:c>
      <x:c r="C30" s="19" t="str">
        <x:v>尚可</x:v>
      </x:c>
      <x:c r="D30" s="19" t="str">
        <x:v>经营现金流接近会计利润</x:v>
      </x:c>
      <x:c r="E30" s="19" t="str"/>
      <x:c r="F30" s="19" t="str"/>
      <x:c r="G30" s="3"/>
      <x:c r="H30" s="3"/>
      <x:c r="I30" s="3"/>
      <x:c r="J30" s="3"/>
      <x:c r="K30" s="3"/>
      <x:c r="L30" s="3"/>
      <x:c r="M30" s="3"/>
      <x:c r="N30" s="3"/>
    </x:row>
    <x:row r="31" ht="28" customHeight="1">
      <x:c r="A31" s="19" t="str">
        <x:v>十年FCF/归母</x:v>
      </x:c>
      <x:c r="B31" s="32" t="n">
        <x:f>'财务十年'!G5</x:f>
        <x:v>-0.35027900011916957</x:v>
      </x:c>
      <x:c r="C31" s="19" t="str">
        <x:v>偏弱</x:v>
      </x:c>
      <x:c r="D31" s="19" t="str">
        <x:v>资本开支后累计自由现金流为负</x:v>
      </x:c>
      <x:c r="E31" s="19" t="str"/>
      <x:c r="F31" s="19" t="str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22" customHeight="1">
      <x:c r="A34" s="11" t="str">
        <x:v>买入纪律与最近催化</x:v>
      </x:c>
      <x:c r="B34" s="11" t="str">
        <x:v>买入纪律与最近催化</x:v>
      </x:c>
      <x:c r="C34" s="11" t="str">
        <x:v>买入纪律与最近催化</x:v>
      </x:c>
      <x:c r="D34" s="11" t="str">
        <x:v>买入纪律与最近催化</x:v>
      </x:c>
      <x:c r="E34" s="11" t="str">
        <x:v>买入纪律与最近催化</x:v>
      </x:c>
      <x:c r="F34" s="11" t="str">
        <x:v>买入纪律与最近催化</x:v>
      </x:c>
      <x:c r="G34" s="11" t="str">
        <x:v>买入纪律与最近催化</x:v>
      </x:c>
      <x:c r="H34" s="11" t="str">
        <x:v>买入纪律与最近催化</x:v>
      </x:c>
      <x:c r="I34" s="11" t="str">
        <x:v>买入纪律与最近催化</x:v>
      </x:c>
      <x:c r="J34" s="11" t="str">
        <x:v>买入纪律与最近催化</x:v>
      </x:c>
      <x:c r="K34" s="11" t="str">
        <x:v>买入纪律与最近催化</x:v>
      </x:c>
      <x:c r="L34" s="11" t="str">
        <x:v>买入纪律与最近催化</x:v>
      </x:c>
      <x:c r="M34" s="11" t="str">
        <x:v>买入纪律与最近催化</x:v>
      </x:c>
      <x:c r="N34" s="11" t="str">
        <x:v>买入纪律与最近催化</x:v>
      </x:c>
    </x:row>
    <x:row r="35">
      <x:c r="A35" s="15" t="str">
        <x:v>档位</x:v>
      </x:c>
      <x:c r="B35" s="15" t="str">
        <x:v>价格</x:v>
      </x:c>
      <x:c r="C35" s="15" t="str">
        <x:v>含义</x:v>
      </x:c>
      <x:c r="D35" s="15" t="str"/>
      <x:c r="E35" s="15" t="str">
        <x:v>催化/风险</x:v>
      </x:c>
      <x:c r="F35" s="15" t="str">
        <x:v>当前状态</x:v>
      </x:c>
      <x:c r="G35" s="15" t="str"/>
      <x:c r="H35" s="15" t="str">
        <x:v>下一步</x:v>
      </x:c>
      <x:c r="I35" s="15" t="str"/>
      <x:c r="J35" s="15" t="str"/>
      <x:c r="K35" s="15" t="str"/>
      <x:c r="L35" s="15" t="str"/>
      <x:c r="M35" s="15" t="str"/>
      <x:c r="N35" s="15" t="str"/>
    </x:row>
    <x:row r="36" ht="33" customHeight="1">
      <x:c r="A36" s="19" t="str">
        <x:v>观察价</x:v>
      </x:c>
      <x:c r="B36" s="31" t="n">
        <x:f>'估值模型'!B20</x:f>
        <x:v>36.054406251310304</x:v>
      </x:c>
      <x:c r="C36" s="19" t="str">
        <x:v>比基准价值低15%</x:v>
      </x:c>
      <x:c r="D36" s="19" t="str"/>
      <x:c r="E36" s="19" t="str">
        <x:v>正式三季报</x:v>
      </x:c>
      <x:c r="F36" s="19" t="str">
        <x:v>2026-10-29</x:v>
      </x:c>
      <x:c r="G36" s="19" t="str"/>
      <x:c r="H36" s="19" t="str">
        <x:v>更新收入、毛利、OCF</x:v>
      </x:c>
      <x:c r="I36" s="19" t="str"/>
      <x:c r="J36" s="19" t="str"/>
      <x:c r="K36" s="19" t="str"/>
      <x:c r="L36" s="19" t="str"/>
      <x:c r="M36" s="19" t="str"/>
      <x:c r="N36" s="19" t="str"/>
    </x:row>
    <x:row r="37" ht="33" customHeight="1">
      <x:c r="A37" s="37" t="str">
        <x:v>分批价</x:v>
      </x:c>
      <x:c r="B37" s="39" t="n">
        <x:f>'估值模型'!B21</x:f>
        <x:v>29.691863971667306</x:v>
      </x:c>
      <x:c r="C37" s="37" t="str">
        <x:v>比基准价值低30%</x:v>
      </x:c>
      <x:c r="D37" s="37" t="str"/>
      <x:c r="E37" s="37" t="str">
        <x:v>定增</x:v>
      </x:c>
      <x:c r="F37" s="37" t="str">
        <x:v>暂未提请股东会</x:v>
      </x:c>
      <x:c r="G37" s="37" t="str"/>
      <x:c r="H37" s="37" t="str">
        <x:v>跟踪发行价、股数与守住EPS的净利门槛</x:v>
      </x:c>
      <x:c r="I37" s="37" t="str"/>
      <x:c r="J37" s="37" t="str"/>
      <x:c r="K37" s="37" t="str"/>
      <x:c r="L37" s="37" t="str"/>
      <x:c r="M37" s="37" t="str"/>
      <x:c r="N37" s="37" t="str"/>
    </x:row>
    <x:row r="38" ht="33" customHeight="1">
      <x:c r="A38" s="37" t="str">
        <x:v>重仓价</x:v>
      </x:c>
      <x:c r="B38" s="39" t="n">
        <x:f>'估值模型'!B22</x:f>
        <x:v>25.450169118571978</x:v>
      </x:c>
      <x:c r="C38" s="37" t="str">
        <x:v>比基准价值低40%</x:v>
      </x:c>
      <x:c r="D38" s="37" t="str"/>
      <x:c r="E38" s="37" t="str">
        <x:v>光通信景气</x:v>
      </x:c>
      <x:c r="F38" s="37" t="str">
        <x:v>高位</x:v>
      </x:c>
      <x:c r="G38" s="37" t="str"/>
      <x:c r="H38" s="37" t="str">
        <x:v>跟踪量价与毛利均值回归</x:v>
      </x:c>
      <x:c r="I38" s="37" t="str"/>
      <x:c r="J38" s="37" t="str"/>
      <x:c r="K38" s="37" t="str"/>
      <x:c r="L38" s="37" t="str"/>
      <x:c r="M38" s="37" t="str"/>
      <x:c r="N38" s="37" t="str"/>
    </x:row>
    <x:row r="39" ht="33" customHeight="1">
      <x:c r="A39" s="19" t="str">
        <x:v>正面重估</x:v>
      </x:c>
      <x:c r="B39" s="19" t="str">
        <x:v>不只看价格</x:v>
      </x:c>
      <x:c r="C39" s="19" t="str">
        <x:v>现金流转正、海洋/CPO订单兑现</x:v>
      </x:c>
      <x:c r="D39" s="19" t="str"/>
      <x:c r="E39" s="19" t="str">
        <x:v>治理</x:v>
      </x:c>
      <x:c r="F39" s="19" t="str">
        <x:v>需观察</x:v>
      </x:c>
      <x:c r="G39" s="19" t="str"/>
      <x:c r="H39" s="19" t="str">
        <x:v>质押52.49%、员工持股折价与解锁、财务公司、诉讼</x:v>
      </x:c>
      <x:c r="I39" s="19" t="str"/>
      <x:c r="J39" s="19" t="str"/>
      <x:c r="K39" s="19" t="str"/>
      <x:c r="L39" s="19" t="str"/>
      <x:c r="M39" s="19" t="str"/>
      <x:c r="N39" s="19" t="str"/>
    </x:row>
    <x:row r="40" ht="33" customHeight="1">
      <x:c r="A40" s="19" t="str">
        <x:v>纪律</x:v>
      </x:c>
      <x:c r="B40" s="19" t="str">
        <x:v>情景优先</x:v>
      </x:c>
      <x:c r="C40" s="19" t="str">
        <x:v>选择情景后再看安全边际</x:v>
      </x:c>
      <x:c r="D40" s="19" t="str"/>
      <x:c r="E40" s="19" t="str">
        <x:v>结论</x:v>
      </x:c>
      <x:c r="F40" s="19" t="str">
        <x:v>观察</x:v>
      </x:c>
      <x:c r="G40" s="19" t="str"/>
      <x:c r="H40" s="19" t="str">
        <x:v>现价接近计入基准盈利，等待正式三季报验证</x:v>
      </x:c>
      <x:c r="I40" s="19" t="str"/>
      <x:c r="J40" s="19" t="str"/>
      <x:c r="K40" s="19" t="str"/>
      <x:c r="L40" s="19" t="str"/>
      <x:c r="M40" s="19" t="str"/>
      <x:c r="N40" s="19" t="str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M4:N4"/>
    <x:mergeCell ref="M5:N6"/>
    <x:mergeCell ref="A8:N8"/>
    <x:mergeCell ref="A9:N11"/>
    <x:mergeCell ref="A13:F13"/>
    <x:mergeCell ref="C14:F14"/>
    <x:mergeCell ref="C15:F15"/>
    <x:mergeCell ref="C16:F16"/>
    <x:mergeCell ref="C17:F17"/>
    <x:mergeCell ref="C18:F18"/>
    <x:mergeCell ref="C19:F19"/>
    <x:mergeCell ref="C20:F20"/>
    <x:mergeCell ref="C21:F21"/>
    <x:mergeCell ref="C22:F22"/>
    <x:mergeCell ref="H13:N13"/>
    <x:mergeCell ref="A24:F24"/>
    <x:mergeCell ref="D25:F25"/>
    <x:mergeCell ref="D26:F26"/>
    <x:mergeCell ref="D27:F27"/>
    <x:mergeCell ref="D28:F28"/>
    <x:mergeCell ref="D29:F29"/>
    <x:mergeCell ref="D30:F30"/>
    <x:mergeCell ref="D31:F31"/>
    <x:mergeCell ref="A34:N34"/>
    <x:mergeCell ref="C35:D35"/>
    <x:mergeCell ref="F35:G35"/>
    <x:mergeCell ref="H35:N35"/>
    <x:mergeCell ref="C36:D36"/>
    <x:mergeCell ref="F36:G36"/>
    <x:mergeCell ref="H36:N36"/>
    <x:mergeCell ref="C37:D37"/>
    <x:mergeCell ref="F37:G37"/>
    <x:mergeCell ref="H37:N37"/>
    <x:mergeCell ref="C38:D38"/>
    <x:mergeCell ref="F38:G38"/>
    <x:mergeCell ref="H38:N38"/>
    <x:mergeCell ref="C39:D39"/>
    <x:mergeCell ref="F39:G39"/>
    <x:mergeCell ref="H39:N39"/>
    <x:mergeCell ref="C40:D40"/>
    <x:mergeCell ref="F40:G40"/>
    <x:mergeCell ref="H40:N40"/>
  </x:mergeCells>
  <x:conditionalFormatting sqref="B15:B22">
    <x:cfRule type="containsText" dxfId="3" priority="1" operator="containsText" text="通过"/>
    <x:cfRule type="containsText" dxfId="4" priority="2" operator="containsText" text="谨慎"/>
    <x:cfRule type="containsText" dxfId="5" priority="3" operator="containsText" text="不通过"/>
  </x:conditionalFormatting>
  <x:pageMargins left="0.7" right="0.7" top="0.75" bottom="0.75" header="0.3" footer="0.3"/>
  <x:drawing xmlns:r="http://schemas.openxmlformats.org/officeDocument/2006/relationships" r:id="R09f171cf99674390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7" customHeight="1">
      <x:c r="A1" s="6" t="str">
        <x:v>亨通光电｜投资结论与跟踪清单</x:v>
      </x:c>
      <x:c r="B1" s="6" t="str">
        <x:v>亨通光电｜投资结论与跟踪清单</x:v>
      </x:c>
      <x:c r="C1" s="6" t="str">
        <x:v>亨通光电｜投资结论与跟踪清单</x:v>
      </x:c>
      <x:c r="D1" s="6" t="str">
        <x:v>亨通光电｜投资结论与跟踪清单</x:v>
      </x:c>
      <x:c r="E1" s="6" t="str">
        <x:v>亨通光电｜投资结论与跟踪清单</x:v>
      </x:c>
      <x:c r="F1" s="6" t="str">
        <x:v>亨通光电｜投资结论与跟踪清单</x:v>
      </x:c>
      <x:c r="G1" s="6" t="str">
        <x:v>亨通光电｜投资结论与跟踪清单</x:v>
      </x:c>
      <x:c r="H1" s="6" t="str">
        <x:v>亨通光电｜投资结论与跟踪清单</x:v>
      </x:c>
      <x:c r="I1" s="6" t="str">
        <x:v>亨通光电｜投资结论与跟踪清单</x:v>
      </x:c>
      <x:c r="J1" s="6" t="str">
        <x:v>亨通光电｜投资结论与跟踪清单</x:v>
      </x:c>
      <x:c r="K1" s="6" t="str">
        <x:v>亨通光电｜投资结论与跟踪清单</x:v>
      </x:c>
      <x:c r="L1" s="6" t="str">
        <x:v>亨通光电｜投资结论与跟踪清单</x:v>
      </x:c>
    </x:row>
    <x:row r="2" ht="27" customHeight="1">
      <x:c r="A2" s="9" t="str">
        <x:v>基于2026H1正式报告 + 2026Q1-3业绩预告 + 2026-10-16收盘价；预告不是正式三季报。</x:v>
      </x:c>
      <x:c r="B2" s="9" t="str">
        <x:v>基于2026H1正式报告 + 2026Q1-3业绩预告 + 2026-10-16收盘价；预告不是正式三季报。</x:v>
      </x:c>
      <x:c r="C2" s="9" t="str">
        <x:v>基于2026H1正式报告 + 2026Q1-3业绩预告 + 2026-10-16收盘价；预告不是正式三季报。</x:v>
      </x:c>
      <x:c r="D2" s="9" t="str">
        <x:v>基于2026H1正式报告 + 2026Q1-3业绩预告 + 2026-10-16收盘价；预告不是正式三季报。</x:v>
      </x:c>
      <x:c r="E2" s="9" t="str">
        <x:v>基于2026H1正式报告 + 2026Q1-3业绩预告 + 2026-10-16收盘价；预告不是正式三季报。</x:v>
      </x:c>
      <x:c r="F2" s="9" t="str">
        <x:v>基于2026H1正式报告 + 2026Q1-3业绩预告 + 2026-10-16收盘价；预告不是正式三季报。</x:v>
      </x:c>
      <x:c r="G2" s="9" t="str">
        <x:v>基于2026H1正式报告 + 2026Q1-3业绩预告 + 2026-10-16收盘价；预告不是正式三季报。</x:v>
      </x:c>
      <x:c r="H2" s="9" t="str">
        <x:v>基于2026H1正式报告 + 2026Q1-3业绩预告 + 2026-10-16收盘价；预告不是正式三季报。</x:v>
      </x:c>
      <x:c r="I2" s="9" t="str">
        <x:v>基于2026H1正式报告 + 2026Q1-3业绩预告 + 2026-10-16收盘价；预告不是正式三季报。</x:v>
      </x:c>
      <x:c r="J2" s="9" t="str">
        <x:v>基于2026H1正式报告 + 2026Q1-3业绩预告 + 2026-10-16收盘价；预告不是正式三季报。</x:v>
      </x:c>
      <x:c r="K2" s="9" t="str">
        <x:v>基于2026H1正式报告 + 2026Q1-3业绩预告 + 2026-10-16收盘价；预告不是正式三季报。</x:v>
      </x:c>
      <x:c r="L2" s="9" t="str">
        <x:v>基于2026H1正式报告 + 2026Q1-3业绩预告 + 2026-10-16收盘价；预告不是正式三季报。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83" t="str">
        <x:v>当前价</x:v>
      </x:c>
      <x:c r="B4" s="84" t="n">
        <x:f>'估值模型'!B6</x:f>
        <x:v>45.68</x:v>
      </x:c>
      <x:c r="C4" s="84" t="str">
        <x:v>基准内在价值</x:v>
      </x:c>
      <x:c r="D4" s="84" t="n">
        <x:f>'估值模型'!B13</x:f>
        <x:v>42.4169485309533</x:v>
      </x:c>
      <x:c r="E4" s="83" t="str">
        <x:v>安全边际</x:v>
      </x:c>
      <x:c r="F4" s="85" t="n">
        <x:f>'估值模型'!B14</x:f>
        <x:v>-0.07143282550452501</x:v>
      </x:c>
      <x:c r="G4" s="83" t="str">
        <x:v>2026前瞻PE</x:v>
      </x:c>
      <x:c r="H4" s="83"/>
      <x:c r="I4" s="83" t="str">
        <x:v>行动</x:v>
      </x:c>
      <x:c r="J4" s="83" t="str">
        <x:v>观察/等待</x:v>
      </x:c>
      <x:c r="K4" s="83" t="str">
        <x:v>正式三季报</x:v>
      </x:c>
      <x:c r="L4" s="83" t="str">
        <x:v>2026-10-29</x:v>
      </x:c>
    </x:row>
    <x:row r="5">
      <x:c r="A5" s="37" t="str">
        <x:v>口径</x:v>
      </x:c>
      <x:c r="B5" s="37" t="str">
        <x:v>元/股</x:v>
      </x:c>
      <x:c r="C5" s="37" t="str">
        <x:v>口径</x:v>
      </x:c>
      <x:c r="D5" s="37" t="str">
        <x:v>三法加权</x:v>
      </x:c>
      <x:c r="E5" s="37" t="str">
        <x:v>判断</x:v>
      </x:c>
      <x:c r="F5" s="37" t="str">
        <x:v>不足</x:v>
      </x:c>
      <x:c r="G5" s="37" t="str">
        <x:v>范围</x:v>
      </x:c>
      <x:c r="H5" s="37" t="str">
        <x:v>11–15倍</x:v>
      </x:c>
      <x:c r="I5" s="37" t="str">
        <x:v>核心原因</x:v>
      </x:c>
      <x:c r="J5" s="37" t="str">
        <x:v>现价接近计入基准盈利</x:v>
      </x:c>
      <x:c r="K5" s="37" t="str">
        <x:v>更新重点</x:v>
      </x:c>
      <x:c r="L5" s="37" t="str">
        <x:v>毛利率、OCF、产能与订单</x:v>
      </x:c>
    </x:row>
    <x:row r="6">
      <x:c r="A6" s="37" t="str">
        <x:v>模型情景</x:v>
      </x:c>
      <x:c r="B6" s="37" t="str">
        <x:f>'估值模型'!B5</x:f>
        <x:v>基准</x:v>
      </x:c>
      <x:c r="C6" s="37" t="str">
        <x:v>分批价</x:v>
      </x:c>
      <x:c r="D6" s="39" t="n">
        <x:f>'估值模型'!B21</x:f>
        <x:v>29.691863971667306</x:v>
      </x:c>
      <x:c r="E6" s="39" t="str">
        <x:v>重仓价</x:v>
      </x:c>
      <x:c r="F6" s="39" t="n">
        <x:f>'估值模型'!B22</x:f>
        <x:v>25.450169118571978</x:v>
      </x:c>
      <x:c r="G6" s="37" t="str">
        <x:v>Q3单季归母中值</x:v>
      </x:c>
      <x:c r="H6" s="39" t="n">
        <x:f>(AVERAGE('数据与来源'!K20,'数据与来源'!K22)-'数据与来源'!K16)</x:f>
        <x:v>30.499997</x:v>
      </x:c>
      <x:c r="I6" s="37" t="str">
        <x:v>公司分类</x:v>
      </x:c>
      <x:c r="J6" s="37" t="str">
        <x:v>高端制造+工程+科技期权</x:v>
      </x:c>
      <x:c r="K6" s="37" t="str">
        <x:v>评级</x:v>
      </x:c>
      <x:c r="L6" s="37" t="str">
        <x:v>不构成买卖建议</x:v>
      </x:c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2" customHeight="1">
      <x:c r="A8" s="11" t="str">
        <x:v>一句话结论</x:v>
      </x:c>
      <x:c r="B8" s="11" t="str">
        <x:v>一句话结论</x:v>
      </x:c>
      <x:c r="C8" s="11" t="str">
        <x:v>一句话结论</x:v>
      </x:c>
      <x:c r="D8" s="11" t="str">
        <x:v>一句话结论</x:v>
      </x:c>
      <x:c r="E8" s="11" t="str">
        <x:v>一句话结论</x:v>
      </x:c>
      <x:c r="F8" s="11" t="str">
        <x:v>一句话结论</x:v>
      </x:c>
      <x:c r="G8" s="11" t="str">
        <x:v>一句话结论</x:v>
      </x:c>
      <x:c r="H8" s="11" t="str">
        <x:v>一句话结论</x:v>
      </x:c>
      <x:c r="I8" s="11" t="str">
        <x:v>一句话结论</x:v>
      </x:c>
      <x:c r="J8" s="11" t="str">
        <x:v>一句话结论</x:v>
      </x:c>
      <x:c r="K8" s="11" t="str">
        <x:v>一句话结论</x:v>
      </x:c>
      <x:c r="L8" s="11" t="str">
        <x:v>一句话结论</x:v>
      </x:c>
    </x:row>
    <x:row r="9">
      <x:c r="A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B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C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D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E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F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G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H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I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J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K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L9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</x:row>
    <x:row r="10">
      <x:c r="A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B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C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D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E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F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G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H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I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J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K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L10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</x:row>
    <x:row r="11">
      <x:c r="A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B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C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D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E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F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G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H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I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J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K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  <x:c r="L11" s="88" t="str">
        <x:v>Q4不再预设明显转弱：以15/25/35亿元作为保守、基准、积极情景，对应2026E归母约74.7/86.7/98.7亿元。基准情景下，2027E约87.5亿元、2028E约85.6亿元，反映海洋与电网增长对冲部分光通信正常化。45.68元按13倍PE反推2028需约86.7亿元，已接近基准而非显著高于基准；加权内在价值约42.4元，仍缺少明显折价。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2" customHeight="1">
      <x:c r="A13" s="11" t="str">
        <x:v>能力圈与关键假设</x:v>
      </x:c>
      <x:c r="B13" s="11" t="str">
        <x:v>能力圈与关键假设</x:v>
      </x:c>
      <x:c r="C13" s="11" t="str">
        <x:v>能力圈与关键假设</x:v>
      </x:c>
      <x:c r="D13" s="11" t="str">
        <x:v>能力圈与关键假设</x:v>
      </x:c>
      <x:c r="E13" s="11" t="str">
        <x:v>能力圈与关键假设</x:v>
      </x:c>
      <x:c r="F13" s="11" t="str">
        <x:v>能力圈与关键假设</x:v>
      </x:c>
      <x:c r="G13" s="3"/>
      <x:c r="H13" s="11" t="str">
        <x:v>业务质量评分</x:v>
      </x:c>
      <x:c r="I13" s="11" t="str">
        <x:v>业务质量评分</x:v>
      </x:c>
      <x:c r="J13" s="11" t="str">
        <x:v>业务质量评分</x:v>
      </x:c>
      <x:c r="K13" s="11" t="str">
        <x:v>业务质量评分</x:v>
      </x:c>
      <x:c r="L13" s="11" t="str">
        <x:v>业务质量评分</x:v>
      </x:c>
    </x:row>
    <x:row r="14">
      <x:c r="A14" s="15" t="str">
        <x:v>项目</x:v>
      </x:c>
      <x:c r="B14" s="15" t="str">
        <x:v>判断</x:v>
      </x:c>
      <x:c r="C14" s="15" t="str">
        <x:v>假设/边界</x:v>
      </x:c>
      <x:c r="D14" s="15" t="str">
        <x:v>证据</x:v>
      </x:c>
      <x:c r="E14" s="15" t="str">
        <x:v>若错了会怎样</x:v>
      </x:c>
      <x:c r="F14" s="15" t="str">
        <x:v>模型处理</x:v>
      </x:c>
      <x:c r="G14" s="3"/>
      <x:c r="H14" s="15" t="str">
        <x:v>维度</x:v>
      </x:c>
      <x:c r="I14" s="15" t="str">
        <x:v>评分</x:v>
      </x:c>
      <x:c r="J14" s="15" t="str">
        <x:v>事实</x:v>
      </x:c>
      <x:c r="K14" s="15" t="str">
        <x:v>判断</x:v>
      </x:c>
      <x:c r="L14" s="15" t="str">
        <x:v>权重</x:v>
      </x:c>
    </x:row>
    <x:row r="15" ht="41" customHeight="1">
      <x:c r="A15" s="19" t="str">
        <x:v>能力圈</x:v>
      </x:c>
      <x:c r="B15" s="19" t="str">
        <x:v>边界内</x:v>
      </x:c>
      <x:c r="C15" s="19" t="str">
        <x:v>可理解制造与工程经济性；难精确预测光纤价格和CPO放量</x:v>
      </x:c>
      <x:c r="D15" s="19" t="str">
        <x:v>业务结构+历史波动</x:v>
      </x:c>
      <x:c r="E15" s="19" t="str">
        <x:v>科技溢价误判</x:v>
      </x:c>
      <x:c r="F15" s="19" t="str">
        <x:v>分部估值+宽情景</x:v>
      </x:c>
      <x:c r="G15" s="3"/>
      <x:c r="H15" s="19" t="str">
        <x:v>护城河</x:v>
      </x:c>
      <x:c r="I15" s="89" t="n">
        <x:v>4</x:v>
      </x:c>
      <x:c r="J15" s="19" t="str">
        <x:v>产业链/海洋交付/认证</x:v>
      </x:c>
      <x:c r="K15" s="19" t="str">
        <x:v>中强</x:v>
      </x:c>
      <x:c r="L15" s="90" t="n">
        <x:v>0.25</x:v>
      </x:c>
    </x:row>
    <x:row r="16" ht="41" customHeight="1">
      <x:c r="A16" s="19" t="str">
        <x:v>假设1</x:v>
      </x:c>
      <x:c r="B16" s="19" t="str">
        <x:v>2026Q4E归母25亿元</x:v>
      </x:c>
      <x:c r="C16" s="19" t="str">
        <x:v>全年基准归母约86.7亿元</x:v>
      </x:c>
      <x:c r="D16" s="19" t="str">
        <x:v>Q3中值约30.5亿元；Q4保持率约82%</x:v>
      </x:c>
      <x:c r="E16" s="19" t="str">
        <x:v>Q4延续或超过Q3</x:v>
      </x:c>
      <x:c r="F16" s="19" t="str">
        <x:v>保守/基准/积极15/25/35亿元</x:v>
      </x:c>
      <x:c r="G16" s="3"/>
      <x:c r="H16" s="19" t="str">
        <x:v>盈利质量</x:v>
      </x:c>
      <x:c r="I16" s="89" t="n">
        <x:v>3</x:v>
      </x:c>
      <x:c r="J16" s="19" t="str">
        <x:v>ROE回升但历史波动</x:v>
      </x:c>
      <x:c r="K16" s="19" t="str">
        <x:v>中等</x:v>
      </x:c>
      <x:c r="L16" s="90" t="n">
        <x:v>0.2</x:v>
      </x:c>
    </x:row>
    <x:row r="17" ht="41" customHeight="1">
      <x:c r="A17" s="19" t="str">
        <x:v>假设2</x:v>
      </x:c>
      <x:c r="B17" s="19" t="str">
        <x:v>2027E基准归母约87.5亿元</x:v>
      </x:c>
      <x:c r="C17" s="19" t="str">
        <x:v>光通信-10%，海洋+20%，电网/工业+8%</x:v>
      </x:c>
      <x:c r="D17" s="19" t="str">
        <x:v>供需或紧至2027年底；不假设马上塌陷</x:v>
      </x:c>
      <x:c r="E17" s="19" t="str">
        <x:v>价格和毛利继续上行</x:v>
      </x:c>
      <x:c r="F17" s="19" t="str">
        <x:v>可上修至积极情景</x:v>
      </x:c>
      <x:c r="G17" s="3"/>
      <x:c r="H17" s="19" t="str">
        <x:v>现金兑现</x:v>
      </x:c>
      <x:c r="I17" s="89" t="n">
        <x:v>2</x:v>
      </x:c>
      <x:c r="J17" s="19" t="str">
        <x:v>OCF/归母约95%，但扣资本开支后十年累计FCF为负</x:v>
      </x:c>
      <x:c r="K17" s="19" t="str">
        <x:v>所有者收益偏弱</x:v>
      </x:c>
      <x:c r="L17" s="90" t="n">
        <x:v>0.2</x:v>
      </x:c>
    </x:row>
    <x:row r="18" ht="41" customHeight="1">
      <x:c r="A18" s="19" t="str">
        <x:v>假设3</x:v>
      </x:c>
      <x:c r="B18" s="19" t="str">
        <x:v>2028E基准归母约85.6亿元</x:v>
      </x:c>
      <x:c r="C18" s="19" t="str">
        <x:v>光通信-20%，其余业务增长对冲</x:v>
      </x:c>
      <x:c r="D18" s="19" t="str">
        <x:v>18–24个月扩产周期带来供给释放风险</x:v>
      </x:c>
      <x:c r="E18" s="19" t="str">
        <x:v>新增供给继续延后</x:v>
      </x:c>
      <x:c r="F18" s="19" t="str">
        <x:v>上修光通信增速与PE</x:v>
      </x:c>
      <x:c r="G18" s="3"/>
      <x:c r="H18" s="19" t="str">
        <x:v>资产负债</x:v>
      </x:c>
      <x:c r="I18" s="89" t="n">
        <x:v>3</x:v>
      </x:c>
      <x:c r="J18" s="19" t="str">
        <x:v>负债率约52%，受限资金高</x:v>
      </x:c>
      <x:c r="K18" s="19" t="str">
        <x:v>可控但不宽裕</x:v>
      </x:c>
      <x:c r="L18" s="90" t="n">
        <x:v>0.15</x:v>
      </x:c>
    </x:row>
    <x:row r="19" ht="41" customHeight="1">
      <x:c r="A19" s="19" t="str">
        <x:v>假设4</x:v>
      </x:c>
      <x:c r="B19" s="19" t="str">
        <x:v>2028目标PE 13倍</x:v>
      </x:c>
      <x:c r="C19" s="19" t="str">
        <x:v>混合业务而非纯科技</x:v>
      </x:c>
      <x:c r="D19" s="19" t="str">
        <x:v>业务属性与资本强度</x:v>
      </x:c>
      <x:c r="E19" s="19" t="str">
        <x:v>倍数过高/过低</x:v>
      </x:c>
      <x:c r="F19" s="19" t="str">
        <x:v>PE 50%+SOTP 35%+DCF 15%</x:v>
      </x:c>
      <x:c r="G19" s="3"/>
      <x:c r="H19" s="19" t="str">
        <x:v>管理与资本配置</x:v>
      </x:c>
      <x:c r="I19" s="89" t="n">
        <x:v>2</x:v>
      </x:c>
      <x:c r="J19" s="19" t="str">
        <x:v>定增+30%补流；员工持股折价且首期门槛已跨过</x:v>
      </x:c>
      <x:c r="K19" s="19" t="str">
        <x:v>治理扣分</x:v>
      </x:c>
      <x:c r="L19" s="90" t="n">
        <x:v>0.2</x:v>
      </x:c>
    </x:row>
    <x:row r="20">
      <x:c r="A20" s="3"/>
      <x:c r="B20" s="3"/>
      <x:c r="C20" s="3"/>
      <x:c r="D20" s="3"/>
      <x:c r="E20" s="3"/>
      <x:c r="F20" s="3"/>
      <x:c r="G20" s="3"/>
      <x:c r="H20" s="19" t="str">
        <x:v>加权总分</x:v>
      </x:c>
      <x:c r="I20" s="89" t="n">
        <x:f>SUMPRODUCT(I15:I19,L15:L19)</x:f>
        <x:v>2.85</x:v>
      </x:c>
      <x:c r="J20" s="19" t="str">
        <x:v>满分5</x:v>
      </x:c>
      <x:c r="K20" s="19" t="str">
        <x:v>约2.9/5</x:v>
      </x:c>
      <x:c r="L20" s="90" t="n">
        <x:v>1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2" customHeight="1">
      <x:c r="A22" s="11" t="str">
        <x:v>财务快照：巴菲特关心的四件事</x:v>
      </x:c>
      <x:c r="B22" s="11" t="str">
        <x:v>财务快照：巴菲特关心的四件事</x:v>
      </x:c>
      <x:c r="C22" s="11" t="str">
        <x:v>财务快照：巴菲特关心的四件事</x:v>
      </x:c>
      <x:c r="D22" s="11" t="str">
        <x:v>财务快照：巴菲特关心的四件事</x:v>
      </x:c>
      <x:c r="E22" s="11" t="str">
        <x:v>财务快照：巴菲特关心的四件事</x:v>
      </x:c>
      <x:c r="F22" s="11" t="str">
        <x:v>财务快照：巴菲特关心的四件事</x:v>
      </x:c>
      <x:c r="G22" s="11" t="str">
        <x:v>财务快照：巴菲特关心的四件事</x:v>
      </x:c>
      <x:c r="H22" s="11" t="str">
        <x:v>财务快照：巴菲特关心的四件事</x:v>
      </x:c>
      <x:c r="I22" s="11" t="str">
        <x:v>财务快照：巴菲特关心的四件事</x:v>
      </x:c>
      <x:c r="J22" s="11" t="str">
        <x:v>财务快照：巴菲特关心的四件事</x:v>
      </x:c>
      <x:c r="K22" s="11" t="str">
        <x:v>财务快照：巴菲特关心的四件事</x:v>
      </x:c>
      <x:c r="L22" s="11" t="str">
        <x:v>财务快照：巴菲特关心的四件事</x:v>
      </x:c>
    </x:row>
    <x:row r="23">
      <x:c r="A23" s="15" t="str">
        <x:v>指标</x:v>
      </x:c>
      <x:c r="B23" s="15" t="str">
        <x:v>结果</x:v>
      </x:c>
      <x:c r="C23" s="15" t="str">
        <x:v>评价</x:v>
      </x:c>
      <x:c r="D23" s="15" t="str">
        <x:v>核心含义</x:v>
      </x:c>
      <x:c r="E23" s="15" t="str"/>
      <x:c r="F23" s="15" t="str"/>
      <x:c r="G23" s="15" t="str">
        <x:v>监控红线</x:v>
      </x:c>
      <x:c r="H23" s="15" t="str"/>
      <x:c r="I23" s="15" t="str"/>
      <x:c r="J23" s="15" t="str"/>
      <x:c r="K23" s="15" t="str"/>
      <x:c r="L23" s="15" t="str"/>
    </x:row>
    <x:row r="24" ht="38" customHeight="1">
      <x:c r="A24" s="19" t="str">
        <x:v>十年ROIC代理</x:v>
      </x:c>
      <x:c r="B24" s="32" t="n">
        <x:f>'财务十年'!F5</x:f>
        <x:v>0.07893848315211338</x:v>
      </x:c>
      <x:c r="C24" s="19" t="str">
        <x:v>中等偏低</x:v>
      </x:c>
      <x:c r="D24" s="19" t="str">
        <x:v>资本密集型业务难以长期维持极高回报</x:v>
      </x:c>
      <x:c r="E24" s="19" t="str"/>
      <x:c r="F24" s="19" t="str"/>
      <x:c r="G24" s="19" t="str">
        <x:v>低于8%且继续下滑</x:v>
      </x:c>
      <x:c r="H24" s="19" t="str"/>
      <x:c r="I24" s="19" t="str"/>
      <x:c r="J24" s="19" t="str"/>
      <x:c r="K24" s="19" t="str"/>
      <x:c r="L24" s="19" t="str"/>
    </x:row>
    <x:row r="25" ht="38" customHeight="1">
      <x:c r="A25" s="19" t="str">
        <x:v>十年OCF/归母</x:v>
      </x:c>
      <x:c r="B25" s="32" t="n">
        <x:f>'财务十年'!E5</x:f>
        <x:v>0.947643058479436</x:v>
      </x:c>
      <x:c r="C25" s="19" t="str">
        <x:v>尚可</x:v>
      </x:c>
      <x:c r="D25" s="19" t="str">
        <x:v>经营现金流约为归母利润95%，但资本开支后累计FCF为负</x:v>
      </x:c>
      <x:c r="E25" s="19" t="str"/>
      <x:c r="F25" s="19" t="str"/>
      <x:c r="G25" s="19" t="str">
        <x:v>FCF/归母长期为负</x:v>
      </x:c>
      <x:c r="H25" s="19" t="str"/>
      <x:c r="I25" s="19" t="str"/>
      <x:c r="J25" s="19" t="str"/>
      <x:c r="K25" s="19" t="str"/>
      <x:c r="L25" s="19" t="str"/>
    </x:row>
    <x:row r="26" ht="38" customHeight="1">
      <x:c r="A26" s="19" t="str">
        <x:v>债务压力</x:v>
      </x:c>
      <x:c r="B26" s="19" t="str">
        <x:v>毛有息债/年化EBITDA约2.1x</x:v>
      </x:c>
      <x:c r="C26" s="19" t="str">
        <x:v>可控</x:v>
      </x:c>
      <x:c r="D26" s="19" t="str">
        <x:v>受限现金较多，不能只看货币资金</x:v>
      </x:c>
      <x:c r="E26" s="19" t="str"/>
      <x:c r="F26" s="19" t="str"/>
      <x:c r="G26" s="19" t="str">
        <x:v>净债务/EBITDA&gt;2.0x</x:v>
      </x:c>
      <x:c r="H26" s="19" t="str"/>
      <x:c r="I26" s="19" t="str"/>
      <x:c r="J26" s="19" t="str"/>
      <x:c r="K26" s="19" t="str"/>
      <x:c r="L26" s="19" t="str"/>
    </x:row>
    <x:row r="27" ht="38" customHeight="1">
      <x:c r="A27" s="19" t="str">
        <x:v>所有者收益</x:v>
      </x:c>
      <x:c r="B27" s="19" t="str">
        <x:v>基准标准化42亿元</x:v>
      </x:c>
      <x:c r="C27" s="19" t="str">
        <x:v>显著低于会计利润</x:v>
      </x:c>
      <x:c r="D27" s="19" t="str">
        <x:v>DCF给出更低价值，是现金纪律而非悲观</x:v>
      </x:c>
      <x:c r="E27" s="19" t="str"/>
      <x:c r="F27" s="19" t="str"/>
      <x:c r="G27" s="19" t="str">
        <x:v>FCF持续为负</x:v>
      </x:c>
      <x:c r="H27" s="19" t="str"/>
      <x:c r="I27" s="19" t="str"/>
      <x:c r="J27" s="19" t="str"/>
      <x:c r="K27" s="19" t="str"/>
      <x:c r="L27" s="19" t="str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2" customHeight="1">
      <x:c r="A29" s="11" t="str">
        <x:v>卖出/放弃条件（逐项）</x:v>
      </x:c>
      <x:c r="B29" s="11" t="str">
        <x:v>卖出/放弃条件（逐项）</x:v>
      </x:c>
      <x:c r="C29" s="11" t="str">
        <x:v>卖出/放弃条件（逐项）</x:v>
      </x:c>
      <x:c r="D29" s="11" t="str">
        <x:v>卖出/放弃条件（逐项）</x:v>
      </x:c>
      <x:c r="E29" s="11" t="str">
        <x:v>卖出/放弃条件（逐项）</x:v>
      </x:c>
      <x:c r="F29" s="11" t="str">
        <x:v>卖出/放弃条件（逐项）</x:v>
      </x:c>
      <x:c r="G29" s="3"/>
      <x:c r="H29" s="11" t="str">
        <x:v>三大风险</x:v>
      </x:c>
      <x:c r="I29" s="11" t="str">
        <x:v>三大风险</x:v>
      </x:c>
      <x:c r="J29" s="11" t="str">
        <x:v>三大风险</x:v>
      </x:c>
      <x:c r="K29" s="11" t="str">
        <x:v>三大风险</x:v>
      </x:c>
      <x:c r="L29" s="11" t="str">
        <x:v>三大风险</x:v>
      </x:c>
    </x:row>
    <x:row r="30">
      <x:c r="A30" s="15" t="str">
        <x:v>条件</x:v>
      </x:c>
      <x:c r="B30" s="15" t="str">
        <x:v>当前</x:v>
      </x:c>
      <x:c r="C30" s="15" t="str">
        <x:v>量化触发</x:v>
      </x:c>
      <x:c r="D30" s="15" t="str">
        <x:v>动作</x:v>
      </x:c>
      <x:c r="E30" s="15" t="str">
        <x:v>原因</x:v>
      </x:c>
      <x:c r="F30" s="15" t="str">
        <x:v>频率</x:v>
      </x:c>
      <x:c r="G30" s="3"/>
      <x:c r="H30" s="15" t="str">
        <x:v>优先级</x:v>
      </x:c>
      <x:c r="I30" s="15" t="str">
        <x:v>风险</x:v>
      </x:c>
      <x:c r="J30" s="15" t="str">
        <x:v>概率</x:v>
      </x:c>
      <x:c r="K30" s="15" t="str">
        <x:v>影响</x:v>
      </x:c>
      <x:c r="L30" s="15" t="str">
        <x:v>关键观察</x:v>
      </x:c>
    </x:row>
    <x:row r="31" ht="39" customHeight="1">
      <x:c r="A31" s="19" t="str">
        <x:v>严重高估</x:v>
      </x:c>
      <x:c r="B31" s="19" t="str">
        <x:v>未触发</x:v>
      </x:c>
      <x:c r="C31" s="19" t="str">
        <x:v>价格&gt;积极价值且基本面未同步上修</x:v>
      </x:c>
      <x:c r="D31" s="19" t="str">
        <x:v>减仓/回避</x:v>
      </x:c>
      <x:c r="E31" s="19" t="str">
        <x:v>估值泡沫</x:v>
      </x:c>
      <x:c r="F31" s="19" t="str">
        <x:v>月度</x:v>
      </x:c>
      <x:c r="G31" s="3"/>
      <x:c r="H31" s="19" t="n">
        <x:v>1</x:v>
      </x:c>
      <x:c r="I31" s="19" t="str">
        <x:v>利润平台下行风险（尚未证实）</x:v>
      </x:c>
      <x:c r="J31" s="19" t="str">
        <x:v>中</x:v>
      </x:c>
      <x:c r="K31" s="19" t="str">
        <x:v>高</x:v>
      </x:c>
      <x:c r="L31" s="19" t="str">
        <x:v>光通信毛利率/报价/产能</x:v>
      </x:c>
    </x:row>
    <x:row r="32" ht="39" customHeight="1">
      <x:c r="A32" s="19" t="str">
        <x:v>护城河破坏</x:v>
      </x:c>
      <x:c r="B32" s="19" t="str">
        <x:v>未触发</x:v>
      </x:c>
      <x:c r="C32" s="19" t="str">
        <x:v>光通信量价齐跌2季；海洋订单/交付恶化</x:v>
      </x:c>
      <x:c r="D32" s="19" t="str">
        <x:v>退出</x:v>
      </x:c>
      <x:c r="E32" s="19" t="str">
        <x:v>核心经济性变差</x:v>
      </x:c>
      <x:c r="F32" s="19" t="str">
        <x:v>季度</x:v>
      </x:c>
      <x:c r="G32" s="3"/>
      <x:c r="H32" s="19" t="n">
        <x:v>2</x:v>
      </x:c>
      <x:c r="I32" s="19" t="str">
        <x:v>利润不转现金、定增回报低</x:v>
      </x:c>
      <x:c r="J32" s="19" t="str">
        <x:v>高</x:v>
      </x:c>
      <x:c r="K32" s="19" t="str">
        <x:v>高</x:v>
      </x:c>
      <x:c r="L32" s="19" t="str">
        <x:v>OCF/归母、募投ROIC</x:v>
      </x:c>
    </x:row>
    <x:row r="33" ht="39" customHeight="1">
      <x:c r="A33" s="19" t="str">
        <x:v>诚信/治理红线</x:v>
      </x:c>
      <x:c r="B33" s="19" t="str">
        <x:v>未触发</x:v>
      </x:c>
      <x:c r="C33" s="19" t="str">
        <x:v>资金占用、重大非标、信息披露失信</x:v>
      </x:c>
      <x:c r="D33" s="19" t="str">
        <x:v>立即退出</x:v>
      </x:c>
      <x:c r="E33" s="19" t="str">
        <x:v>不可补偿风险</x:v>
      </x:c>
      <x:c r="F33" s="19" t="str">
        <x:v>事件</x:v>
      </x:c>
      <x:c r="G33" s="3"/>
      <x:c r="H33" s="19" t="n">
        <x:v>3</x:v>
      </x:c>
      <x:c r="I33" s="19" t="str">
        <x:v>治理/质押/员工持股/诉讼</x:v>
      </x:c>
      <x:c r="J33" s="19" t="str">
        <x:v>中</x:v>
      </x:c>
      <x:c r="K33" s="19" t="str">
        <x:v>中高</x:v>
      </x:c>
      <x:c r="L33" s="19" t="str">
        <x:v>质押、解锁与减持、资金受限、诉讼</x:v>
      </x:c>
    </x:row>
    <x:row r="34" ht="39" customHeight="1">
      <x:c r="A34" s="19" t="str">
        <x:v>更优机会</x:v>
      </x:c>
      <x:c r="B34" s="19" t="str">
        <x:v>个体化</x:v>
      </x:c>
      <x:c r="C34" s="19" t="str">
        <x:v>机会成本显著高于本公司预期回报</x:v>
      </x:c>
      <x:c r="D34" s="19" t="str">
        <x:v>轮换</x:v>
      </x:c>
      <x:c r="E34" s="19" t="str">
        <x:v>资本有限</x:v>
      </x:c>
      <x:c r="F34" s="19" t="str">
        <x:v>季度</x:v>
      </x:c>
      <x:c r="G34" s="3"/>
      <x:c r="H34" s="19" t="str">
        <x:v>缓释</x:v>
      </x:c>
      <x:c r="I34" s="19" t="str">
        <x:v>海洋订单+CPO规模化</x:v>
      </x:c>
      <x:c r="J34" s="19" t="str">
        <x:v>中</x:v>
      </x:c>
      <x:c r="K34" s="19" t="str">
        <x:v>中高</x:v>
      </x:c>
      <x:c r="L34" s="19" t="str">
        <x:v>订单转收入与现金</x:v>
      </x:c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2" customHeight="1">
      <x:c r="A36" s="11" t="str">
        <x:v>正式三季报发布后的更新清单</x:v>
      </x:c>
      <x:c r="B36" s="11" t="str">
        <x:v>正式三季报发布后的更新清单</x:v>
      </x:c>
      <x:c r="C36" s="11" t="str">
        <x:v>正式三季报发布后的更新清单</x:v>
      </x:c>
      <x:c r="D36" s="11" t="str">
        <x:v>正式三季报发布后的更新清单</x:v>
      </x:c>
      <x:c r="E36" s="11" t="str">
        <x:v>正式三季报发布后的更新清单</x:v>
      </x:c>
      <x:c r="F36" s="11" t="str">
        <x:v>正式三季报发布后的更新清单</x:v>
      </x:c>
      <x:c r="G36" s="11" t="str">
        <x:v>正式三季报发布后的更新清单</x:v>
      </x:c>
      <x:c r="H36" s="11" t="str">
        <x:v>正式三季报发布后的更新清单</x:v>
      </x:c>
      <x:c r="I36" s="11" t="str">
        <x:v>正式三季报发布后的更新清单</x:v>
      </x:c>
      <x:c r="J36" s="11" t="str">
        <x:v>正式三季报发布后的更新清单</x:v>
      </x:c>
      <x:c r="K36" s="11" t="str">
        <x:v>正式三季报发布后的更新清单</x:v>
      </x:c>
      <x:c r="L36" s="11" t="str">
        <x:v>正式三季报发布后的更新清单</x:v>
      </x:c>
    </x:row>
    <x:row r="37">
      <x:c r="A37" s="15" t="str">
        <x:v>优先级</x:v>
      </x:c>
      <x:c r="B37" s="15" t="str">
        <x:v>更新项</x:v>
      </x:c>
      <x:c r="C37" s="15" t="str">
        <x:v>当前基准</x:v>
      </x:c>
      <x:c r="D37" s="15" t="str">
        <x:v>好于预期</x:v>
      </x:c>
      <x:c r="E37" s="15" t="str">
        <x:v>差于预期</x:v>
      </x:c>
      <x:c r="F37" s="15" t="str">
        <x:v>对应模型动作</x:v>
      </x:c>
      <x:c r="G37" s="15" t="str"/>
      <x:c r="H37" s="15" t="str"/>
      <x:c r="I37" s="15" t="str"/>
      <x:c r="J37" s="15" t="str"/>
      <x:c r="K37" s="15" t="str"/>
      <x:c r="L37" s="15" t="str"/>
    </x:row>
    <x:row r="38" ht="39" customHeight="1">
      <x:c r="A38" s="19" t="n">
        <x:v>1</x:v>
      </x:c>
      <x:c r="B38" s="19" t="str">
        <x:v>Q3收入与光通信毛利率</x:v>
      </x:c>
      <x:c r="C38" s="19" t="str">
        <x:v>未披露Q1-3收入；H1光通信毛利&gt;60%</x:v>
      </x:c>
      <x:c r="D38" s="19" t="str">
        <x:v>毛利稳定、收入继续高增</x:v>
      </x:c>
      <x:c r="E38" s="19" t="str">
        <x:v>毛利快速回落</x:v>
      </x:c>
      <x:c r="F38" s="19" t="str">
        <x:v>调整2027/2028光通信增速与PE</x:v>
      </x:c>
      <x:c r="G38" s="19" t="str"/>
      <x:c r="H38" s="19" t="str"/>
      <x:c r="I38" s="19" t="str"/>
      <x:c r="J38" s="19" t="str"/>
      <x:c r="K38" s="19" t="str"/>
      <x:c r="L38" s="19" t="str"/>
    </x:row>
    <x:row r="39" ht="39" customHeight="1">
      <x:c r="A39" s="19" t="n">
        <x:v>2</x:v>
      </x:c>
      <x:c r="B39" s="19" t="str">
        <x:v>经营现金流</x:v>
      </x:c>
      <x:c r="C39" s="19" t="str">
        <x:v>H1 -8.65亿元</x:v>
      </x:c>
      <x:c r="D39" s="19" t="str">
        <x:v>Q1-3累计转正</x:v>
      </x:c>
      <x:c r="E39" s="19" t="str">
        <x:v>仍大额为负</x:v>
      </x:c>
      <x:c r="F39" s="19" t="str">
        <x:v>调整DCF所有者收益</x:v>
      </x:c>
      <x:c r="G39" s="19" t="str"/>
      <x:c r="H39" s="19" t="str"/>
      <x:c r="I39" s="19" t="str"/>
      <x:c r="J39" s="19" t="str"/>
      <x:c r="K39" s="19" t="str"/>
      <x:c r="L39" s="19" t="str"/>
    </x:row>
    <x:row r="40" ht="39" customHeight="1">
      <x:c r="A40" s="19" t="n">
        <x:v>3</x:v>
      </x:c>
      <x:c r="B40" s="19" t="str">
        <x:v>应收与存货</x:v>
      </x:c>
      <x:c r="C40" s="19" t="str">
        <x:v>H1合计326.09亿元</x:v>
      </x:c>
      <x:c r="D40" s="19" t="str">
        <x:v>增速低于收入</x:v>
      </x:c>
      <x:c r="E40" s="19" t="str">
        <x:v>继续快于收入</x:v>
      </x:c>
      <x:c r="F40" s="19" t="str">
        <x:v>提高营运资本折价</x:v>
      </x:c>
      <x:c r="G40" s="19" t="str"/>
      <x:c r="H40" s="19" t="str"/>
      <x:c r="I40" s="19" t="str"/>
      <x:c r="J40" s="19" t="str"/>
      <x:c r="K40" s="19" t="str"/>
      <x:c r="L40" s="19" t="str"/>
    </x:row>
    <x:row r="41" ht="39" customHeight="1">
      <x:c r="A41" s="19" t="n">
        <x:v>4</x:v>
      </x:c>
      <x:c r="B41" s="19" t="str">
        <x:v>光纤价格与新增产能</x:v>
      </x:c>
      <x:c r="C41" s="19" t="str">
        <x:v>基准：2027光通信-10%、2028-20%</x:v>
      </x:c>
      <x:c r="D41" s="19" t="str">
        <x:v>价格韧性强/投产延后</x:v>
      </x:c>
      <x:c r="E41" s="19" t="str">
        <x:v>价格快速跌/产能集中释放</x:v>
      </x:c>
      <x:c r="F41" s="19" t="str">
        <x:v>调整产业推演与2028估值</x:v>
      </x:c>
      <x:c r="G41" s="19" t="str"/>
      <x:c r="H41" s="19" t="str"/>
      <x:c r="I41" s="19" t="str"/>
      <x:c r="J41" s="19" t="str"/>
      <x:c r="K41" s="19" t="str"/>
      <x:c r="L41" s="19" t="str"/>
    </x:row>
    <x:row r="42" ht="39" customHeight="1">
      <x:c r="A42" s="19" t="n">
        <x:v>5</x:v>
      </x:c>
      <x:c r="B42" s="19" t="str">
        <x:v>定增进度与发行价</x:v>
      </x:c>
      <x:c r="C42" s="19" t="str">
        <x:v>八折募满模拟：发行后稀释约6.9%；尚未提请股东会</x:v>
      </x:c>
      <x:c r="D42" s="19" t="str">
        <x:v>发行价高、项目回报透明</x:v>
      </x:c>
      <x:c r="E42" s="19" t="str">
        <x:v>低价发行/扩产回报不清</x:v>
      </x:c>
      <x:c r="F42" s="19" t="str">
        <x:v>调整股本、EPS与治理折价</x:v>
      </x:c>
      <x:c r="G42" s="19" t="str"/>
      <x:c r="H42" s="19" t="str"/>
      <x:c r="I42" s="19" t="str"/>
      <x:c r="J42" s="19" t="str"/>
      <x:c r="K42" s="19" t="str"/>
      <x:c r="L42" s="19" t="str"/>
    </x:row>
    <x:row r="43" ht="39" customHeight="1">
      <x:c r="A43" s="19" t="n">
        <x:v>6</x:v>
      </x:c>
      <x:c r="B43" s="19" t="str">
        <x:v>质押/诉讼/海外项目</x:v>
      </x:c>
      <x:c r="C43" s="19" t="str">
        <x:v>存在但未触发红线</x:v>
      </x:c>
      <x:c r="D43" s="19" t="str">
        <x:v>风险下降</x:v>
      </x:c>
      <x:c r="E43" s="19" t="str">
        <x:v>损失实质化</x:v>
      </x:c>
      <x:c r="F43" s="19" t="str">
        <x:v>触发卖出纪律</x:v>
      </x:c>
      <x:c r="G43" s="19" t="str"/>
      <x:c r="H43" s="19" t="str"/>
      <x:c r="I43" s="19" t="str"/>
      <x:c r="J43" s="19" t="str"/>
      <x:c r="K43" s="19" t="str"/>
      <x:c r="L43" s="19" t="str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2" customHeight="1">
      <x:c r="A45" s="11" t="str">
        <x:v>增发、员工持股与股东行为</x:v>
      </x:c>
      <x:c r="B45" s="11" t="str">
        <x:v>增发、员工持股与股东行为</x:v>
      </x:c>
      <x:c r="C45" s="11" t="str">
        <x:v>增发、员工持股与股东行为</x:v>
      </x:c>
      <x:c r="D45" s="11" t="str">
        <x:v>增发、员工持股与股东行为</x:v>
      </x:c>
      <x:c r="E45" s="11" t="str">
        <x:v>增发、员工持股与股东行为</x:v>
      </x:c>
      <x:c r="F45" s="11" t="str">
        <x:v>增发、员工持股与股东行为</x:v>
      </x:c>
      <x:c r="G45" s="11" t="str">
        <x:v>增发、员工持股与股东行为</x:v>
      </x:c>
      <x:c r="H45" s="11" t="str">
        <x:v>增发、员工持股与股东行为</x:v>
      </x:c>
      <x:c r="I45" s="11" t="str">
        <x:v>增发、员工持股与股东行为</x:v>
      </x:c>
      <x:c r="J45" s="11" t="str">
        <x:v>增发、员工持股与股东行为</x:v>
      </x:c>
      <x:c r="K45" s="11" t="str">
        <x:v>增发、员工持股与股东行为</x:v>
      </x:c>
      <x:c r="L45" s="11" t="str">
        <x:v>增发、员工持股与股东行为</x:v>
      </x:c>
    </x:row>
    <x:row r="46">
      <x:c r="A46" s="15" t="str">
        <x:v>事项</x:v>
      </x:c>
      <x:c r="B46" s="15" t="str"/>
      <x:c r="C46" s="15" t="str">
        <x:v>已披露事实</x:v>
      </x:c>
      <x:c r="D46" s="15" t="str"/>
      <x:c r="E46" s="15" t="str">
        <x:v>关键数字</x:v>
      </x:c>
      <x:c r="F46" s="15" t="str"/>
      <x:c r="G46" s="15" t="str">
        <x:v>对老股东影响</x:v>
      </x:c>
      <x:c r="H46" s="15" t="str"/>
      <x:c r="I46" s="15" t="str"/>
      <x:c r="J46" s="15" t="str">
        <x:v>判断/动作</x:v>
      </x:c>
      <x:c r="K46" s="15" t="str"/>
      <x:c r="L46" s="15" t="str"/>
    </x:row>
    <x:row r="47" ht="50" customHeight="1">
      <x:c r="A47" s="19" t="str">
        <x:v>定增性质与进度</x:v>
      </x:c>
      <x:c r="B47" s="19" t="str"/>
      <x:c r="C47" s="19" t="str">
        <x:v>向特定对象增发，不是配股；尚未提请股东会</x:v>
      </x:c>
      <x:c r="D47" s="19" t="str"/>
      <x:c r="E47" s="19" t="str">
        <x:v>募资上限66.36亿元</x:v>
      </x:c>
      <x:c r="F47" s="19" t="str"/>
      <x:c r="G47" s="19" t="str">
        <x:v>无按比例优先认购安排</x:v>
      </x:c>
      <x:c r="H47" s="19" t="str"/>
      <x:c r="I47" s="19" t="str"/>
      <x:c r="J47" s="19" t="str">
        <x:v>等待股东会、发行价、认购方与锁定安排</x:v>
      </x:c>
      <x:c r="K47" s="19" t="str"/>
      <x:c r="L47" s="19" t="str"/>
    </x:row>
    <x:row r="48" ht="50" customHeight="1">
      <x:c r="A48" s="19" t="str">
        <x:v>摊薄</x:v>
      </x:c>
      <x:c r="B48" s="19" t="str"/>
      <x:c r="C48" s="19" t="str">
        <x:v>按当前价八折并募满测算</x:v>
      </x:c>
      <x:c r="D48" s="19" t="str"/>
      <x:c r="E48" s="19" t="str">
        <x:v>新增约1.82亿股；发行后稀释约6.9%</x:v>
      </x:c>
      <x:c r="F48" s="19" t="str"/>
      <x:c r="G48" s="19" t="str">
        <x:v>控制方若不认购，合计持股约降至26.0%</x:v>
      </x:c>
      <x:c r="H48" s="19" t="str"/>
      <x:c r="I48" s="19" t="str"/>
      <x:c r="J48" s="19" t="str">
        <x:v>不把30%法定上限当作最可能情景</x:v>
      </x:c>
      <x:c r="K48" s="19" t="str"/>
      <x:c r="L48" s="19" t="str"/>
    </x:row>
    <x:row r="49" ht="50" customHeight="1">
      <x:c r="A49" s="19" t="str">
        <x:v>资本回报</x:v>
      </x:c>
      <x:c r="B49" s="19" t="str"/>
      <x:c r="C49" s="19" t="str">
        <x:v>要守住2028E每股收益，新增资本必须产生相应利润</x:v>
      </x:c>
      <x:c r="D49" s="19" t="str"/>
      <x:c r="E49" s="19" t="str">
        <x:v>需新增净利约6.3亿元；募资回报约9.5%</x:v>
      </x:c>
      <x:c r="F49" s="19" t="str"/>
      <x:c r="G49" s="19" t="str">
        <x:v>低于门槛则长期稀释每股价值</x:v>
      </x:c>
      <x:c r="H49" s="19" t="str"/>
      <x:c r="I49" s="19" t="str"/>
      <x:c r="J49" s="19" t="str">
        <x:v>跟踪项目ROIC和19.90亿元补流去向</x:v>
      </x:c>
      <x:c r="K49" s="19" t="str"/>
      <x:c r="L49" s="19" t="str"/>
    </x:row>
    <x:row r="50" ht="50" customHeight="1">
      <x:c r="A50" s="19" t="str">
        <x:v>员工持股</x:v>
      </x:c>
      <x:c r="B50" s="19" t="str"/>
      <x:c r="C50" s="19" t="str">
        <x:v>受让回购股而非新增股；价格34.27元/股</x:v>
      </x:c>
      <x:c r="D50" s="19" t="str"/>
      <x:c r="E50" s="19" t="str">
        <x:v>843.68万股；股份支付费约2.79亿元</x:v>
      </x:c>
      <x:c r="F50" s="19" t="str"/>
      <x:c r="G50" s="19" t="str">
        <x:v>2027预计费用约1.95亿元，解锁后有供给</x:v>
      </x:c>
      <x:c r="H50" s="19" t="str"/>
      <x:c r="I50" s="19" t="str"/>
      <x:c r="J50" s="19" t="str">
        <x:v>单独计入治理折价，不误写为定增摊薄</x:v>
      </x:c>
      <x:c r="K50" s="19" t="str"/>
      <x:c r="L50" s="19" t="str"/>
    </x:row>
    <x:row r="51" ht="50" customHeight="1">
      <x:c r="A51" s="19" t="str">
        <x:v>激励强度</x:v>
      </x:c>
      <x:c r="B51" s="19" t="str"/>
      <x:c r="C51" s="19" t="str">
        <x:v>2026全额解锁用收入或利润二选一考核</x:v>
      </x:c>
      <x:c r="D51" s="19" t="str"/>
      <x:c r="E51" s="19" t="str">
        <x:v>利润门槛50.92亿元；Q1-3低值59.70亿元</x:v>
      </x:c>
      <x:c r="F51" s="19" t="str"/>
      <x:c r="G51" s="19" t="str">
        <x:v>首期考核在公告时已基本预满足</x:v>
      </x:c>
      <x:c r="H51" s="19" t="str"/>
      <x:c r="I51" s="19" t="str"/>
      <x:c r="J51" s="19" t="str">
        <x:v>约束偏弱，是当前最明确治理扣分</x:v>
      </x:c>
      <x:c r="K51" s="19" t="str"/>
      <x:c r="L51" s="19" t="str"/>
    </x:row>
    <x:row r="52" ht="50" customHeight="1">
      <x:c r="A52" s="19" t="str">
        <x:v>增减持与质押</x:v>
      </x:c>
      <x:c r="B52" s="19" t="str"/>
      <x:c r="C52" s="19" t="str">
        <x:v>重要股东公告序列未见近年A股减持计划；控股股东完成增持</x:v>
      </x:c>
      <x:c r="D52" s="19" t="str"/>
      <x:c r="E52" s="19" t="str">
        <x:v>增持1.50亿元；质押占其持股52.49%</x:v>
      </x:c>
      <x:c r="F52" s="19" t="str"/>
      <x:c r="G52" s="19" t="str">
        <x:v>未见主动离场，但有潜在被动处置风险</x:v>
      </x:c>
      <x:c r="H52" s="19" t="str"/>
      <x:c r="I52" s="19" t="str"/>
      <x:c r="J52" s="19" t="str">
        <x:v>持续跟踪质押、员工解锁及零星董高交易</x:v>
      </x:c>
      <x:c r="K52" s="19" t="str"/>
      <x:c r="L52" s="19" t="str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</x:sheetData>
  <x:mergeCells>
    <x:mergeCell ref="A1:L1"/>
    <x:mergeCell ref="A2:L2"/>
    <x:mergeCell ref="A8:L8"/>
    <x:mergeCell ref="A9:L11"/>
    <x:mergeCell ref="A13:F13"/>
    <x:mergeCell ref="H13:L13"/>
    <x:mergeCell ref="A22:L22"/>
    <x:mergeCell ref="D23:F23"/>
    <x:mergeCell ref="G23:L23"/>
    <x:mergeCell ref="D24:F24"/>
    <x:mergeCell ref="G24:L24"/>
    <x:mergeCell ref="D25:F25"/>
    <x:mergeCell ref="G25:L25"/>
    <x:mergeCell ref="D26:F26"/>
    <x:mergeCell ref="G26:L26"/>
    <x:mergeCell ref="D27:F27"/>
    <x:mergeCell ref="G27:L27"/>
    <x:mergeCell ref="A29:F29"/>
    <x:mergeCell ref="H29:L29"/>
    <x:mergeCell ref="A36:L36"/>
    <x:mergeCell ref="F37:L37"/>
    <x:mergeCell ref="F38:L38"/>
    <x:mergeCell ref="F39:L39"/>
    <x:mergeCell ref="F40:L40"/>
    <x:mergeCell ref="F41:L41"/>
    <x:mergeCell ref="F42:L42"/>
    <x:mergeCell ref="F43:L43"/>
    <x:mergeCell ref="A45:L45"/>
    <x:mergeCell ref="A46:B46"/>
    <x:mergeCell ref="C46:D46"/>
    <x:mergeCell ref="E46:F46"/>
    <x:mergeCell ref="G46:I46"/>
    <x:mergeCell ref="J46:L46"/>
    <x:mergeCell ref="A47:B47"/>
    <x:mergeCell ref="C47:D47"/>
    <x:mergeCell ref="E47:F47"/>
    <x:mergeCell ref="G47:I47"/>
    <x:mergeCell ref="J47:L47"/>
    <x:mergeCell ref="A48:B48"/>
    <x:mergeCell ref="C48:D48"/>
    <x:mergeCell ref="E48:F48"/>
    <x:mergeCell ref="G48:I48"/>
    <x:mergeCell ref="J48:L48"/>
    <x:mergeCell ref="A49:B49"/>
    <x:mergeCell ref="C49:D49"/>
    <x:mergeCell ref="E49:F49"/>
    <x:mergeCell ref="G49:I49"/>
    <x:mergeCell ref="J49:L49"/>
    <x:mergeCell ref="A50:B50"/>
    <x:mergeCell ref="C50:D50"/>
    <x:mergeCell ref="E50:F50"/>
    <x:mergeCell ref="G50:I50"/>
    <x:mergeCell ref="J50:L50"/>
    <x:mergeCell ref="A51:B51"/>
    <x:mergeCell ref="C51:D51"/>
    <x:mergeCell ref="E51:F51"/>
    <x:mergeCell ref="G51:I51"/>
    <x:mergeCell ref="J51:L51"/>
    <x:mergeCell ref="A52:B52"/>
    <x:mergeCell ref="C52:D52"/>
    <x:mergeCell ref="E52:F52"/>
    <x:mergeCell ref="G52:I52"/>
    <x:mergeCell ref="J52:L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1" hidden="0" customWidth="1"/>
    <x:col min="4" max="4" width="11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</x:cols>
  <x:sheetData>
    <x:row r="1" ht="27" customHeight="1">
      <x:c r="A1" s="6" t="str">
        <x:v>亨通光电｜产业驱动估值与安全边际</x:v>
      </x:c>
      <x:c r="B1" s="6" t="str">
        <x:v>亨通光电｜产业驱动估值与安全边际</x:v>
      </x:c>
      <x:c r="C1" s="6" t="str">
        <x:v>亨通光电｜产业驱动估值与安全边际</x:v>
      </x:c>
      <x:c r="D1" s="6" t="str">
        <x:v>亨通光电｜产业驱动估值与安全边际</x:v>
      </x:c>
      <x:c r="E1" s="6" t="str">
        <x:v>亨通光电｜产业驱动估值与安全边际</x:v>
      </x:c>
      <x:c r="F1" s="6" t="str">
        <x:v>亨通光电｜产业驱动估值与安全边际</x:v>
      </x:c>
      <x:c r="G1" s="6" t="str">
        <x:v>亨通光电｜产业驱动估值与安全边际</x:v>
      </x:c>
      <x:c r="H1" s="6" t="str">
        <x:v>亨通光电｜产业驱动估值与安全边际</x:v>
      </x:c>
      <x:c r="I1" s="6" t="str">
        <x:v>亨通光电｜产业驱动估值与安全边际</x:v>
      </x:c>
      <x:c r="J1" s="6" t="str">
        <x:v>亨通光电｜产业驱动估值与安全边际</x:v>
      </x:c>
      <x:c r="K1" s="6" t="str">
        <x:v>亨通光电｜产业驱动估值与安全边际</x:v>
      </x:c>
      <x:c r="L1" s="6" t="str">
        <x:v>亨通光电｜产业驱动估值与安全边际</x:v>
      </x:c>
      <x:c r="M1" s="6" t="str">
        <x:v>亨通光电｜产业驱动估值与安全边际</x:v>
      </x:c>
      <x:c r="N1" s="6" t="str">
        <x:v>亨通光电｜产业驱动估值与安全边际</x:v>
      </x:c>
    </x:row>
    <x:row r="2" ht="27" customHeight="1">
      <x:c r="A2" s="9" t="str">
        <x:v>2026E由前三季度业绩预告加Q4情景预测得到；2027E/2028E来自产业推演。内在价值不使用当前股价，当前股价只用于安全边际与反推市场隐含业绩。</x:v>
      </x:c>
      <x:c r="B2" s="9" t="str">
        <x:v>2026E由前三季度业绩预告加Q4情景预测得到；2027E/2028E来自产业推演。内在价值不使用当前股价，当前股价只用于安全边际与反推市场隐含业绩。</x:v>
      </x:c>
      <x:c r="C2" s="9" t="str">
        <x:v>2026E由前三季度业绩预告加Q4情景预测得到；2027E/2028E来自产业推演。内在价值不使用当前股价，当前股价只用于安全边际与反推市场隐含业绩。</x:v>
      </x:c>
      <x:c r="D2" s="9" t="str">
        <x:v>2026E由前三季度业绩预告加Q4情景预测得到；2027E/2028E来自产业推演。内在价值不使用当前股价，当前股价只用于安全边际与反推市场隐含业绩。</x:v>
      </x:c>
      <x:c r="E2" s="9" t="str">
        <x:v>2026E由前三季度业绩预告加Q4情景预测得到；2027E/2028E来自产业推演。内在价值不使用当前股价，当前股价只用于安全边际与反推市场隐含业绩。</x:v>
      </x:c>
      <x:c r="F2" s="9" t="str">
        <x:v>2026E由前三季度业绩预告加Q4情景预测得到；2027E/2028E来自产业推演。内在价值不使用当前股价，当前股价只用于安全边际与反推市场隐含业绩。</x:v>
      </x:c>
      <x:c r="G2" s="9" t="str">
        <x:v>2026E由前三季度业绩预告加Q4情景预测得到；2027E/2028E来自产业推演。内在价值不使用当前股价，当前股价只用于安全边际与反推市场隐含业绩。</x:v>
      </x:c>
      <x:c r="H2" s="9" t="str">
        <x:v>2026E由前三季度业绩预告加Q4情景预测得到；2027E/2028E来自产业推演。内在价值不使用当前股价，当前股价只用于安全边际与反推市场隐含业绩。</x:v>
      </x:c>
      <x:c r="I2" s="9" t="str">
        <x:v>2026E由前三季度业绩预告加Q4情景预测得到；2027E/2028E来自产业推演。内在价值不使用当前股价，当前股价只用于安全边际与反推市场隐含业绩。</x:v>
      </x:c>
      <x:c r="J2" s="9" t="str">
        <x:v>2026E由前三季度业绩预告加Q4情景预测得到；2027E/2028E来自产业推演。内在价值不使用当前股价，当前股价只用于安全边际与反推市场隐含业绩。</x:v>
      </x:c>
      <x:c r="K2" s="9" t="str">
        <x:v>2026E由前三季度业绩预告加Q4情景预测得到；2027E/2028E来自产业推演。内在价值不使用当前股价，当前股价只用于安全边际与反推市场隐含业绩。</x:v>
      </x:c>
      <x:c r="L2" s="9" t="str">
        <x:v>2026E由前三季度业绩预告加Q4情景预测得到；2027E/2028E来自产业推演。内在价值不使用当前股价，当前股价只用于安全边际与反推市场隐含业绩。</x:v>
      </x:c>
      <x:c r="M2" s="9" t="str">
        <x:v>2026E由前三季度业绩预告加Q4情景预测得到；2027E/2028E来自产业推演。内在价值不使用当前股价，当前股价只用于安全边际与反推市场隐含业绩。</x:v>
      </x:c>
      <x:c r="N2" s="9" t="str">
        <x:v>2026E由前三季度业绩预告加Q4情景预测得到；2027E/2028E来自产业推演。内在价值不使用当前股价，当前股价只用于安全边际与反推市场隐含业绩。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2" customHeight="1">
      <x:c r="A4" s="11" t="str">
        <x:v>统一情景控制</x:v>
      </x:c>
      <x:c r="B4" s="11" t="str">
        <x:v>统一情景控制</x:v>
      </x:c>
      <x:c r="C4" s="3"/>
      <x:c r="D4" s="3"/>
      <x:c r="E4" s="15" t="str">
        <x:v>关键变量</x:v>
      </x:c>
      <x:c r="F4" s="15" t="str">
        <x:v>保守</x:v>
      </x:c>
      <x:c r="G4" s="15" t="str">
        <x:v>基准</x:v>
      </x:c>
      <x:c r="H4" s="15" t="str">
        <x:v>积极</x:v>
      </x:c>
      <x:c r="I4" s="11" t="str">
        <x:v>PB-ROE合理性检查：不参与加权估值</x:v>
      </x:c>
      <x:c r="J4" s="11" t="str">
        <x:v>PB-ROE合理性检查：不参与加权估值</x:v>
      </x:c>
      <x:c r="K4" s="11" t="str">
        <x:v>PB-ROE合理性检查：不参与加权估值</x:v>
      </x:c>
      <x:c r="L4" s="11" t="str">
        <x:v>PB-ROE合理性检查：不参与加权估值</x:v>
      </x:c>
      <x:c r="M4" s="11" t="str">
        <x:v>PB-ROE合理性检查：不参与加权估值</x:v>
      </x:c>
      <x:c r="N4" s="11" t="str">
        <x:v>PB-ROE合理性检查：不参与加权估值</x:v>
      </x:c>
    </x:row>
    <x:row r="5">
      <x:c r="A5" s="19" t="str">
        <x:v>情景选择</x:v>
      </x:c>
      <x:c r="B5" s="72" t="str">
        <x:v>基准</x:v>
      </x:c>
      <x:c r="C5" s="3"/>
      <x:c r="D5" s="3"/>
      <x:c r="E5" s="19" t="str">
        <x:v>2026Q1-3预告</x:v>
      </x:c>
      <x:c r="F5" s="41" t="n">
        <x:f>'数据与来源'!K20</x:f>
        <x:v>59.696207</x:v>
      </x:c>
      <x:c r="G5" s="41" t="n">
        <x:f>'数据与来源'!K21</x:f>
        <x:v>61.696207</x:v>
      </x:c>
      <x:c r="H5" s="41" t="n">
        <x:f>'数据与来源'!K22</x:f>
        <x:v>63.696207</x:v>
      </x:c>
      <x:c r="I5" s="15" t="str">
        <x:v>项目</x:v>
      </x:c>
      <x:c r="J5" s="15" t="str">
        <x:v>保守</x:v>
      </x:c>
      <x:c r="K5" s="15" t="str">
        <x:v>基准</x:v>
      </x:c>
      <x:c r="L5" s="15" t="str">
        <x:v>积极</x:v>
      </x:c>
      <x:c r="M5" s="74" t="str">
        <x:v>原模型基准3.5倍PB隐含约24%的可持续ROE，显著高于十年平均ROE约13%。新版只把PB作为偏高/偏低的检查，不再抬高内在价值。</x:v>
      </x:c>
      <x:c r="N5" s="74" t="str">
        <x:v>原模型基准3.5倍PB隐含约24%的可持续ROE，显著高于十年平均ROE约13%。新版只把PB作为偏高/偏低的检查，不再抬高内在价值。</x:v>
      </x:c>
    </x:row>
    <x:row r="6">
      <x:c r="A6" s="19" t="str">
        <x:v>当前股价</x:v>
      </x:c>
      <x:c r="B6" s="41" t="n">
        <x:f>'数据与来源'!K5</x:f>
        <x:v>45.68</x:v>
      </x:c>
      <x:c r="C6" s="3"/>
      <x:c r="D6" s="3"/>
      <x:c r="E6" s="19" t="str">
        <x:v>2026Q4E情景预测</x:v>
      </x:c>
      <x:c r="F6" s="25" t="n">
        <x:v>15</x:v>
      </x:c>
      <x:c r="G6" s="25" t="n">
        <x:v>25</x:v>
      </x:c>
      <x:c r="H6" s="25" t="n">
        <x:v>35</x:v>
      </x:c>
      <x:c r="I6" s="19" t="str">
        <x:v>可持续ROE</x:v>
      </x:c>
      <x:c r="J6" s="26" t="n">
        <x:v>0.08</x:v>
      </x:c>
      <x:c r="K6" s="26" t="n">
        <x:v>0.13</x:v>
      </x:c>
      <x:c r="L6" s="26" t="n">
        <x:v>0.2</x:v>
      </x:c>
      <x:c r="M6" s="74" t="str">
        <x:v>原模型基准3.5倍PB隐含约24%的可持续ROE，显著高于十年平均ROE约13%。新版只把PB作为偏高/偏低的检查，不再抬高内在价值。</x:v>
      </x:c>
      <x:c r="N6" s="74" t="str">
        <x:v>原模型基准3.5倍PB隐含约24%的可持续ROE，显著高于十年平均ROE约13%。新版只把PB作为偏高/偏低的检查，不再抬高内在价值。</x:v>
      </x:c>
    </x:row>
    <x:row r="7">
      <x:c r="A7" s="19" t="str">
        <x:v>总股本（亿股）</x:v>
      </x:c>
      <x:c r="B7" s="41" t="n">
        <x:f>'数据与来源'!K7</x:f>
        <x:v>24.66392257</x:v>
      </x:c>
      <x:c r="C7" s="3"/>
      <x:c r="D7" s="3"/>
      <x:c r="E7" s="19" t="str">
        <x:v>2026E全年归母</x:v>
      </x:c>
      <x:c r="F7" s="31" t="n">
        <x:f>F5+F6</x:f>
        <x:v>74.696207</x:v>
      </x:c>
      <x:c r="G7" s="31" t="n">
        <x:f>G5+G6</x:f>
        <x:v>86.696207</x:v>
      </x:c>
      <x:c r="H7" s="31" t="n">
        <x:f>H5+H6</x:f>
        <x:v>98.696207</x:v>
      </x:c>
      <x:c r="I7" s="19" t="str">
        <x:v>长期增长</x:v>
      </x:c>
      <x:c r="J7" s="26" t="n">
        <x:v>0.03</x:v>
      </x:c>
      <x:c r="K7" s="26" t="n">
        <x:v>0.04</x:v>
      </x:c>
      <x:c r="L7" s="26" t="n">
        <x:v>0.05</x:v>
      </x:c>
      <x:c r="M7" s="74" t="str">
        <x:v>原模型基准3.5倍PB隐含约24%的可持续ROE，显著高于十年平均ROE约13%。新版只把PB作为偏高/偏低的检查，不再抬高内在价值。</x:v>
      </x:c>
      <x:c r="N7" s="74" t="str">
        <x:v>原模型基准3.5倍PB隐含约24%的可持续ROE，显著高于十年平均ROE约13%。新版只把PB作为偏高/偏低的检查，不再抬高内在价值。</x:v>
      </x:c>
    </x:row>
    <x:row r="8">
      <x:c r="A8" s="19" t="str">
        <x:v>2026Q1-3预告（亿元）</x:v>
      </x:c>
      <x:c r="B8" s="31" t="n">
        <x:f>IF(B5="保守",F5,IF(B5="基准",G5,H5))</x:f>
        <x:v>61.696207</x:v>
      </x:c>
      <x:c r="C8" s="3"/>
      <x:c r="D8" s="3"/>
      <x:c r="E8" s="19" t="str">
        <x:v>2027E归母</x:v>
      </x:c>
      <x:c r="F8" s="31" t="n">
        <x:f>'产业推演'!E26</x:f>
        <x:v>70.99620700000001</x:v>
      </x:c>
      <x:c r="G8" s="31" t="n">
        <x:f>'产业推演'!E31</x:f>
        <x:v>87.536207</x:v>
      </x:c>
      <x:c r="H8" s="31" t="n">
        <x:f>'产业推演'!E36</x:f>
        <x:v>112.13101735000001</x:v>
      </x:c>
      <x:c r="I8" s="19" t="str">
        <x:v>股权成本</x:v>
      </x:c>
      <x:c r="J8" s="26" t="n">
        <x:v>0.12</x:v>
      </x:c>
      <x:c r="K8" s="26" t="n">
        <x:v>0.105</x:v>
      </x:c>
      <x:c r="L8" s="26" t="n">
        <x:v>0.095</x:v>
      </x:c>
      <x:c r="M8" s="74" t="str">
        <x:v>原模型基准3.5倍PB隐含约24%的可持续ROE，显著高于十年平均ROE约13%。新版只把PB作为偏高/偏低的检查，不再抬高内在价值。</x:v>
      </x:c>
      <x:c r="N8" s="74" t="str">
        <x:v>原模型基准3.5倍PB隐含约24%的可持续ROE，显著高于十年平均ROE约13%。新版只把PB作为偏高/偏低的检查，不再抬高内在价值。</x:v>
      </x:c>
    </x:row>
    <x:row r="9">
      <x:c r="A9" s="19" t="str">
        <x:v>2026Q4E归母（亿元）</x:v>
      </x:c>
      <x:c r="B9" s="31" t="n">
        <x:f>IF(B5="保守",F6,IF(B5="基准",G6,H6))</x:f>
        <x:v>25</x:v>
      </x:c>
      <x:c r="C9" s="3"/>
      <x:c r="D9" s="3"/>
      <x:c r="E9" s="19" t="str">
        <x:v>2027E增速</x:v>
      </x:c>
      <x:c r="F9" s="32" t="n">
        <x:f>F8/F7-1</x:f>
        <x:v>-0.049533974328843655</x:v>
      </x:c>
      <x:c r="G9" s="32" t="n">
        <x:f>G8/G7-1</x:f>
        <x:v>0.009689005194887024</x:v>
      </x:c>
      <x:c r="H9" s="32" t="n">
        <x:f>H8/H7-1</x:f>
        <x:v>0.13612286387054384</x:v>
      </x:c>
      <x:c r="I9" s="19" t="str">
        <x:v>合理PB</x:v>
      </x:c>
      <x:c r="J9" s="31" t="n">
        <x:f>(J6-J7)/(J8-J7)</x:f>
        <x:v>0.5555555555555556</x:v>
      </x:c>
      <x:c r="K9" s="31" t="n">
        <x:f>(K6-K7)/(K8-K7)</x:f>
        <x:v>1.3846153846153846</x:v>
      </x:c>
      <x:c r="L9" s="31" t="n">
        <x:f>(L6-L7)/(L8-L7)</x:f>
        <x:v>3.333333333333334</x:v>
      </x:c>
      <x:c r="M9" s="74" t="str">
        <x:v>原模型基准3.5倍PB隐含约24%的可持续ROE，显著高于十年平均ROE约13%。新版只把PB作为偏高/偏低的检查，不再抬高内在价值。</x:v>
      </x:c>
      <x:c r="N9" s="74" t="str">
        <x:v>原模型基准3.5倍PB隐含约24%的可持续ROE，显著高于十年平均ROE约13%。新版只把PB作为偏高/偏低的检查，不再抬高内在价值。</x:v>
      </x:c>
    </x:row>
    <x:row r="10">
      <x:c r="A10" s="19" t="str">
        <x:v>2026E全年归母（亿元）</x:v>
      </x:c>
      <x:c r="B10" s="31" t="n">
        <x:f>IF(B5="保守",F7,IF(B5="基准",G7,H7))</x:f>
        <x:v>86.696207</x:v>
      </x:c>
      <x:c r="C10" s="3"/>
      <x:c r="D10" s="3"/>
      <x:c r="E10" s="19" t="str">
        <x:v>2028E归母</x:v>
      </x:c>
      <x:c r="F10" s="31" t="n">
        <x:f>'产业推演'!G26</x:f>
        <x:v>67.48120700000001</x:v>
      </x:c>
      <x:c r="G10" s="31" t="n">
        <x:f>'产业推演'!G31</x:f>
        <x:v>85.57229321000001</x:v>
      </x:c>
      <x:c r="H10" s="31" t="n">
        <x:f>'产业推演'!G36</x:f>
        <x:v>127.61256821749998</x:v>
      </x:c>
      <x:c r="I10" s="19" t="str">
        <x:v>合理价值/股</x:v>
      </x:c>
      <x:c r="J10" s="31" t="n">
        <x:f>J9*'数据与来源'!K8/$B$7</x:f>
        <x:v>7.592583617344873</x:v>
      </x:c>
      <x:c r="K10" s="31" t="n">
        <x:f>K9*'数据与来源'!K8/$B$7</x:f>
        <x:v>18.92305455399799</x:v>
      </x:c>
      <x:c r="L10" s="31" t="n">
        <x:f>L9*'数据与来源'!K8/$B$7</x:f>
        <x:v>45.55550170406924</x:v>
      </x:c>
      <x:c r="M10" s="74" t="str">
        <x:v>原模型基准3.5倍PB隐含约24%的可持续ROE，显著高于十年平均ROE约13%。新版只把PB作为偏高/偏低的检查，不再抬高内在价值。</x:v>
      </x:c>
      <x:c r="N10" s="74" t="str">
        <x:v>原模型基准3.5倍PB隐含约24%的可持续ROE，显著高于十年平均ROE约13%。新版只把PB作为偏高/偏低的检查，不再抬高内在价值。</x:v>
      </x:c>
    </x:row>
    <x:row r="11">
      <x:c r="A11" s="19" t="str">
        <x:v>2026E EPS</x:v>
      </x:c>
      <x:c r="B11" s="31" t="n">
        <x:f>B10/B7</x:f>
        <x:v>3.51510213973235</x:v>
      </x:c>
      <x:c r="C11" s="3"/>
      <x:c r="D11" s="3"/>
      <x:c r="E11" s="19" t="str">
        <x:v>2028E增速</x:v>
      </x:c>
      <x:c r="F11" s="32" t="n">
        <x:f>F10/F8-1</x:f>
        <x:v>-0.04950968718652815</x:v>
      </x:c>
      <x:c r="G11" s="32" t="n">
        <x:f>G10/G8-1</x:f>
        <x:v>-0.022435445369479945</x:v>
      </x:c>
      <x:c r="H11" s="32" t="n">
        <x:f>H10/H8-1</x:f>
        <x:v>0.13806662271846393</x:v>
      </x:c>
      <x:c r="I11" s="3"/>
      <x:c r="J11" s="3"/>
      <x:c r="K11" s="3"/>
      <x:c r="L11" s="3"/>
      <x:c r="M11" s="3"/>
      <x:c r="N11" s="3"/>
    </x:row>
    <x:row r="12" ht="22" customHeight="1">
      <x:c r="A12" s="19" t="str">
        <x:v>2026E前瞻PE</x:v>
      </x:c>
      <x:c r="B12" s="31" t="n">
        <x:f>B6/B11</x:f>
        <x:v>12.995354952467528</x:v>
      </x:c>
      <x:c r="C12" s="3"/>
      <x:c r="D12" s="3"/>
      <x:c r="E12" s="19" t="str">
        <x:v>2028目标PE</x:v>
      </x:c>
      <x:c r="F12" s="25" t="n">
        <x:v>10</x:v>
      </x:c>
      <x:c r="G12" s="25" t="n">
        <x:v>13</x:v>
      </x:c>
      <x:c r="H12" s="25" t="n">
        <x:v>17</x:v>
      </x:c>
      <x:c r="I12" s="11" t="str">
        <x:v>2026Q4预测桥接：把已披露预告与预测假设分开</x:v>
      </x:c>
      <x:c r="J12" s="11" t="str">
        <x:v>2026Q4预测桥接：把已披露预告与预测假设分开</x:v>
      </x:c>
      <x:c r="K12" s="11" t="str">
        <x:v>2026Q4预测桥接：把已披露预告与预测假设分开</x:v>
      </x:c>
      <x:c r="L12" s="11" t="str">
        <x:v>2026Q4预测桥接：把已披露预告与预测假设分开</x:v>
      </x:c>
      <x:c r="M12" s="11" t="str">
        <x:v>2026Q4预测桥接：把已披露预告与预测假设分开</x:v>
      </x:c>
      <x:c r="N12" s="11" t="str">
        <x:v>2026Q4预测桥接：把已披露预告与预测假设分开</x:v>
      </x:c>
    </x:row>
    <x:row r="13">
      <x:c r="A13" s="19" t="str">
        <x:v>加权内在价值/股</x:v>
      </x:c>
      <x:c r="B13" s="31" t="n">
        <x:f>IF(B5="保守",F36,IF(B5="基准",G36,H36))</x:f>
        <x:v>42.4169485309533</x:v>
      </x:c>
      <x:c r="C13" s="3"/>
      <x:c r="D13" s="3"/>
      <x:c r="E13" s="19" t="str">
        <x:v>归一化PE价值/股</x:v>
      </x:c>
      <x:c r="F13" s="31" t="n">
        <x:f>F10*F12/$B$7</x:f>
        <x:v>27.360289835681243</x:v>
      </x:c>
      <x:c r="G13" s="31" t="n">
        <x:f>G10*G12/$B$7</x:f>
        <x:v>45.10392897045168</x:v>
      </x:c>
      <x:c r="H13" s="31" t="n">
        <x:f>H10*H12/$B$7</x:f>
        <x:v>87.95898760792693</x:v>
      </x:c>
      <x:c r="I13" s="15" t="str">
        <x:v>项目</x:v>
      </x:c>
      <x:c r="J13" s="15" t="str">
        <x:v>保守</x:v>
      </x:c>
      <x:c r="K13" s="15" t="str">
        <x:v>基准</x:v>
      </x:c>
      <x:c r="L13" s="15" t="str">
        <x:v>积极</x:v>
      </x:c>
      <x:c r="M13" s="15" t="str">
        <x:v>依据</x:v>
      </x:c>
      <x:c r="N13" s="15" t="str"/>
    </x:row>
    <x:row r="14" ht="28" customHeight="1">
      <x:c r="A14" s="19" t="str">
        <x:v>当前安全边际</x:v>
      </x:c>
      <x:c r="B14" s="32" t="n">
        <x:f>B13/B6-1</x:f>
        <x:v>-0.07143282550452501</x:v>
      </x:c>
      <x:c r="C14" s="3"/>
      <x:c r="D14" s="3"/>
      <x:c r="E14" s="19" t="str">
        <x:v>现价隐含2028归母</x:v>
      </x:c>
      <x:c r="F14" s="31" t="n">
        <x:f>$B$6*$B$7/F12</x:f>
        <x:v>112.66479829976</x:v>
      </x:c>
      <x:c r="G14" s="31" t="n">
        <x:f>$B$6*$B$7/G12</x:f>
        <x:v>86.66522946135385</x:v>
      </x:c>
      <x:c r="H14" s="31" t="n">
        <x:f>$B$6*$B$7/H12</x:f>
        <x:v>66.2734107645647</x:v>
      </x:c>
      <x:c r="I14" s="19" t="str">
        <x:v>Q3单季归母推算</x:v>
      </x:c>
      <x:c r="J14" s="41" t="n">
        <x:f>F5-'数据与来源'!$K$16</x:f>
        <x:v>28.499997</x:v>
      </x:c>
      <x:c r="K14" s="41" t="n">
        <x:f>G5-'数据与来源'!$K$16</x:f>
        <x:v>30.499997</x:v>
      </x:c>
      <x:c r="L14" s="41" t="n">
        <x:f>H5-'数据与来源'!$K$16</x:f>
        <x:v>32.499997</x:v>
      </x:c>
      <x:c r="M14" s="19" t="str">
        <x:v>Q1-3预告减2026H1正式报告</x:v>
      </x:c>
      <x:c r="N14" s="19" t="str"/>
    </x:row>
    <x:row r="15" ht="28" customHeight="1">
      <x:c r="A15" s="19" t="str">
        <x:v>估值结论</x:v>
      </x:c>
      <x:c r="B15" s="19" t="str">
        <x:f>IF(B14&gt;=0.3,"安全边际充足",IF(B14&gt;=0.15,"仅可观察","安全边际不足"))</x:f>
        <x:v>安全边际不足</x:v>
      </x:c>
      <x:c r="C15" s="3"/>
      <x:c r="D15" s="3"/>
      <x:c r="E15" s="19" t="str">
        <x:v>隐含利润较本情景</x:v>
      </x:c>
      <x:c r="F15" s="32" t="n">
        <x:f>F14/F10-1</x:f>
        <x:v>0.6695729568049957</x:v>
      </x:c>
      <x:c r="G15" s="32" t="n">
        <x:f>G14/G10-1</x:f>
        <x:v>0.012772080896227722</x:v>
      </x:c>
      <x:c r="H15" s="32" t="n">
        <x:f>H14/H10-1</x:f>
        <x:v>-0.4806670558372449</x:v>
      </x:c>
      <x:c r="I15" s="19" t="str">
        <x:v>Q4/Q3利润保持率</x:v>
      </x:c>
      <x:c r="J15" s="42" t="n">
        <x:f>F6/J14</x:f>
        <x:v>0.5263158448753521</x:v>
      </x:c>
      <x:c r="K15" s="42" t="n">
        <x:f>G6/K14</x:f>
        <x:v>0.8196722117710372</x:v>
      </x:c>
      <x:c r="L15" s="42" t="n">
        <x:f>H6/L14</x:f>
        <x:v>1.07692317633137</x:v>
      </x:c>
      <x:c r="M15" s="19" t="str">
        <x:v>历史季节性与当前光通信景气的折中</x:v>
      </x:c>
      <x:c r="N15" s="19" t="str"/>
    </x:row>
    <x:row r="16" ht="28" customHeight="1">
      <x:c r="A16" s="3"/>
      <x:c r="B16" s="3"/>
      <x:c r="C16" s="3"/>
      <x:c r="D16" s="3"/>
      <x:c r="E16" s="3"/>
      <x:c r="F16" s="3"/>
      <x:c r="G16" s="3"/>
      <x:c r="H16" s="3"/>
      <x:c r="I16" s="19" t="str">
        <x:v>2026Q4E归母</x:v>
      </x:c>
      <x:c r="J16" s="41" t="n">
        <x:f>F6</x:f>
        <x:v>15</x:v>
      </x:c>
      <x:c r="K16" s="41" t="n">
        <x:f>G6</x:f>
        <x:v>25</x:v>
      </x:c>
      <x:c r="L16" s="41" t="n">
        <x:f>H6</x:f>
        <x:v>35</x:v>
      </x:c>
      <x:c r="M16" s="19" t="str">
        <x:v>蓝色为情景预测，不是已披露业绩</x:v>
      </x:c>
      <x:c r="N16" s="19" t="str"/>
    </x:row>
    <x:row r="17" ht="22" customHeight="1">
      <x:c r="A17" s="3"/>
      <x:c r="B17" s="3"/>
      <x:c r="C17" s="3"/>
      <x:c r="D17" s="3"/>
      <x:c r="E17" s="11" t="str">
        <x:v>2028分部估值：技术溢价只给光通信与海洋系统</x:v>
      </x:c>
      <x:c r="F17" s="11" t="str">
        <x:v>2028分部估值：技术溢价只给光通信与海洋系统</x:v>
      </x:c>
      <x:c r="G17" s="11" t="str">
        <x:v>2028分部估值：技术溢价只给光通信与海洋系统</x:v>
      </x:c>
      <x:c r="H17" s="11" t="str">
        <x:v>2028分部估值：技术溢价只给光通信与海洋系统</x:v>
      </x:c>
      <x:c r="I17" s="19" t="str">
        <x:v>2026E全年归母</x:v>
      </x:c>
      <x:c r="J17" s="41" t="n">
        <x:f>F7</x:f>
        <x:v>74.696207</x:v>
      </x:c>
      <x:c r="K17" s="41" t="n">
        <x:f>G7</x:f>
        <x:v>86.696207</x:v>
      </x:c>
      <x:c r="L17" s="41" t="n">
        <x:f>H7</x:f>
        <x:v>98.696207</x:v>
      </x:c>
      <x:c r="M17" s="19" t="str">
        <x:v>Q1-3预告加Q4E</x:v>
      </x:c>
      <x:c r="N17" s="19" t="str"/>
    </x:row>
    <x:row r="18" ht="22" customHeight="1">
      <x:c r="A18" s="11" t="str">
        <x:v>安全边际价位</x:v>
      </x:c>
      <x:c r="B18" s="11" t="str">
        <x:v>安全边际价位</x:v>
      </x:c>
      <x:c r="C18" s="3"/>
      <x:c r="D18" s="3"/>
      <x:c r="E18" s="15" t="str">
        <x:v>项目</x:v>
      </x:c>
      <x:c r="F18" s="15" t="str">
        <x:v>保守</x:v>
      </x:c>
      <x:c r="G18" s="15" t="str">
        <x:v>基准</x:v>
      </x:c>
      <x:c r="H18" s="15" t="str">
        <x:v>积极</x:v>
      </x:c>
      <x:c r="I18" s="3"/>
      <x:c r="J18" s="3"/>
      <x:c r="K18" s="3"/>
      <x:c r="L18" s="3"/>
      <x:c r="M18" s="3"/>
      <x:c r="N18" s="3"/>
    </x:row>
    <x:row r="19">
      <x:c r="A19" s="15" t="str">
        <x:v>档位</x:v>
      </x:c>
      <x:c r="B19" s="15" t="str">
        <x:v>股价（元）</x:v>
      </x:c>
      <x:c r="C19" s="3"/>
      <x:c r="D19" s="3"/>
      <x:c r="E19" s="19" t="str">
        <x:v>光通信2028利润</x:v>
      </x:c>
      <x:c r="F19" s="41" t="n">
        <x:f>'产业推演'!G22</x:f>
        <x:v>18</x:v>
      </x:c>
      <x:c r="G19" s="41" t="n">
        <x:f>'产业推演'!G27</x:f>
        <x:v>27.360000000000003</x:v>
      </x:c>
      <x:c r="H19" s="41" t="n">
        <x:f>'产业推演'!G32</x:f>
        <x:v>59.51249999999999</x:v>
      </x:c>
      <x:c r="I19" s="3"/>
      <x:c r="J19" s="3"/>
      <x:c r="K19" s="3"/>
      <x:c r="L19" s="3"/>
      <x:c r="M19" s="3"/>
      <x:c r="N19" s="3"/>
    </x:row>
    <x:row r="20">
      <x:c r="A20" s="19" t="str">
        <x:v>观察价（内在价值-15%）</x:v>
      </x:c>
      <x:c r="B20" s="31" t="n">
        <x:f>$B$13*(1-15%)</x:f>
        <x:v>36.054406251310304</x:v>
      </x:c>
      <x:c r="C20" s="3"/>
      <x:c r="D20" s="3"/>
      <x:c r="E20" s="19" t="str">
        <x:v>光通信PE</x:v>
      </x:c>
      <x:c r="F20" s="41" t="n">
        <x:f>'产业推演'!H22</x:f>
        <x:v>10</x:v>
      </x:c>
      <x:c r="G20" s="41" t="n">
        <x:f>'产业推演'!H27</x:f>
        <x:v>14</x:v>
      </x:c>
      <x:c r="H20" s="41" t="n">
        <x:f>'产业推演'!H32</x:f>
        <x:v>18</x:v>
      </x:c>
      <x:c r="I20" s="3"/>
      <x:c r="J20" s="3"/>
      <x:c r="K20" s="3"/>
      <x:c r="L20" s="3"/>
      <x:c r="M20" s="3"/>
      <x:c r="N20" s="3"/>
    </x:row>
    <x:row r="21">
      <x:c r="A21" s="37" t="str">
        <x:v>分批价（-30%）</x:v>
      </x:c>
      <x:c r="B21" s="39" t="n">
        <x:f>$B$13*(1-30%)</x:f>
        <x:v>29.691863971667306</x:v>
      </x:c>
      <x:c r="C21" s="3"/>
      <x:c r="D21" s="3"/>
      <x:c r="E21" s="19" t="str">
        <x:v>海洋能源与通信利润</x:v>
      </x:c>
      <x:c r="F21" s="41" t="n">
        <x:f>'产业推演'!G23</x:f>
        <x:v>16.940000000000005</x:v>
      </x:c>
      <x:c r="G21" s="41" t="n">
        <x:f>'产业推演'!G28</x:f>
        <x:v>22.08</x:v>
      </x:c>
      <x:c r="H21" s="41" t="n">
        <x:f>'产业推演'!G33</x:f>
        <x:v>28.799999999999997</x:v>
      </x:c>
      <x:c r="I21" s="3"/>
      <x:c r="J21" s="3"/>
      <x:c r="K21" s="3"/>
      <x:c r="L21" s="3"/>
      <x:c r="M21" s="3"/>
      <x:c r="N21" s="3"/>
    </x:row>
    <x:row r="22">
      <x:c r="A22" s="37" t="str">
        <x:v>重仓价（-40%）</x:v>
      </x:c>
      <x:c r="B22" s="39" t="n">
        <x:f>$B$13*(1-40%)</x:f>
        <x:v>25.450169118571978</x:v>
      </x:c>
      <x:c r="C22" s="3"/>
      <x:c r="D22" s="3"/>
      <x:c r="E22" s="19" t="str">
        <x:v>海洋PE</x:v>
      </x:c>
      <x:c r="F22" s="41" t="n">
        <x:f>'产业推演'!H23</x:f>
        <x:v>14</x:v>
      </x:c>
      <x:c r="G22" s="41" t="n">
        <x:f>'产业推演'!H28</x:f>
        <x:v>17</x:v>
      </x:c>
      <x:c r="H22" s="41" t="n">
        <x:f>'产业推演'!H33</x:f>
        <x:v>20</x:v>
      </x:c>
      <x:c r="I22" s="3"/>
      <x:c r="J22" s="3"/>
      <x:c r="K22" s="3"/>
      <x:c r="L22" s="3"/>
      <x:c r="M22" s="3"/>
      <x:c r="N22" s="3"/>
    </x:row>
    <x:row r="23">
      <x:c r="A23" s="19" t="str">
        <x:v>当前价</x:v>
      </x:c>
      <x:c r="B23" s="31" t="n">
        <x:f>$B$6</x:f>
        <x:v>45.68</x:v>
      </x:c>
      <x:c r="C23" s="3"/>
      <x:c r="D23" s="3"/>
      <x:c r="E23" s="19" t="str">
        <x:v>电网+工业新能源利润</x:v>
      </x:c>
      <x:c r="F23" s="41" t="n">
        <x:f>'产业推演'!G24</x:f>
        <x:v>19.845000000000002</x:v>
      </x:c>
      <x:c r="G23" s="41" t="n">
        <x:f>'产业推演'!G29</x:f>
        <x:v>20.995200000000004</x:v>
      </x:c>
      <x:c r="H23" s="41" t="n">
        <x:f>'产业推演'!G34</x:f>
        <x:v>24.200000000000003</x:v>
      </x:c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19" t="str">
        <x:v>电网+工业PE</x:v>
      </x:c>
      <x:c r="F24" s="41" t="n">
        <x:f>'产业推演'!H24</x:f>
        <x:v>9</x:v>
      </x:c>
      <x:c r="G24" s="41" t="n">
        <x:f>'产业推演'!H29</x:f>
        <x:v>11</x:v>
      </x:c>
      <x:c r="H24" s="41" t="n">
        <x:f>'产业推演'!H34</x:f>
        <x:v>14</x:v>
      </x:c>
      <x:c r="I24" s="3"/>
      <x:c r="J24" s="3"/>
      <x:c r="K24" s="3"/>
      <x:c r="L24" s="3"/>
      <x:c r="M24" s="3"/>
      <x:c r="N24" s="3"/>
    </x:row>
    <x:row r="25" ht="22" customHeight="1">
      <x:c r="A25" s="11" t="str">
        <x:v>向特定对象发行摊薄情景测算</x:v>
      </x:c>
      <x:c r="B25" s="11" t="str">
        <x:v>向特定对象发行摊薄情景测算</x:v>
      </x:c>
      <x:c r="C25" s="11" t="str">
        <x:v>向特定对象发行摊薄情景测算</x:v>
      </x:c>
      <x:c r="D25" s="11" t="str">
        <x:v>向特定对象发行摊薄情景测算</x:v>
      </x:c>
      <x:c r="E25" s="19" t="str">
        <x:v>铜导体及其他利润</x:v>
      </x:c>
      <x:c r="F25" s="41" t="n">
        <x:f>'产业推演'!G25</x:f>
        <x:v>12.696207000000001</x:v>
      </x:c>
      <x:c r="G25" s="41" t="n">
        <x:f>'产业推演'!G30</x:f>
        <x:v>15.137093210000002</x:v>
      </x:c>
      <x:c r="H25" s="41" t="n">
        <x:f>'产业推演'!G35</x:f>
        <x:v>15.100068217500002</x:v>
      </x:c>
      <x:c r="I25" s="3"/>
      <x:c r="J25" s="3"/>
      <x:c r="K25" s="3"/>
      <x:c r="L25" s="3"/>
      <x:c r="M25" s="3"/>
      <x:c r="N25" s="3"/>
    </x:row>
    <x:row r="26">
      <x:c r="A26" s="15" t="str">
        <x:v>项目</x:v>
      </x:c>
      <x:c r="B26" s="15" t="str">
        <x:v>当前价八折</x:v>
      </x:c>
      <x:c r="C26" s="15" t="str">
        <x:v>发行价30元</x:v>
      </x:c>
      <x:c r="D26" s="15" t="str">
        <x:v>法定股数上限</x:v>
      </x:c>
      <x:c r="E26" s="19" t="str">
        <x:v>铜导体及其他PE</x:v>
      </x:c>
      <x:c r="F26" s="41" t="n">
        <x:f>'产业推演'!H25</x:f>
        <x:v>6</x:v>
      </x:c>
      <x:c r="G26" s="41" t="n">
        <x:f>'产业推演'!H30</x:f>
        <x:v>7</x:v>
      </x:c>
      <x:c r="H26" s="41" t="n">
        <x:f>'产业推演'!H35</x:f>
        <x:v>9</x:v>
      </x:c>
      <x:c r="I26" s="3"/>
      <x:c r="J26" s="3"/>
      <x:c r="K26" s="3"/>
      <x:c r="L26" s="3"/>
      <x:c r="M26" s="3"/>
      <x:c r="N26" s="3"/>
    </x:row>
    <x:row r="27">
      <x:c r="A27" s="48" t="str">
        <x:v>审批状态</x:v>
      </x:c>
      <x:c r="B27" s="48" t="str">
        <x:v>暂未提请股东会</x:v>
      </x:c>
      <x:c r="C27" s="48" t="str">
        <x:v>暂未提请股东会</x:v>
      </x:c>
      <x:c r="D27" s="48" t="str">
        <x:v>仅为法律上限</x:v>
      </x:c>
      <x:c r="E27" s="19" t="str">
        <x:v>SOTP价值/股</x:v>
      </x:c>
      <x:c r="F27" s="31" t="n">
        <x:f>(F19*F20+F21*F22+F23*F24+F25*F26)/$B$7</x:f>
        <x:v>27.2439325128809</x:v>
      </x:c>
      <x:c r="G27" s="31" t="n">
        <x:f>(G19*G20+G21*G22+G23*G24+G25*G26)/$B$7</x:f>
        <x:v>44.40927226240477</x:v>
      </x:c>
      <x:c r="H27" s="31" t="n">
        <x:f>(H19*H20+H21*H22+H23*H24+H25*H26)/$B$7</x:f>
        <x:v>86.03358236854454</x:v>
      </x:c>
      <x:c r="I27" s="3"/>
      <x:c r="J27" s="3"/>
      <x:c r="K27" s="3"/>
      <x:c r="L27" s="3"/>
      <x:c r="M27" s="3"/>
      <x:c r="N27" s="3"/>
    </x:row>
    <x:row r="28">
      <x:c r="A28" s="19" t="str">
        <x:v>发行价（元/股）</x:v>
      </x:c>
      <x:c r="B28" s="31" t="n">
        <x:f>$B$6*'数据与来源'!$O$8</x:f>
        <x:v>36.544000000000004</x:v>
      </x:c>
      <x:c r="C28" s="25" t="n">
        <x:v>30</x:v>
      </x:c>
      <x:c r="D28" s="31" t="n">
        <x:f>'数据与来源'!$K$25/'数据与来源'!$K$26</x:f>
        <x:v>8.968565296217406</x:v>
      </x:c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 ht="22" customHeight="1">
      <x:c r="A29" s="19" t="str">
        <x:v>新增股份（亿股）</x:v>
      </x:c>
      <x:c r="B29" s="31" t="n">
        <x:f>'数据与来源'!$K$25/B28</x:f>
        <x:v>1.815893169877408</x:v>
      </x:c>
      <x:c r="C29" s="31" t="n">
        <x:f>'数据与来源'!$K$25/C28</x:f>
        <x:v>2.212</x:v>
      </x:c>
      <x:c r="D29" s="31" t="n">
        <x:f>'数据与来源'!$K$26</x:f>
        <x:v>7.39917677</x:v>
      </x:c>
      <x:c r="E29" s="11" t="str">
        <x:v>所有者收益DCF：现金兑现折价器（权益现金流口径，不另扣净债务）</x:v>
      </x:c>
      <x:c r="F29" s="11" t="str">
        <x:v>所有者收益DCF：现金兑现折价器（权益现金流口径，不另扣净债务）</x:v>
      </x:c>
      <x:c r="G29" s="11" t="str">
        <x:v>所有者收益DCF：现金兑现折价器（权益现金流口径，不另扣净债务）</x:v>
      </x:c>
      <x:c r="H29" s="11" t="str">
        <x:v>所有者收益DCF：现金兑现折价器（权益现金流口径，不另扣净债务）</x:v>
      </x:c>
      <x:c r="I29" s="3"/>
      <x:c r="J29" s="3"/>
      <x:c r="K29" s="3"/>
      <x:c r="L29" s="3"/>
      <x:c r="M29" s="3"/>
      <x:c r="N29" s="3"/>
    </x:row>
    <x:row r="30">
      <x:c r="A30" s="19" t="str">
        <x:v>新增/发行前股本</x:v>
      </x:c>
      <x:c r="B30" s="32" t="n">
        <x:f>B29/$B$7</x:f>
        <x:v>0.0736254812965628</x:v>
      </x:c>
      <x:c r="C30" s="32" t="n">
        <x:f>C29/$B$7</x:f>
        <x:v>0.08968565295005304</x:v>
      </x:c>
      <x:c r="D30" s="32" t="n">
        <x:f>D29/$B$7</x:f>
        <x:v>0.299999999959455</x:v>
      </x:c>
      <x:c r="E30" s="15" t="str">
        <x:v>项目</x:v>
      </x:c>
      <x:c r="F30" s="15" t="str">
        <x:v>保守</x:v>
      </x:c>
      <x:c r="G30" s="15" t="str">
        <x:v>基准</x:v>
      </x:c>
      <x:c r="H30" s="15" t="str">
        <x:v>积极</x:v>
      </x:c>
      <x:c r="I30" s="3"/>
      <x:c r="J30" s="3"/>
      <x:c r="K30" s="3"/>
      <x:c r="L30" s="3"/>
      <x:c r="M30" s="3"/>
      <x:c r="N30" s="3"/>
    </x:row>
    <x:row r="31">
      <x:c r="A31" s="19" t="str">
        <x:v>现有股东发行后稀释</x:v>
      </x:c>
      <x:c r="B31" s="32" t="n">
        <x:f>B29/B32</x:f>
        <x:v>0.06857650323989055</x:v>
      </x:c>
      <x:c r="C31" s="32" t="n">
        <x:f>C29/C32</x:f>
        <x:v>0.08230415139196467</x:v>
      </x:c>
      <x:c r="D31" s="32" t="n">
        <x:f>D29/D32</x:f>
        <x:v>0.2307692307452396</x:v>
      </x:c>
      <x:c r="E31" s="19" t="str">
        <x:v>标准化所有者收益（亿元）</x:v>
      </x:c>
      <x:c r="F31" s="25" t="n">
        <x:v>30</x:v>
      </x:c>
      <x:c r="G31" s="25" t="n">
        <x:v>42</x:v>
      </x:c>
      <x:c r="H31" s="25" t="n">
        <x:v>55</x:v>
      </x:c>
      <x:c r="I31" s="3"/>
      <x:c r="J31" s="3"/>
      <x:c r="K31" s="3"/>
      <x:c r="L31" s="3"/>
      <x:c r="M31" s="3"/>
      <x:c r="N31" s="3"/>
    </x:row>
    <x:row r="32">
      <x:c r="A32" s="19" t="str">
        <x:v>发行后股本（亿股）</x:v>
      </x:c>
      <x:c r="B32" s="31" t="n">
        <x:f>$B$7+B29</x:f>
        <x:v>26.47981573987741</x:v>
      </x:c>
      <x:c r="C32" s="31" t="n">
        <x:f>$B$7+C29</x:f>
        <x:v>26.87592257</x:v>
      </x:c>
      <x:c r="D32" s="31" t="n">
        <x:f>$B$7+D29</x:f>
        <x:v>32.06309934</x:v>
      </x:c>
      <x:c r="E32" s="19" t="str">
        <x:v>未来5年增速</x:v>
      </x:c>
      <x:c r="F32" s="26" t="n">
        <x:v>0.05</x:v>
      </x:c>
      <x:c r="G32" s="26" t="n">
        <x:v>0.08</x:v>
      </x:c>
      <x:c r="H32" s="26" t="n">
        <x:v>0.12</x:v>
      </x:c>
      <x:c r="I32" s="3"/>
      <x:c r="J32" s="3"/>
      <x:c r="K32" s="3"/>
      <x:c r="L32" s="3"/>
      <x:c r="M32" s="3"/>
      <x:c r="N32" s="3"/>
    </x:row>
    <x:row r="33">
      <x:c r="A33" s="19" t="str">
        <x:v>控制方合计持股（若不认购）</x:v>
      </x:c>
      <x:c r="B33" s="32" t="n">
        <x:f>'数据与来源'!$O$12*$B$7/B32</x:f>
        <x:v>0.26023972499477455</x:v>
      </x:c>
      <x:c r="C33" s="32" t="n">
        <x:f>'数据与来源'!$O$12*$B$7/C32</x:f>
        <x:v>0.25640422010108505</x:v>
      </x:c>
      <x:c r="D33" s="32" t="n">
        <x:f>'数据与来源'!$O$12*$B$7/D32</x:f>
        <x:v>0.21492307692978002</x:v>
      </x:c>
      <x:c r="E33" s="19" t="str">
        <x:v>股权折现率</x:v>
      </x:c>
      <x:c r="F33" s="26" t="n">
        <x:v>0.12</x:v>
      </x:c>
      <x:c r="G33" s="26" t="n">
        <x:v>0.105</x:v>
      </x:c>
      <x:c r="H33" s="26" t="n">
        <x:v>0.095</x:v>
      </x:c>
      <x:c r="I33" s="3"/>
      <x:c r="J33" s="3"/>
      <x:c r="K33" s="3"/>
      <x:c r="L33" s="3"/>
      <x:c r="M33" s="3"/>
      <x:c r="N33" s="3"/>
    </x:row>
    <x:row r="34">
      <x:c r="A34" s="19" t="str">
        <x:v>2028E EPS（无新增利润）</x:v>
      </x:c>
      <x:c r="B34" s="31" t="n">
        <x:f>'产业推演'!$G$31/B32</x:f>
        <x:v>3.231604556867516</x:v>
      </x:c>
      <x:c r="C34" s="31" t="n">
        <x:f>'产业推演'!$G$31/C32</x:f>
        <x:v>3.183976028622708</x:v>
      </x:c>
      <x:c r="D34" s="31" t="n">
        <x:f>'产业推演'!$G$31/D32</x:f>
        <x:v>2.6688715367963556</x:v>
      </x:c>
      <x:c r="E34" s="19" t="str">
        <x:v>永续增速</x:v>
      </x:c>
      <x:c r="F34" s="26" t="n">
        <x:v>0.02</x:v>
      </x:c>
      <x:c r="G34" s="26" t="n">
        <x:v>0.03</x:v>
      </x:c>
      <x:c r="H34" s="26" t="n">
        <x:v>0.04</x:v>
      </x:c>
      <x:c r="I34" s="3"/>
      <x:c r="J34" s="3"/>
      <x:c r="K34" s="3"/>
      <x:c r="L34" s="3"/>
      <x:c r="M34" s="3"/>
      <x:c r="N34" s="3"/>
    </x:row>
    <x:row r="35">
      <x:c r="A35" s="19" t="str">
        <x:v>维持EPS所需新增净利（亿元）</x:v>
      </x:c>
      <x:c r="B35" s="31" t="n">
        <x:f>'产业推演'!$G$31*B30</x:f>
        <x:v>6.300301273236843</x:v>
      </x:c>
      <x:c r="C35" s="31" t="n">
        <x:f>'产业推演'!$G$31*C30</x:f>
        <x:v>7.674606990972241</x:v>
      </x:c>
      <x:c r="D35" s="31" t="n">
        <x:f>'产业推演'!$G$31*D30</x:f>
        <x:v>25.671687959530473</x:v>
      </x:c>
      <x:c r="E35" s="19" t="str">
        <x:v>DCF价值/股</x:v>
      </x:c>
      <x:c r="F35" s="31" t="n">
        <x:f>(F31*(1+F32)/(1+F33)+F31*(1+F32)^2/(1+F33)^2+F31*(1+F32)^3/(1+F33)^3+F31*(1+F32)^4/(1+F33)^4+F31*(1+F32)^5/(1+F33)^5+F31*(1+F32)^5*(1+F34)/(F33-F34)/(1+F33)^5)/$B$7</x:f>
        <x:v>14.01706125697493</x:v>
      </x:c>
      <x:c r="G35" s="31" t="n">
        <x:f>(G31*(1+G32)/(1+G33)+G31*(1+G32)^2/(1+G33)^2+G31*(1+G32)^3/(1+G33)^3+G31*(1+G32)^4/(1+G33)^4+G31*(1+G32)^5/(1+G33)^5+G31*(1+G32)^5*(1+G34)/(G33-G34)/(1+G33)^5)/$B$7</x:f>
        <x:v>28.811591692571916</x:v>
      </x:c>
      <x:c r="H35" s="31" t="n">
        <x:f>(H31*(1+H32)/(1+H33)+H31*(1+H32)^2/(1+H33)^2+H31*(1+H32)^3/(1+H33)^3+H31*(1+H32)^4/(1+H33)^4+H31*(1+H32)^5/(1+H33)^5+H31*(1+H32)^5*(1+H34)/(H33-H34)/(1+H33)^5)/$B$7</x:f>
        <x:v>59.14252380575564</x:v>
      </x:c>
      <x:c r="I35" s="3"/>
      <x:c r="J35" s="3"/>
      <x:c r="K35" s="3"/>
      <x:c r="L35" s="3"/>
      <x:c r="M35" s="3"/>
      <x:c r="N35" s="3"/>
    </x:row>
    <x:row r="36">
      <x:c r="A36" s="19" t="str">
        <x:v>所需净利/募资额</x:v>
      </x:c>
      <x:c r="B36" s="32" t="n">
        <x:f>B35/'数据与来源'!$K$25</x:f>
        <x:v>0.09494124884323152</x:v>
      </x:c>
      <x:c r="C36" s="32" t="n">
        <x:f>C35/'数据与来源'!$K$25</x:f>
        <x:v>0.1156510999242351</x:v>
      </x:c>
      <x:c r="D36" s="32" t="n">
        <x:f>D35/'数据与来源'!$K$25</x:f>
        <x:v>0.3868548517108269</x:v>
      </x:c>
      <x:c r="E36" s="75" t="str">
        <x:v>三法加权内在价值/股</x:v>
      </x:c>
      <x:c r="F36" s="76" t="n">
        <x:f>F13*50%+F27*35%+F35*15%</x:f>
        <x:v>25.318080485895173</x:v>
      </x:c>
      <x:c r="G36" s="76" t="n">
        <x:f>G13*50%+G27*35%+G35*15%</x:f>
        <x:v>42.4169485309533</x:v>
      </x:c>
      <x:c r="H36" s="76" t="n">
        <x:f>H13*50%+H27*35%+H35*15%</x:f>
        <x:v>82.9626262038174</x:v>
      </x:c>
      <x:c r="I36" s="3"/>
      <x:c r="J36" s="3"/>
      <x:c r="K36" s="3"/>
      <x:c r="L36" s="3"/>
      <x:c r="M36" s="3"/>
      <x:c r="N36" s="3"/>
    </x:row>
    <x:row r="37" ht="52" customHeight="1">
      <x:c r="A37" s="19" t="str">
        <x:v>解释</x:v>
      </x:c>
      <x:c r="B37" s="19" t="str">
        <x:v>实务情景应看发行后稀释约6.9%，不能把法定30%上限当成最可能结果；募资净利润回报未达约9.5%，则2028E每股收益仍会被摊薄。</x:v>
      </x:c>
      <x:c r="C37" s="19" t="str"/>
      <x:c r="D37" s="19" t="str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 ht="22" customHeight="1">
      <x:c r="A38" s="11" t="str">
        <x:v>2028归一化利润 × 目标PE敏感性（元/股）</x:v>
      </x:c>
      <x:c r="B38" s="11" t="str">
        <x:v>2028归一化利润 × 目标PE敏感性（元/股）</x:v>
      </x:c>
      <x:c r="C38" s="11" t="str">
        <x:v>2028归一化利润 × 目标PE敏感性（元/股）</x:v>
      </x:c>
      <x:c r="D38" s="11" t="str">
        <x:v>2028归一化利润 × 目标PE敏感性（元/股）</x:v>
      </x:c>
      <x:c r="E38" s="11" t="str">
        <x:v>2028归一化利润 × 目标PE敏感性（元/股）</x:v>
      </x:c>
      <x:c r="F38" s="11" t="str">
        <x:v>2028归一化利润 × 目标PE敏感性（元/股）</x:v>
      </x:c>
      <x:c r="G38" s="11" t="str">
        <x:v>2028归一化利润 × 目标PE敏感性（元/股）</x:v>
      </x:c>
      <x:c r="H38" s="11" t="str">
        <x:v>2028归一化利润 × 目标PE敏感性（元/股）</x:v>
      </x:c>
      <x:c r="I38" s="3"/>
      <x:c r="J38" s="3"/>
      <x:c r="K38" s="3"/>
      <x:c r="L38" s="3"/>
      <x:c r="M38" s="3"/>
      <x:c r="N38" s="3"/>
    </x:row>
    <x:row r="39">
      <x:c r="A39" s="15" t="str">
        <x:v>目标PE / 归母</x:v>
      </x:c>
      <x:c r="B39" s="15" t="n">
        <x:v>60</x:v>
      </x:c>
      <x:c r="C39" s="15" t="n">
        <x:v>70</x:v>
      </x:c>
      <x:c r="D39" s="15" t="n">
        <x:v>80</x:v>
      </x:c>
      <x:c r="E39" s="15" t="n">
        <x:v>90</x:v>
      </x:c>
      <x:c r="F39" s="15" t="n">
        <x:v>100</x:v>
      </x:c>
      <x:c r="G39" s="15" t="str">
        <x:v>当前价</x:v>
      </x:c>
      <x:c r="H39" s="15" t="n">
        <x:v>45.68</x:v>
      </x:c>
      <x:c r="I39" s="3"/>
      <x:c r="J39" s="3"/>
      <x:c r="K39" s="3"/>
      <x:c r="L39" s="3"/>
      <x:c r="M39" s="3"/>
      <x:c r="N39" s="3"/>
    </x:row>
    <x:row r="40">
      <x:c r="A40" s="19" t="n">
        <x:v>10</x:v>
      </x:c>
      <x:c r="B40" s="31" t="n">
        <x:f>$A40*B$39/$B$7</x:f>
        <x:v>24.327030637446573</x:v>
      </x:c>
      <x:c r="C40" s="31" t="n">
        <x:f>$A40*C$39/$B$7</x:f>
        <x:v>28.381535743687667</x:v>
      </x:c>
      <x:c r="D40" s="31" t="n">
        <x:f>$A40*D$39/$B$7</x:f>
        <x:v>32.436040849928766</x:v>
      </x:c>
      <x:c r="E40" s="31" t="n">
        <x:f>$A40*E$39/$B$7</x:f>
        <x:v>36.49054595616986</x:v>
      </x:c>
      <x:c r="F40" s="31" t="n">
        <x:f>$A40*F$39/$B$7</x:f>
        <x:v>40.545051062410955</x:v>
      </x:c>
      <x:c r="G40" s="19" t="str">
        <x:v>低于现价</x:v>
      </x:c>
      <x:c r="H40" s="19" t="str">
        <x:v>观察风险</x:v>
      </x:c>
      <x:c r="I40" s="3"/>
      <x:c r="J40" s="3"/>
      <x:c r="K40" s="3"/>
      <x:c r="L40" s="3"/>
      <x:c r="M40" s="3"/>
      <x:c r="N40" s="3"/>
    </x:row>
    <x:row r="41">
      <x:c r="A41" s="19" t="n">
        <x:v>11</x:v>
      </x:c>
      <x:c r="B41" s="31" t="n">
        <x:f>$A41*B$39/$B$7</x:f>
        <x:v>26.75973370119123</x:v>
      </x:c>
      <x:c r="C41" s="31" t="n">
        <x:f>$A41*C$39/$B$7</x:f>
        <x:v>31.219689318056435</x:v>
      </x:c>
      <x:c r="D41" s="31" t="n">
        <x:f>$A41*D$39/$B$7</x:f>
        <x:v>35.67964493492164</x:v>
      </x:c>
      <x:c r="E41" s="31" t="n">
        <x:f>$A41*E$39/$B$7</x:f>
        <x:v>40.13960055178684</x:v>
      </x:c>
      <x:c r="F41" s="31" t="n">
        <x:f>$A41*F$39/$B$7</x:f>
        <x:v>44.59955616865205</x:v>
      </x:c>
      <x:c r="G41" s="19" t="str"/>
      <x:c r="H41" s="19" t="str"/>
      <x:c r="I41" s="3"/>
      <x:c r="J41" s="3"/>
      <x:c r="K41" s="3"/>
      <x:c r="L41" s="3"/>
      <x:c r="M41" s="3"/>
      <x:c r="N41" s="3"/>
    </x:row>
    <x:row r="42">
      <x:c r="A42" s="19" t="n">
        <x:v>12</x:v>
      </x:c>
      <x:c r="B42" s="31" t="n">
        <x:f>$A42*B$39/$B$7</x:f>
        <x:v>29.192436764935888</x:v>
      </x:c>
      <x:c r="C42" s="31" t="n">
        <x:f>$A42*C$39/$B$7</x:f>
        <x:v>34.0578428924252</x:v>
      </x:c>
      <x:c r="D42" s="31" t="n">
        <x:f>$A42*D$39/$B$7</x:f>
        <x:v>38.923249019914515</x:v>
      </x:c>
      <x:c r="E42" s="31" t="n">
        <x:f>$A42*E$39/$B$7</x:f>
        <x:v>43.78865514740383</x:v>
      </x:c>
      <x:c r="F42" s="31" t="n">
        <x:f>$A42*F$39/$B$7</x:f>
        <x:v>48.654061274893145</x:v>
      </x:c>
      <x:c r="G42" s="19" t="str"/>
      <x:c r="H42" s="19" t="str"/>
      <x:c r="I42" s="3"/>
      <x:c r="J42" s="3"/>
      <x:c r="K42" s="3"/>
      <x:c r="L42" s="3"/>
      <x:c r="M42" s="3"/>
      <x:c r="N42" s="3"/>
    </x:row>
    <x:row r="43">
      <x:c r="A43" s="19" t="n">
        <x:v>13</x:v>
      </x:c>
      <x:c r="B43" s="31" t="n">
        <x:f>$A43*B$39/$B$7</x:f>
        <x:v>31.625139828680542</x:v>
      </x:c>
      <x:c r="C43" s="31" t="n">
        <x:f>$A43*C$39/$B$7</x:f>
        <x:v>36.89599646679397</x:v>
      </x:c>
      <x:c r="D43" s="31" t="n">
        <x:f>$A43*D$39/$B$7</x:f>
        <x:v>42.16685310490739</x:v>
      </x:c>
      <x:c r="E43" s="31" t="n">
        <x:f>$A43*E$39/$B$7</x:f>
        <x:v>47.43770974302082</x:v>
      </x:c>
      <x:c r="F43" s="31" t="n">
        <x:f>$A43*F$39/$B$7</x:f>
        <x:v>52.70856638113424</x:v>
      </x:c>
      <x:c r="G43" s="19" t="str"/>
      <x:c r="H43" s="19" t="str"/>
      <x:c r="I43" s="3"/>
      <x:c r="J43" s="3"/>
      <x:c r="K43" s="3"/>
      <x:c r="L43" s="3"/>
      <x:c r="M43" s="3"/>
      <x:c r="N43" s="3"/>
    </x:row>
    <x:row r="44">
      <x:c r="A44" s="19" t="n">
        <x:v>15</x:v>
      </x:c>
      <x:c r="B44" s="31" t="n">
        <x:f>$A44*B$39/$B$7</x:f>
        <x:v>36.49054595616986</x:v>
      </x:c>
      <x:c r="C44" s="31" t="n">
        <x:f>$A44*C$39/$B$7</x:f>
        <x:v>42.5723036155315</x:v>
      </x:c>
      <x:c r="D44" s="31" t="n">
        <x:f>$A44*D$39/$B$7</x:f>
        <x:v>48.654061274893145</x:v>
      </x:c>
      <x:c r="E44" s="31" t="n">
        <x:f>$A44*E$39/$B$7</x:f>
        <x:v>54.73581893425479</x:v>
      </x:c>
      <x:c r="F44" s="31" t="n">
        <x:f>$A44*F$39/$B$7</x:f>
        <x:v>60.81757659361643</x:v>
      </x:c>
      <x:c r="G44" s="19" t="str"/>
      <x:c r="H44" s="19" t="str"/>
      <x:c r="I44" s="3"/>
      <x:c r="J44" s="3"/>
      <x:c r="K44" s="3"/>
      <x:c r="L44" s="3"/>
      <x:c r="M44" s="3"/>
      <x:c r="N44" s="3"/>
    </x:row>
    <x:row r="45">
      <x:c r="A45" s="19" t="n">
        <x:v>18</x:v>
      </x:c>
      <x:c r="B45" s="31" t="n">
        <x:f>$A45*B$39/$B$7</x:f>
        <x:v>43.78865514740383</x:v>
      </x:c>
      <x:c r="C45" s="31" t="n">
        <x:f>$A45*C$39/$B$7</x:f>
        <x:v>51.0867643386378</x:v>
      </x:c>
      <x:c r="D45" s="31" t="n">
        <x:f>$A45*D$39/$B$7</x:f>
        <x:v>58.384873529871776</x:v>
      </x:c>
      <x:c r="E45" s="31" t="n">
        <x:f>$A45*E$39/$B$7</x:f>
        <x:v>65.68298272110574</x:v>
      </x:c>
      <x:c r="F45" s="31" t="n">
        <x:f>$A45*F$39/$B$7</x:f>
        <x:v>72.98109191233972</x:v>
      </x:c>
      <x:c r="G45" s="19" t="str"/>
      <x:c r="H45" s="19" t="str"/>
      <x:c r="I45" s="3"/>
      <x:c r="J45" s="3"/>
      <x:c r="K45" s="3"/>
      <x:c r="L45" s="3"/>
      <x:c r="M45" s="3"/>
      <x:c r="N45" s="3"/>
    </x:row>
    <x:row r="46">
      <x:c r="A46" s="19" t="n">
        <x:v>20</x:v>
      </x:c>
      <x:c r="B46" s="31" t="n">
        <x:f>$A46*B$39/$B$7</x:f>
        <x:v>48.654061274893145</x:v>
      </x:c>
      <x:c r="C46" s="31" t="n">
        <x:f>$A46*C$39/$B$7</x:f>
        <x:v>56.763071487375335</x:v>
      </x:c>
      <x:c r="D46" s="31" t="n">
        <x:f>$A46*D$39/$B$7</x:f>
        <x:v>64.87208169985753</x:v>
      </x:c>
      <x:c r="E46" s="31" t="n">
        <x:f>$A46*E$39/$B$7</x:f>
        <x:v>72.98109191233972</x:v>
      </x:c>
      <x:c r="F46" s="31" t="n">
        <x:f>$A46*F$39/$B$7</x:f>
        <x:v>81.09010212482191</x:v>
      </x:c>
      <x:c r="G46" s="19" t="str"/>
      <x:c r="H46" s="19" t="str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 ht="22" customHeight="1">
      <x:c r="A49" s="11" t="str">
        <x:v>模型解释与边界</x:v>
      </x:c>
      <x:c r="B49" s="11" t="str">
        <x:v>模型解释与边界</x:v>
      </x:c>
      <x:c r="C49" s="11" t="str">
        <x:v>模型解释与边界</x:v>
      </x:c>
      <x:c r="D49" s="11" t="str">
        <x:v>模型解释与边界</x:v>
      </x:c>
      <x:c r="E49" s="11" t="str">
        <x:v>模型解释与边界</x:v>
      </x:c>
      <x:c r="F49" s="11" t="str">
        <x:v>模型解释与边界</x:v>
      </x:c>
      <x:c r="G49" s="11" t="str">
        <x:v>模型解释与边界</x:v>
      </x:c>
      <x:c r="H49" s="11" t="str">
        <x:v>模型解释与边界</x:v>
      </x:c>
      <x:c r="I49" s="11" t="str">
        <x:v>模型解释与边界</x:v>
      </x:c>
      <x:c r="J49" s="11" t="str">
        <x:v>模型解释与边界</x:v>
      </x:c>
      <x:c r="K49" s="11" t="str">
        <x:v>模型解释与边界</x:v>
      </x:c>
      <x:c r="L49" s="11" t="str">
        <x:v>模型解释与边界</x:v>
      </x:c>
      <x:c r="M49" s="11" t="str">
        <x:v>模型解释与边界</x:v>
      </x:c>
      <x:c r="N49" s="11" t="str">
        <x:v>模型解释与边界</x:v>
      </x:c>
    </x:row>
    <x:row r="50" ht="32" customHeight="1">
      <x:c r="A50" s="19" t="str">
        <x:v>1</x:v>
      </x:c>
      <x:c r="B50" s="19" t="str">
        <x:v>现价是否影响目标价</x:v>
      </x:c>
      <x:c r="C50" s="19" t="str">
        <x:v>不会。现价只用于安全边际和反推市场隐含利润；2026–2028利润、目标PE、SOTP和DCF均独立设定。</x:v>
      </x:c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</x:row>
    <x:row r="51" ht="32" customHeight="1">
      <x:c r="A51" s="19" t="str">
        <x:v>2</x:v>
      </x:c>
      <x:c r="B51" s="19" t="str">
        <x:v>2027为什么不继续高增</x:v>
      </x:c>
      <x:c r="C51" s="19" t="str">
        <x:v>基准把光通信利润下调10%，由海洋、电网增长对冲，预计归母约87.5亿元，接近2026E的平台期。</x:v>
      </x:c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</x:row>
    <x:row r="52" ht="32" customHeight="1">
      <x:c r="A52" s="19" t="str">
        <x:v>3</x:v>
      </x:c>
      <x:c r="B52" s="19" t="str">
        <x:v>2028为什么更谨慎</x:v>
      </x:c>
      <x:c r="C52" s="19" t="str">
        <x:v>光棒扩产通常需要18–24个月，2026景气触发的新增供给可能在2028释放；基准归母温和回落至约85.6亿元。</x:v>
      </x:c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</x:row>
    <x:row r="53" ht="32" customHeight="1">
      <x:c r="A53" s="19" t="str">
        <x:v>4</x:v>
      </x:c>
      <x:c r="B53" s="19" t="str">
        <x:v>为什么不用纯科技股倍数</x:v>
      </x:c>
      <x:c r="C53" s="19" t="str">
        <x:v>智能电网、铜导体、工业新能源与工程交付占比高，且整体资本开支和营运资本需求大。</x:v>
      </x:c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</x:row>
    <x:row r="54" ht="32" customHeight="1">
      <x:c r="A54" s="19" t="str">
        <x:v>5</x:v>
      </x:c>
      <x:c r="B54" s="19" t="str">
        <x:v>为什么PB不再加权</x:v>
      </x:c>
      <x:c r="C54" s="19" t="str">
        <x:v>原基准3.5倍PB隐含约24%的可持续ROE，高于十年平均约13%；新版只做合理性检查。</x:v>
      </x:c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</x:row>
    <x:row r="55" ht="32" customHeight="1">
      <x:c r="A55" s="19" t="str">
        <x:v>6</x:v>
      </x:c>
      <x:c r="B55" s="19" t="str">
        <x:v>为什么DCF最低</x:v>
      </x:c>
      <x:c r="C55" s="19" t="str">
        <x:v>所有者收益需扣除维持经营的资本开支；十年累计自由现金流为负，2026H1自由现金流也为负。</x:v>
      </x:c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</x:row>
    <x:row r="56" ht="32" customHeight="1">
      <x:c r="A56" s="19" t="str">
        <x:v>7</x:v>
      </x:c>
      <x:c r="B56" s="19" t="str">
        <x:v>如何使用</x:v>
      </x:c>
      <x:c r="C56" s="19" t="str">
        <x:v>先在B5选择情景，再到产业推演修改蓝色假设。正式三季报后更新收入、毛利、经营现金流、订单和产能。</x:v>
      </x:c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</x:sheetData>
  <x:mergeCells>
    <x:mergeCell ref="A1:N1"/>
    <x:mergeCell ref="A2:N2"/>
    <x:mergeCell ref="A4:B4"/>
    <x:mergeCell ref="I4:N4"/>
    <x:mergeCell ref="M5:N10"/>
    <x:mergeCell ref="I12:N12"/>
    <x:mergeCell ref="M13:N13"/>
    <x:mergeCell ref="M14:N14"/>
    <x:mergeCell ref="M15:N15"/>
    <x:mergeCell ref="M16:N16"/>
    <x:mergeCell ref="M17:N17"/>
    <x:mergeCell ref="E17:H17"/>
    <x:mergeCell ref="E29:H29"/>
    <x:mergeCell ref="A18:B18"/>
    <x:mergeCell ref="A25:D25"/>
    <x:mergeCell ref="B37:D37"/>
    <x:mergeCell ref="A38:H38"/>
    <x:mergeCell ref="A49:N49"/>
    <x:mergeCell ref="C50:N50"/>
    <x:mergeCell ref="C51:N51"/>
    <x:mergeCell ref="C52:N52"/>
    <x:mergeCell ref="C53:N53"/>
    <x:mergeCell ref="C54:N54"/>
    <x:mergeCell ref="C55:N55"/>
    <x:mergeCell ref="C56:N56"/>
  </x:mergeCells>
  <x:conditionalFormatting sqref="B40:F46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dataValidations count="1">
    <x:dataValidation type="list" sqref="B5">
      <x:formula1>"保守,基准,积极"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0" hidden="0" customWidth="1"/>
    <x:col min="15" max="15" width="32" hidden="0" customWidth="1"/>
  </x:cols>
  <x:sheetData>
    <x:row r="1" ht="27" customHeight="1">
      <x:c r="A1" s="6" t="str">
        <x:v>亨通光电｜2026–2028产业推演</x:v>
      </x:c>
      <x:c r="B1" s="6" t="str">
        <x:v>亨通光电｜2026–2028产业推演</x:v>
      </x:c>
      <x:c r="C1" s="6" t="str">
        <x:v>亨通光电｜2026–2028产业推演</x:v>
      </x:c>
      <x:c r="D1" s="6" t="str">
        <x:v>亨通光电｜2026–2028产业推演</x:v>
      </x:c>
      <x:c r="E1" s="6" t="str">
        <x:v>亨通光电｜2026–2028产业推演</x:v>
      </x:c>
      <x:c r="F1" s="6" t="str">
        <x:v>亨通光电｜2026–2028产业推演</x:v>
      </x:c>
      <x:c r="G1" s="6" t="str">
        <x:v>亨通光电｜2026–2028产业推演</x:v>
      </x:c>
      <x:c r="H1" s="6" t="str">
        <x:v>亨通光电｜2026–2028产业推演</x:v>
      </x:c>
      <x:c r="I1" s="6" t="str">
        <x:v>亨通光电｜2026–2028产业推演</x:v>
      </x:c>
      <x:c r="J1" s="6" t="str">
        <x:v>亨通光电｜2026–2028产业推演</x:v>
      </x:c>
      <x:c r="K1" s="6" t="str">
        <x:v>亨通光电｜2026–2028产业推演</x:v>
      </x:c>
      <x:c r="L1" s="6" t="str">
        <x:v>亨通光电｜2026–2028产业推演</x:v>
      </x:c>
      <x:c r="M1" s="6" t="str">
        <x:v>亨通光电｜2026–2028产业推演</x:v>
      </x:c>
      <x:c r="N1" s="6" t="str">
        <x:v>亨通光电｜2026–2028产业推演</x:v>
      </x:c>
      <x:c r="O1" s="6" t="str">
        <x:v>亨通光电｜2026–2028产业推演</x:v>
      </x:c>
    </x:row>
    <x:row r="2" ht="27" customHeight="1">
      <x:c r="A2" s="9" t="str">
        <x:v>把“同比爆发能否重复”与“利润平台能否维持”分开：前者概率低，后者尚未被证伪；2027供需仍可能偏紧，2028重点看新增供给投放与现金兑现。</x:v>
      </x:c>
      <x:c r="B2" s="9" t="str">
        <x:v>把“同比爆发能否重复”与“利润平台能否维持”分开：前者概率低，后者尚未被证伪；2027供需仍可能偏紧，2028重点看新增供给投放与现金兑现。</x:v>
      </x:c>
      <x:c r="C2" s="9" t="str">
        <x:v>把“同比爆发能否重复”与“利润平台能否维持”分开：前者概率低，后者尚未被证伪；2027供需仍可能偏紧，2028重点看新增供给投放与现金兑现。</x:v>
      </x:c>
      <x:c r="D2" s="9" t="str">
        <x:v>把“同比爆发能否重复”与“利润平台能否维持”分开：前者概率低，后者尚未被证伪；2027供需仍可能偏紧，2028重点看新增供给投放与现金兑现。</x:v>
      </x:c>
      <x:c r="E2" s="9" t="str">
        <x:v>把“同比爆发能否重复”与“利润平台能否维持”分开：前者概率低，后者尚未被证伪；2027供需仍可能偏紧，2028重点看新增供给投放与现金兑现。</x:v>
      </x:c>
      <x:c r="F2" s="9" t="str">
        <x:v>把“同比爆发能否重复”与“利润平台能否维持”分开：前者概率低，后者尚未被证伪；2027供需仍可能偏紧，2028重点看新增供给投放与现金兑现。</x:v>
      </x:c>
      <x:c r="G2" s="9" t="str">
        <x:v>把“同比爆发能否重复”与“利润平台能否维持”分开：前者概率低，后者尚未被证伪；2027供需仍可能偏紧，2028重点看新增供给投放与现金兑现。</x:v>
      </x:c>
      <x:c r="H2" s="9" t="str">
        <x:v>把“同比爆发能否重复”与“利润平台能否维持”分开：前者概率低，后者尚未被证伪；2027供需仍可能偏紧，2028重点看新增供给投放与现金兑现。</x:v>
      </x:c>
      <x:c r="I2" s="9" t="str">
        <x:v>把“同比爆发能否重复”与“利润平台能否维持”分开：前者概率低，后者尚未被证伪；2027供需仍可能偏紧，2028重点看新增供给投放与现金兑现。</x:v>
      </x:c>
      <x:c r="J2" s="9" t="str">
        <x:v>把“同比爆发能否重复”与“利润平台能否维持”分开：前者概率低，后者尚未被证伪；2027供需仍可能偏紧，2028重点看新增供给投放与现金兑现。</x:v>
      </x:c>
      <x:c r="K2" s="9" t="str">
        <x:v>把“同比爆发能否重复”与“利润平台能否维持”分开：前者概率低，后者尚未被证伪；2027供需仍可能偏紧，2028重点看新增供给投放与现金兑现。</x:v>
      </x:c>
      <x:c r="L2" s="9" t="str">
        <x:v>把“同比爆发能否重复”与“利润平台能否维持”分开：前者概率低，后者尚未被证伪；2027供需仍可能偏紧，2028重点看新增供给投放与现金兑现。</x:v>
      </x:c>
      <x:c r="M2" s="9" t="str">
        <x:v>把“同比爆发能否重复”与“利润平台能否维持”分开：前者概率低，后者尚未被证伪；2027供需仍可能偏紧，2028重点看新增供给投放与现金兑现。</x:v>
      </x:c>
      <x:c r="N2" s="9" t="str">
        <x:v>把“同比爆发能否重复”与“利润平台能否维持”分开：前者概率低，后者尚未被证伪；2027供需仍可能偏紧，2028重点看新增供给投放与现金兑现。</x:v>
      </x:c>
      <x:c r="O2" s="9" t="str">
        <x:v>把“同比爆发能否重复”与“利润平台能否维持”分开：前者概率低，后者尚未被证伪；2027供需仍可能偏紧，2028重点看新增供给投放与现金兑现。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44" t="str">
        <x:v>当前情景</x:v>
      </x:c>
      <x:c r="B4" s="46" t="str">
        <x:f>'估值模型'!B5</x:f>
        <x:v>基准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22" customHeight="1">
      <x:c r="A6" s="11" t="str">
        <x:v>行业节奏与盈利含义</x:v>
      </x:c>
      <x:c r="B6" s="11" t="str">
        <x:v>行业节奏与盈利含义</x:v>
      </x:c>
      <x:c r="C6" s="11" t="str">
        <x:v>行业节奏与盈利含义</x:v>
      </x:c>
      <x:c r="D6" s="11" t="str">
        <x:v>行业节奏与盈利含义</x:v>
      </x:c>
      <x:c r="E6" s="11" t="str">
        <x:v>行业节奏与盈利含义</x:v>
      </x:c>
      <x:c r="F6" s="11" t="str">
        <x:v>行业节奏与盈利含义</x:v>
      </x:c>
      <x:c r="G6" s="11" t="str">
        <x:v>行业节奏与盈利含义</x:v>
      </x:c>
      <x:c r="H6" s="11" t="str">
        <x:v>行业节奏与盈利含义</x:v>
      </x:c>
      <x:c r="I6" s="11" t="str">
        <x:v>行业节奏与盈利含义</x:v>
      </x:c>
      <x:c r="J6" s="11" t="str">
        <x:v>行业节奏与盈利含义</x:v>
      </x:c>
      <x:c r="K6" s="11" t="str">
        <x:v>行业节奏与盈利含义</x:v>
      </x:c>
      <x:c r="L6" s="11" t="str">
        <x:v>行业节奏与盈利含义</x:v>
      </x:c>
      <x:c r="M6" s="11" t="str">
        <x:v>行业节奏与盈利含义</x:v>
      </x:c>
      <x:c r="N6" s="11" t="str">
        <x:v>行业节奏与盈利含义</x:v>
      </x:c>
      <x:c r="O6" s="3"/>
    </x:row>
    <x:row r="7">
      <x:c r="A7" s="15" t="str">
        <x:v>年份</x:v>
      </x:c>
      <x:c r="B7" s="15" t="str">
        <x:v>供给与价格</x:v>
      </x:c>
      <x:c r="C7" s="15" t="str"/>
      <x:c r="D7" s="15" t="str"/>
      <x:c r="E7" s="15" t="str"/>
      <x:c r="F7" s="15" t="str">
        <x:v>需求</x:v>
      </x:c>
      <x:c r="G7" s="15" t="str"/>
      <x:c r="H7" s="15" t="str"/>
      <x:c r="I7" s="15" t="str">
        <x:v>盈利含义</x:v>
      </x:c>
      <x:c r="J7" s="15" t="str"/>
      <x:c r="K7" s="15" t="str"/>
      <x:c r="L7" s="15" t="str">
        <x:v>关键验证</x:v>
      </x:c>
      <x:c r="M7" s="15" t="str"/>
      <x:c r="N7" s="15" t="str"/>
      <x:c r="O7" s="3"/>
    </x:row>
    <x:row r="8" ht="46" customHeight="1">
      <x:c r="A8" s="19" t="n">
        <x:v>2026</x:v>
      </x:c>
      <x:c r="B8" s="19" t="str">
        <x:v>光纤供给偏紧、价格快速抬升；公司披露G.652.D现货价年内上涨165%</x:v>
      </x:c>
      <x:c r="C8" s="19" t="str"/>
      <x:c r="D8" s="19" t="str"/>
      <x:c r="E8" s="19" t="str"/>
      <x:c r="F8" s="19" t="str">
        <x:v>AI数据中心、运营商算力网络、海上风电</x:v>
      </x:c>
      <x:c r="G8" s="19" t="str"/>
      <x:c r="H8" s="19" t="str"/>
      <x:c r="I8" s="19" t="str">
        <x:v>光通信利润跃升，但不能直接当长期常态</x:v>
      </x:c>
      <x:c r="J8" s="19" t="str"/>
      <x:c r="K8" s="19" t="str"/>
      <x:c r="L8" s="19" t="str">
        <x:v>季度报价、光棒/光纤开工率、光通信毛利率</x:v>
      </x:c>
      <x:c r="M8" s="19" t="str"/>
      <x:c r="N8" s="19" t="str"/>
      <x:c r="O8" s="3"/>
    </x:row>
    <x:row r="9" ht="46" customHeight="1">
      <x:c r="A9" s="19" t="n">
        <x:v>2027</x:v>
      </x:c>
      <x:c r="B9" s="19" t="str">
        <x:v>光棒扩产周期约18–24个月，供需仍可能偏紧；边际供给开始增加</x:v>
      </x:c>
      <x:c r="C9" s="19" t="str"/>
      <x:c r="D9" s="19" t="str"/>
      <x:c r="E9" s="19" t="str"/>
      <x:c r="F9" s="19" t="str">
        <x:v>AI光互连与海洋订单继续增长</x:v>
      </x:c>
      <x:c r="G9" s="19" t="str"/>
      <x:c r="H9" s="19" t="str"/>
      <x:c r="I9" s="19" t="str">
        <x:v>基准假设量增对冲部分ASP/毛利回落，光通信利润-10%</x:v>
      </x:c>
      <x:c r="J9" s="19" t="str"/>
      <x:c r="K9" s="19" t="str"/>
      <x:c r="L9" s="19" t="str">
        <x:v>新产能投放进度、运营商资本开支、订单交付</x:v>
      </x:c>
      <x:c r="M9" s="19" t="str"/>
      <x:c r="N9" s="19" t="str"/>
      <x:c r="O9" s="3"/>
    </x:row>
    <x:row r="10" ht="46" customHeight="1">
      <x:c r="A10" s="19" t="n">
        <x:v>2028</x:v>
      </x:c>
      <x:c r="B10" s="19" t="str">
        <x:v>前期扩产逐步投放，供给反转风险明显上升</x:v>
      </x:c>
      <x:c r="C10" s="19" t="str"/>
      <x:c r="D10" s="19" t="str"/>
      <x:c r="E10" s="19" t="str"/>
      <x:c r="F10" s="19" t="str">
        <x:v>需求仍增长，但更依赖高端产品与海外份额</x:v>
      </x:c>
      <x:c r="G10" s="19" t="str"/>
      <x:c r="H10" s="19" t="str"/>
      <x:c r="I10" s="19" t="str">
        <x:v>基准光通信利润再-20%，海洋与电网增长对冲</x:v>
      </x:c>
      <x:c r="J10" s="19" t="str"/>
      <x:c r="K10" s="19" t="str"/>
      <x:c r="L10" s="19" t="str">
        <x:v>行业库存、价格、CPO/空芯光纤规模收入</x:v>
      </x:c>
      <x:c r="M10" s="19" t="str"/>
      <x:c r="N10" s="19" t="str"/>
      <x:c r="O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22" customHeight="1">
      <x:c r="A13" s="11" t="str">
        <x:v>分业务预测驱动：蓝色为可编辑假设；新增O列专门检验利润能否持续</x:v>
      </x:c>
      <x:c r="B13" s="11" t="str">
        <x:v>分业务预测驱动：蓝色为可编辑假设；新增O列专门检验利润能否持续</x:v>
      </x:c>
      <x:c r="C13" s="11" t="str">
        <x:v>分业务预测驱动：蓝色为可编辑假设；新增O列专门检验利润能否持续</x:v>
      </x:c>
      <x:c r="D13" s="11" t="str">
        <x:v>分业务预测驱动：蓝色为可编辑假设；新增O列专门检验利润能否持续</x:v>
      </x:c>
      <x:c r="E13" s="11" t="str">
        <x:v>分业务预测驱动：蓝色为可编辑假设；新增O列专门检验利润能否持续</x:v>
      </x:c>
      <x:c r="F13" s="11" t="str">
        <x:v>分业务预测驱动：蓝色为可编辑假设；新增O列专门检验利润能否持续</x:v>
      </x:c>
      <x:c r="G13" s="11" t="str">
        <x:v>分业务预测驱动：蓝色为可编辑假设；新增O列专门检验利润能否持续</x:v>
      </x:c>
      <x:c r="H13" s="11" t="str">
        <x:v>分业务预测驱动：蓝色为可编辑假设；新增O列专门检验利润能否持续</x:v>
      </x:c>
      <x:c r="I13" s="11" t="str">
        <x:v>分业务预测驱动：蓝色为可编辑假设；新增O列专门检验利润能否持续</x:v>
      </x:c>
      <x:c r="J13" s="11" t="str">
        <x:v>分业务预测驱动：蓝色为可编辑假设；新增O列专门检验利润能否持续</x:v>
      </x:c>
      <x:c r="K13" s="11" t="str">
        <x:v>分业务预测驱动：蓝色为可编辑假设；新增O列专门检验利润能否持续</x:v>
      </x:c>
      <x:c r="L13" s="11" t="str">
        <x:v>分业务预测驱动：蓝色为可编辑假设；新增O列专门检验利润能否持续</x:v>
      </x:c>
      <x:c r="M13" s="11" t="str">
        <x:v>分业务预测驱动：蓝色为可编辑假设；新增O列专门检验利润能否持续</x:v>
      </x:c>
      <x:c r="N13" s="11" t="str">
        <x:v>分业务预测驱动：蓝色为可编辑假设；新增O列专门检验利润能否持续</x:v>
      </x:c>
      <x:c r="O13" s="11" t="str">
        <x:v>分业务预测驱动：蓝色为可编辑假设；新增O列专门检验利润能否持续</x:v>
      </x:c>
    </x:row>
    <x:row r="14">
      <x:c r="A14" s="15" t="str">
        <x:v>业务</x:v>
      </x:c>
      <x:c r="B14" s="15" t="str">
        <x:v>2026E利润 保守</x:v>
      </x:c>
      <x:c r="C14" s="15" t="str">
        <x:v>2026E利润 基准</x:v>
      </x:c>
      <x:c r="D14" s="15" t="str">
        <x:v>2026E利润 积极</x:v>
      </x:c>
      <x:c r="E14" s="15" t="str">
        <x:v>2027增速 保守</x:v>
      </x:c>
      <x:c r="F14" s="15" t="str">
        <x:v>2027增速 基准</x:v>
      </x:c>
      <x:c r="G14" s="15" t="str">
        <x:v>2027增速 积极</x:v>
      </x:c>
      <x:c r="H14" s="15" t="str">
        <x:v>2028增速 保守</x:v>
      </x:c>
      <x:c r="I14" s="15" t="str">
        <x:v>2028增速 基准</x:v>
      </x:c>
      <x:c r="J14" s="15" t="str">
        <x:v>2028增速 积极</x:v>
      </x:c>
      <x:c r="K14" s="15" t="str">
        <x:v>2028 PE 保守</x:v>
      </x:c>
      <x:c r="L14" s="15" t="str">
        <x:v>2028 PE 基准</x:v>
      </x:c>
      <x:c r="M14" s="15" t="str">
        <x:v>2028 PE 积极</x:v>
      </x:c>
      <x:c r="N14" s="15" t="str">
        <x:v>产业逻辑</x:v>
      </x:c>
      <x:c r="O14" s="15" t="str">
        <x:v>利润持续性判断</x:v>
      </x:c>
    </x:row>
    <x:row r="15" ht="54" customHeight="1">
      <x:c r="A15" s="19" t="str">
        <x:v>光通信</x:v>
      </x:c>
      <x:c r="B15" s="25" t="n">
        <x:v>30</x:v>
      </x:c>
      <x:c r="C15" s="25" t="n">
        <x:v>38</x:v>
      </x:c>
      <x:c r="D15" s="25" t="n">
        <x:v>45</x:v>
      </x:c>
      <x:c r="E15" s="26" t="n">
        <x:v>-0.2</x:v>
      </x:c>
      <x:c r="F15" s="26" t="n">
        <x:v>-0.1</x:v>
      </x:c>
      <x:c r="G15" s="26" t="n">
        <x:v>0.15</x:v>
      </x:c>
      <x:c r="H15" s="26" t="n">
        <x:v>-0.25</x:v>
      </x:c>
      <x:c r="I15" s="26" t="n">
        <x:v>-0.2</x:v>
      </x:c>
      <x:c r="J15" s="26" t="n">
        <x:v>0.15</x:v>
      </x:c>
      <x:c r="K15" s="47" t="n">
        <x:v>10</x:v>
      </x:c>
      <x:c r="L15" s="47" t="n">
        <x:v>14</x:v>
      </x:c>
      <x:c r="M15" s="47" t="n">
        <x:v>18</x:v>
      </x:c>
      <x:c r="N15" s="19" t="str">
        <x:v>2026受AI需求、供给偏紧与价格上涨共振；2027仍可能偏紧，2028防扩产释放</x:v>
      </x:c>
      <x:c r="O15" s="49" t="str">
        <x:v>中：高利润可望延续至2027，但爆发增速与高价格不能按永续外推</x:v>
      </x:c>
    </x:row>
    <x:row r="16" ht="54" customHeight="1">
      <x:c r="A16" s="19" t="str">
        <x:v>海洋能源与通信</x:v>
      </x:c>
      <x:c r="B16" s="25" t="n">
        <x:v>14</x:v>
      </x:c>
      <x:c r="C16" s="25" t="n">
        <x:v>16</x:v>
      </x:c>
      <x:c r="D16" s="25" t="n">
        <x:v>20</x:v>
      </x:c>
      <x:c r="E16" s="26" t="n">
        <x:v>0.1</x:v>
      </x:c>
      <x:c r="F16" s="26" t="n">
        <x:v>0.2</x:v>
      </x:c>
      <x:c r="G16" s="26" t="n">
        <x:v>0.2</x:v>
      </x:c>
      <x:c r="H16" s="26" t="n">
        <x:v>0.1</x:v>
      </x:c>
      <x:c r="I16" s="26" t="n">
        <x:v>0.15</x:v>
      </x:c>
      <x:c r="J16" s="26" t="n">
        <x:v>0.2</x:v>
      </x:c>
      <x:c r="K16" s="47" t="n">
        <x:v>14</x:v>
      </x:c>
      <x:c r="L16" s="47" t="n">
        <x:v>17</x:v>
      </x:c>
      <x:c r="M16" s="47" t="n">
        <x:v>20</x:v>
      </x:c>
      <x:c r="N16" s="19" t="str">
        <x:v>全球海风与海缆增长，订单兑现受项目节奏影响</x:v>
      </x:c>
      <x:c r="O16" s="49" t="str">
        <x:v>中高：订单与系统交付壁垒支撑；验收节奏会造成年度波动</x:v>
      </x:c>
    </x:row>
    <x:row r="17" ht="54" customHeight="1">
      <x:c r="A17" s="19" t="str">
        <x:v>电网+工业新能源</x:v>
      </x:c>
      <x:c r="B17" s="25" t="n">
        <x:v>18</x:v>
      </x:c>
      <x:c r="C17" s="25" t="n">
        <x:v>18</x:v>
      </x:c>
      <x:c r="D17" s="25" t="n">
        <x:v>20</x:v>
      </x:c>
      <x:c r="E17" s="26" t="n">
        <x:v>0.05</x:v>
      </x:c>
      <x:c r="F17" s="26" t="n">
        <x:v>0.08</x:v>
      </x:c>
      <x:c r="G17" s="26" t="n">
        <x:v>0.1</x:v>
      </x:c>
      <x:c r="H17" s="26" t="n">
        <x:v>0.05</x:v>
      </x:c>
      <x:c r="I17" s="26" t="n">
        <x:v>0.08</x:v>
      </x:c>
      <x:c r="J17" s="26" t="n">
        <x:v>0.1</x:v>
      </x:c>
      <x:c r="K17" s="47" t="n">
        <x:v>9</x:v>
      </x:c>
      <x:c r="L17" s="47" t="n">
        <x:v>11</x:v>
      </x:c>
      <x:c r="M17" s="47" t="n">
        <x:v>14</x:v>
      </x:c>
      <x:c r="N17" s="19" t="str">
        <x:v>电网投资与设备更新支撑，按制造/工程而非科技股估值</x:v>
      </x:c>
      <x:c r="O17" s="49" t="str">
        <x:v>中：政策与投资支撑较稳，但更像稳增制造业，不是利润爆发源</x:v>
      </x:c>
    </x:row>
    <x:row r="18" ht="54" customHeight="1">
      <x:c r="A18" s="19" t="str">
        <x:v>铜导体及其他</x:v>
      </x:c>
      <x:c r="B18" s="31" t="n">
        <x:f>'估值模型'!F7-SUM(B15:B17)</x:f>
        <x:v>12.696207000000001</x:v>
      </x:c>
      <x:c r="C18" s="31" t="n">
        <x:f>'估值模型'!G7-SUM(C15:C17)</x:f>
        <x:v>14.696207000000001</x:v>
      </x:c>
      <x:c r="D18" s="31" t="n">
        <x:f>'估值模型'!H7-SUM(D15:D17)</x:f>
        <x:v>13.696207000000001</x:v>
      </x:c>
      <x:c r="E18" s="26" t="n">
        <x:v>0</x:v>
      </x:c>
      <x:c r="F18" s="26" t="n">
        <x:v>0</x:v>
      </x:c>
      <x:c r="G18" s="26" t="n">
        <x:v>0.05</x:v>
      </x:c>
      <x:c r="H18" s="26" t="n">
        <x:v>0</x:v>
      </x:c>
      <x:c r="I18" s="26" t="n">
        <x:v>0.03</x:v>
      </x:c>
      <x:c r="J18" s="26" t="n">
        <x:v>0.05</x:v>
      </x:c>
      <x:c r="K18" s="47" t="n">
        <x:v>6</x:v>
      </x:c>
      <x:c r="L18" s="47" t="n">
        <x:v>7</x:v>
      </x:c>
      <x:c r="M18" s="47" t="n">
        <x:v>9</x:v>
      </x:c>
      <x:c r="N18" s="19" t="str">
        <x:v>利润为2026总归母减前三项；低毛利、重营运资本，给低倍数</x:v>
      </x:c>
      <x:c r="O18" s="49" t="str">
        <x:v>低：加工属性、原料波动与营运资金占用限制持续高增长</x:v>
      </x:c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22" customHeight="1">
      <x:c r="A20" s="11" t="str">
        <x:v>三情景分业务利润与2028估值</x:v>
      </x:c>
      <x:c r="B20" s="11" t="str">
        <x:v>三情景分业务利润与2028估值</x:v>
      </x:c>
      <x:c r="C20" s="11" t="str">
        <x:v>三情景分业务利润与2028估值</x:v>
      </x:c>
      <x:c r="D20" s="11" t="str">
        <x:v>三情景分业务利润与2028估值</x:v>
      </x:c>
      <x:c r="E20" s="11" t="str">
        <x:v>三情景分业务利润与2028估值</x:v>
      </x:c>
      <x:c r="F20" s="11" t="str">
        <x:v>三情景分业务利润与2028估值</x:v>
      </x:c>
      <x:c r="G20" s="11" t="str">
        <x:v>三情景分业务利润与2028估值</x:v>
      </x:c>
      <x:c r="H20" s="11" t="str">
        <x:v>三情景分业务利润与2028估值</x:v>
      </x:c>
      <x:c r="I20" s="11" t="str">
        <x:v>三情景分业务利润与2028估值</x:v>
      </x:c>
      <x:c r="J20" s="11" t="str">
        <x:v>三情景分业务利润与2028估值</x:v>
      </x:c>
      <x:c r="K20" s="3"/>
      <x:c r="L20" s="3"/>
      <x:c r="M20" s="3"/>
      <x:c r="N20" s="3"/>
      <x:c r="O20" s="3"/>
    </x:row>
    <x:row r="21">
      <x:c r="A21" s="15" t="str">
        <x:v>情景</x:v>
      </x:c>
      <x:c r="B21" s="15" t="str">
        <x:v>业务</x:v>
      </x:c>
      <x:c r="C21" s="15" t="str">
        <x:v>2026E利润</x:v>
      </x:c>
      <x:c r="D21" s="15" t="str">
        <x:v>2027E增速</x:v>
      </x:c>
      <x:c r="E21" s="15" t="str">
        <x:v>2027E利润</x:v>
      </x:c>
      <x:c r="F21" s="15" t="str">
        <x:v>2028E增速</x:v>
      </x:c>
      <x:c r="G21" s="15" t="str">
        <x:v>2028E利润</x:v>
      </x:c>
      <x:c r="H21" s="15" t="str">
        <x:v>2028 PE</x:v>
      </x:c>
      <x:c r="I21" s="15" t="str">
        <x:v>估值额</x:v>
      </x:c>
      <x:c r="J21" s="15" t="str">
        <x:v>每股价值</x:v>
      </x:c>
      <x:c r="K21" s="3"/>
      <x:c r="L21" s="3"/>
      <x:c r="M21" s="3"/>
      <x:c r="N21" s="3"/>
      <x:c r="O21" s="3"/>
    </x:row>
    <x:row r="22">
      <x:c r="A22" s="19" t="str">
        <x:v>保守</x:v>
      </x:c>
      <x:c r="B22" s="19" t="str">
        <x:f>A15</x:f>
        <x:v>光通信</x:v>
      </x:c>
      <x:c r="C22" s="31" t="n">
        <x:f>B15</x:f>
        <x:v>30</x:v>
      </x:c>
      <x:c r="D22" s="32" t="n">
        <x:f>E15</x:f>
        <x:v>-0.2</x:v>
      </x:c>
      <x:c r="E22" s="31" t="n">
        <x:f>C22*(1+D22)</x:f>
        <x:v>24</x:v>
      </x:c>
      <x:c r="F22" s="32" t="n">
        <x:f>H15</x:f>
        <x:v>-0.25</x:v>
      </x:c>
      <x:c r="G22" s="31" t="n">
        <x:f>E22*(1+F22)</x:f>
        <x:v>18</x:v>
      </x:c>
      <x:c r="H22" s="56" t="n">
        <x:f>K15</x:f>
        <x:v>10</x:v>
      </x:c>
      <x:c r="I22" s="31" t="n">
        <x:f>G22*H22</x:f>
        <x:v>180</x:v>
      </x:c>
      <x:c r="J22" s="31" t="n">
        <x:f>I22/'估值模型'!$B$7</x:f>
        <x:v>7.298109191233972</x:v>
      </x:c>
      <x:c r="K22" s="3"/>
      <x:c r="L22" s="3"/>
      <x:c r="M22" s="3"/>
      <x:c r="N22" s="3"/>
      <x:c r="O22" s="3"/>
    </x:row>
    <x:row r="23">
      <x:c r="A23" s="19" t="str">
        <x:v>保守</x:v>
      </x:c>
      <x:c r="B23" s="19" t="str">
        <x:f>A16</x:f>
        <x:v>海洋能源与通信</x:v>
      </x:c>
      <x:c r="C23" s="31" t="n">
        <x:f>B16</x:f>
        <x:v>14</x:v>
      </x:c>
      <x:c r="D23" s="32" t="n">
        <x:f>E16</x:f>
        <x:v>0.1</x:v>
      </x:c>
      <x:c r="E23" s="31" t="n">
        <x:f>C23*(1+D23)</x:f>
        <x:v>15.400000000000002</x:v>
      </x:c>
      <x:c r="F23" s="32" t="n">
        <x:f>H16</x:f>
        <x:v>0.1</x:v>
      </x:c>
      <x:c r="G23" s="31" t="n">
        <x:f>E23*(1+F23)</x:f>
        <x:v>16.940000000000005</x:v>
      </x:c>
      <x:c r="H23" s="56" t="n">
        <x:f>K16</x:f>
        <x:v>14</x:v>
      </x:c>
      <x:c r="I23" s="31" t="n">
        <x:f>G23*H23</x:f>
        <x:v>237.16000000000008</x:v>
      </x:c>
      <x:c r="J23" s="31" t="n">
        <x:f>I23/'估值模型'!$B$7</x:f>
        <x:v>9.615664309961385</x:v>
      </x:c>
      <x:c r="K23" s="3"/>
      <x:c r="L23" s="3"/>
      <x:c r="M23" s="3"/>
      <x:c r="N23" s="3"/>
      <x:c r="O23" s="3"/>
    </x:row>
    <x:row r="24">
      <x:c r="A24" s="19" t="str">
        <x:v>保守</x:v>
      </x:c>
      <x:c r="B24" s="19" t="str">
        <x:f>A17</x:f>
        <x:v>电网+工业新能源</x:v>
      </x:c>
      <x:c r="C24" s="31" t="n">
        <x:f>B17</x:f>
        <x:v>18</x:v>
      </x:c>
      <x:c r="D24" s="32" t="n">
        <x:f>E17</x:f>
        <x:v>0.05</x:v>
      </x:c>
      <x:c r="E24" s="31" t="n">
        <x:f>C24*(1+D24)</x:f>
        <x:v>18.900000000000002</x:v>
      </x:c>
      <x:c r="F24" s="32" t="n">
        <x:f>H17</x:f>
        <x:v>0.05</x:v>
      </x:c>
      <x:c r="G24" s="31" t="n">
        <x:f>E24*(1+F24)</x:f>
        <x:v>19.845000000000002</x:v>
      </x:c>
      <x:c r="H24" s="56" t="n">
        <x:f>K17</x:f>
        <x:v>9</x:v>
      </x:c>
      <x:c r="I24" s="31" t="n">
        <x:f>G24*H24</x:f>
        <x:v>178.60500000000002</x:v>
      </x:c>
      <x:c r="J24" s="31" t="n">
        <x:f>I24/'估值模型'!$B$7</x:f>
        <x:v>7.241548845001909</x:v>
      </x:c>
      <x:c r="K24" s="3"/>
      <x:c r="L24" s="3"/>
      <x:c r="M24" s="3"/>
      <x:c r="N24" s="3"/>
      <x:c r="O24" s="3"/>
    </x:row>
    <x:row r="25">
      <x:c r="A25" s="19" t="str">
        <x:v>保守</x:v>
      </x:c>
      <x:c r="B25" s="19" t="str">
        <x:f>A18</x:f>
        <x:v>铜导体及其他</x:v>
      </x:c>
      <x:c r="C25" s="31" t="n">
        <x:f>B18</x:f>
        <x:v>12.696207000000001</x:v>
      </x:c>
      <x:c r="D25" s="32" t="n">
        <x:f>E18</x:f>
        <x:v>0</x:v>
      </x:c>
      <x:c r="E25" s="31" t="n">
        <x:f>C25*(1+D25)</x:f>
        <x:v>12.696207000000001</x:v>
      </x:c>
      <x:c r="F25" s="32" t="n">
        <x:f>H18</x:f>
        <x:v>0</x:v>
      </x:c>
      <x:c r="G25" s="31" t="n">
        <x:f>E25*(1+F25)</x:f>
        <x:v>12.696207000000001</x:v>
      </x:c>
      <x:c r="H25" s="56" t="n">
        <x:f>K18</x:f>
        <x:v>6</x:v>
      </x:c>
      <x:c r="I25" s="31" t="n">
        <x:f>G25*H25</x:f>
        <x:v>76.177242</x:v>
      </x:c>
      <x:c r="J25" s="31" t="n">
        <x:f>I25/'估值模型'!$B$7</x:f>
        <x:v>3.0886101666836367</x:v>
      </x:c>
      <x:c r="K25" s="3"/>
      <x:c r="L25" s="3"/>
      <x:c r="M25" s="3"/>
      <x:c r="N25" s="3"/>
      <x:c r="O25" s="3"/>
    </x:row>
    <x:row r="26">
      <x:c r="A26" s="53" t="str">
        <x:v>保守</x:v>
      </x:c>
      <x:c r="B26" s="53" t="str">
        <x:v>合计</x:v>
      </x:c>
      <x:c r="C26" s="54" t="n">
        <x:f>SUM(C22:C25)</x:f>
        <x:v>74.696207</x:v>
      </x:c>
      <x:c r="D26" s="55" t="n">
        <x:f>E26/C26-1</x:f>
        <x:v>-0.049533974328843655</x:v>
      </x:c>
      <x:c r="E26" s="54" t="n">
        <x:f>SUM(E22:E25)</x:f>
        <x:v>70.99620700000001</x:v>
      </x:c>
      <x:c r="F26" s="55" t="n">
        <x:f>G26/E26-1</x:f>
        <x:v>-0.04950968718652815</x:v>
      </x:c>
      <x:c r="G26" s="54" t="n">
        <x:f>SUM(G22:G25)</x:f>
        <x:v>67.48120700000001</x:v>
      </x:c>
      <x:c r="H26" s="57" t="n">
        <x:f>I26/G26</x:f>
        <x:v>9.957472189257077</x:v>
      </x:c>
      <x:c r="I26" s="54" t="n">
        <x:f>SUM(I22:I25)</x:f>
        <x:v>671.9422420000001</x:v>
      </x:c>
      <x:c r="J26" s="54" t="n">
        <x:f>I26/'估值模型'!$B$7</x:f>
        <x:v>27.2439325128809</x:v>
      </x:c>
      <x:c r="K26" s="3"/>
      <x:c r="L26" s="3"/>
      <x:c r="M26" s="3"/>
      <x:c r="N26" s="3"/>
      <x:c r="O26" s="3"/>
    </x:row>
    <x:row r="27">
      <x:c r="A27" s="19" t="str">
        <x:v>基准</x:v>
      </x:c>
      <x:c r="B27" s="19" t="str">
        <x:f>A15</x:f>
        <x:v>光通信</x:v>
      </x:c>
      <x:c r="C27" s="31" t="n">
        <x:f>C15</x:f>
        <x:v>38</x:v>
      </x:c>
      <x:c r="D27" s="32" t="n">
        <x:f>F15</x:f>
        <x:v>-0.1</x:v>
      </x:c>
      <x:c r="E27" s="31" t="n">
        <x:f>C27*(1+D27)</x:f>
        <x:v>34.2</x:v>
      </x:c>
      <x:c r="F27" s="32" t="n">
        <x:f>I15</x:f>
        <x:v>-0.2</x:v>
      </x:c>
      <x:c r="G27" s="31" t="n">
        <x:f>E27*(1+F27)</x:f>
        <x:v>27.360000000000003</x:v>
      </x:c>
      <x:c r="H27" s="56" t="n">
        <x:f>L15</x:f>
        <x:v>14</x:v>
      </x:c>
      <x:c r="I27" s="31" t="n">
        <x:f>G27*H27</x:f>
        <x:v>383.04</x:v>
      </x:c>
      <x:c r="J27" s="31" t="n">
        <x:f>I27/'估值模型'!$B$7</x:f>
        <x:v>15.530376358945892</x:v>
      </x:c>
      <x:c r="K27" s="3"/>
      <x:c r="L27" s="3"/>
      <x:c r="M27" s="3"/>
      <x:c r="N27" s="3"/>
      <x:c r="O27" s="3"/>
    </x:row>
    <x:row r="28">
      <x:c r="A28" s="19" t="str">
        <x:v>基准</x:v>
      </x:c>
      <x:c r="B28" s="19" t="str">
        <x:f>A16</x:f>
        <x:v>海洋能源与通信</x:v>
      </x:c>
      <x:c r="C28" s="31" t="n">
        <x:f>C16</x:f>
        <x:v>16</x:v>
      </x:c>
      <x:c r="D28" s="32" t="n">
        <x:f>F16</x:f>
        <x:v>0.2</x:v>
      </x:c>
      <x:c r="E28" s="31" t="n">
        <x:f>C28*(1+D28)</x:f>
        <x:v>19.2</x:v>
      </x:c>
      <x:c r="F28" s="32" t="n">
        <x:f>I16</x:f>
        <x:v>0.15</x:v>
      </x:c>
      <x:c r="G28" s="31" t="n">
        <x:f>E28*(1+F28)</x:f>
        <x:v>22.08</x:v>
      </x:c>
      <x:c r="H28" s="56" t="n">
        <x:f>L16</x:f>
        <x:v>17</x:v>
      </x:c>
      <x:c r="I28" s="31" t="n">
        <x:f>G28*H28</x:f>
        <x:v>375.35999999999996</x:v>
      </x:c>
      <x:c r="J28" s="31" t="n">
        <x:f>I28/'估值模型'!$B$7</x:f>
        <x:v>15.218990366786574</x:v>
      </x:c>
      <x:c r="K28" s="3"/>
      <x:c r="L28" s="3"/>
      <x:c r="M28" s="3"/>
      <x:c r="N28" s="3"/>
      <x:c r="O28" s="3"/>
    </x:row>
    <x:row r="29">
      <x:c r="A29" s="19" t="str">
        <x:v>基准</x:v>
      </x:c>
      <x:c r="B29" s="19" t="str">
        <x:f>A17</x:f>
        <x:v>电网+工业新能源</x:v>
      </x:c>
      <x:c r="C29" s="31" t="n">
        <x:f>C17</x:f>
        <x:v>18</x:v>
      </x:c>
      <x:c r="D29" s="32" t="n">
        <x:f>F17</x:f>
        <x:v>0.08</x:v>
      </x:c>
      <x:c r="E29" s="31" t="n">
        <x:f>C29*(1+D29)</x:f>
        <x:v>19.44</x:v>
      </x:c>
      <x:c r="F29" s="32" t="n">
        <x:f>I17</x:f>
        <x:v>0.08</x:v>
      </x:c>
      <x:c r="G29" s="31" t="n">
        <x:f>E29*(1+F29)</x:f>
        <x:v>20.995200000000004</x:v>
      </x:c>
      <x:c r="H29" s="56" t="n">
        <x:f>L17</x:f>
        <x:v>11</x:v>
      </x:c>
      <x:c r="I29" s="31" t="n">
        <x:f>G29*H29</x:f>
        <x:v>230.94720000000004</x:v>
      </x:c>
      <x:c r="J29" s="31" t="n">
        <x:f>I29/'估值模型'!$B$7</x:f>
        <x:v>9.363766016720836</x:v>
      </x:c>
      <x:c r="K29" s="3"/>
      <x:c r="L29" s="3"/>
      <x:c r="M29" s="3"/>
      <x:c r="N29" s="3"/>
      <x:c r="O29" s="3"/>
    </x:row>
    <x:row r="30">
      <x:c r="A30" s="19" t="str">
        <x:v>基准</x:v>
      </x:c>
      <x:c r="B30" s="19" t="str">
        <x:f>A18</x:f>
        <x:v>铜导体及其他</x:v>
      </x:c>
      <x:c r="C30" s="31" t="n">
        <x:f>C18</x:f>
        <x:v>14.696207000000001</x:v>
      </x:c>
      <x:c r="D30" s="32" t="n">
        <x:f>F18</x:f>
        <x:v>0</x:v>
      </x:c>
      <x:c r="E30" s="31" t="n">
        <x:f>C30*(1+D30)</x:f>
        <x:v>14.696207000000001</x:v>
      </x:c>
      <x:c r="F30" s="32" t="n">
        <x:f>I18</x:f>
        <x:v>0.03</x:v>
      </x:c>
      <x:c r="G30" s="31" t="n">
        <x:f>E30*(1+F30)</x:f>
        <x:v>15.137093210000002</x:v>
      </x:c>
      <x:c r="H30" s="56" t="n">
        <x:f>L18</x:f>
        <x:v>7</x:v>
      </x:c>
      <x:c r="I30" s="31" t="n">
        <x:f>G30*H30</x:f>
        <x:v>105.95965247000001</x:v>
      </x:c>
      <x:c r="J30" s="31" t="n">
        <x:f>I30/'估值模型'!$B$7</x:f>
        <x:v>4.29613951995147</x:v>
      </x:c>
      <x:c r="K30" s="3"/>
      <x:c r="L30" s="3"/>
      <x:c r="M30" s="3"/>
      <x:c r="N30" s="3"/>
      <x:c r="O30" s="3"/>
    </x:row>
    <x:row r="31">
      <x:c r="A31" s="53" t="str">
        <x:v>基准</x:v>
      </x:c>
      <x:c r="B31" s="53" t="str">
        <x:v>合计</x:v>
      </x:c>
      <x:c r="C31" s="54" t="n">
        <x:f>SUM(C27:C30)</x:f>
        <x:v>86.696207</x:v>
      </x:c>
      <x:c r="D31" s="55" t="n">
        <x:f>E31/C31-1</x:f>
        <x:v>0.009689005194887024</x:v>
      </x:c>
      <x:c r="E31" s="54" t="n">
        <x:f>SUM(E27:E30)</x:f>
        <x:v>87.536207</x:v>
      </x:c>
      <x:c r="F31" s="55" t="n">
        <x:f>G31/E31-1</x:f>
        <x:v>-0.022435445369479945</x:v>
      </x:c>
      <x:c r="G31" s="54" t="n">
        <x:f>SUM(G27:G30)</x:f>
        <x:v>85.57229321000001</x:v>
      </x:c>
      <x:c r="H31" s="57" t="n">
        <x:f>I31/G31</x:f>
        <x:v>12.799783801306402</x:v>
      </x:c>
      <x:c r="I31" s="54" t="n">
        <x:f>SUM(I27:I30)</x:f>
        <x:v>1095.30685247</x:v>
      </x:c>
      <x:c r="J31" s="54" t="n">
        <x:f>I31/'估值模型'!$B$7</x:f>
        <x:v>44.40927226240477</x:v>
      </x:c>
      <x:c r="K31" s="3"/>
      <x:c r="L31" s="3"/>
      <x:c r="M31" s="3"/>
      <x:c r="N31" s="3"/>
      <x:c r="O31" s="3"/>
    </x:row>
    <x:row r="32">
      <x:c r="A32" s="19" t="str">
        <x:v>积极</x:v>
      </x:c>
      <x:c r="B32" s="19" t="str">
        <x:f>A15</x:f>
        <x:v>光通信</x:v>
      </x:c>
      <x:c r="C32" s="31" t="n">
        <x:f>D15</x:f>
        <x:v>45</x:v>
      </x:c>
      <x:c r="D32" s="32" t="n">
        <x:f>G15</x:f>
        <x:v>0.15</x:v>
      </x:c>
      <x:c r="E32" s="31" t="n">
        <x:f>C32*(1+D32)</x:f>
        <x:v>51.74999999999999</x:v>
      </x:c>
      <x:c r="F32" s="32" t="n">
        <x:f>J15</x:f>
        <x:v>0.15</x:v>
      </x:c>
      <x:c r="G32" s="31" t="n">
        <x:f>E32*(1+F32)</x:f>
        <x:v>59.51249999999999</x:v>
      </x:c>
      <x:c r="H32" s="56" t="n">
        <x:f>M15</x:f>
        <x:v>18</x:v>
      </x:c>
      <x:c r="I32" s="31" t="n">
        <x:f>G32*H32</x:f>
        <x:v>1071.225</x:v>
      </x:c>
      <x:c r="J32" s="31" t="n">
        <x:f>I32/'估值模型'!$B$7</x:f>
        <x:v>43.43287232433117</x:v>
      </x:c>
      <x:c r="K32" s="3"/>
      <x:c r="L32" s="3"/>
      <x:c r="M32" s="3"/>
      <x:c r="N32" s="3"/>
      <x:c r="O32" s="3"/>
    </x:row>
    <x:row r="33">
      <x:c r="A33" s="19" t="str">
        <x:v>积极</x:v>
      </x:c>
      <x:c r="B33" s="19" t="str">
        <x:f>A16</x:f>
        <x:v>海洋能源与通信</x:v>
      </x:c>
      <x:c r="C33" s="31" t="n">
        <x:f>D16</x:f>
        <x:v>20</x:v>
      </x:c>
      <x:c r="D33" s="32" t="n">
        <x:f>G16</x:f>
        <x:v>0.2</x:v>
      </x:c>
      <x:c r="E33" s="31" t="n">
        <x:f>C33*(1+D33)</x:f>
        <x:v>24</x:v>
      </x:c>
      <x:c r="F33" s="32" t="n">
        <x:f>J16</x:f>
        <x:v>0.2</x:v>
      </x:c>
      <x:c r="G33" s="31" t="n">
        <x:f>E33*(1+F33)</x:f>
        <x:v>28.799999999999997</x:v>
      </x:c>
      <x:c r="H33" s="56" t="n">
        <x:f>M16</x:f>
        <x:v>20</x:v>
      </x:c>
      <x:c r="I33" s="31" t="n">
        <x:f>G33*H33</x:f>
        <x:v>576</x:v>
      </x:c>
      <x:c r="J33" s="31" t="n">
        <x:f>I33/'估值模型'!$B$7</x:f>
        <x:v>23.353949411948708</x:v>
      </x:c>
      <x:c r="K33" s="3"/>
      <x:c r="L33" s="3"/>
      <x:c r="M33" s="3"/>
      <x:c r="N33" s="3"/>
      <x:c r="O33" s="3"/>
    </x:row>
    <x:row r="34">
      <x:c r="A34" s="19" t="str">
        <x:v>积极</x:v>
      </x:c>
      <x:c r="B34" s="19" t="str">
        <x:f>A17</x:f>
        <x:v>电网+工业新能源</x:v>
      </x:c>
      <x:c r="C34" s="31" t="n">
        <x:f>D17</x:f>
        <x:v>20</x:v>
      </x:c>
      <x:c r="D34" s="32" t="n">
        <x:f>G17</x:f>
        <x:v>0.1</x:v>
      </x:c>
      <x:c r="E34" s="31" t="n">
        <x:f>C34*(1+D34)</x:f>
        <x:v>22</x:v>
      </x:c>
      <x:c r="F34" s="32" t="n">
        <x:f>J17</x:f>
        <x:v>0.1</x:v>
      </x:c>
      <x:c r="G34" s="31" t="n">
        <x:f>E34*(1+F34)</x:f>
        <x:v>24.200000000000003</x:v>
      </x:c>
      <x:c r="H34" s="56" t="n">
        <x:f>M17</x:f>
        <x:v>14</x:v>
      </x:c>
      <x:c r="I34" s="31" t="n">
        <x:f>G34*H34</x:f>
        <x:v>338.80000000000007</x:v>
      </x:c>
      <x:c r="J34" s="31" t="n">
        <x:f>I34/'估值模型'!$B$7</x:f>
        <x:v>13.736663299944833</x:v>
      </x:c>
      <x:c r="K34" s="3"/>
      <x:c r="L34" s="3"/>
      <x:c r="M34" s="3"/>
      <x:c r="N34" s="3"/>
      <x:c r="O34" s="3"/>
    </x:row>
    <x:row r="35">
      <x:c r="A35" s="19" t="str">
        <x:v>积极</x:v>
      </x:c>
      <x:c r="B35" s="19" t="str">
        <x:f>A18</x:f>
        <x:v>铜导体及其他</x:v>
      </x:c>
      <x:c r="C35" s="31" t="n">
        <x:f>D18</x:f>
        <x:v>13.696207000000001</x:v>
      </x:c>
      <x:c r="D35" s="32" t="n">
        <x:f>G18</x:f>
        <x:v>0.05</x:v>
      </x:c>
      <x:c r="E35" s="31" t="n">
        <x:f>C35*(1+D35)</x:f>
        <x:v>14.381017350000002</x:v>
      </x:c>
      <x:c r="F35" s="32" t="n">
        <x:f>J18</x:f>
        <x:v>0.05</x:v>
      </x:c>
      <x:c r="G35" s="31" t="n">
        <x:f>E35*(1+F35)</x:f>
        <x:v>15.100068217500002</x:v>
      </x:c>
      <x:c r="H35" s="56" t="n">
        <x:f>M18</x:f>
        <x:v>9</x:v>
      </x:c>
      <x:c r="I35" s="31" t="n">
        <x:f>G35*H35</x:f>
        <x:v>135.9006139575</x:v>
      </x:c>
      <x:c r="J35" s="31" t="n">
        <x:f>I35/'估值模型'!$B$7</x:f>
        <x:v>5.510097332319837</x:v>
      </x:c>
      <x:c r="K35" s="3"/>
      <x:c r="L35" s="3"/>
      <x:c r="M35" s="3"/>
      <x:c r="N35" s="3"/>
      <x:c r="O35" s="3"/>
    </x:row>
    <x:row r="36">
      <x:c r="A36" s="53" t="str">
        <x:v>积极</x:v>
      </x:c>
      <x:c r="B36" s="53" t="str">
        <x:v>合计</x:v>
      </x:c>
      <x:c r="C36" s="54" t="n">
        <x:f>SUM(C32:C35)</x:f>
        <x:v>98.696207</x:v>
      </x:c>
      <x:c r="D36" s="55" t="n">
        <x:f>E36/C36-1</x:f>
        <x:v>0.13612286387054384</x:v>
      </x:c>
      <x:c r="E36" s="54" t="n">
        <x:f>SUM(E32:E35)</x:f>
        <x:v>112.13101735000001</x:v>
      </x:c>
      <x:c r="F36" s="55" t="n">
        <x:f>G36/E36-1</x:f>
        <x:v>0.13806662271846393</x:v>
      </x:c>
      <x:c r="G36" s="54" t="n">
        <x:f>SUM(G32:G35)</x:f>
        <x:v>127.61256821749998</x:v>
      </x:c>
      <x:c r="H36" s="57" t="n">
        <x:f>I36/G36</x:f>
        <x:v>16.627873285497536</x:v>
      </x:c>
      <x:c r="I36" s="54" t="n">
        <x:f>SUM(I32:I35)</x:f>
        <x:v>2121.9256139575</x:v>
      </x:c>
      <x:c r="J36" s="54" t="n">
        <x:f>I36/'估值模型'!$B$7</x:f>
        <x:v>86.03358236854454</x:v>
      </x:c>
      <x:c r="K36" s="3"/>
      <x:c r="L36" s="3"/>
      <x:c r="M36" s="3"/>
      <x:c r="N36" s="3"/>
      <x:c r="O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22" customHeight="1">
      <x:c r="A39" s="11" t="str">
        <x:v>当前选定情景：单一活动预测</x:v>
      </x:c>
      <x:c r="B39" s="11" t="str">
        <x:v>当前选定情景：单一活动预测</x:v>
      </x:c>
      <x:c r="C39" s="11" t="str">
        <x:v>当前选定情景：单一活动预测</x:v>
      </x:c>
      <x:c r="D39" s="11" t="str">
        <x:v>当前选定情景：单一活动预测</x:v>
      </x:c>
      <x:c r="E39" s="11" t="str">
        <x:v>当前选定情景：单一活动预测</x:v>
      </x:c>
      <x:c r="F39" s="11" t="str">
        <x:v>当前选定情景：单一活动预测</x:v>
      </x:c>
      <x:c r="G39" s="11" t="str">
        <x:v>当前选定情景：单一活动预测</x:v>
      </x:c>
      <x:c r="H39" s="3"/>
      <x:c r="I39" s="11" t="str">
        <x:v>现价反推：现价只用于检验，不参与内在价值计算</x:v>
      </x:c>
      <x:c r="J39" s="11" t="str">
        <x:v>现价反推：现价只用于检验，不参与内在价值计算</x:v>
      </x:c>
      <x:c r="K39" s="11" t="str">
        <x:v>现价反推：现价只用于检验，不参与内在价值计算</x:v>
      </x:c>
      <x:c r="L39" s="11" t="str">
        <x:v>现价反推：现价只用于检验，不参与内在价值计算</x:v>
      </x:c>
      <x:c r="M39" s="11" t="str">
        <x:v>现价反推：现价只用于检验，不参与内在价值计算</x:v>
      </x:c>
      <x:c r="N39" s="11" t="str">
        <x:v>现价反推：现价只用于检验，不参与内在价值计算</x:v>
      </x:c>
      <x:c r="O39" s="3"/>
    </x:row>
    <x:row r="40">
      <x:c r="A40" s="15" t="str">
        <x:v>业务</x:v>
      </x:c>
      <x:c r="B40" s="15" t="str">
        <x:v>2026E利润</x:v>
      </x:c>
      <x:c r="C40" s="15" t="str">
        <x:v>2027E增速</x:v>
      </x:c>
      <x:c r="D40" s="15" t="str">
        <x:v>2027E利润</x:v>
      </x:c>
      <x:c r="E40" s="15" t="str">
        <x:v>2028E增速</x:v>
      </x:c>
      <x:c r="F40" s="15" t="str">
        <x:v>2028E利润</x:v>
      </x:c>
      <x:c r="G40" s="15" t="str">
        <x:v>2028 PE</x:v>
      </x:c>
      <x:c r="H40" s="3"/>
      <x:c r="I40" s="15" t="str">
        <x:v>项目</x:v>
      </x:c>
      <x:c r="J40" s="15" t="str">
        <x:v>结果</x:v>
      </x:c>
      <x:c r="K40" s="3"/>
      <x:c r="L40" s="3"/>
      <x:c r="M40" s="3"/>
      <x:c r="N40" s="3"/>
      <x:c r="O40" s="3"/>
    </x:row>
    <x:row r="41">
      <x:c r="A41" s="19" t="str">
        <x:f>IF('估值模型'!$B$5="保守",B22,IF('估值模型'!$B$5="基准",B27,B32))</x:f>
        <x:v>光通信</x:v>
      </x:c>
      <x:c r="B41" s="31" t="n">
        <x:f>IF('估值模型'!$B$5="保守",C22,IF('估值模型'!$B$5="基准",C27,C32))</x:f>
        <x:v>38</x:v>
      </x:c>
      <x:c r="C41" s="32" t="n">
        <x:f>IF('估值模型'!$B$5="保守",D22,IF('估值模型'!$B$5="基准",D27,D32))</x:f>
        <x:v>-0.1</x:v>
      </x:c>
      <x:c r="D41" s="31" t="n">
        <x:f>IF('估值模型'!$B$5="保守",E22,IF('估值模型'!$B$5="基准",E27,E32))</x:f>
        <x:v>34.2</x:v>
      </x:c>
      <x:c r="E41" s="32" t="n">
        <x:f>IF('估值模型'!$B$5="保守",F22,IF('估值模型'!$B$5="基准",F27,F32))</x:f>
        <x:v>-0.2</x:v>
      </x:c>
      <x:c r="F41" s="31" t="n">
        <x:f>IF('估值模型'!$B$5="保守",G22,IF('估值模型'!$B$5="基准",G27,G32))</x:f>
        <x:v>27.360000000000003</x:v>
      </x:c>
      <x:c r="G41" s="56" t="n">
        <x:f>IF('估值模型'!$B$5="保守",H22,IF('估值模型'!$B$5="基准",H27,H32))</x:f>
        <x:v>14</x:v>
      </x:c>
      <x:c r="H41" s="3"/>
      <x:c r="I41" s="19" t="str">
        <x:v>2026-10-16收盘价</x:v>
      </x:c>
      <x:c r="J41" s="41" t="n">
        <x:f>'数据与来源'!K5</x:f>
        <x:v>45.68</x:v>
      </x:c>
      <x:c r="K41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L41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M41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N41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O41" s="3"/>
    </x:row>
    <x:row r="42">
      <x:c r="A42" s="19" t="str">
        <x:f>IF('估值模型'!$B$5="保守",B23,IF('估值模型'!$B$5="基准",B28,B33))</x:f>
        <x:v>海洋能源与通信</x:v>
      </x:c>
      <x:c r="B42" s="31" t="n">
        <x:f>IF('估值模型'!$B$5="保守",C23,IF('估值模型'!$B$5="基准",C28,C33))</x:f>
        <x:v>16</x:v>
      </x:c>
      <x:c r="C42" s="32" t="n">
        <x:f>IF('估值模型'!$B$5="保守",D23,IF('估值模型'!$B$5="基准",D28,D33))</x:f>
        <x:v>0.2</x:v>
      </x:c>
      <x:c r="D42" s="31" t="n">
        <x:f>IF('估值模型'!$B$5="保守",E23,IF('估值模型'!$B$5="基准",E28,E33))</x:f>
        <x:v>19.2</x:v>
      </x:c>
      <x:c r="E42" s="32" t="n">
        <x:f>IF('估值模型'!$B$5="保守",F23,IF('估值模型'!$B$5="基准",F28,F33))</x:f>
        <x:v>0.15</x:v>
      </x:c>
      <x:c r="F42" s="31" t="n">
        <x:f>IF('估值模型'!$B$5="保守",G23,IF('估值模型'!$B$5="基准",G28,G33))</x:f>
        <x:v>22.08</x:v>
      </x:c>
      <x:c r="G42" s="56" t="n">
        <x:f>IF('估值模型'!$B$5="保守",H23,IF('估值模型'!$B$5="基准",H28,H33))</x:f>
        <x:v>17</x:v>
      </x:c>
      <x:c r="H42" s="3"/>
      <x:c r="I42" s="19" t="str">
        <x:v>用户口述参考价</x:v>
      </x:c>
      <x:c r="J42" s="25" t="n">
        <x:v>44</x:v>
      </x:c>
      <x:c r="K42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L42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M42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N42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O42" s="3"/>
    </x:row>
    <x:row r="43">
      <x:c r="A43" s="19" t="str">
        <x:f>IF('估值模型'!$B$5="保守",B24,IF('估值模型'!$B$5="基准",B29,B34))</x:f>
        <x:v>电网+工业新能源</x:v>
      </x:c>
      <x:c r="B43" s="31" t="n">
        <x:f>IF('估值模型'!$B$5="保守",C24,IF('估值模型'!$B$5="基准",C29,C34))</x:f>
        <x:v>18</x:v>
      </x:c>
      <x:c r="C43" s="32" t="n">
        <x:f>IF('估值模型'!$B$5="保守",D24,IF('估值模型'!$B$5="基准",D29,D34))</x:f>
        <x:v>0.08</x:v>
      </x:c>
      <x:c r="D43" s="31" t="n">
        <x:f>IF('估值模型'!$B$5="保守",E24,IF('估值模型'!$B$5="基准",E29,E34))</x:f>
        <x:v>19.44</x:v>
      </x:c>
      <x:c r="E43" s="32" t="n">
        <x:f>IF('估值模型'!$B$5="保守",F24,IF('估值模型'!$B$5="基准",F29,F34))</x:f>
        <x:v>0.08</x:v>
      </x:c>
      <x:c r="F43" s="31" t="n">
        <x:f>IF('估值模型'!$B$5="保守",G24,IF('估值模型'!$B$5="基准",G29,G34))</x:f>
        <x:v>20.995200000000004</x:v>
      </x:c>
      <x:c r="G43" s="56" t="n">
        <x:f>IF('估值模型'!$B$5="保守",H24,IF('估值模型'!$B$5="基准",H29,H34))</x:f>
        <x:v>11</x:v>
      </x:c>
      <x:c r="H43" s="3"/>
      <x:c r="I43" s="19" t="str">
        <x:v>基准2028目标PE</x:v>
      </x:c>
      <x:c r="J43" s="25" t="n">
        <x:v>13</x:v>
      </x:c>
      <x:c r="K43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L43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M43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N43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O43" s="3"/>
    </x:row>
    <x:row r="44">
      <x:c r="A44" s="19" t="str">
        <x:f>IF('估值模型'!$B$5="保守",B25,IF('估值模型'!$B$5="基准",B30,B35))</x:f>
        <x:v>铜导体及其他</x:v>
      </x:c>
      <x:c r="B44" s="31" t="n">
        <x:f>IF('估值模型'!$B$5="保守",C25,IF('估值模型'!$B$5="基准",C30,C35))</x:f>
        <x:v>14.696207000000001</x:v>
      </x:c>
      <x:c r="C44" s="32" t="n">
        <x:f>IF('估值模型'!$B$5="保守",D25,IF('估值模型'!$B$5="基准",D30,D35))</x:f>
        <x:v>0</x:v>
      </x:c>
      <x:c r="D44" s="31" t="n">
        <x:f>IF('估值模型'!$B$5="保守",E25,IF('估值模型'!$B$5="基准",E30,E35))</x:f>
        <x:v>14.696207000000001</x:v>
      </x:c>
      <x:c r="E44" s="32" t="n">
        <x:f>IF('估值模型'!$B$5="保守",F25,IF('估值模型'!$B$5="基准",F30,F35))</x:f>
        <x:v>0.03</x:v>
      </x:c>
      <x:c r="F44" s="31" t="n">
        <x:f>IF('估值模型'!$B$5="保守",G25,IF('估值模型'!$B$5="基准",G30,G35))</x:f>
        <x:v>15.137093210000002</x:v>
      </x:c>
      <x:c r="G44" s="56" t="n">
        <x:f>IF('估值模型'!$B$5="保守",H25,IF('估值模型'!$B$5="基准",H30,H35))</x:f>
        <x:v>7</x:v>
      </x:c>
      <x:c r="H44" s="3"/>
      <x:c r="I44" s="19" t="str">
        <x:v>45.68元隐含2028归母</x:v>
      </x:c>
      <x:c r="J44" s="31" t="n">
        <x:f>J41*'估值模型'!$B$7/J43</x:f>
        <x:v>86.66522946135385</x:v>
      </x:c>
      <x:c r="K44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L44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M44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N44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O44" s="3"/>
    </x:row>
    <x:row r="45">
      <x:c r="A45" s="53" t="str">
        <x:v>合计</x:v>
      </x:c>
      <x:c r="B45" s="54" t="n">
        <x:f>SUM(B41:B44)</x:f>
        <x:v>86.696207</x:v>
      </x:c>
      <x:c r="C45" s="55" t="n">
        <x:f>D45/B45-1</x:f>
        <x:v>0.009689005194887024</x:v>
      </x:c>
      <x:c r="D45" s="54" t="n">
        <x:f>SUM(D41:D44)</x:f>
        <x:v>87.536207</x:v>
      </x:c>
      <x:c r="E45" s="55" t="n">
        <x:f>F45/D45-1</x:f>
        <x:v>-0.022435445369479945</x:v>
      </x:c>
      <x:c r="F45" s="54" t="n">
        <x:f>SUM(F41:F44)</x:f>
        <x:v>85.57229321000001</x:v>
      </x:c>
      <x:c r="G45" s="57" t="n">
        <x:f>SUMPRODUCT(F41:F44,G41:G44)/F45</x:f>
        <x:v>12.799783801306402</x:v>
      </x:c>
      <x:c r="H45" s="3"/>
      <x:c r="I45" s="19" t="str">
        <x:v>44元隐含2028归母</x:v>
      </x:c>
      <x:c r="J45" s="31" t="n">
        <x:f>J42*'估值模型'!$B$7/J43</x:f>
        <x:v>83.47789177538462</x:v>
      </x:c>
      <x:c r="K45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L45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M45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N45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O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19" t="str">
        <x:v>基准2028归母</x:v>
      </x:c>
      <x:c r="J46" s="31" t="n">
        <x:f>G31</x:f>
        <x:v>85.57229321000001</x:v>
      </x:c>
      <x:c r="K46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L46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M46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N46" s="59" t="str">
        <x:v>按13倍2028利润反推：45.68元需要约86.7亿元归母，44元需要约83.5亿元；新版基准2028E约85.6亿元，现价接近计入基准盈利，但仍没有明显折价。现价未进入利润预测、目标倍数或DCF。</x:v>
      </x:c>
      <x:c r="O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>
      <x:c r="A48" s="15" t="str">
        <x:v>年度</x:v>
      </x:c>
      <x:c r="B48" s="15" t="str">
        <x:v>保守</x:v>
      </x:c>
      <x:c r="C48" s="15" t="str">
        <x:v>基准</x:v>
      </x:c>
      <x:c r="D48" s="15" t="str">
        <x:v>积极</x:v>
      </x:c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>
      <x:c r="A49" s="19" t="str">
        <x:v>2026E</x:v>
      </x:c>
      <x:c r="B49" s="31" t="n">
        <x:f>C26</x:f>
        <x:v>74.696207</x:v>
      </x:c>
      <x:c r="C49" s="31" t="n">
        <x:f>C31</x:f>
        <x:v>86.696207</x:v>
      </x:c>
      <x:c r="D49" s="31" t="n">
        <x:f>C36</x:f>
        <x:v>98.696207</x:v>
      </x:c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  <x:row r="50">
      <x:c r="A50" s="19" t="str">
        <x:v>2027E</x:v>
      </x:c>
      <x:c r="B50" s="31" t="n">
        <x:f>E26</x:f>
        <x:v>70.99620700000001</x:v>
      </x:c>
      <x:c r="C50" s="31" t="n">
        <x:f>E31</x:f>
        <x:v>87.536207</x:v>
      </x:c>
      <x:c r="D50" s="31" t="n">
        <x:f>E36</x:f>
        <x:v>112.13101735000001</x:v>
      </x:c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</x:row>
    <x:row r="51">
      <x:c r="A51" s="19" t="str">
        <x:v>2028E</x:v>
      </x:c>
      <x:c r="B51" s="31" t="n">
        <x:f>G26</x:f>
        <x:v>67.48120700000001</x:v>
      </x:c>
      <x:c r="C51" s="31" t="n">
        <x:f>G31</x:f>
        <x:v>85.57229321000001</x:v>
      </x:c>
      <x:c r="D51" s="31" t="n">
        <x:f>G36</x:f>
        <x:v>127.61256821749998</x:v>
      </x:c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</x:row>
    <x:row r="63">
      <x:c r="A63" s="60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B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C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D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E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F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G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H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I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J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K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L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M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N63" s="61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O63" s="62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</x:row>
    <x:row r="64">
      <x:c r="A64" s="63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B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C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D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E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F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G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H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I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J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K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L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M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N64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O64" s="64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</x:row>
    <x:row r="65">
      <x:c r="A65" s="63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B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C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D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E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F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G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H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I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J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K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L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M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N65" s="8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O65" s="64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</x:row>
    <x:row r="66">
      <x:c r="A66" s="65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B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C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D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E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F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G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H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I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J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K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L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M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N66" s="66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  <x:c r="O66" s="67" t="str">
        <x:v>模型边界：分部净利润是估值分摊，不是公司披露口径；这里没有认定利润必然下滑，只把尚未验证的高景气利润放入情景模型。CPO、空芯光纤等新产品未单独计入基准，只在积极情景的光通信增速中留有空间。来源：S01、S03、S05。</x:v>
      </x:c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</x:row>
    <x:row r="69" ht="22" customHeight="1">
      <x:c r="A69" s="11" t="str">
        <x:v>利润持续性检验：证据支持的是“增速难复制”，并非“利润必然马上下滑”</x:v>
      </x:c>
      <x:c r="B69" s="11" t="str">
        <x:v>利润持续性检验：证据支持的是“增速难复制”，并非“利润必然马上下滑”</x:v>
      </x:c>
      <x:c r="C69" s="11" t="str">
        <x:v>利润持续性检验：证据支持的是“增速难复制”，并非“利润必然马上下滑”</x:v>
      </x:c>
      <x:c r="D69" s="11" t="str">
        <x:v>利润持续性检验：证据支持的是“增速难复制”，并非“利润必然马上下滑”</x:v>
      </x:c>
      <x:c r="E69" s="11" t="str">
        <x:v>利润持续性检验：证据支持的是“增速难复制”，并非“利润必然马上下滑”</x:v>
      </x:c>
      <x:c r="F69" s="11" t="str">
        <x:v>利润持续性检验：证据支持的是“增速难复制”，并非“利润必然马上下滑”</x:v>
      </x:c>
      <x:c r="G69" s="11" t="str">
        <x:v>利润持续性检验：证据支持的是“增速难复制”，并非“利润必然马上下滑”</x:v>
      </x:c>
      <x:c r="H69" s="11" t="str">
        <x:v>利润持续性检验：证据支持的是“增速难复制”，并非“利润必然马上下滑”</x:v>
      </x:c>
      <x:c r="I69" s="11" t="str">
        <x:v>利润持续性检验：证据支持的是“增速难复制”，并非“利润必然马上下滑”</x:v>
      </x:c>
      <x:c r="J69" s="11" t="str">
        <x:v>利润持续性检验：证据支持的是“增速难复制”，并非“利润必然马上下滑”</x:v>
      </x:c>
      <x:c r="K69" s="11" t="str">
        <x:v>利润持续性检验：证据支持的是“增速难复制”，并非“利润必然马上下滑”</x:v>
      </x:c>
      <x:c r="L69" s="11" t="str">
        <x:v>利润持续性检验：证据支持的是“增速难复制”，并非“利润必然马上下滑”</x:v>
      </x:c>
      <x:c r="M69" s="11" t="str">
        <x:v>利润持续性检验：证据支持的是“增速难复制”，并非“利润必然马上下滑”</x:v>
      </x:c>
      <x:c r="N69" s="11" t="str">
        <x:v>利润持续性检验：证据支持的是“增速难复制”，并非“利润必然马上下滑”</x:v>
      </x:c>
      <x:c r="O69" s="11" t="str">
        <x:v>利润持续性检验：证据支持的是“增速难复制”，并非“利润必然马上下滑”</x:v>
      </x:c>
    </x:row>
    <x:row r="70">
      <x:c r="A70" s="15" t="str">
        <x:v>检验命题</x:v>
      </x:c>
      <x:c r="B70" s="15" t="str"/>
      <x:c r="C70" s="15" t="str"/>
      <x:c r="D70" s="15" t="str">
        <x:v>支持持续的证据</x:v>
      </x:c>
      <x:c r="E70" s="15" t="str"/>
      <x:c r="F70" s="15" t="str"/>
      <x:c r="G70" s="15" t="str"/>
      <x:c r="H70" s="15" t="str">
        <x:v>支持回落/正常化的证据</x:v>
      </x:c>
      <x:c r="I70" s="15" t="str"/>
      <x:c r="J70" s="15" t="str"/>
      <x:c r="K70" s="15" t="str"/>
      <x:c r="L70" s="15" t="str">
        <x:v>下一步验证</x:v>
      </x:c>
      <x:c r="M70" s="15" t="str"/>
      <x:c r="N70" s="15" t="str"/>
      <x:c r="O70" s="15" t="str">
        <x:v>当前判断</x:v>
      </x:c>
    </x:row>
    <x:row r="71" ht="58" customHeight="1">
      <x:c r="A71" s="19" t="str">
        <x:v>2026爆发增速能否重复？</x:v>
      </x:c>
      <x:c r="B71" s="19" t="str"/>
      <x:c r="C71" s="19" t="str"/>
      <x:c r="D71" s="19" t="str">
        <x:v>按预告减去半年报，Q3单季归母约28.5–32.5亿元；扣非与归母接近（S01/S03）</x:v>
      </x:c>
      <x:c r="E71" s="19" t="str"/>
      <x:c r="F71" s="19" t="str"/>
      <x:c r="G71" s="19" t="str"/>
      <x:c r="H71" s="19" t="str">
        <x:v>前三季度同比151%–168%，公司归因于AI需求、数据中心资本开支与价格上涨，含明显量价共振（S01）</x:v>
      </x:c>
      <x:c r="I71" s="19" t="str"/>
      <x:c r="J71" s="19" t="str"/>
      <x:c r="K71" s="19" t="str"/>
      <x:c r="L71" s="19" t="str">
        <x:v>正式三季报的收入、分部毛利率与销量</x:v>
      </x:c>
      <x:c r="M71" s="19" t="str"/>
      <x:c r="N71" s="19" t="str"/>
      <x:c r="O71" s="69" t="str">
        <x:v>低：增长率难复制</x:v>
      </x:c>
    </x:row>
    <x:row r="72" ht="58" customHeight="1">
      <x:c r="A72" s="19" t="str">
        <x:v>约85–90亿元利润平台能否守住？</x:v>
      </x:c>
      <x:c r="B72" s="19" t="str"/>
      <x:c r="C72" s="19" t="str"/>
      <x:c r="D72" s="19" t="str">
        <x:v>光棒扩产需18–24个月；公司报告援引行业判断称紧平衡至少延续至2027年底（S03）</x:v>
      </x:c>
      <x:c r="E72" s="19" t="str"/>
      <x:c r="F72" s="19" t="str"/>
      <x:c r="G72" s="19" t="str"/>
      <x:c r="H72" s="19" t="str">
        <x:v>G.652.D现货价年内+165%、同比+418%，特种光纤一度+650%；极端涨价不宜长期化（S03）</x:v>
      </x:c>
      <x:c r="I72" s="19" t="str"/>
      <x:c r="J72" s="19" t="str"/>
      <x:c r="K72" s="19" t="str"/>
      <x:c r="L72" s="19" t="str">
        <x:v>2027报价、开工率、新产能投放、海洋订单兑现</x:v>
      </x:c>
      <x:c r="M72" s="19" t="str"/>
      <x:c r="N72" s="19" t="str"/>
      <x:c r="O72" s="49" t="str">
        <x:v>中：2027可维持，2028不确定</x:v>
      </x:c>
    </x:row>
    <x:row r="73" ht="58" customHeight="1">
      <x:c r="A73" s="19" t="str">
        <x:v>会计利润能否变成现金？</x:v>
      </x:c>
      <x:c r="B73" s="19" t="str"/>
      <x:c r="C73" s="19" t="str"/>
      <x:c r="D73" s="19" t="str">
        <x:v>十年累计经营现金流/归母约95%，历史上并非长期不回款</x:v>
      </x:c>
      <x:c r="E73" s="19" t="str"/>
      <x:c r="F73" s="19" t="str"/>
      <x:c r="G73" s="19" t="str"/>
      <x:c r="H73" s="19" t="str">
        <x:v>2026H1归母31.20亿元，但经营现金流-8.65亿元；扣资本开支后自由现金流约-28.33亿元（S03）</x:v>
      </x:c>
      <x:c r="I73" s="19" t="str"/>
      <x:c r="J73" s="19" t="str"/>
      <x:c r="K73" s="19" t="str"/>
      <x:c r="L73" s="19" t="str">
        <x:v>Q1-3及全年OCF、应收与存货周转</x:v>
      </x:c>
      <x:c r="M73" s="19" t="str"/>
      <x:c r="N73" s="19" t="str"/>
      <x:c r="O73" s="49" t="str">
        <x:v>中低：2026尚未获现金验证</x:v>
      </x:c>
    </x:row>
    <x:row r="74" ht="58" customHeight="1">
      <x:c r="A74" s="19" t="str">
        <x:v>其他业务能否对冲光通信回落？</x:v>
      </x:c>
      <x:c r="B74" s="19" t="str"/>
      <x:c r="C74" s="19" t="str"/>
      <x:c r="D74" s="19" t="str">
        <x:v>海洋能源/通信、电网与工业业务提供第二、第三利润来源；具备系统交付和认证壁垒</x:v>
      </x:c>
      <x:c r="E74" s="19" t="str"/>
      <x:c r="F74" s="19" t="str"/>
      <x:c r="G74" s="19" t="str"/>
      <x:c r="H74" s="19" t="str">
        <x:v>项目验收使利润跨期，铜导体等业务低毛利且占用营运资金，难完全复制光通信弹性</x:v>
      </x:c>
      <x:c r="I74" s="19" t="str"/>
      <x:c r="J74" s="19" t="str"/>
      <x:c r="K74" s="19" t="str"/>
      <x:c r="L74" s="19" t="str">
        <x:v>在手订单转收入、分部毛利率、回款</x:v>
      </x:c>
      <x:c r="M74" s="19" t="str"/>
      <x:c r="N74" s="19" t="str"/>
      <x:c r="O74" s="70" t="str">
        <x:v>中：能部分对冲，不能包办</x:v>
      </x:c>
    </x:row>
    <x:row r="75" ht="58" customHeight="1">
      <x:c r="A75" s="19" t="str">
        <x:v>模型应如何处理？</x:v>
      </x:c>
      <x:c r="B75" s="19" t="str"/>
      <x:c r="C75" s="19" t="str"/>
      <x:c r="D75" s="19" t="str">
        <x:v>积极情景保留2027/2028光通信各+15%，承认AI需求与高端产品可能超预期</x:v>
      </x:c>
      <x:c r="E75" s="19" t="str"/>
      <x:c r="F75" s="19" t="str"/>
      <x:c r="G75" s="19" t="str"/>
      <x:c r="H75" s="19" t="str">
        <x:v>基准情景只做2027高位横盘、2028温和回落，避免把一次性量价弹性当永久利润</x:v>
      </x:c>
      <x:c r="I75" s="19" t="str"/>
      <x:c r="J75" s="19" t="str"/>
      <x:c r="K75" s="19" t="str"/>
      <x:c r="L75" s="19" t="str">
        <x:v>每季用毛利率、价格、现金流触发上修/下修</x:v>
      </x:c>
      <x:c r="M75" s="19" t="str"/>
      <x:c r="N75" s="19" t="str"/>
      <x:c r="O75" s="70" t="str">
        <x:v>不先下结论，用情景下注</x:v>
      </x:c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</x:row>
  </x:sheetData>
  <x:mergeCells>
    <x:mergeCell ref="A1:O1"/>
    <x:mergeCell ref="A2:O2"/>
    <x:mergeCell ref="A6:N6"/>
    <x:mergeCell ref="B7:E7"/>
    <x:mergeCell ref="F7:H7"/>
    <x:mergeCell ref="I7:K7"/>
    <x:mergeCell ref="L7:N7"/>
    <x:mergeCell ref="B8:E8"/>
    <x:mergeCell ref="F8:H8"/>
    <x:mergeCell ref="I8:K8"/>
    <x:mergeCell ref="L8:N8"/>
    <x:mergeCell ref="B9:E9"/>
    <x:mergeCell ref="F9:H9"/>
    <x:mergeCell ref="I9:K9"/>
    <x:mergeCell ref="L9:N9"/>
    <x:mergeCell ref="B10:E10"/>
    <x:mergeCell ref="F10:H10"/>
    <x:mergeCell ref="I10:K10"/>
    <x:mergeCell ref="L10:N10"/>
    <x:mergeCell ref="A13:O13"/>
    <x:mergeCell ref="A20:J20"/>
    <x:mergeCell ref="A39:G39"/>
    <x:mergeCell ref="I39:N39"/>
    <x:mergeCell ref="K40:N40"/>
    <x:mergeCell ref="K41:N46"/>
    <x:mergeCell ref="A63:O66"/>
    <x:mergeCell ref="A69:O69"/>
    <x:mergeCell ref="A70:C70"/>
    <x:mergeCell ref="D70:G70"/>
    <x:mergeCell ref="H70:K70"/>
    <x:mergeCell ref="L70:N70"/>
    <x:mergeCell ref="A71:C71"/>
    <x:mergeCell ref="D71:G71"/>
    <x:mergeCell ref="H71:K71"/>
    <x:mergeCell ref="L71:N71"/>
    <x:mergeCell ref="A72:C72"/>
    <x:mergeCell ref="D72:G72"/>
    <x:mergeCell ref="H72:K72"/>
    <x:mergeCell ref="L72:N72"/>
    <x:mergeCell ref="A73:C73"/>
    <x:mergeCell ref="D73:G73"/>
    <x:mergeCell ref="H73:K73"/>
    <x:mergeCell ref="L73:N73"/>
    <x:mergeCell ref="A74:C74"/>
    <x:mergeCell ref="D74:G74"/>
    <x:mergeCell ref="H74:K74"/>
    <x:mergeCell ref="L74:N74"/>
    <x:mergeCell ref="A75:C75"/>
    <x:mergeCell ref="D75:G75"/>
    <x:mergeCell ref="H75:K75"/>
    <x:mergeCell ref="L75:N75"/>
  </x:mergeCells>
  <x:pageMargins left="0.7" right="0.7" top="0.75" bottom="0.75" header="0.3" footer="0.3"/>
  <x:drawing xmlns:r="http://schemas.openxmlformats.org/officeDocument/2006/relationships" r:id="Rf5f6b8093ac74b41"/>
</x:worksheet>
</file>

<file path=xl/worksheets/sheet5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8" hidden="0" customWidth="1"/>
    <x:col min="15" max="15" width="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7" customHeight="1">
      <x:c r="A1" s="6" t="str">
        <x:v>亨通光电｜十年财务质量与现金兑现</x:v>
      </x:c>
      <x:c r="B1" s="6" t="str">
        <x:v>亨通光电｜十年财务质量与现金兑现</x:v>
      </x:c>
      <x:c r="C1" s="6" t="str">
        <x:v>亨通光电｜十年财务质量与现金兑现</x:v>
      </x:c>
      <x:c r="D1" s="6" t="str">
        <x:v>亨通光电｜十年财务质量与现金兑现</x:v>
      </x:c>
      <x:c r="E1" s="6" t="str">
        <x:v>亨通光电｜十年财务质量与现金兑现</x:v>
      </x:c>
      <x:c r="F1" s="6" t="str">
        <x:v>亨通光电｜十年财务质量与现金兑现</x:v>
      </x:c>
      <x:c r="G1" s="6" t="str">
        <x:v>亨通光电｜十年财务质量与现金兑现</x:v>
      </x:c>
      <x:c r="H1" s="6" t="str">
        <x:v>亨通光电｜十年财务质量与现金兑现</x:v>
      </x:c>
      <x:c r="I1" s="6" t="str">
        <x:v>亨通光电｜十年财务质量与现金兑现</x:v>
      </x:c>
      <x:c r="J1" s="6" t="str">
        <x:v>亨通光电｜十年财务质量与现金兑现</x:v>
      </x:c>
      <x:c r="K1" s="6" t="str">
        <x:v>亨通光电｜十年财务质量与现金兑现</x:v>
      </x:c>
      <x:c r="L1" s="6" t="str">
        <x:v>亨通光电｜十年财务质量与现金兑现</x:v>
      </x:c>
      <x:c r="M1" s="6" t="str">
        <x:v>亨通光电｜十年财务质量与现金兑现</x:v>
      </x:c>
      <x:c r="N1" s="6" t="str">
        <x:v>亨通光电｜十年财务质量与现金兑现</x:v>
      </x:c>
      <x:c r="O1" s="6" t="str">
        <x:v>亨通光电｜十年财务质量与现金兑现</x:v>
      </x:c>
      <x:c r="P1" s="6" t="str">
        <x:v>亨通光电｜十年财务质量与现金兑现</x:v>
      </x:c>
      <x:c r="Q1" s="6" t="str">
        <x:v>亨通光电｜十年财务质量与现金兑现</x:v>
      </x:c>
      <x:c r="R1" s="6" t="str">
        <x:v>亨通光电｜十年财务质量与现金兑现</x:v>
      </x:c>
      <x:c r="S1" s="6" t="str">
        <x:v>亨通光电｜十年财务质量与现金兑现</x:v>
      </x:c>
      <x:c r="T1" s="6" t="str">
        <x:v>亨通光电｜十年财务质量与现金兑现</x:v>
      </x:c>
      <x:c r="U1" s="6" t="str">
        <x:v>亨通光电｜十年财务质量与现金兑现</x:v>
      </x:c>
      <x:c r="V1" s="6" t="str">
        <x:v>亨通光电｜十年财务质量与现金兑现</x:v>
      </x:c>
      <x:c r="W1" s="6" t="str">
        <x:v>亨通光电｜十年财务质量与现金兑现</x:v>
      </x:c>
    </x:row>
    <x:row r="2" ht="27" customHeight="1">
      <x:c r="A2" s="9" t="str">
        <x:v>ROIC为保守代理：税后（经营利润+财务费用）÷平均（总资产-现金-应付账款）；用于看趋势，不等同公司正式披露ROIC。</x:v>
      </x:c>
      <x:c r="B2" s="9" t="str">
        <x:v>ROIC为保守代理：税后（经营利润+财务费用）÷平均（总资产-现金-应付账款）；用于看趋势，不等同公司正式披露ROIC。</x:v>
      </x:c>
      <x:c r="C2" s="9" t="str">
        <x:v>ROIC为保守代理：税后（经营利润+财务费用）÷平均（总资产-现金-应付账款）；用于看趋势，不等同公司正式披露ROIC。</x:v>
      </x:c>
      <x:c r="D2" s="9" t="str">
        <x:v>ROIC为保守代理：税后（经营利润+财务费用）÷平均（总资产-现金-应付账款）；用于看趋势，不等同公司正式披露ROIC。</x:v>
      </x:c>
      <x:c r="E2" s="9" t="str">
        <x:v>ROIC为保守代理：税后（经营利润+财务费用）÷平均（总资产-现金-应付账款）；用于看趋势，不等同公司正式披露ROIC。</x:v>
      </x:c>
      <x:c r="F2" s="9" t="str">
        <x:v>ROIC为保守代理：税后（经营利润+财务费用）÷平均（总资产-现金-应付账款）；用于看趋势，不等同公司正式披露ROIC。</x:v>
      </x:c>
      <x:c r="G2" s="9" t="str">
        <x:v>ROIC为保守代理：税后（经营利润+财务费用）÷平均（总资产-现金-应付账款）；用于看趋势，不等同公司正式披露ROIC。</x:v>
      </x:c>
      <x:c r="H2" s="9" t="str">
        <x:v>ROIC为保守代理：税后（经营利润+财务费用）÷平均（总资产-现金-应付账款）；用于看趋势，不等同公司正式披露ROIC。</x:v>
      </x:c>
      <x:c r="I2" s="9" t="str">
        <x:v>ROIC为保守代理：税后（经营利润+财务费用）÷平均（总资产-现金-应付账款）；用于看趋势，不等同公司正式披露ROIC。</x:v>
      </x:c>
      <x:c r="J2" s="9" t="str">
        <x:v>ROIC为保守代理：税后（经营利润+财务费用）÷平均（总资产-现金-应付账款）；用于看趋势，不等同公司正式披露ROIC。</x:v>
      </x:c>
      <x:c r="K2" s="9" t="str">
        <x:v>ROIC为保守代理：税后（经营利润+财务费用）÷平均（总资产-现金-应付账款）；用于看趋势，不等同公司正式披露ROIC。</x:v>
      </x:c>
      <x:c r="L2" s="9" t="str">
        <x:v>ROIC为保守代理：税后（经营利润+财务费用）÷平均（总资产-现金-应付账款）；用于看趋势，不等同公司正式披露ROIC。</x:v>
      </x:c>
      <x:c r="M2" s="9" t="str">
        <x:v>ROIC为保守代理：税后（经营利润+财务费用）÷平均（总资产-现金-应付账款）；用于看趋势，不等同公司正式披露ROIC。</x:v>
      </x:c>
      <x:c r="N2" s="9" t="str">
        <x:v>ROIC为保守代理：税后（经营利润+财务费用）÷平均（总资产-现金-应付账款）；用于看趋势，不等同公司正式披露ROIC。</x:v>
      </x:c>
      <x:c r="O2" s="9" t="str">
        <x:v>ROIC为保守代理：税后（经营利润+财务费用）÷平均（总资产-现金-应付账款）；用于看趋势，不等同公司正式披露ROIC。</x:v>
      </x:c>
      <x:c r="P2" s="9" t="str">
        <x:v>ROIC为保守代理：税后（经营利润+财务费用）÷平均（总资产-现金-应付账款）；用于看趋势，不等同公司正式披露ROIC。</x:v>
      </x:c>
      <x:c r="Q2" s="9" t="str">
        <x:v>ROIC为保守代理：税后（经营利润+财务费用）÷平均（总资产-现金-应付账款）；用于看趋势，不等同公司正式披露ROIC。</x:v>
      </x:c>
      <x:c r="R2" s="9" t="str">
        <x:v>ROIC为保守代理：税后（经营利润+财务费用）÷平均（总资产-现金-应付账款）；用于看趋势，不等同公司正式披露ROIC。</x:v>
      </x:c>
      <x:c r="S2" s="9" t="str">
        <x:v>ROIC为保守代理：税后（经营利润+财务费用）÷平均（总资产-现金-应付账款）；用于看趋势，不等同公司正式披露ROIC。</x:v>
      </x:c>
      <x:c r="T2" s="9" t="str">
        <x:v>ROIC为保守代理：税后（经营利润+财务费用）÷平均（总资产-现金-应付账款）；用于看趋势，不等同公司正式披露ROIC。</x:v>
      </x:c>
      <x:c r="U2" s="9" t="str">
        <x:v>ROIC为保守代理：税后（经营利润+财务费用）÷平均（总资产-现金-应付账款）；用于看趋势，不等同公司正式披露ROIC。</x:v>
      </x:c>
      <x:c r="V2" s="9" t="str">
        <x:v>ROIC为保守代理：税后（经营利润+财务费用）÷平均（总资产-现金-应付账款）；用于看趋势，不等同公司正式披露ROIC。</x:v>
      </x:c>
      <x:c r="W2" s="9" t="str">
        <x:v>ROIC为保守代理：税后（经营利润+财务费用）÷平均（总资产-现金-应付账款）；用于看趋势，不等同公司正式披露ROIC。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>
      <x:c r="A4" s="15" t="str">
        <x:v>核心校准</x:v>
      </x:c>
      <x:c r="B4" s="15" t="str">
        <x:v>十年收入CAGR</x:v>
      </x:c>
      <x:c r="C4" s="15" t="str">
        <x:v>十年归母CAGR</x:v>
      </x:c>
      <x:c r="D4" s="15" t="str">
        <x:v>十年平均ROE</x:v>
      </x:c>
      <x:c r="E4" s="15" t="str">
        <x:v>十年OCF/归母</x:v>
      </x:c>
      <x:c r="F4" s="15" t="str">
        <x:v>十年平均ROIC代理</x:v>
      </x:c>
      <x:c r="G4" s="15" t="str">
        <x:v>十年FCF/归母</x:v>
      </x:c>
      <x:c r="H4" s="15" t="str">
        <x:v>2026H1自由现金流</x:v>
      </x:c>
      <x:c r="I4" s="15" t="str">
        <x:v>应收/收入(2025)</x:v>
      </x:c>
      <x:c r="J4" s="15" t="str">
        <x:v>存货/收入(2025)</x:v>
      </x:c>
      <x:c r="K4" s="15" t="str">
        <x:v>2025负债率</x:v>
      </x:c>
      <x:c r="L4" s="15" t="str">
        <x:v>2025毛利率</x:v>
      </x:c>
      <x:c r="M4" s="15" t="str">
        <x:v>2025归母</x:v>
      </x:c>
      <x:c r="N4" s="15" t="str">
        <x:v>结论</x:v>
      </x:c>
      <x:c r="O4" s="3"/>
      <x:c r="P4" s="3" t="str">
        <x:v>年度</x:v>
      </x:c>
      <x:c r="Q4" s="3" t="str">
        <x:v>收入</x:v>
      </x:c>
      <x:c r="R4" s="3"/>
      <x:c r="S4" s="3"/>
      <x:c r="T4" s="3"/>
      <x:c r="U4" s="3"/>
      <x:c r="V4" s="3"/>
      <x:c r="W4" s="3"/>
    </x:row>
    <x:row r="5">
      <x:c r="A5" s="37" t="str">
        <x:v>结果</x:v>
      </x:c>
      <x:c r="B5" s="38" t="n">
        <x:f>(B16/B7)^(1/9)-1</x:f>
        <x:v>0.14797680666306223</x:v>
      </x:c>
      <x:c r="C5" s="38" t="n">
        <x:f>(D16/D7)^(1/9)-1</x:f>
        <x:v>0.08220708646672237</x:v>
      </x:c>
      <x:c r="D5" s="38" t="n">
        <x:f>AVERAGE(G7:G16)</x:f>
        <x:v>0.13387</x:v>
      </x:c>
      <x:c r="E5" s="38" t="n">
        <x:f>SUM(H7:H16)/SUM(D7:D16)</x:f>
        <x:v>0.947643058479436</x:v>
      </x:c>
      <x:c r="F5" s="38" t="n">
        <x:f>AVERAGE(L7:L16)</x:f>
        <x:v>0.07893848315211338</x:v>
      </x:c>
      <x:c r="G5" s="38" t="n">
        <x:f>SUM(J7:J16)/SUM(D7:D16)</x:f>
        <x:v>-0.35027900011916957</x:v>
      </x:c>
      <x:c r="H5" s="39" t="n">
        <x:f>'数据与来源'!K18-'数据与来源'!K19</x:f>
        <x:v>-28.33103</x:v>
      </x:c>
      <x:c r="I5" s="38" t="n">
        <x:f>'数据与来源'!K47/'数据与来源'!B47</x:f>
        <x:v>0.2598936250689457</x:v>
      </x:c>
      <x:c r="J5" s="38" t="n">
        <x:f>'数据与来源'!L47/'数据与来源'!B47</x:f>
        <x:v>0.14110367917068714</x:v>
      </x:c>
      <x:c r="K5" s="38" t="n">
        <x:f>M16</x:f>
        <x:v>0.517330937001</x:v>
      </x:c>
      <x:c r="L5" s="38" t="n">
        <x:f>F16</x:f>
        <x:v>0.124573244885</x:v>
      </x:c>
      <x:c r="M5" s="39" t="n">
        <x:f>D16</x:f>
        <x:v>26.8026933843</x:v>
      </x:c>
      <x:c r="N5" s="37" t="str">
        <x:v>经营现金流接近利润，但资本开支后的所有者收益偏弱</x:v>
      </x:c>
      <x:c r="O5" s="3"/>
      <x:c r="P5" s="3" t="n">
        <x:v>2016</x:v>
      </x:c>
      <x:c r="Q5" s="3" t="n">
        <x:v>193.0789475601</x:v>
      </x:c>
      <x:c r="R5" s="3"/>
      <x:c r="S5" s="3"/>
      <x:c r="T5" s="3"/>
      <x:c r="U5" s="3"/>
      <x:c r="V5" s="3"/>
      <x:c r="W5" s="3"/>
    </x:row>
    <x:row r="6">
      <x:c r="A6" s="15" t="str">
        <x:v>年度</x:v>
      </x:c>
      <x:c r="B6" s="15" t="str">
        <x:v>收入</x:v>
      </x:c>
      <x:c r="C6" s="15" t="str">
        <x:v>同比</x:v>
      </x:c>
      <x:c r="D6" s="15" t="str">
        <x:v>归母</x:v>
      </x:c>
      <x:c r="E6" s="15" t="str">
        <x:v>同比</x:v>
      </x:c>
      <x:c r="F6" s="15" t="str">
        <x:v>毛利率</x:v>
      </x:c>
      <x:c r="G6" s="15" t="str">
        <x:v>ROE</x:v>
      </x:c>
      <x:c r="H6" s="15" t="str">
        <x:v>经营现金流</x:v>
      </x:c>
      <x:c r="I6" s="15" t="str">
        <x:v>资本开支</x:v>
      </x:c>
      <x:c r="J6" s="15" t="str">
        <x:v>自由现金流</x:v>
      </x:c>
      <x:c r="K6" s="15" t="str">
        <x:v>现金兑现</x:v>
      </x:c>
      <x:c r="L6" s="15" t="str">
        <x:v>ROIC代理</x:v>
      </x:c>
      <x:c r="M6" s="15" t="str">
        <x:v>负债率</x:v>
      </x:c>
      <x:c r="N6" s="15" t="str">
        <x:v>应收+存货/收入</x:v>
      </x:c>
      <x:c r="O6" s="3"/>
      <x:c r="P6" s="3" t="n">
        <x:v>2017</x:v>
      </x:c>
      <x:c r="Q6" s="3" t="n">
        <x:v>245.55866734350002</x:v>
      </x:c>
      <x:c r="R6" s="3"/>
      <x:c r="S6" s="3"/>
      <x:c r="T6" s="3"/>
      <x:c r="U6" s="3"/>
      <x:c r="V6" s="3"/>
      <x:c r="W6" s="3"/>
    </x:row>
    <x:row r="7">
      <x:c r="A7" s="40" t="n">
        <x:f>'数据与来源'!A38</x:f>
        <x:v>2016</x:v>
      </x:c>
      <x:c r="B7" s="41" t="n">
        <x:f>'数据与来源'!B38</x:f>
        <x:v>193.0789475601</x:v>
      </x:c>
      <x:c r="C7" s="32"/>
      <x:c r="D7" s="41" t="n">
        <x:f>'数据与来源'!C38</x:f>
        <x:v>13.1639152388</x:v>
      </x:c>
      <x:c r="E7" s="32"/>
      <x:c r="F7" s="42" t="n">
        <x:f>'数据与来源'!N38</x:f>
        <x:v>0.210716327093</x:v>
      </x:c>
      <x:c r="G7" s="42" t="n">
        <x:f>'数据与来源'!O38</x:f>
        <x:v>0.2516</x:v>
      </x:c>
      <x:c r="H7" s="41" t="n">
        <x:f>'数据与来源'!E38</x:f>
        <x:v>25.7888893393</x:v>
      </x:c>
      <x:c r="I7" s="41" t="n">
        <x:f>'数据与来源'!F38</x:f>
        <x:v>8.3073499638</x:v>
      </x:c>
      <x:c r="J7" s="31" t="n">
        <x:f>H7-I7</x:f>
        <x:v>17.4815393755</x:v>
      </x:c>
      <x:c r="K7" s="32" t="n">
        <x:f>H7/D7</x:f>
        <x:v>1.9590592062829835</x:v>
      </x:c>
      <x:c r="L7" s="32" t="n">
        <x:f>(('数据与来源'!Q38+'数据与来源'!T38)*(1-('数据与来源'!S38/'数据与来源'!R38)))/('数据与来源'!H38-'数据与来源'!G38-'数据与来源'!M38)</x:f>
        <x:v>0.11187581318535686</x:v>
      </x:c>
      <x:c r="M7" s="42" t="n">
        <x:f>'数据与来源'!P38</x:f>
        <x:v>0.656001107197</x:v>
      </x:c>
      <x:c r="N7" s="32" t="n">
        <x:f>('数据与来源'!K38+'数据与来源'!L38)/'数据与来源'!B38</x:f>
        <x:v>0.42082979893293715</x:v>
      </x:c>
      <x:c r="O7" s="3"/>
      <x:c r="P7" s="3" t="n">
        <x:v>2018</x:v>
      </x:c>
      <x:c r="Q7" s="3" t="n">
        <x:v>299.9545126475</x:v>
      </x:c>
      <x:c r="R7" s="3"/>
      <x:c r="S7" s="3"/>
      <x:c r="T7" s="3"/>
      <x:c r="U7" s="3"/>
      <x:c r="V7" s="3"/>
      <x:c r="W7" s="3"/>
    </x:row>
    <x:row r="8">
      <x:c r="A8" s="40" t="n">
        <x:f>'数据与来源'!A39</x:f>
        <x:v>2017</x:v>
      </x:c>
      <x:c r="B8" s="41" t="n">
        <x:f>'数据与来源'!B39</x:f>
        <x:v>245.55866734350002</x:v>
      </x:c>
      <x:c r="C8" s="32" t="n">
        <x:f>B8/B7-1</x:f>
        <x:v>0.2718044636485526</x:v>
      </x:c>
      <x:c r="D8" s="41" t="n">
        <x:f>'数据与来源'!C39</x:f>
        <x:v>21.048845043600004</x:v>
      </x:c>
      <x:c r="E8" s="32" t="n">
        <x:f>D8/D7-1</x:f>
        <x:v>0.5989805967118018</x:v>
      </x:c>
      <x:c r="F8" s="42" t="n">
        <x:f>'数据与来源'!N39</x:f>
        <x:v>0.212277977804</x:v>
      </x:c>
      <x:c r="G8" s="42" t="n">
        <x:f>'数据与来源'!O39</x:f>
        <x:v>0.2656</x:v>
      </x:c>
      <x:c r="H8" s="41" t="n">
        <x:f>'数据与来源'!E39</x:f>
        <x:v>2.8787514034</x:v>
      </x:c>
      <x:c r="I8" s="41" t="n">
        <x:f>'数据与来源'!F39</x:f>
        <x:v>24.879612535299998</x:v>
      </x:c>
      <x:c r="J8" s="31" t="n">
        <x:f>H8-I8</x:f>
        <x:v>-22.0008611319</x:v>
      </x:c>
      <x:c r="K8" s="32" t="n">
        <x:f>H8/D8</x:f>
        <x:v>0.1367652903252902</x:v>
      </x:c>
      <x:c r="L8" s="32" t="n">
        <x:f>(('数据与来源'!Q39+'数据与来源'!T39)*(1-('数据与来源'!S39/'数据与来源'!R39)))/AVERAGE(('数据与来源'!H39-'数据与来源'!G39-'数据与来源'!M39),('数据与来源'!H38-'数据与来源'!G38-'数据与来源'!M38))</x:f>
        <x:v>0.13684805822101678</x:v>
      </x:c>
      <x:c r="M8" s="42" t="n">
        <x:f>'数据与来源'!P39</x:f>
        <x:v>0.606741339721</x:v>
      </x:c>
      <x:c r="N8" s="32" t="n">
        <x:f>('数据与来源'!K39+'数据与来源'!L39)/'数据与来源'!B39</x:f>
        <x:v>0.4186711294746785</x:v>
      </x:c>
      <x:c r="O8" s="3"/>
      <x:c r="P8" s="3" t="n">
        <x:v>2019</x:v>
      </x:c>
      <x:c r="Q8" s="3" t="n">
        <x:v>317.6002142946</x:v>
      </x:c>
      <x:c r="R8" s="3"/>
      <x:c r="S8" s="3"/>
      <x:c r="T8" s="3"/>
      <x:c r="U8" s="3"/>
      <x:c r="V8" s="3"/>
      <x:c r="W8" s="3"/>
    </x:row>
    <x:row r="9">
      <x:c r="A9" s="40" t="n">
        <x:f>'数据与来源'!A40</x:f>
        <x:v>2018</x:v>
      </x:c>
      <x:c r="B9" s="41" t="n">
        <x:f>'数据与来源'!B40</x:f>
        <x:v>299.9545126475</x:v>
      </x:c>
      <x:c r="C9" s="32" t="n">
        <x:f>B9/B8-1</x:f>
        <x:v>0.22151873477920558</x:v>
      </x:c>
      <x:c r="D9" s="41" t="n">
        <x:f>'数据与来源'!C40</x:f>
        <x:v>25.315866325499996</x:v>
      </x:c>
      <x:c r="E9" s="32" t="n">
        <x:f>D9/D8-1</x:f>
        <x:v>0.2027199721914148</x:v>
      </x:c>
      <x:c r="F9" s="42" t="n">
        <x:f>'数据与来源'!N40</x:f>
        <x:v>0.213560536293</x:v>
      </x:c>
      <x:c r="G9" s="42" t="n">
        <x:f>'数据与来源'!O40</x:f>
        <x:v>0.22</x:v>
      </x:c>
      <x:c r="H9" s="41" t="n">
        <x:f>'数据与来源'!E40</x:f>
        <x:v>18.5325049651</x:v>
      </x:c>
      <x:c r="I9" s="41" t="n">
        <x:f>'数据与来源'!F40</x:f>
        <x:v>38.821155830500004</x:v>
      </x:c>
      <x:c r="J9" s="31" t="n">
        <x:f>H9-I9</x:f>
        <x:v>-20.288650865400005</x:v>
      </x:c>
      <x:c r="K9" s="32" t="n">
        <x:f>H9/D9</x:f>
        <x:v>0.7320509883729597</x:v>
      </x:c>
      <x:c r="L9" s="32" t="n">
        <x:f>(('数据与来源'!Q40+'数据与来源'!T40)*(1-('数据与来源'!S40/'数据与来源'!R40)))/AVERAGE(('数据与来源'!H40-'数据与来源'!G40-'数据与来源'!M40),('数据与来源'!H39-'数据与来源'!G39-'数据与来源'!M39))</x:f>
        <x:v>0.12214206195109674</x:v>
      </x:c>
      <x:c r="M9" s="42" t="n">
        <x:f>'数据与来源'!P40</x:f>
        <x:v>0.627253181731</x:v>
      </x:c>
      <x:c r="N9" s="32" t="n">
        <x:f>('数据与来源'!K40+'数据与来源'!L40)/'数据与来源'!B40</x:f>
        <x:v>0.4230876973930991</x:v>
      </x:c>
      <x:c r="O9" s="3"/>
      <x:c r="P9" s="3" t="n">
        <x:v>2020</x:v>
      </x:c>
      <x:c r="Q9" s="3" t="n">
        <x:v>323.841434947</x:v>
      </x:c>
      <x:c r="R9" s="3"/>
      <x:c r="S9" s="3"/>
      <x:c r="T9" s="3"/>
      <x:c r="U9" s="3"/>
      <x:c r="V9" s="3"/>
      <x:c r="W9" s="3"/>
    </x:row>
    <x:row r="10">
      <x:c r="A10" s="40" t="n">
        <x:f>'数据与来源'!A41</x:f>
        <x:v>2019</x:v>
      </x:c>
      <x:c r="B10" s="41" t="n">
        <x:f>'数据与来源'!B41</x:f>
        <x:v>317.6002142946</x:v>
      </x:c>
      <x:c r="C10" s="32" t="n">
        <x:f>B10/B9-1</x:f>
        <x:v>0.05882792524557501</x:v>
      </x:c>
      <x:c r="D10" s="41" t="n">
        <x:f>'数据与来源'!C41</x:f>
        <x:v>13.6212136814</x:v>
      </x:c>
      <x:c r="E10" s="32" t="n">
        <x:f>D10/D9-1</x:f>
        <x:v>-0.4619495336930376</x:v>
      </x:c>
      <x:c r="F10" s="42" t="n">
        <x:f>'数据与来源'!N41</x:f>
        <x:v>0.16893706835</x:v>
      </x:c>
      <x:c r="G10" s="42" t="n">
        <x:f>'数据与来源'!O41</x:f>
        <x:v>0.1034</x:v>
      </x:c>
      <x:c r="H10" s="41" t="n">
        <x:f>'数据与来源'!E41</x:f>
        <x:v>15.1677369614</x:v>
      </x:c>
      <x:c r="I10" s="41" t="n">
        <x:f>'数据与来源'!F41</x:f>
        <x:v>36.174176916600004</x:v>
      </x:c>
      <x:c r="J10" s="31" t="n">
        <x:f>H10-I10</x:f>
        <x:v>-21.006439955200005</x:v>
      </x:c>
      <x:c r="K10" s="32" t="n">
        <x:f>H10/D10</x:f>
        <x:v>1.113537847373454</x:v>
      </x:c>
      <x:c r="L10" s="32" t="n">
        <x:f>(('数据与来源'!Q41+'数据与来源'!T41)*(1-('数据与来源'!S41/'数据与来源'!R41)))/AVERAGE(('数据与来源'!H41-'数据与来源'!G41-'数据与来源'!M41),('数据与来源'!H40-'数据与来源'!G40-'数据与来源'!M40))</x:f>
        <x:v>0.06550054217949805</x:v>
      </x:c>
      <x:c r="M10" s="42" t="n">
        <x:f>'数据与来源'!P41</x:f>
        <x:v>0.600833792392</x:v>
      </x:c>
      <x:c r="N10" s="32" t="n">
        <x:f>('数据与来源'!K41+'数据与来源'!L41)/'数据与来源'!B41</x:f>
        <x:v>0.46955181359156783</x:v>
      </x:c>
      <x:c r="O10" s="3"/>
      <x:c r="P10" s="3" t="n">
        <x:v>2021</x:v>
      </x:c>
      <x:c r="Q10" s="3" t="n">
        <x:v>412.71165065639997</x:v>
      </x:c>
      <x:c r="R10" s="3"/>
      <x:c r="S10" s="3"/>
      <x:c r="T10" s="3"/>
      <x:c r="U10" s="3"/>
      <x:c r="V10" s="3"/>
      <x:c r="W10" s="3"/>
    </x:row>
    <x:row r="11">
      <x:c r="A11" s="40" t="n">
        <x:f>'数据与来源'!A42</x:f>
        <x:v>2020</x:v>
      </x:c>
      <x:c r="B11" s="41" t="n">
        <x:f>'数据与来源'!B42</x:f>
        <x:v>323.841434947</x:v>
      </x:c>
      <x:c r="C11" s="32" t="n">
        <x:f>B11/B10-1</x:f>
        <x:v>0.019651185268441784</x:v>
      </x:c>
      <x:c r="D11" s="41" t="n">
        <x:f>'数据与来源'!C42</x:f>
        <x:v>10.6175860035</x:v>
      </x:c>
      <x:c r="E11" s="32" t="n">
        <x:f>D11/D10-1</x:f>
        <x:v>-0.22051101672397266</x:v>
      </x:c>
      <x:c r="F11" s="42" t="n">
        <x:f>'数据与来源'!N42</x:f>
        <x:v>0.164011710009</x:v>
      </x:c>
      <x:c r="G11" s="42" t="n">
        <x:f>'数据与来源'!O42</x:f>
        <x:v>0.0736</x:v>
      </x:c>
      <x:c r="H11" s="41" t="n">
        <x:f>'数据与来源'!E42</x:f>
        <x:v>16.1238536507</x:v>
      </x:c>
      <x:c r="I11" s="41" t="n">
        <x:f>'数据与来源'!F42</x:f>
        <x:v>15.183643468700001</x:v>
      </x:c>
      <x:c r="J11" s="31" t="n">
        <x:f>H11-I11</x:f>
        <x:v>0.9402101819999977</x:v>
      </x:c>
      <x:c r="K11" s="32" t="n">
        <x:f>H11/D11</x:f>
        <x:v>1.5185988270200876</x:v>
      </x:c>
      <x:c r="L11" s="32" t="n">
        <x:f>(('数据与来源'!Q42+'数据与来源'!T42)*(1-('数据与来源'!S42/'数据与来源'!R42)))/AVERAGE(('数据与来源'!H42-'数据与来源'!G42-'数据与来源'!M42),('数据与来源'!H41-'数据与来源'!G41-'数据与来源'!M41))</x:f>
        <x:v>0.053630436036394995</x:v>
      </x:c>
      <x:c r="M11" s="42" t="n">
        <x:f>'数据与来源'!P42</x:f>
        <x:v>0.51857094729</x:v>
      </x:c>
      <x:c r="N11" s="32" t="n">
        <x:f>('数据与来源'!K42+'数据与来源'!L42)/'数据与来源'!B42</x:f>
        <x:v>0.4678086960446982</x:v>
      </x:c>
      <x:c r="O11" s="3"/>
      <x:c r="P11" s="3" t="n">
        <x:v>2022</x:v>
      </x:c>
      <x:c r="Q11" s="3" t="n">
        <x:v>464.6398363892</x:v>
      </x:c>
      <x:c r="R11" s="3"/>
      <x:c r="S11" s="3"/>
      <x:c r="T11" s="3"/>
      <x:c r="U11" s="3"/>
      <x:c r="V11" s="3"/>
      <x:c r="W11" s="3"/>
    </x:row>
    <x:row r="12">
      <x:c r="A12" s="40" t="n">
        <x:f>'数据与来源'!A43</x:f>
        <x:v>2021</x:v>
      </x:c>
      <x:c r="B12" s="41" t="n">
        <x:f>'数据与来源'!B43</x:f>
        <x:v>412.71165065639997</x:v>
      </x:c>
      <x:c r="C12" s="32" t="n">
        <x:f>B12/B11-1</x:f>
        <x:v>0.27442509240346125</x:v>
      </x:c>
      <x:c r="D12" s="41" t="n">
        <x:f>'数据与来源'!C43</x:f>
        <x:v>14.3630170064</x:v>
      </x:c>
      <x:c r="E12" s="32" t="n">
        <x:f>D12/D11-1</x:f>
        <x:v>0.35275730299385843</x:v>
      </x:c>
      <x:c r="F12" s="42" t="n">
        <x:f>'数据与来源'!N43</x:f>
        <x:v>0.159519911002</x:v>
      </x:c>
      <x:c r="G12" s="42" t="n">
        <x:f>'数据与来源'!O43</x:f>
        <x:v>0.0703</x:v>
      </x:c>
      <x:c r="H12" s="41" t="n">
        <x:f>'数据与来源'!E43</x:f>
        <x:v>13.7594861888</x:v>
      </x:c>
      <x:c r="I12" s="41" t="n">
        <x:f>'数据与来源'!F43</x:f>
        <x:v>27.056725383299998</x:v>
      </x:c>
      <x:c r="J12" s="31" t="n">
        <x:f>H12-I12</x:f>
        <x:v>-13.297239194499998</x:v>
      </x:c>
      <x:c r="K12" s="32" t="n">
        <x:f>H12/D12</x:f>
        <x:v>0.9579802198012386</x:v>
      </x:c>
      <x:c r="L12" s="32" t="n">
        <x:f>(('数据与来源'!Q43+'数据与来源'!T43)*(1-('数据与来源'!S43/'数据与来源'!R43)))/AVERAGE(('数据与来源'!H43-'数据与来源'!G43-'数据与来源'!M43),('数据与来源'!H42-'数据与来源'!G42-'数据与来源'!M42))</x:f>
        <x:v>0.05614040957981911</x:v>
      </x:c>
      <x:c r="M12" s="42" t="n">
        <x:f>'数据与来源'!P43</x:f>
        <x:v>0.530093881239</x:v>
      </x:c>
      <x:c r="N12" s="32" t="n">
        <x:f>('数据与来源'!K43+'数据与来源'!L43)/'数据与来源'!B43</x:f>
        <x:v>0.4613858490661612</x:v>
      </x:c>
      <x:c r="O12" s="3"/>
      <x:c r="P12" s="3" t="n">
        <x:v>2023</x:v>
      </x:c>
      <x:c r="Q12" s="3" t="n">
        <x:v>476.217432631</x:v>
      </x:c>
      <x:c r="R12" s="3"/>
      <x:c r="S12" s="3"/>
      <x:c r="T12" s="3"/>
      <x:c r="U12" s="3"/>
      <x:c r="V12" s="3"/>
      <x:c r="W12" s="3"/>
    </x:row>
    <x:row r="13">
      <x:c r="A13" s="40" t="n">
        <x:f>'数据与来源'!A44</x:f>
        <x:v>2022</x:v>
      </x:c>
      <x:c r="B13" s="41" t="n">
        <x:f>'数据与来源'!B44</x:f>
        <x:v>464.6398363892</x:v>
      </x:c>
      <x:c r="C13" s="32" t="n">
        <x:f>B13/B12-1</x:f>
        <x:v>0.12582195256715067</x:v>
      </x:c>
      <x:c r="D13" s="41" t="n">
        <x:f>'数据与来源'!C44</x:f>
        <x:v>15.8624430609</x:v>
      </x:c>
      <x:c r="E13" s="32" t="n">
        <x:f>D13/D12-1</x:f>
        <x:v>0.10439492300481668</x:v>
      </x:c>
      <x:c r="F13" s="42" t="n">
        <x:f>'数据与来源'!N44</x:f>
        <x:v>0.141714009925</x:v>
      </x:c>
      <x:c r="G13" s="42" t="n">
        <x:f>'数据与来源'!O44</x:f>
        <x:v>0.0747</x:v>
      </x:c>
      <x:c r="H13" s="41" t="n">
        <x:f>'数据与来源'!E44</x:f>
        <x:v>8.5466839064</x:v>
      </x:c>
      <x:c r="I13" s="41" t="n">
        <x:f>'数据与来源'!F44</x:f>
        <x:v>26.4288021555</x:v>
      </x:c>
      <x:c r="J13" s="31" t="n">
        <x:f>H13-I13</x:f>
        <x:v>-17.882118249100003</x:v>
      </x:c>
      <x:c r="K13" s="32" t="n">
        <x:f>H13/D13</x:f>
        <x:v>0.5387999738493674</x:v>
      </x:c>
      <x:c r="L13" s="32" t="n">
        <x:f>(('数据与来源'!Q44+'数据与来源'!T44)*(1-('数据与来源'!S44/'数据与来源'!R44)))/AVERAGE(('数据与来源'!H44-'数据与来源'!G44-'数据与来源'!M44),('数据与来源'!H43-'数据与来源'!G43-'数据与来源'!M43))</x:f>
        <x:v>0.049359453401487445</x:v>
      </x:c>
      <x:c r="M13" s="42" t="n">
        <x:f>'数据与来源'!P44</x:f>
        <x:v>0.516743992855</x:v>
      </x:c>
      <x:c r="N13" s="32" t="n">
        <x:f>('数据与来源'!K44+'数据与来源'!L44)/'数据与来源'!B44</x:f>
        <x:v>0.41730551824700773</x:v>
      </x:c>
      <x:c r="O13" s="3"/>
      <x:c r="P13" s="3" t="n">
        <x:v>2024</x:v>
      </x:c>
      <x:c r="Q13" s="3" t="n">
        <x:v>599.8421242178</x:v>
      </x:c>
      <x:c r="R13" s="3"/>
      <x:c r="S13" s="3"/>
      <x:c r="T13" s="3"/>
      <x:c r="U13" s="3"/>
      <x:c r="V13" s="3"/>
      <x:c r="W13" s="3"/>
    </x:row>
    <x:row r="14">
      <x:c r="A14" s="40" t="n">
        <x:f>'数据与来源'!A45</x:f>
        <x:v>2023</x:v>
      </x:c>
      <x:c r="B14" s="41" t="n">
        <x:f>'数据与来源'!B45</x:f>
        <x:v>476.217432631</x:v>
      </x:c>
      <x:c r="C14" s="32" t="n">
        <x:f>B14/B13-1</x:f>
        <x:v>0.024917356057482243</x:v>
      </x:c>
      <x:c r="D14" s="41" t="n">
        <x:f>'数据与来源'!C45</x:f>
        <x:v>21.5360533012</x:v>
      </x:c>
      <x:c r="E14" s="32" t="n">
        <x:f>D14/D13-1</x:f>
        <x:v>0.3576756883235166</x:v>
      </x:c>
      <x:c r="F14" s="42" t="n">
        <x:f>'数据与来源'!N45</x:f>
        <x:v>0.152204635387</x:v>
      </x:c>
      <x:c r="G14" s="42" t="n">
        <x:f>'数据与来源'!O45</x:f>
        <x:v>0.0871</x:v>
      </x:c>
      <x:c r="H14" s="41" t="n">
        <x:f>'数据与来源'!E45</x:f>
        <x:v>18.5742323198</x:v>
      </x:c>
      <x:c r="I14" s="41" t="n">
        <x:f>'数据与来源'!F45</x:f>
        <x:v>21.0588009262</x:v>
      </x:c>
      <x:c r="J14" s="31" t="n">
        <x:f>H14-I14</x:f>
        <x:v>-2.4845686064</x:v>
      </x:c>
      <x:c r="K14" s="32" t="n">
        <x:f>H14/D14</x:f>
        <x:v>0.8624715058058031</x:v>
      </x:c>
      <x:c r="L14" s="32" t="n">
        <x:f>(('数据与来源'!Q45+'数据与来源'!T45)*(1-('数据与来源'!S45/'数据与来源'!R45)))/AVERAGE(('数据与来源'!H45-'数据与来源'!G45-'数据与来源'!M45),('数据与来源'!H44-'数据与来源'!G44-'数据与来源'!M44))</x:f>
        <x:v>0.057904619725877154</x:v>
      </x:c>
      <x:c r="M14" s="42" t="n">
        <x:f>'数据与来源'!P45</x:f>
        <x:v>0.550031693105</x:v>
      </x:c>
      <x:c r="N14" s="32" t="n">
        <x:f>('数据与来源'!K45+'数据与来源'!L45)/'数据与来源'!B45</x:f>
        <x:v>0.48789084339554556</x:v>
      </x:c>
      <x:c r="O14" s="3"/>
      <x:c r="P14" s="3" t="n">
        <x:v>2025</x:v>
      </x:c>
      <x:c r="Q14" s="3" t="n">
        <x:v>668.5485438079</x:v>
      </x:c>
      <x:c r="R14" s="3"/>
      <x:c r="S14" s="3"/>
      <x:c r="T14" s="3"/>
      <x:c r="U14" s="3"/>
      <x:c r="V14" s="3"/>
      <x:c r="W14" s="3"/>
    </x:row>
    <x:row r="15">
      <x:c r="A15" s="40" t="n">
        <x:f>'数据与来源'!A46</x:f>
        <x:v>2024</x:v>
      </x:c>
      <x:c r="B15" s="41" t="n">
        <x:f>'数据与来源'!B46</x:f>
        <x:v>599.8421242178</x:v>
      </x:c>
      <x:c r="C15" s="32" t="n">
        <x:f>B15/B14-1</x:f>
        <x:v>0.25959715692010654</x:v>
      </x:c>
      <x:c r="D15" s="41" t="n">
        <x:f>'数据与来源'!C46</x:f>
        <x:v>27.688215235500003</x:v>
      </x:c>
      <x:c r="E15" s="32" t="n">
        <x:f>D15/D14-1</x:f>
        <x:v>0.2856680306394488</x:v>
      </x:c>
      <x:c r="F15" s="42" t="n">
        <x:f>'数据与来源'!N46</x:f>
        <x:v>0.132090536438</x:v>
      </x:c>
      <x:c r="G15" s="42" t="n">
        <x:f>'数据与来源'!O46</x:f>
        <x:v>0.1028</x:v>
      </x:c>
      <x:c r="H15" s="41" t="n">
        <x:f>'数据与来源'!E46</x:f>
        <x:v>32.6208906689</x:v>
      </x:c>
      <x:c r="I15" s="41" t="n">
        <x:f>'数据与来源'!F46</x:f>
        <x:v>20.339176461</x:v>
      </x:c>
      <x:c r="J15" s="31" t="n">
        <x:f>H15-I15</x:f>
        <x:v>12.281714207900002</x:v>
      </x:c>
      <x:c r="K15" s="32" t="n">
        <x:f>H15/D15</x:f>
        <x:v>1.1781507183271116</x:v>
      </x:c>
      <x:c r="L15" s="32" t="n">
        <x:f>(('数据与来源'!Q46+'数据与来源'!T46)*(1-('数据与来源'!S46/'数据与来源'!R46)))/AVERAGE(('数据与来源'!H46-'数据与来源'!G46-'数据与来源'!M46),('数据与来源'!H45-'数据与来源'!G45-'数据与来源'!M45))</x:f>
        <x:v>0.0723754898356098</x:v>
      </x:c>
      <x:c r="M15" s="42" t="n">
        <x:f>'数据与来源'!P46</x:f>
        <x:v>0.534901665914</x:v>
      </x:c>
      <x:c r="N15" s="32" t="n">
        <x:f>('数据与来源'!K46+'数据与来源'!L46)/'数据与来源'!B46</x:f>
        <x:v>0.4310140402484056</x:v>
      </x:c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40" t="n">
        <x:f>'数据与来源'!A47</x:f>
        <x:v>2025</x:v>
      </x:c>
      <x:c r="B16" s="41" t="n">
        <x:f>'数据与来源'!B47</x:f>
        <x:v>668.5485438079</x:v>
      </x:c>
      <x:c r="C16" s="32" t="n">
        <x:f>B16/B15-1</x:f>
        <x:v>0.11454083802416148</x:v>
      </x:c>
      <x:c r="D16" s="41" t="n">
        <x:f>'数据与来源'!C47</x:f>
        <x:v>26.8026933843</x:v>
      </x:c>
      <x:c r="E16" s="32" t="n">
        <x:f>D16/D15-1</x:f>
        <x:v>-0.03198190434696724</x:v>
      </x:c>
      <x:c r="F16" s="42" t="n">
        <x:f>'数据与来源'!N47</x:f>
        <x:v>0.124573244885</x:v>
      </x:c>
      <x:c r="G16" s="42" t="n">
        <x:f>'数据与来源'!O47</x:f>
        <x:v>0.0896</x:v>
      </x:c>
      <x:c r="H16" s="41" t="n">
        <x:f>'数据与来源'!E47</x:f>
        <x:v>28.0779607931</x:v>
      </x:c>
      <x:c r="I16" s="41" t="n">
        <x:f>'数据与来源'!F47</x:f>
        <x:v>28.3815090147</x:v>
      </x:c>
      <x:c r="J16" s="31" t="n">
        <x:f>H16-I16</x:f>
        <x:v>-0.30354822159999983</x:v>
      </x:c>
      <x:c r="K16" s="32" t="n">
        <x:f>H16/D16</x:f>
        <x:v>1.0475798230616258</x:v>
      </x:c>
      <x:c r="L16" s="32" t="n">
        <x:f>(('数据与来源'!Q47+'数据与来源'!T47)*(1-('数据与来源'!S47/'数据与来源'!R47)))/AVERAGE(('数据与来源'!H47-'数据与来源'!G47-'数据与来源'!M47),('数据与来源'!H46-'数据与来源'!G46-'数据与来源'!M46))</x:f>
        <x:v>0.06360794740497702</x:v>
      </x:c>
      <x:c r="M16" s="42" t="n">
        <x:f>'数据与来源'!P47</x:f>
        <x:v>0.517330937001</x:v>
      </x:c>
      <x:c r="N16" s="32" t="n">
        <x:f>('数据与来源'!K47+'数据与来源'!L47)/'数据与来源'!B47</x:f>
        <x:v>0.4009973042396328</x:v>
      </x:c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15" t="str">
        <x:v>现金流诊断</x:v>
      </x:c>
      <x:c r="B18" s="15" t="str">
        <x:v>事实</x:v>
      </x:c>
      <x:c r="C18" s="15" t="str">
        <x:v>含义</x:v>
      </x:c>
      <x:c r="D18" s="15" t="str"/>
      <x:c r="E18" s="15" t="str"/>
      <x:c r="F18" s="15" t="str"/>
      <x:c r="G18" s="15" t="str">
        <x:v>巴菲特视角</x:v>
      </x:c>
      <x:c r="H18" s="15" t="str"/>
      <x:c r="I18" s="15" t="str"/>
      <x:c r="J18" s="15" t="str"/>
      <x:c r="K18" s="15" t="str">
        <x:v>监控阈值</x:v>
      </x:c>
      <x:c r="L18" s="15" t="str"/>
      <x:c r="M18" s="15" t="str"/>
      <x:c r="N18" s="15" t="str"/>
      <x:c r="O18" s="3"/>
      <x:c r="P18" s="3" t="str">
        <x:v>年度</x:v>
      </x:c>
      <x:c r="Q18" s="3" t="str">
        <x:v>毛利率</x:v>
      </x:c>
      <x:c r="R18" s="3" t="str">
        <x:v>ROE</x:v>
      </x:c>
      <x:c r="S18" s="3" t="str">
        <x:v>ROIC代理</x:v>
      </x:c>
      <x:c r="T18" s="3"/>
      <x:c r="U18" s="3"/>
      <x:c r="V18" s="3"/>
      <x:c r="W18" s="3"/>
    </x:row>
    <x:row r="19" ht="33" customHeight="1">
      <x:c r="A19" s="19" t="str">
        <x:v>十年累计经营现金流/归母</x:v>
      </x:c>
      <x:c r="B19" s="32" t="n">
        <x:f>E5</x:f>
        <x:v>0.947643058479436</x:v>
      </x:c>
      <x:c r="C19" s="19" t="str">
        <x:v>经营现金流约为归母的95%，但扣资本开支后累计自由现金流为负</x:v>
      </x:c>
      <x:c r="D19" s="19" t="str"/>
      <x:c r="E19" s="19" t="str"/>
      <x:c r="F19" s="19" t="str"/>
      <x:c r="G19" s="19" t="str">
        <x:v>不能把经营现金流直接当作所有者收益</x:v>
      </x:c>
      <x:c r="H19" s="19" t="str"/>
      <x:c r="I19" s="19" t="str"/>
      <x:c r="J19" s="19" t="str"/>
      <x:c r="K19" s="19" t="str">
        <x:v>持续看FCF/归母而非只看OCF</x:v>
      </x:c>
      <x:c r="L19" s="19" t="str"/>
      <x:c r="M19" s="19" t="str"/>
      <x:c r="N19" s="19" t="str"/>
      <x:c r="O19" s="3"/>
      <x:c r="P19" s="3" t="n">
        <x:v>2016</x:v>
      </x:c>
      <x:c r="Q19" s="3" t="n">
        <x:v>0.210716327093</x:v>
      </x:c>
      <x:c r="R19" s="3" t="n">
        <x:v>0.2516</x:v>
      </x:c>
      <x:c r="S19" s="3" t="n">
        <x:f>L7</x:f>
        <x:v>0.11187581318535686</x:v>
      </x:c>
      <x:c r="T19" s="3"/>
      <x:c r="U19" s="3"/>
      <x:c r="V19" s="3"/>
      <x:c r="W19" s="3"/>
    </x:row>
    <x:row r="20" ht="33" customHeight="1">
      <x:c r="A20" s="19" t="str">
        <x:v>2026H1自由现金流</x:v>
      </x:c>
      <x:c r="B20" s="31" t="n">
        <x:f>H5</x:f>
        <x:v>-28.33103</x:v>
      </x:c>
      <x:c r="C20" s="19" t="str">
        <x:v>经营现金流-8.65亿元、资本开支19.68亿元</x:v>
      </x:c>
      <x:c r="D20" s="19" t="str"/>
      <x:c r="E20" s="19" t="str"/>
      <x:c r="F20" s="19" t="str"/>
      <x:c r="G20" s="19" t="str">
        <x:v>利润高增但现金先行投入，周期顶部风险要用现金验证</x:v>
      </x:c>
      <x:c r="H20" s="19" t="str"/>
      <x:c r="I20" s="19" t="str"/>
      <x:c r="J20" s="19" t="str"/>
      <x:c r="K20" s="19" t="str">
        <x:v>三季报OCF仍显著为负则加大折价</x:v>
      </x:c>
      <x:c r="L20" s="19" t="str"/>
      <x:c r="M20" s="19" t="str"/>
      <x:c r="N20" s="19" t="str"/>
      <x:c r="O20" s="3"/>
      <x:c r="P20" s="3" t="n">
        <x:v>2017</x:v>
      </x:c>
      <x:c r="Q20" s="3" t="n">
        <x:v>0.212277977804</x:v>
      </x:c>
      <x:c r="R20" s="3" t="n">
        <x:v>0.2656</x:v>
      </x:c>
      <x:c r="S20" s="3" t="n">
        <x:f>L8</x:f>
        <x:v>0.13684805822101678</x:v>
      </x:c>
      <x:c r="T20" s="3"/>
      <x:c r="U20" s="3"/>
      <x:c r="V20" s="3"/>
      <x:c r="W20" s="3"/>
    </x:row>
    <x:row r="21" ht="33" customHeight="1">
      <x:c r="A21" s="19" t="str">
        <x:v>应收+存货/收入</x:v>
      </x:c>
      <x:c r="B21" s="32" t="n">
        <x:f>N16</x:f>
        <x:v>0.4009973042396328</x:v>
      </x:c>
      <x:c r="C21" s="19" t="str">
        <x:v>工程与制造业务天然占用资金，2023后存货抬升</x:v>
      </x:c>
      <x:c r="D21" s="19" t="str"/>
      <x:c r="E21" s="19" t="str"/>
      <x:c r="F21" s="19" t="str"/>
      <x:c r="G21" s="19" t="str">
        <x:v>增长需要外部资本时，内在复利质量下降</x:v>
      </x:c>
      <x:c r="H21" s="19" t="str"/>
      <x:c r="I21" s="19" t="str"/>
      <x:c r="J21" s="19" t="str"/>
      <x:c r="K21" s="19" t="str">
        <x:v>连续两期高于45%且收入放缓</x:v>
      </x:c>
      <x:c r="L21" s="19" t="str"/>
      <x:c r="M21" s="19" t="str"/>
      <x:c r="N21" s="19" t="str"/>
      <x:c r="O21" s="3"/>
      <x:c r="P21" s="3" t="n">
        <x:v>2018</x:v>
      </x:c>
      <x:c r="Q21" s="3" t="n">
        <x:v>0.213560536293</x:v>
      </x:c>
      <x:c r="R21" s="3" t="n">
        <x:v>0.22</x:v>
      </x:c>
      <x:c r="S21" s="3" t="n">
        <x:f>L9</x:f>
        <x:v>0.12214206195109674</x:v>
      </x:c>
      <x:c r="T21" s="3"/>
      <x:c r="U21" s="3"/>
      <x:c r="V21" s="3"/>
      <x:c r="W21" s="3"/>
    </x:row>
    <x:row r="22" ht="33" customHeight="1">
      <x:c r="A22" s="19" t="str">
        <x:v>负债与现金</x:v>
      </x:c>
      <x:c r="B22" s="31" t="n">
        <x:f>'数据与来源'!K13-'数据与来源'!K12</x:f>
        <x:v>107.07713999999999</x:v>
      </x:c>
      <x:c r="C22" s="19" t="str">
        <x:v>受限资金约48.45亿元；按现金等价物看净有息负债更高</x:v>
      </x:c>
      <x:c r="D22" s="19" t="str"/>
      <x:c r="E22" s="19" t="str"/>
      <x:c r="F22" s="19" t="str"/>
      <x:c r="G22" s="19" t="str">
        <x:v>账面现金不能全部视为可自由分配</x:v>
      </x:c>
      <x:c r="H22" s="19" t="str"/>
      <x:c r="I22" s="19" t="str"/>
      <x:c r="J22" s="19" t="str"/>
      <x:c r="K22" s="19" t="str">
        <x:v>净债务/EBITDA&gt;2.0x或短债压力上升</x:v>
      </x:c>
      <x:c r="L22" s="19" t="str"/>
      <x:c r="M22" s="19" t="str"/>
      <x:c r="N22" s="19" t="str"/>
      <x:c r="O22" s="3"/>
      <x:c r="P22" s="3" t="n">
        <x:v>2019</x:v>
      </x:c>
      <x:c r="Q22" s="3" t="n">
        <x:v>0.16893706835</x:v>
      </x:c>
      <x:c r="R22" s="3" t="n">
        <x:v>0.1034</x:v>
      </x:c>
      <x:c r="S22" s="3" t="n">
        <x:f>L10</x:f>
        <x:v>0.06550054217949805</x:v>
      </x:c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 t="n">
        <x:v>2020</x:v>
      </x:c>
      <x:c r="Q23" s="3" t="n">
        <x:v>0.164011710009</x:v>
      </x:c>
      <x:c r="R23" s="3" t="n">
        <x:v>0.0736</x:v>
      </x:c>
      <x:c r="S23" s="3" t="n">
        <x:f>L11</x:f>
        <x:v>0.053630436036394995</x:v>
      </x:c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 t="n">
        <x:v>2021</x:v>
      </x:c>
      <x:c r="Q24" s="3" t="n">
        <x:v>0.159519911002</x:v>
      </x:c>
      <x:c r="R24" s="3" t="n">
        <x:v>0.0703</x:v>
      </x:c>
      <x:c r="S24" s="3" t="n">
        <x:f>L12</x:f>
        <x:v>0.05614040957981911</x:v>
      </x:c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 t="n">
        <x:v>2022</x:v>
      </x:c>
      <x:c r="Q25" s="3" t="n">
        <x:v>0.141714009925</x:v>
      </x:c>
      <x:c r="R25" s="3" t="n">
        <x:v>0.0747</x:v>
      </x:c>
      <x:c r="S25" s="3" t="n">
        <x:f>L13</x:f>
        <x:v>0.049359453401487445</x:v>
      </x:c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 t="n">
        <x:v>2023</x:v>
      </x:c>
      <x:c r="Q26" s="3" t="n">
        <x:v>0.152204635387</x:v>
      </x:c>
      <x:c r="R26" s="3" t="n">
        <x:v>0.0871</x:v>
      </x:c>
      <x:c r="S26" s="3" t="n">
        <x:f>L14</x:f>
        <x:v>0.057904619725877154</x:v>
      </x:c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 t="n">
        <x:v>2024</x:v>
      </x:c>
      <x:c r="Q27" s="3" t="n">
        <x:v>0.132090536438</x:v>
      </x:c>
      <x:c r="R27" s="3" t="n">
        <x:v>0.1028</x:v>
      </x:c>
      <x:c r="S27" s="3" t="n">
        <x:f>L15</x:f>
        <x:v>0.0723754898356098</x:v>
      </x:c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 t="n">
        <x:v>2025</x:v>
      </x:c>
      <x:c r="Q28" s="3" t="n">
        <x:v>0.124573244885</x:v>
      </x:c>
      <x:c r="R28" s="3" t="n">
        <x:v>0.0896</x:v>
      </x:c>
      <x:c r="S28" s="3" t="n">
        <x:f>L16</x:f>
        <x:v>0.06360794740497702</x:v>
      </x:c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 t="str">
        <x:v>年度</x:v>
      </x:c>
      <x:c r="Q32" s="3" t="str">
        <x:v>经营现金流</x:v>
      </x:c>
      <x:c r="R32" s="3" t="str">
        <x:v>自由现金流</x:v>
      </x:c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 t="n">
        <x:v>2016</x:v>
      </x:c>
      <x:c r="Q33" s="3" t="n">
        <x:v>25.7888893393</x:v>
      </x:c>
      <x:c r="R33" s="3" t="n">
        <x:v>17.4815393755</x:v>
      </x:c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 t="n">
        <x:v>2017</x:v>
      </x:c>
      <x:c r="Q34" s="3" t="n">
        <x:v>2.8787514034</x:v>
      </x:c>
      <x:c r="R34" s="3" t="n">
        <x:v>-22.0008611319</x:v>
      </x:c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 t="n">
        <x:v>2018</x:v>
      </x:c>
      <x:c r="Q35" s="3" t="n">
        <x:v>18.5325049651</x:v>
      </x:c>
      <x:c r="R35" s="3" t="n">
        <x:v>-20.288650865400005</x:v>
      </x:c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 t="n">
        <x:v>2019</x:v>
      </x:c>
      <x:c r="Q36" s="3" t="n">
        <x:v>15.1677369614</x:v>
      </x:c>
      <x:c r="R36" s="3" t="n">
        <x:v>-21.006439955200005</x:v>
      </x:c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 t="n">
        <x:v>2020</x:v>
      </x:c>
      <x:c r="Q37" s="3" t="n">
        <x:v>16.1238536507</x:v>
      </x:c>
      <x:c r="R37" s="3" t="n">
        <x:v>0.9402101819999977</x:v>
      </x:c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 t="n">
        <x:v>2021</x:v>
      </x:c>
      <x:c r="Q38" s="3" t="n">
        <x:v>13.7594861888</x:v>
      </x:c>
      <x:c r="R38" s="3" t="n">
        <x:v>-13.297239194499998</x:v>
      </x:c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 t="n">
        <x:v>2022</x:v>
      </x:c>
      <x:c r="Q39" s="3" t="n">
        <x:v>8.5466839064</x:v>
      </x:c>
      <x:c r="R39" s="3" t="n">
        <x:v>-17.882118249100003</x:v>
      </x:c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 t="n">
        <x:v>2023</x:v>
      </x:c>
      <x:c r="Q40" s="3" t="n">
        <x:v>18.5742323198</x:v>
      </x:c>
      <x:c r="R40" s="3" t="n">
        <x:v>-2.4845686064</x:v>
      </x:c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 t="n">
        <x:v>2024</x:v>
      </x:c>
      <x:c r="Q41" s="3" t="n">
        <x:v>32.6208906689</x:v>
      </x:c>
      <x:c r="R41" s="3" t="n">
        <x:v>12.281714207900002</x:v>
      </x:c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 t="n">
        <x:v>2025</x:v>
      </x:c>
      <x:c r="Q42" s="3" t="n">
        <x:v>28.0779607931</x:v>
      </x:c>
      <x:c r="R42" s="3" t="n">
        <x:v>-0.30354822159999983</x:v>
      </x:c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</x:sheetData>
  <x:mergeCells>
    <x:mergeCell ref="A1:W1"/>
    <x:mergeCell ref="A2:W2"/>
    <x:mergeCell ref="C18:F18"/>
    <x:mergeCell ref="G18:J18"/>
    <x:mergeCell ref="K18:N18"/>
    <x:mergeCell ref="C19:F19"/>
    <x:mergeCell ref="G19:J19"/>
    <x:mergeCell ref="K19:N19"/>
    <x:mergeCell ref="C20:F20"/>
    <x:mergeCell ref="G20:J20"/>
    <x:mergeCell ref="K20:N20"/>
    <x:mergeCell ref="C21:F21"/>
    <x:mergeCell ref="G21:J21"/>
    <x:mergeCell ref="K21:N21"/>
    <x:mergeCell ref="C22:F22"/>
    <x:mergeCell ref="G22:J22"/>
    <x:mergeCell ref="K22:N22"/>
  </x:mergeCells>
  <x:pageMargins left="0.7" right="0.7" top="0.75" bottom="0.75" header="0.3" footer="0.3"/>
  <x:drawing xmlns:r="http://schemas.openxmlformats.org/officeDocument/2006/relationships" r:id="R357b3165ca964f90"/>
</x:worksheet>
</file>

<file path=xl/worksheets/sheet6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7" customHeight="1">
      <x:c r="A1" s="6" t="str">
        <x:v>亨通光电｜巴菲特框架：先排雷，再谈价格</x:v>
      </x:c>
      <x:c r="B1" s="6" t="str">
        <x:v>亨通光电｜巴菲特框架：先排雷，再谈价格</x:v>
      </x:c>
      <x:c r="C1" s="6" t="str">
        <x:v>亨通光电｜巴菲特框架：先排雷，再谈价格</x:v>
      </x:c>
      <x:c r="D1" s="6" t="str">
        <x:v>亨通光电｜巴菲特框架：先排雷，再谈价格</x:v>
      </x:c>
      <x:c r="E1" s="6" t="str">
        <x:v>亨通光电｜巴菲特框架：先排雷，再谈价格</x:v>
      </x:c>
      <x:c r="F1" s="6" t="str">
        <x:v>亨通光电｜巴菲特框架：先排雷，再谈价格</x:v>
      </x:c>
      <x:c r="G1" s="6" t="str">
        <x:v>亨通光电｜巴菲特框架：先排雷，再谈价格</x:v>
      </x:c>
      <x:c r="H1" s="6" t="str">
        <x:v>亨通光电｜巴菲特框架：先排雷，再谈价格</x:v>
      </x:c>
      <x:c r="I1" s="6" t="str">
        <x:v>亨通光电｜巴菲特框架：先排雷，再谈价格</x:v>
      </x:c>
      <x:c r="J1" s="6" t="str">
        <x:v>亨通光电｜巴菲特框架：先排雷，再谈价格</x:v>
      </x:c>
      <x:c r="K1" s="6" t="str">
        <x:v>亨通光电｜巴菲特框架：先排雷，再谈价格</x:v>
      </x:c>
      <x:c r="L1" s="6" t="str">
        <x:v>亨通光电｜巴菲特框架：先排雷，再谈价格</x:v>
      </x:c>
      <x:c r="M1" s="6" t="str">
        <x:v>亨通光电｜巴菲特框架：先排雷，再谈价格</x:v>
      </x:c>
      <x:c r="N1" s="6" t="str">
        <x:v>亨通光电｜巴菲特框架：先排雷，再谈价格</x:v>
      </x:c>
    </x:row>
    <x:row r="2" ht="27" customHeight="1">
      <x:c r="A2" s="9" t="str">
        <x:v>结论不是“科技股还是制造业”的标签之争，而是识别各业务真实经济属性，并要求足够安全边际。</x:v>
      </x:c>
      <x:c r="B2" s="9" t="str">
        <x:v>结论不是“科技股还是制造业”的标签之争，而是识别各业务真实经济属性，并要求足够安全边际。</x:v>
      </x:c>
      <x:c r="C2" s="9" t="str">
        <x:v>结论不是“科技股还是制造业”的标签之争，而是识别各业务真实经济属性，并要求足够安全边际。</x:v>
      </x:c>
      <x:c r="D2" s="9" t="str">
        <x:v>结论不是“科技股还是制造业”的标签之争，而是识别各业务真实经济属性，并要求足够安全边际。</x:v>
      </x:c>
      <x:c r="E2" s="9" t="str">
        <x:v>结论不是“科技股还是制造业”的标签之争，而是识别各业务真实经济属性，并要求足够安全边际。</x:v>
      </x:c>
      <x:c r="F2" s="9" t="str">
        <x:v>结论不是“科技股还是制造业”的标签之争，而是识别各业务真实经济属性，并要求足够安全边际。</x:v>
      </x:c>
      <x:c r="G2" s="9" t="str">
        <x:v>结论不是“科技股还是制造业”的标签之争，而是识别各业务真实经济属性，并要求足够安全边际。</x:v>
      </x:c>
      <x:c r="H2" s="9" t="str">
        <x:v>结论不是“科技股还是制造业”的标签之争，而是识别各业务真实经济属性，并要求足够安全边际。</x:v>
      </x:c>
      <x:c r="I2" s="9" t="str">
        <x:v>结论不是“科技股还是制造业”的标签之争，而是识别各业务真实经济属性，并要求足够安全边际。</x:v>
      </x:c>
      <x:c r="J2" s="9" t="str">
        <x:v>结论不是“科技股还是制造业”的标签之争，而是识别各业务真实经济属性，并要求足够安全边际。</x:v>
      </x:c>
      <x:c r="K2" s="9" t="str">
        <x:v>结论不是“科技股还是制造业”的标签之争，而是识别各业务真实经济属性，并要求足够安全边际。</x:v>
      </x:c>
      <x:c r="L2" s="9" t="str">
        <x:v>结论不是“科技股还是制造业”的标签之争，而是识别各业务真实经济属性，并要求足够安全边际。</x:v>
      </x:c>
      <x:c r="M2" s="9" t="str">
        <x:v>结论不是“科技股还是制造业”的标签之争，而是识别各业务真实经济属性，并要求足够安全边际。</x:v>
      </x:c>
      <x:c r="N2" s="9" t="str">
        <x:v>结论不是“科技股还是制造业”的标签之争，而是识别各业务真实经济属性，并要求足够安全边际。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2" customHeight="1">
      <x:c r="A4" s="11" t="str">
        <x:v>8个问题快速筛查</x:v>
      </x:c>
      <x:c r="B4" s="11" t="str">
        <x:v>8个问题快速筛查</x:v>
      </x:c>
      <x:c r="C4" s="11" t="str">
        <x:v>8个问题快速筛查</x:v>
      </x:c>
      <x:c r="D4" s="11" t="str">
        <x:v>8个问题快速筛查</x:v>
      </x:c>
      <x:c r="E4" s="11" t="str">
        <x:v>8个问题快速筛查</x:v>
      </x:c>
      <x:c r="F4" s="11" t="str">
        <x:v>8个问题快速筛查</x:v>
      </x:c>
      <x:c r="G4" s="11" t="str">
        <x:v>8个问题快速筛查</x:v>
      </x:c>
      <x:c r="H4" s="11" t="str">
        <x:v>8个问题快速筛查</x:v>
      </x:c>
      <x:c r="I4" s="11" t="str">
        <x:v>8个问题快速筛查</x:v>
      </x:c>
      <x:c r="J4" s="11" t="str">
        <x:v>8个问题快速筛查</x:v>
      </x:c>
      <x:c r="K4" s="11" t="str">
        <x:v>8个问题快速筛查</x:v>
      </x:c>
      <x:c r="L4" s="11" t="str">
        <x:v>8个问题快速筛查</x:v>
      </x:c>
      <x:c r="M4" s="11" t="str">
        <x:v>8个问题快速筛查</x:v>
      </x:c>
      <x:c r="N4" s="11" t="str">
        <x:v>8个问题快速筛查</x:v>
      </x:c>
    </x:row>
    <x:row r="5">
      <x:c r="A5" s="15" t="str">
        <x:v>#</x:v>
      </x:c>
      <x:c r="B5" s="15" t="str">
        <x:v>问题</x:v>
      </x:c>
      <x:c r="C5" s="15" t="str">
        <x:v>判断</x:v>
      </x:c>
      <x:c r="D5" s="15" t="str">
        <x:v>关键证据</x:v>
      </x:c>
      <x:c r="E5" s="15" t="str"/>
      <x:c r="F5" s="15" t="str"/>
      <x:c r="G5" s="15" t="str">
        <x:v>为什么重要</x:v>
      </x:c>
      <x:c r="H5" s="15" t="str"/>
      <x:c r="I5" s="15" t="str"/>
      <x:c r="J5" s="15" t="str"/>
      <x:c r="K5" s="15" t="str">
        <x:v>监控项</x:v>
      </x:c>
      <x:c r="L5" s="15" t="str"/>
      <x:c r="M5" s="15" t="str"/>
      <x:c r="N5" s="15" t="str"/>
    </x:row>
    <x:row r="6" ht="48" customHeight="1">
      <x:c r="A6" s="19" t="n">
        <x:v>1</x:v>
      </x:c>
      <x:c r="B6" s="19" t="str">
        <x:v>是否在能力圈内？</x:v>
      </x:c>
      <x:c r="C6" s="19" t="str">
        <x:v>谨慎</x:v>
      </x:c>
      <x:c r="D6" s="19" t="str">
        <x:v>线缆制造/工程项目可理解；光纤价格周期、CPO产业兑现较难预测</x:v>
      </x:c>
      <x:c r="E6" s="19" t="str"/>
      <x:c r="F6" s="19" t="str"/>
      <x:c r="G6" s="19" t="str">
        <x:v>属于能力圈边界，不宜给单点高确定性估值</x:v>
      </x:c>
      <x:c r="H6" s="19" t="str"/>
      <x:c r="I6" s="19" t="str"/>
      <x:c r="J6" s="19" t="str"/>
      <x:c r="K6" s="19" t="str">
        <x:v>光通信量价、CPO订单、海洋项目交付</x:v>
      </x:c>
      <x:c r="L6" s="19" t="str"/>
      <x:c r="M6" s="19" t="str"/>
      <x:c r="N6" s="19" t="str"/>
    </x:row>
    <x:row r="7" ht="48" customHeight="1">
      <x:c r="A7" s="19" t="n">
        <x:v>2</x:v>
      </x:c>
      <x:c r="B7" s="19" t="str">
        <x:v>护城河是否存在且可持续？</x:v>
      </x:c>
      <x:c r="C7" s="19" t="str">
        <x:v>通过</x:v>
      </x:c>
      <x:c r="D7" s="19" t="str">
        <x:v>全产业链、规模成本、认证交付、海洋工程系统能力、专利标准与全球基地</x:v>
      </x:c>
      <x:c r="E7" s="19" t="str"/>
      <x:c r="F7" s="19" t="str"/>
      <x:c r="G7" s="19" t="str">
        <x:v>壁垒真实但并非消费品式永久定价权</x:v>
      </x:c>
      <x:c r="H7" s="19" t="str"/>
      <x:c r="I7" s="19" t="str"/>
      <x:c r="J7" s="19" t="str"/>
      <x:c r="K7" s="19" t="str">
        <x:v>毛利率、海外中标、海缆/海通订单</x:v>
      </x:c>
      <x:c r="L7" s="19" t="str"/>
      <x:c r="M7" s="19" t="str"/>
      <x:c r="N7" s="19" t="str"/>
    </x:row>
    <x:row r="8" ht="48" customHeight="1">
      <x:c r="A8" s="19" t="n">
        <x:v>3</x:v>
      </x:c>
      <x:c r="B8" s="19" t="str">
        <x:v>管理层可信且资本配置理性？</x:v>
      </x:c>
      <x:c r="C8" s="19" t="str">
        <x:v>谨慎</x:v>
      </x:c>
      <x:c r="D8" s="19" t="str">
        <x:v>标准无保留审计；但有财务公司存款、较高质押、66.36亿元扩张计划；员工持股折价且首期考核已基本跨过</x:v>
      </x:c>
      <x:c r="E8" s="19" t="str"/>
      <x:c r="F8" s="19" t="str"/>
      <x:c r="G8" s="19" t="str">
        <x:v>资本配置与激励约束决定这轮景气红利最终留存多少</x:v>
      </x:c>
      <x:c r="H8" s="19" t="str"/>
      <x:c r="I8" s="19" t="str"/>
      <x:c r="J8" s="19" t="str"/>
      <x:c r="K8" s="19" t="str">
        <x:v>关联资金、质押、募投ROIC、解锁与减持</x:v>
      </x:c>
      <x:c r="L8" s="19" t="str"/>
      <x:c r="M8" s="19" t="str"/>
      <x:c r="N8" s="19" t="str"/>
    </x:row>
    <x:row r="9" ht="48" customHeight="1">
      <x:c r="A9" s="19" t="n">
        <x:v>4</x:v>
      </x:c>
      <x:c r="B9" s="19" t="str">
        <x:v>价格是否便宜？</x:v>
      </x:c>
      <x:c r="C9" s="19" t="str">
        <x:v>谨慎</x:v>
      </x:c>
      <x:c r="D9" s="19" t="str">
        <x:v>2026E前瞻PE约11–15倍；45.68元按13倍反推2028归母约86.7亿元</x:v>
      </x:c>
      <x:c r="E9" s="19" t="str"/>
      <x:c r="F9" s="19" t="str"/>
      <x:c r="G9" s="19" t="str">
        <x:v>现价接近计入基准2028E盈利</x:v>
      </x:c>
      <x:c r="H9" s="19" t="str"/>
      <x:c r="I9" s="19" t="str"/>
      <x:c r="J9" s="19" t="str"/>
      <x:c r="K9" s="19" t="str">
        <x:v>2027/2028光通信利润、海洋订单与现金流</x:v>
      </x:c>
      <x:c r="L9" s="19" t="str"/>
      <x:c r="M9" s="19" t="str"/>
      <x:c r="N9" s="19" t="str"/>
    </x:row>
    <x:row r="10" ht="48" customHeight="1">
      <x:c r="A10" s="19" t="n">
        <x:v>5</x:v>
      </x:c>
      <x:c r="B10" s="19" t="str">
        <x:v>安全边际是否足够？</x:v>
      </x:c>
      <x:c r="C10" s="19" t="str">
        <x:v>不通过</x:v>
      </x:c>
      <x:c r="D10" s="19" t="str">
        <x:v>产业驱动基准价值约42.4元/股，仍低于45.68元现价</x:v>
      </x:c>
      <x:c r="E10" s="19" t="str"/>
      <x:c r="F10" s="19" t="str"/>
      <x:c r="G10" s="19" t="str">
        <x:v>差距缩小，但当前仍无明显折价保护</x:v>
      </x:c>
      <x:c r="H10" s="19" t="str"/>
      <x:c r="I10" s="19" t="str"/>
      <x:c r="J10" s="19" t="str"/>
      <x:c r="K10" s="19" t="str">
        <x:v>观察约36.1元；分批约29.7元</x:v>
      </x:c>
      <x:c r="L10" s="19" t="str"/>
      <x:c r="M10" s="19" t="str"/>
      <x:c r="N10" s="19" t="str"/>
    </x:row>
    <x:row r="11" ht="48" customHeight="1">
      <x:c r="A11" s="19" t="n">
        <x:v>6</x:v>
      </x:c>
      <x:c r="B11" s="19" t="str">
        <x:v>失败路径是否可承受？</x:v>
      </x:c>
      <x:c r="C11" s="19" t="str">
        <x:v>通过</x:v>
      </x:c>
      <x:c r="D11" s="19" t="str">
        <x:v>核心风险可识别：光纤价格回落、现金不兑现、定增回报不达标、诉讼/海外执行</x:v>
      </x:c>
      <x:c r="E11" s="19" t="str"/>
      <x:c r="F11" s="19" t="str"/>
      <x:c r="G11" s="19" t="str">
        <x:v>可设置量化红线而非只看叙事</x:v>
      </x:c>
      <x:c r="H11" s="19" t="str"/>
      <x:c r="I11" s="19" t="str"/>
      <x:c r="J11" s="19" t="str"/>
      <x:c r="K11" s="19" t="str">
        <x:v>见风险矩阵</x:v>
      </x:c>
      <x:c r="L11" s="19" t="str"/>
      <x:c r="M11" s="19" t="str"/>
      <x:c r="N11" s="19" t="str"/>
    </x:row>
    <x:row r="12" ht="48" customHeight="1">
      <x:c r="A12" s="19" t="n">
        <x:v>7</x:v>
      </x:c>
      <x:c r="B12" s="19" t="str">
        <x:v>是否存在制度性惯性？</x:v>
      </x:c>
      <x:c r="C12" s="19" t="str">
        <x:v>谨慎</x:v>
      </x:c>
      <x:c r="D12" s="19" t="str">
        <x:v>多个募投项目并行、跨光通信/海洋/智能制造扩张，且补流19.90亿元</x:v>
      </x:c>
      <x:c r="E12" s="19" t="str"/>
      <x:c r="F12" s="19" t="str"/>
      <x:c r="G12" s="19" t="str">
        <x:v>扩张可能优先于股东回报</x:v>
      </x:c>
      <x:c r="H12" s="19" t="str"/>
      <x:c r="I12" s="19" t="str"/>
      <x:c r="J12" s="19" t="str"/>
      <x:c r="K12" s="19" t="str">
        <x:v>资本开支、资产周转、ROIC</x:v>
      </x:c>
      <x:c r="L12" s="19" t="str"/>
      <x:c r="M12" s="19" t="str"/>
      <x:c r="N12" s="19" t="str"/>
    </x:row>
    <x:row r="13" ht="48" customHeight="1">
      <x:c r="A13" s="19" t="n">
        <x:v>8</x:v>
      </x:c>
      <x:c r="B13" s="19" t="str">
        <x:v>卖出纪律是否清晰？</x:v>
      </x:c>
      <x:c r="C13" s="19" t="str">
        <x:v>谨慎</x:v>
      </x:c>
      <x:c r="D13" s="19" t="str">
        <x:v>尚未持有；已定义护城河破坏、治理红线、估值泡沫和更优机会四类条件</x:v>
      </x:c>
      <x:c r="E13" s="19" t="str"/>
      <x:c r="F13" s="19" t="str"/>
      <x:c r="G13" s="19" t="str">
        <x:v>先写退出条件可防止叙事漂移</x:v>
      </x:c>
      <x:c r="H13" s="19" t="str"/>
      <x:c r="I13" s="19" t="str"/>
      <x:c r="J13" s="19" t="str"/>
      <x:c r="K13" s="19" t="str">
        <x:v>季度复核</x:v>
      </x:c>
      <x:c r="L13" s="19" t="str"/>
      <x:c r="M13" s="19" t="str"/>
      <x:c r="N13" s="19" t="str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 ht="22" customHeight="1">
      <x:c r="A15" s="11" t="str">
        <x:v>护城河拆解</x:v>
      </x:c>
      <x:c r="B15" s="11" t="str">
        <x:v>护城河拆解</x:v>
      </x:c>
      <x:c r="C15" s="11" t="str">
        <x:v>护城河拆解</x:v>
      </x:c>
      <x:c r="D15" s="11" t="str">
        <x:v>护城河拆解</x:v>
      </x:c>
      <x:c r="E15" s="11" t="str">
        <x:v>护城河拆解</x:v>
      </x:c>
      <x:c r="F15" s="11" t="str">
        <x:v>护城河拆解</x:v>
      </x:c>
      <x:c r="G15" s="11" t="str">
        <x:v>护城河拆解</x:v>
      </x:c>
      <x:c r="H15" s="3"/>
      <x:c r="I15" s="11" t="str">
        <x:v>管理层与治理核查</x:v>
      </x:c>
      <x:c r="J15" s="11" t="str">
        <x:v>管理层与治理核查</x:v>
      </x:c>
      <x:c r="K15" s="11" t="str">
        <x:v>管理层与治理核查</x:v>
      </x:c>
      <x:c r="L15" s="11" t="str">
        <x:v>管理层与治理核查</x:v>
      </x:c>
      <x:c r="M15" s="11" t="str">
        <x:v>管理层与治理核查</x:v>
      </x:c>
      <x:c r="N15" s="11" t="str">
        <x:v>管理层与治理核查</x:v>
      </x:c>
    </x:row>
    <x:row r="16">
      <x:c r="A16" s="15" t="str">
        <x:v>来源</x:v>
      </x:c>
      <x:c r="B16" s="15" t="str">
        <x:v>强度</x:v>
      </x:c>
      <x:c r="C16" s="15" t="str">
        <x:v>证据</x:v>
      </x:c>
      <x:c r="D16" s="15" t="str">
        <x:v>可复制性</x:v>
      </x:c>
      <x:c r="E16" s="15" t="str">
        <x:v>寿命</x:v>
      </x:c>
      <x:c r="F16" s="15" t="str">
        <x:v>当前趋势</x:v>
      </x:c>
      <x:c r="G16" s="15" t="str">
        <x:v>判断</x:v>
      </x:c>
      <x:c r="H16" s="3"/>
      <x:c r="I16" s="15" t="str">
        <x:v>事项</x:v>
      </x:c>
      <x:c r="J16" s="15" t="str">
        <x:v>现状</x:v>
      </x:c>
      <x:c r="K16" s="15" t="str">
        <x:v>判断</x:v>
      </x:c>
      <x:c r="L16" s="15" t="str">
        <x:v>红线</x:v>
      </x:c>
      <x:c r="M16" s="15" t="str">
        <x:v>证据</x:v>
      </x:c>
      <x:c r="N16" s="15" t="str">
        <x:v>跟踪</x:v>
      </x:c>
    </x:row>
    <x:row r="17" ht="40" customHeight="1">
      <x:c r="A17" s="19" t="str">
        <x:v>规模与纵向一体化</x:v>
      </x:c>
      <x:c r="B17" s="19" t="str">
        <x:v>中强</x:v>
      </x:c>
      <x:c r="C17" s="19" t="str">
        <x:v>光棒-光纤-光缆、材料-电缆-系统、全球制造基地</x:v>
      </x:c>
      <x:c r="D17" s="19" t="str">
        <x:v>复制需资本与客户验证</x:v>
      </x:c>
      <x:c r="E17" s="19" t="str">
        <x:v>中长期</x:v>
      </x:c>
      <x:c r="F17" s="19" t="str">
        <x:v>受益行业景气</x:v>
      </x:c>
      <x:c r="G17" s="19" t="str">
        <x:v>有效但资本密集</x:v>
      </x:c>
      <x:c r="H17" s="3"/>
      <x:c r="I17" s="19" t="str">
        <x:v>审计意见</x:v>
      </x:c>
      <x:c r="J17" s="19" t="str">
        <x:v>2025标准无保留</x:v>
      </x:c>
      <x:c r="K17" s="19" t="str">
        <x:v>通过</x:v>
      </x:c>
      <x:c r="L17" s="19" t="str">
        <x:v>非标/重大内控缺陷</x:v>
      </x:c>
      <x:c r="M17" s="19" t="str">
        <x:v>S05</x:v>
      </x:c>
      <x:c r="N17" s="19" t="str">
        <x:v>年度</x:v>
      </x:c>
    </x:row>
    <x:row r="18" ht="40" customHeight="1">
      <x:c r="A18" s="19" t="str">
        <x:v>工程资质与交付记录</x:v>
      </x:c>
      <x:c r="B18" s="19" t="str">
        <x:v>强</x:v>
      </x:c>
      <x:c r="C18" s="19" t="str">
        <x:v>海底通信系统长距离交付、海缆与海工能力</x:v>
      </x:c>
      <x:c r="D18" s="19" t="str">
        <x:v>复制慢、项目经验重要</x:v>
      </x:c>
      <x:c r="E18" s="19" t="str">
        <x:v>中长期</x:v>
      </x:c>
      <x:c r="F18" s="19" t="str">
        <x:v>订单可见度较好</x:v>
      </x:c>
      <x:c r="G18" s="19" t="str">
        <x:v>最优质壁垒之一</x:v>
      </x:c>
      <x:c r="H18" s="3"/>
      <x:c r="I18" s="19" t="str">
        <x:v>集团财务公司</x:v>
      </x:c>
      <x:c r="J18" s="19" t="str">
        <x:v>2026H1存款约27.99亿元</x:v>
      </x:c>
      <x:c r="K18" s="19" t="str">
        <x:v>谨慎</x:v>
      </x:c>
      <x:c r="L18" s="19" t="str">
        <x:v>资金占用或提款受限</x:v>
      </x:c>
      <x:c r="M18" s="19" t="str">
        <x:v>S03</x:v>
      </x:c>
      <x:c r="N18" s="19" t="str">
        <x:v>半年度</x:v>
      </x:c>
    </x:row>
    <x:row r="19" ht="40" customHeight="1">
      <x:c r="A19" s="19" t="str">
        <x:v>技术与标准</x:v>
      </x:c>
      <x:c r="B19" s="19" t="str">
        <x:v>中强</x:v>
      </x:c>
      <x:c r="C19" s="19" t="str">
        <x:v>1620项发明专利、179项PCT、参与477项标准</x:v>
      </x:c>
      <x:c r="D19" s="19" t="str">
        <x:v>专利数量不等于经济回报</x:v>
      </x:c>
      <x:c r="E19" s="19" t="str">
        <x:v>取决于产品代际</x:v>
      </x:c>
      <x:c r="F19" s="19" t="str">
        <x:v>AI光互连驱动</x:v>
      </x:c>
      <x:c r="G19" s="19" t="str">
        <x:v>需用毛利与订单验证</x:v>
      </x:c>
      <x:c r="H19" s="3"/>
      <x:c r="I19" s="19" t="str">
        <x:v>控股股东质押</x:v>
      </x:c>
      <x:c r="J19" s="19" t="str">
        <x:v>占其持股52.49%</x:v>
      </x:c>
      <x:c r="K19" s="19" t="str">
        <x:v>谨慎</x:v>
      </x:c>
      <x:c r="L19" s="19" t="str">
        <x:v>继续升高或触发被动处置</x:v>
      </x:c>
      <x:c r="M19" s="19" t="str">
        <x:v>S17</x:v>
      </x:c>
      <x:c r="N19" s="19" t="str">
        <x:v>每次公告</x:v>
      </x:c>
    </x:row>
    <x:row r="20" ht="40" customHeight="1">
      <x:c r="A20" s="19" t="str">
        <x:v>客户转换成本</x:v>
      </x:c>
      <x:c r="B20" s="19" t="str">
        <x:v>中</x:v>
      </x:c>
      <x:c r="C20" s="19" t="str">
        <x:v>电网、运营商、数据中心认证及供货稳定性要求高</x:v>
      </x:c>
      <x:c r="D20" s="19" t="str">
        <x:v>新进入者验证周期长</x:v>
      </x:c>
      <x:c r="E20" s="19" t="str">
        <x:v>中期</x:v>
      </x:c>
      <x:c r="F20" s="19" t="str">
        <x:v>稳定</x:v>
      </x:c>
      <x:c r="G20" s="19" t="str">
        <x:v>存在但非绝对</x:v>
      </x:c>
      <x:c r="H20" s="3"/>
      <x:c r="I20" s="19" t="str">
        <x:v>定增与资本配置</x:v>
      </x:c>
      <x:c r="J20" s="19" t="str">
        <x:v>拟募资66.36亿元，暂未提请股东会</x:v>
      </x:c>
      <x:c r="K20" s="19" t="str">
        <x:v>重点观察</x:v>
      </x:c>
      <x:c r="L20" s="19" t="str">
        <x:v>募投回报长期低于资本成本</x:v>
      </x:c>
      <x:c r="M20" s="19" t="str">
        <x:v>S06/S15</x:v>
      </x:c>
      <x:c r="N20" s="19" t="str">
        <x:v>季度</x:v>
      </x:c>
    </x:row>
    <x:row r="21" ht="40" customHeight="1">
      <x:c r="A21" s="19" t="str">
        <x:v>品牌与定价权</x:v>
      </x:c>
      <x:c r="B21" s="19" t="str">
        <x:v>中弱</x:v>
      </x:c>
      <x:c r="C21" s="19" t="str">
        <x:v>价格上涨期可传导，但光纤/铜材仍具周期属性</x:v>
      </x:c>
      <x:c r="D21" s="19" t="str">
        <x:v>同业竞争充分</x:v>
      </x:c>
      <x:c r="E21" s="19" t="str">
        <x:v>周期性</x:v>
      </x:c>
      <x:c r="F21" s="19" t="str">
        <x:v>2026显著改善</x:v>
      </x:c>
      <x:c r="G21" s="19" t="str">
        <x:v>非消费品式护城河</x:v>
      </x:c>
      <x:c r="H21" s="3"/>
      <x:c r="I21" s="19" t="str">
        <x:v>重大诉讼</x:v>
      </x:c>
      <x:c r="J21" s="19" t="str">
        <x:v>主张20.80亿元、反诉12.77亿元</x:v>
      </x:c>
      <x:c r="K21" s="19" t="str">
        <x:v>不确定</x:v>
      </x:c>
      <x:c r="L21" s="19" t="str">
        <x:v>败诉并实质侵蚀现金流</x:v>
      </x:c>
      <x:c r="M21" s="19" t="str">
        <x:v>S03</x:v>
      </x:c>
      <x:c r="N21" s="19" t="str">
        <x:v>进展公告</x:v>
      </x:c>
    </x:row>
    <x:row r="22" ht="40" customHeight="1">
      <x:c r="A22" s="3"/>
      <x:c r="B22" s="3"/>
      <x:c r="C22" s="3"/>
      <x:c r="D22" s="3"/>
      <x:c r="E22" s="3"/>
      <x:c r="F22" s="3"/>
      <x:c r="G22" s="3"/>
      <x:c r="H22" s="3"/>
      <x:c r="I22" s="19" t="str">
        <x:v>员工持股计划</x:v>
      </x:c>
      <x:c r="J22" s="19" t="str">
        <x:v>回购股0.34%，34.27元/股受让</x:v>
      </x:c>
      <x:c r="K22" s="19" t="str">
        <x:v>治理扣分</x:v>
      </x:c>
      <x:c r="L22" s="19" t="str">
        <x:v>低约束折价或解锁后集中出售</x:v>
      </x:c>
      <x:c r="M22" s="19" t="str">
        <x:v>S18/S19</x:v>
      </x:c>
      <x:c r="N22" s="19" t="str">
        <x:v>过户/解锁</x:v>
      </x:c>
    </x:row>
    <x:row r="23" ht="22" customHeight="1">
      <x:c r="A23" s="11" t="str">
        <x:v>三大风险矩阵与证伪条件</x:v>
      </x:c>
      <x:c r="B23" s="11" t="str">
        <x:v>三大风险矩阵与证伪条件</x:v>
      </x:c>
      <x:c r="C23" s="11" t="str">
        <x:v>三大风险矩阵与证伪条件</x:v>
      </x:c>
      <x:c r="D23" s="11" t="str">
        <x:v>三大风险矩阵与证伪条件</x:v>
      </x:c>
      <x:c r="E23" s="11" t="str">
        <x:v>三大风险矩阵与证伪条件</x:v>
      </x:c>
      <x:c r="F23" s="11" t="str">
        <x:v>三大风险矩阵与证伪条件</x:v>
      </x:c>
      <x:c r="G23" s="11" t="str">
        <x:v>三大风险矩阵与证伪条件</x:v>
      </x:c>
      <x:c r="H23" s="11" t="str">
        <x:v>三大风险矩阵与证伪条件</x:v>
      </x:c>
      <x:c r="I23" s="11" t="str">
        <x:v>三大风险矩阵与证伪条件</x:v>
      </x:c>
      <x:c r="J23" s="11" t="str">
        <x:v>三大风险矩阵与证伪条件</x:v>
      </x:c>
      <x:c r="K23" s="11" t="str">
        <x:v>三大风险矩阵与证伪条件</x:v>
      </x:c>
      <x:c r="L23" s="11" t="str">
        <x:v>三大风险矩阵与证伪条件</x:v>
      </x:c>
      <x:c r="M23" s="11" t="str">
        <x:v>三大风险矩阵与证伪条件</x:v>
      </x:c>
      <x:c r="N23" s="11" t="str">
        <x:v>三大风险矩阵与证伪条件</x:v>
      </x:c>
    </x:row>
    <x:row r="24">
      <x:c r="A24" s="15" t="str">
        <x:v>优先级</x:v>
      </x:c>
      <x:c r="B24" s="15" t="str">
        <x:v>风险</x:v>
      </x:c>
      <x:c r="C24" s="15" t="str"/>
      <x:c r="D24" s="15" t="str">
        <x:v>概率</x:v>
      </x:c>
      <x:c r="E24" s="15" t="str">
        <x:v>影响</x:v>
      </x:c>
      <x:c r="F24" s="15" t="str">
        <x:v>领先指标</x:v>
      </x:c>
      <x:c r="G24" s="15" t="str"/>
      <x:c r="H24" s="15" t="str"/>
      <x:c r="I24" s="15" t="str">
        <x:v>证伪/加仓信号</x:v>
      </x:c>
      <x:c r="J24" s="15" t="str"/>
      <x:c r="K24" s="15" t="str"/>
      <x:c r="L24" s="15" t="str">
        <x:v>触发动作</x:v>
      </x:c>
      <x:c r="M24" s="15" t="str"/>
      <x:c r="N24" s="15" t="str"/>
    </x:row>
    <x:row r="25" ht="48" customHeight="1">
      <x:c r="A25" s="19" t="n">
        <x:v>1</x:v>
      </x:c>
      <x:c r="B25" s="19" t="str">
        <x:v>光纤价格与高毛利回落：2026H1光通信毛利率&gt;60%可能高于稳态</x:v>
      </x:c>
      <x:c r="C25" s="19" t="str"/>
      <x:c r="D25" s="19" t="str">
        <x:v>中高</x:v>
      </x:c>
      <x:c r="E25" s="19" t="str">
        <x:v>高</x:v>
      </x:c>
      <x:c r="F25" s="19" t="str">
        <x:v>光纤报价、光通信收入/毛利、库存</x:v>
      </x:c>
      <x:c r="G25" s="19" t="str"/>
      <x:c r="H25" s="19" t="str"/>
      <x:c r="I25" s="19" t="str">
        <x:v>三季报后毛利维持且订单继续增长</x:v>
      </x:c>
      <x:c r="J25" s="19" t="str"/>
      <x:c r="K25" s="19" t="str"/>
      <x:c r="L25" s="19" t="str">
        <x:v>若连续两季量价齐跌，降低技术溢价</x:v>
      </x:c>
      <x:c r="M25" s="19" t="str"/>
      <x:c r="N25" s="19" t="str"/>
    </x:row>
    <x:row r="26" ht="48" customHeight="1">
      <x:c r="A26" s="19" t="n">
        <x:v>2</x:v>
      </x:c>
      <x:c r="B26" s="19" t="str">
        <x:v>所有者收益偏弱：利润增长被应收、存货、资本开支吞噬</x:v>
      </x:c>
      <x:c r="C26" s="19" t="str"/>
      <x:c r="D26" s="19" t="str">
        <x:v>高</x:v>
      </x:c>
      <x:c r="E26" s="19" t="str">
        <x:v>高</x:v>
      </x:c>
      <x:c r="F26" s="19" t="str">
        <x:v>FCF/归母、应收+存货/收入、资本开支</x:v>
      </x:c>
      <x:c r="G26" s="19" t="str"/>
      <x:c r="H26" s="19" t="str"/>
      <x:c r="I26" s="19" t="str">
        <x:v>FCF转正且募投回报清晰</x:v>
      </x:c>
      <x:c r="J26" s="19" t="str"/>
      <x:c r="K26" s="19" t="str"/>
      <x:c r="L26" s="19" t="str">
        <x:v>DCF权重上调/下调，调整买入价</x:v>
      </x:c>
      <x:c r="M26" s="19" t="str"/>
      <x:c r="N26" s="19" t="str"/>
    </x:row>
    <x:row r="27" ht="48" customHeight="1">
      <x:c r="A27" s="19" t="n">
        <x:v>3</x:v>
      </x:c>
      <x:c r="B27" s="19" t="str">
        <x:v>治理与事件：定增摊薄、员工持股折价、质押、财务公司资金、诉讼与海外项目</x:v>
      </x:c>
      <x:c r="C27" s="19" t="str"/>
      <x:c r="D27" s="19" t="str">
        <x:v>中</x:v>
      </x:c>
      <x:c r="E27" s="19" t="str">
        <x:v>中高</x:v>
      </x:c>
      <x:c r="F27" s="19" t="str">
        <x:v>发行价/股数、员工持股解锁、质押率、资金受限、诉讼进展</x:v>
      </x:c>
      <x:c r="G27" s="19" t="str"/>
      <x:c r="H27" s="19" t="str"/>
      <x:c r="I27" s="19" t="str">
        <x:v>募投回报透明、质押下降、激励考核重新变严</x:v>
      </x:c>
      <x:c r="J27" s="19" t="str"/>
      <x:c r="K27" s="19" t="str"/>
      <x:c r="L27" s="19" t="str">
        <x:v>触及诚信或资金占用红线则退出</x:v>
      </x:c>
      <x:c r="M27" s="19" t="str"/>
      <x:c r="N27" s="19" t="str"/>
    </x:row>
    <x:row r="28" ht="48" customHeight="1">
      <x:c r="A28" s="19" t="str">
        <x:v>加分项</x:v>
      </x:c>
      <x:c r="B28" s="19" t="str">
        <x:v>海洋通信/能源订单转收入，CPO从研发走向规模订单</x:v>
      </x:c>
      <x:c r="C28" s="19" t="str"/>
      <x:c r="D28" s="19" t="str">
        <x:v>中</x:v>
      </x:c>
      <x:c r="E28" s="19" t="str">
        <x:v>中高</x:v>
      </x:c>
      <x:c r="F28" s="19" t="str">
        <x:v>订单、验收、利润率</x:v>
      </x:c>
      <x:c r="G28" s="19" t="str"/>
      <x:c r="H28" s="19" t="str"/>
      <x:c r="I28" s="19" t="str">
        <x:v>连续两个报告期兑现</x:v>
      </x:c>
      <x:c r="J28" s="19" t="str"/>
      <x:c r="K28" s="19" t="str"/>
      <x:c r="L28" s="19" t="str">
        <x:v>可提高SOTP利润与倍数，但仍要求现金验证</x:v>
      </x:c>
      <x:c r="M28" s="19" t="str"/>
      <x:c r="N28" s="19" t="str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22" customHeight="1">
      <x:c r="A30" s="11" t="str">
        <x:v>科技股估值还是制造业估值？</x:v>
      </x:c>
      <x:c r="B30" s="11" t="str">
        <x:v>科技股估值还是制造业估值？</x:v>
      </x:c>
      <x:c r="C30" s="11" t="str">
        <x:v>科技股估值还是制造业估值？</x:v>
      </x:c>
      <x:c r="D30" s="11" t="str">
        <x:v>科技股估值还是制造业估值？</x:v>
      </x:c>
      <x:c r="E30" s="11" t="str">
        <x:v>科技股估值还是制造业估值？</x:v>
      </x:c>
      <x:c r="F30" s="11" t="str">
        <x:v>科技股估值还是制造业估值？</x:v>
      </x:c>
      <x:c r="G30" s="11" t="str">
        <x:v>科技股估值还是制造业估值？</x:v>
      </x:c>
      <x:c r="H30" s="11" t="str">
        <x:v>科技股估值还是制造业估值？</x:v>
      </x:c>
      <x:c r="I30" s="11" t="str">
        <x:v>科技股估值还是制造业估值？</x:v>
      </x:c>
      <x:c r="J30" s="11" t="str">
        <x:v>科技股估值还是制造业估值？</x:v>
      </x:c>
      <x:c r="K30" s="11" t="str">
        <x:v>科技股估值还是制造业估值？</x:v>
      </x:c>
      <x:c r="L30" s="11" t="str">
        <x:v>科技股估值还是制造业估值？</x:v>
      </x:c>
      <x:c r="M30" s="11" t="str">
        <x:v>科技股估值还是制造业估值？</x:v>
      </x:c>
      <x:c r="N30" s="11" t="str">
        <x:v>科技股估值还是制造业估值？</x:v>
      </x:c>
    </x:row>
    <x:row r="31">
      <x:c r="A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B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C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D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E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F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G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H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I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J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K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L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M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N31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</x:row>
    <x:row r="32">
      <x:c r="A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B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C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D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E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F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G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H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I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J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K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L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M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N32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</x:row>
    <x:row r="33">
      <x:c r="A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B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C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D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E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F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G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H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I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J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K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L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M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  <x:c r="N33" s="79" t="str">
        <x:v>结论：采用分部估值。光通信与海洋通信具备技术、认证、系统交付和稀缺资产，可享受高于普通制造的倍数；智能电网、工业新能源、铜导体更接近高端制造/工程项目，受原材料、回款和资本开支约束。把全公司当纯科技股会高估，把它当普通组装厂也会漏掉光通信与海洋业务的期权价值。</x:v>
      </x:c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 ht="22" customHeight="1">
      <x:c r="A35" s="11" t="str">
        <x:v>增发、员工持股与股东行为：必须分开看</x:v>
      </x:c>
      <x:c r="B35" s="11" t="str">
        <x:v>增发、员工持股与股东行为：必须分开看</x:v>
      </x:c>
      <x:c r="C35" s="11" t="str">
        <x:v>增发、员工持股与股东行为：必须分开看</x:v>
      </x:c>
      <x:c r="D35" s="11" t="str">
        <x:v>增发、员工持股与股东行为：必须分开看</x:v>
      </x:c>
      <x:c r="E35" s="11" t="str">
        <x:v>增发、员工持股与股东行为：必须分开看</x:v>
      </x:c>
      <x:c r="F35" s="11" t="str">
        <x:v>增发、员工持股与股东行为：必须分开看</x:v>
      </x:c>
      <x:c r="G35" s="11" t="str">
        <x:v>增发、员工持股与股东行为：必须分开看</x:v>
      </x:c>
      <x:c r="H35" s="11" t="str">
        <x:v>增发、员工持股与股东行为：必须分开看</x:v>
      </x:c>
      <x:c r="I35" s="11" t="str">
        <x:v>增发、员工持股与股东行为：必须分开看</x:v>
      </x:c>
      <x:c r="J35" s="11" t="str">
        <x:v>增发、员工持股与股东行为：必须分开看</x:v>
      </x:c>
      <x:c r="K35" s="11" t="str">
        <x:v>增发、员工持股与股东行为：必须分开看</x:v>
      </x:c>
      <x:c r="L35" s="11" t="str">
        <x:v>增发、员工持股与股东行为：必须分开看</x:v>
      </x:c>
      <x:c r="M35" s="11" t="str">
        <x:v>增发、员工持股与股东行为：必须分开看</x:v>
      </x:c>
      <x:c r="N35" s="11" t="str">
        <x:v>增发、员工持股与股东行为：必须分开看</x:v>
      </x:c>
    </x:row>
    <x:row r="36">
      <x:c r="A36" s="15" t="str">
        <x:v>事项</x:v>
      </x:c>
      <x:c r="B36" s="15" t="str"/>
      <x:c r="C36" s="15" t="str">
        <x:v>已披露事实</x:v>
      </x:c>
      <x:c r="D36" s="15" t="str"/>
      <x:c r="E36" s="15" t="str"/>
      <x:c r="F36" s="15" t="str"/>
      <x:c r="G36" s="15" t="str">
        <x:v>关键数字</x:v>
      </x:c>
      <x:c r="H36" s="15" t="str"/>
      <x:c r="I36" s="15" t="str">
        <x:v>对老股东影响</x:v>
      </x:c>
      <x:c r="J36" s="15" t="str"/>
      <x:c r="K36" s="15" t="str"/>
      <x:c r="L36" s="15" t="str">
        <x:v>判断与跟踪</x:v>
      </x:c>
      <x:c r="M36" s="15" t="str"/>
      <x:c r="N36" s="15" t="str"/>
    </x:row>
    <x:row r="37" ht="52" customHeight="1">
      <x:c r="A37" s="19" t="str">
        <x:v>发行方式</x:v>
      </x:c>
      <x:c r="B37" s="19" t="str"/>
      <x:c r="C37" s="19" t="str">
        <x:v>向不超过35名特定投资者增发，不是向原股东按比例配股</x:v>
      </x:c>
      <x:c r="D37" s="19" t="str"/>
      <x:c r="E37" s="19" t="str"/>
      <x:c r="F37" s="19" t="str"/>
      <x:c r="G37" s="19" t="str">
        <x:v>募资上限66.36亿元</x:v>
      </x:c>
      <x:c r="H37" s="19" t="str"/>
      <x:c r="I37" s="19" t="str">
        <x:v>原股东没有按比例优先认购安排</x:v>
      </x:c>
      <x:c r="J37" s="19" t="str"/>
      <x:c r="K37" s="19" t="str"/>
      <x:c r="L37" s="19" t="str">
        <x:v>截至10月18日尚未提请股东会</x:v>
      </x:c>
      <x:c r="M37" s="19" t="str"/>
      <x:c r="N37" s="19" t="str"/>
    </x:row>
    <x:row r="38" ht="52" customHeight="1">
      <x:c r="A38" s="19" t="str">
        <x:v>摊薄情景</x:v>
      </x:c>
      <x:c r="B38" s="19" t="str"/>
      <x:c r="C38" s="19" t="str">
        <x:v>按当前价八折募满约新增1.82亿股</x:v>
      </x:c>
      <x:c r="D38" s="19" t="str"/>
      <x:c r="E38" s="19" t="str"/>
      <x:c r="F38" s="19" t="str"/>
      <x:c r="G38" s="19" t="str">
        <x:v>发行后稀释约6.9%</x:v>
      </x:c>
      <x:c r="H38" s="19" t="str"/>
      <x:c r="I38" s="19" t="str">
        <x:v>控制方若不认购，合计持股约27.94%降至约26.0%</x:v>
      </x:c>
      <x:c r="J38" s="19" t="str"/>
      <x:c r="K38" s="19" t="str"/>
      <x:c r="L38" s="19" t="str">
        <x:v>实际以最终发行价与股数为准</x:v>
      </x:c>
      <x:c r="M38" s="19" t="str"/>
      <x:c r="N38" s="19" t="str"/>
    </x:row>
    <x:row r="39" ht="52" customHeight="1">
      <x:c r="A39" s="19" t="str">
        <x:v>资本回报门槛</x:v>
      </x:c>
      <x:c r="B39" s="19" t="str"/>
      <x:c r="C39" s="19" t="str">
        <x:v>19.90亿元用于补流，占募资约30%；具体项目资金46.46亿元</x:v>
      </x:c>
      <x:c r="D39" s="19" t="str"/>
      <x:c r="E39" s="19" t="str"/>
      <x:c r="F39" s="19" t="str"/>
      <x:c r="G39" s="19" t="str">
        <x:v>守住2028 EPS需新增净利约6.3亿元</x:v>
      </x:c>
      <x:c r="H39" s="19" t="str"/>
      <x:c r="I39" s="19" t="str">
        <x:v>募资净利润回报需约9.5%</x:v>
      </x:c>
      <x:c r="J39" s="19" t="str"/>
      <x:c r="K39" s="19" t="str"/>
      <x:c r="L39" s="19" t="str">
        <x:v>低于门槛则形成长期每股价值摊薄</x:v>
      </x:c>
      <x:c r="M39" s="19" t="str"/>
      <x:c r="N39" s="19" t="str"/>
    </x:row>
    <x:row r="40" ht="52" customHeight="1">
      <x:c r="A40" s="19" t="str">
        <x:v>员工持股</x:v>
      </x:c>
      <x:c r="B40" s="19" t="str"/>
      <x:c r="C40" s="19" t="str">
        <x:v>使用回购股843.68万股，不新增总股本；34.27元/股受让</x:v>
      </x:c>
      <x:c r="D40" s="19" t="str"/>
      <x:c r="E40" s="19" t="str"/>
      <x:c r="F40" s="19" t="str"/>
      <x:c r="G40" s="19" t="str">
        <x:v>股份支付费约2.79亿元</x:v>
      </x:c>
      <x:c r="H40" s="19" t="str"/>
      <x:c r="I40" s="19" t="str">
        <x:v>2027预计摊销约1.95亿元；解锁后有出售供给</x:v>
      </x:c>
      <x:c r="J40" s="19" t="str"/>
      <x:c r="K40" s="19" t="str"/>
      <x:c r="L40" s="19" t="str">
        <x:v>比定增更明确的当前治理扣分</x:v>
      </x:c>
      <x:c r="M40" s="19" t="str"/>
      <x:c r="N40" s="19" t="str"/>
    </x:row>
    <x:row r="41" ht="52" customHeight="1">
      <x:c r="A41" s="19" t="str">
        <x:v>考核强度</x:v>
      </x:c>
      <x:c r="B41" s="19" t="str"/>
      <x:c r="C41" s="19" t="str">
        <x:v>2026全额解锁条件为收入增长15%或净利增长90%</x:v>
      </x:c>
      <x:c r="D41" s="19" t="str"/>
      <x:c r="E41" s="19" t="str"/>
      <x:c r="F41" s="19" t="str"/>
      <x:c r="G41" s="19" t="str">
        <x:v>净利门槛50.92亿元</x:v>
      </x:c>
      <x:c r="H41" s="19" t="str"/>
      <x:c r="I41" s="19" t="str">
        <x:v>Q1-3预告低值59.70亿元已超过门槛</x:v>
      </x:c>
      <x:c r="J41" s="19" t="str"/>
      <x:c r="K41" s="19" t="str"/>
      <x:c r="L41" s="19" t="str">
        <x:v>首期条件基本预满足，激励约束偏弱</x:v>
      </x:c>
      <x:c r="M41" s="19" t="str"/>
      <x:c r="N41" s="19" t="str"/>
    </x:row>
    <x:row r="42" ht="52" customHeight="1">
      <x:c r="A42" s="19" t="str">
        <x:v>大股东行为</x:v>
      </x:c>
      <x:c r="B42" s="19" t="str"/>
      <x:c r="C42" s="19" t="str">
        <x:v>2024年以来公告序列未见控股股东、实控人或5%以上股东A股减持计划；2025-2026反而增持</x:v>
      </x:c>
      <x:c r="D42" s="19" t="str"/>
      <x:c r="E42" s="19" t="str"/>
      <x:c r="F42" s="19" t="str"/>
      <x:c r="G42" s="19" t="str">
        <x:v>增持753.56万股/1.50亿元</x:v>
      </x:c>
      <x:c r="H42" s="19" t="str"/>
      <x:c r="I42" s="19" t="str">
        <x:v>未发现大股东公开兑现离场证据</x:v>
      </x:c>
      <x:c r="J42" s="19" t="str"/>
      <x:c r="K42" s="19" t="str"/>
      <x:c r="L42" s="19" t="str">
        <x:v>不等于没有零星董监高交易</x:v>
      </x:c>
      <x:c r="M42" s="19" t="str"/>
      <x:c r="N42" s="19" t="str"/>
    </x:row>
    <x:row r="43" ht="52" customHeight="1">
      <x:c r="A43" s="19" t="str">
        <x:v>仍需警惕</x:v>
      </x:c>
      <x:c r="B43" s="19" t="str"/>
      <x:c r="C43" s="19" t="str">
        <x:v>质押不是减持，但可能形成被动处置风险；员工持股议案中小股东反对较高</x:v>
      </x:c>
      <x:c r="D43" s="19" t="str"/>
      <x:c r="E43" s="19" t="str"/>
      <x:c r="F43" s="19" t="str"/>
      <x:c r="G43" s="19" t="str">
        <x:v>质押占集团持股52.49%；中小股东反对20.48%</x:v>
      </x:c>
      <x:c r="H43" s="19" t="str"/>
      <x:c r="I43" s="19" t="str">
        <x:v>治理风险来自质押与激励定价，并非已发生的大股东减持</x:v>
      </x:c>
      <x:c r="J43" s="19" t="str"/>
      <x:c r="K43" s="19" t="str"/>
      <x:c r="L43" s="19" t="str">
        <x:v>持续跟踪质押、过户、解锁及定增股东会</x:v>
      </x:c>
      <x:c r="M43" s="19" t="str"/>
      <x:c r="N43" s="19" t="str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 ht="22" customHeight="1">
      <x:c r="A45" s="11" t="str">
        <x:v>巴菲特式结论</x:v>
      </x:c>
      <x:c r="B45" s="11" t="str">
        <x:v>巴菲特式结论</x:v>
      </x:c>
      <x:c r="C45" s="11" t="str">
        <x:v>巴菲特式结论</x:v>
      </x:c>
      <x:c r="D45" s="11" t="str">
        <x:v>巴菲特式结论</x:v>
      </x:c>
      <x:c r="E45" s="11" t="str">
        <x:v>巴菲特式结论</x:v>
      </x:c>
      <x:c r="F45" s="11" t="str">
        <x:v>巴菲特式结论</x:v>
      </x:c>
      <x:c r="G45" s="11" t="str">
        <x:v>巴菲特式结论</x:v>
      </x:c>
      <x:c r="H45" s="11" t="str">
        <x:v>巴菲特式结论</x:v>
      </x:c>
      <x:c r="I45" s="11" t="str">
        <x:v>巴菲特式结论</x:v>
      </x:c>
      <x:c r="J45" s="11" t="str">
        <x:v>巴菲特式结论</x:v>
      </x:c>
      <x:c r="K45" s="11" t="str">
        <x:v>巴菲特式结论</x:v>
      </x:c>
      <x:c r="L45" s="11" t="str">
        <x:v>巴菲特式结论</x:v>
      </x:c>
      <x:c r="M45" s="11" t="str">
        <x:v>巴菲特式结论</x:v>
      </x:c>
      <x:c r="N45" s="11" t="str">
        <x:v>巴菲特式结论</x:v>
      </x:c>
    </x:row>
    <x:row r="46">
      <x:c r="A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B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C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D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E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F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G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H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I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J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K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L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M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N46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</x:row>
    <x:row r="47">
      <x:c r="A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B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C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D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E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F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G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H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I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J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K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L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M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N47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</x:row>
    <x:row r="48">
      <x:c r="A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B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C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D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E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F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G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H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I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J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K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L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M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N48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</x:row>
    <x:row r="49">
      <x:c r="A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B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C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D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E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F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G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H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I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J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K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L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M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  <x:c r="N49" s="82" t="str">
        <x:v>此次增发尚未落地，不能把7.40亿股法律上限当作必然；但也不能忽略。八折募满的实务情景约稀释6.9%，真正问题是66.36亿元能否带来至少约6.3亿元稳定新增净利润。员工持股计划当前更值得扣分：折价转让、约2.79亿元股份支付费用，且首期业绩门槛在公告时已被Q1-3预告低值跨过，约束强度不足。大股东近年是增持而非公开减持，但52.49%的质押比例仍是潜在被动减持风险源。</x:v>
      </x:c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</x:sheetData>
  <x:mergeCells>
    <x:mergeCell ref="A1:N1"/>
    <x:mergeCell ref="A2:N2"/>
    <x:mergeCell ref="A4:N4"/>
    <x:mergeCell ref="D6:F6"/>
    <x:mergeCell ref="G6:J6"/>
    <x:mergeCell ref="K6:N6"/>
    <x:mergeCell ref="D7:F7"/>
    <x:mergeCell ref="G7:J7"/>
    <x:mergeCell ref="K7:N7"/>
    <x:mergeCell ref="D8:F8"/>
    <x:mergeCell ref="G8:J8"/>
    <x:mergeCell ref="K8:N8"/>
    <x:mergeCell ref="D9:F9"/>
    <x:mergeCell ref="G9:J9"/>
    <x:mergeCell ref="K9:N9"/>
    <x:mergeCell ref="D10:F10"/>
    <x:mergeCell ref="G10:J10"/>
    <x:mergeCell ref="K10:N10"/>
    <x:mergeCell ref="D11:F11"/>
    <x:mergeCell ref="G11:J11"/>
    <x:mergeCell ref="K11:N11"/>
    <x:mergeCell ref="D12:F12"/>
    <x:mergeCell ref="G12:J12"/>
    <x:mergeCell ref="K12:N12"/>
    <x:mergeCell ref="D13:F13"/>
    <x:mergeCell ref="G13:J13"/>
    <x:mergeCell ref="K13:N13"/>
    <x:mergeCell ref="D5:F5"/>
    <x:mergeCell ref="G5:J5"/>
    <x:mergeCell ref="K5:N5"/>
    <x:mergeCell ref="A15:G15"/>
    <x:mergeCell ref="I15:N15"/>
    <x:mergeCell ref="A23:N23"/>
    <x:mergeCell ref="B24:C24"/>
    <x:mergeCell ref="F24:H24"/>
    <x:mergeCell ref="I24:K24"/>
    <x:mergeCell ref="L24:N24"/>
    <x:mergeCell ref="B25:C25"/>
    <x:mergeCell ref="F25:H25"/>
    <x:mergeCell ref="I25:K25"/>
    <x:mergeCell ref="L25:N25"/>
    <x:mergeCell ref="B26:C26"/>
    <x:mergeCell ref="F26:H26"/>
    <x:mergeCell ref="I26:K26"/>
    <x:mergeCell ref="L26:N26"/>
    <x:mergeCell ref="B27:C27"/>
    <x:mergeCell ref="F27:H27"/>
    <x:mergeCell ref="I27:K27"/>
    <x:mergeCell ref="L27:N27"/>
    <x:mergeCell ref="B28:C28"/>
    <x:mergeCell ref="F28:H28"/>
    <x:mergeCell ref="I28:K28"/>
    <x:mergeCell ref="L28:N28"/>
    <x:mergeCell ref="A30:N30"/>
    <x:mergeCell ref="A31:N33"/>
    <x:mergeCell ref="A35:N35"/>
    <x:mergeCell ref="A36:B36"/>
    <x:mergeCell ref="C36:F36"/>
    <x:mergeCell ref="G36:H36"/>
    <x:mergeCell ref="I36:K36"/>
    <x:mergeCell ref="L36:N36"/>
    <x:mergeCell ref="A37:B37"/>
    <x:mergeCell ref="C37:F37"/>
    <x:mergeCell ref="G37:H37"/>
    <x:mergeCell ref="I37:K37"/>
    <x:mergeCell ref="L37:N37"/>
    <x:mergeCell ref="A38:B38"/>
    <x:mergeCell ref="C38:F38"/>
    <x:mergeCell ref="G38:H38"/>
    <x:mergeCell ref="I38:K38"/>
    <x:mergeCell ref="L38:N38"/>
    <x:mergeCell ref="A39:B39"/>
    <x:mergeCell ref="C39:F39"/>
    <x:mergeCell ref="G39:H39"/>
    <x:mergeCell ref="I39:K39"/>
    <x:mergeCell ref="L39:N39"/>
    <x:mergeCell ref="A40:B40"/>
    <x:mergeCell ref="C40:F40"/>
    <x:mergeCell ref="G40:H40"/>
    <x:mergeCell ref="I40:K40"/>
    <x:mergeCell ref="L40:N40"/>
    <x:mergeCell ref="A41:B41"/>
    <x:mergeCell ref="C41:F41"/>
    <x:mergeCell ref="G41:H41"/>
    <x:mergeCell ref="I41:K41"/>
    <x:mergeCell ref="L41:N41"/>
    <x:mergeCell ref="A42:B42"/>
    <x:mergeCell ref="C42:F42"/>
    <x:mergeCell ref="G42:H42"/>
    <x:mergeCell ref="I42:K42"/>
    <x:mergeCell ref="L42:N42"/>
    <x:mergeCell ref="A43:B43"/>
    <x:mergeCell ref="C43:F43"/>
    <x:mergeCell ref="G43:H43"/>
    <x:mergeCell ref="I43:K43"/>
    <x:mergeCell ref="L43:N43"/>
    <x:mergeCell ref="A45:N45"/>
    <x:mergeCell ref="A46:N49"/>
  </x:mergeCells>
  <x:conditionalFormatting sqref="C6:C13">
    <x:cfRule type="containsText" dxfId="0" priority="1" operator="containsText" text="通过"/>
    <x:cfRule type="containsText" dxfId="1" priority="2" operator="containsText" text="谨慎"/>
    <x:cfRule type="containsText" dxfId="2" priority="3" operator="containsText" text="不通过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7E6E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4" hidden="0" customWidth="1"/>
    <x:col min="5" max="5" width="34" hidden="0" customWidth="1"/>
    <x:col min="6" max="6" width="18" hidden="0" customWidth="1"/>
    <x:col min="7" max="7" width="25" hidden="0" customWidth="1"/>
    <x:col min="8" max="8" width="52" hidden="0" customWidth="1"/>
    <x:col min="10" max="10" width="34" hidden="0" customWidth="1"/>
    <x:col min="11" max="11" width="15" hidden="0" customWidth="1"/>
    <x:col min="12" max="12" width="12" hidden="0" customWidth="1"/>
    <x:col min="13" max="13" width="15" hidden="0" customWidth="1"/>
    <x:col min="14" max="14" width="22" hidden="0" customWidth="1"/>
    <x:col min="15" max="15" width="18" hidden="0" customWidth="1"/>
    <x:col min="16" max="16" width="11" hidden="0" customWidth="1"/>
    <x:col min="17" max="17" width="12" hidden="0" customWidth="1"/>
    <x:col min="18" max="18" width="22" hidden="0" customWidth="1"/>
    <x:col min="19" max="19" width="34" hidden="0" customWidth="1"/>
    <x:col min="20" max="20" width="30" hidden="0" customWidth="1"/>
  </x:cols>
  <x:sheetData>
    <x:row r="1" ht="27" customHeight="1">
      <x:c r="A1" s="6" t="str">
        <x:v>亨通光电｜数据与来源</x:v>
      </x:c>
      <x:c r="B1" s="6" t="str">
        <x:v>亨通光电｜数据与来源</x:v>
      </x:c>
      <x:c r="C1" s="6" t="str">
        <x:v>亨通光电｜数据与来源</x:v>
      </x:c>
      <x:c r="D1" s="6" t="str">
        <x:v>亨通光电｜数据与来源</x:v>
      </x:c>
      <x:c r="E1" s="6" t="str">
        <x:v>亨通光电｜数据与来源</x:v>
      </x:c>
      <x:c r="F1" s="6" t="str">
        <x:v>亨通光电｜数据与来源</x:v>
      </x:c>
      <x:c r="G1" s="6" t="str">
        <x:v>亨通光电｜数据与来源</x:v>
      </x:c>
      <x:c r="H1" s="6" t="str">
        <x:v>亨通光电｜数据与来源</x:v>
      </x:c>
      <x:c r="I1" s="6" t="str">
        <x:v>亨通光电｜数据与来源</x:v>
      </x:c>
      <x:c r="J1" s="6" t="str">
        <x:v>亨通光电｜数据与来源</x:v>
      </x:c>
      <x:c r="K1" s="6" t="str">
        <x:v>亨通光电｜数据与来源</x:v>
      </x:c>
      <x:c r="L1" s="6" t="str">
        <x:v>亨通光电｜数据与来源</x:v>
      </x:c>
      <x:c r="M1" s="6" t="str">
        <x:v>亨通光电｜数据与来源</x:v>
      </x:c>
      <x:c r="N1" s="6" t="str">
        <x:v>亨通光电｜数据与来源</x:v>
      </x:c>
      <x:c r="O1" s="6" t="str">
        <x:v>亨通光电｜数据与来源</x:v>
      </x:c>
      <x:c r="P1" s="6" t="str">
        <x:v>亨通光电｜数据与来源</x:v>
      </x:c>
      <x:c r="Q1" s="6" t="str">
        <x:v>亨通光电｜数据与来源</x:v>
      </x:c>
      <x:c r="R1" s="6" t="str">
        <x:v>亨通光电｜数据与来源</x:v>
      </x:c>
      <x:c r="S1" s="6" t="str">
        <x:v>亨通光电｜数据与来源</x:v>
      </x:c>
      <x:c r="T1" s="6" t="str">
        <x:v>亨通光电｜数据与来源</x:v>
      </x:c>
    </x:row>
    <x:row r="2" ht="27" customHeight="1">
      <x:c r="A2" s="9" t="str">
        <x:v>人民币口径；亿元、亿股；蓝色字体为外部披露/手工输入，绿色字体为跨表引用。业绩预告未经审计，正式三季报预约 2026-10-29。</x:v>
      </x:c>
      <x:c r="B2" s="9" t="str">
        <x:v>人民币口径；亿元、亿股；蓝色字体为外部披露/手工输入，绿色字体为跨表引用。业绩预告未经审计，正式三季报预约 2026-10-29。</x:v>
      </x:c>
      <x:c r="C2" s="9" t="str">
        <x:v>人民币口径；亿元、亿股；蓝色字体为外部披露/手工输入，绿色字体为跨表引用。业绩预告未经审计，正式三季报预约 2026-10-29。</x:v>
      </x:c>
      <x:c r="D2" s="9" t="str">
        <x:v>人民币口径；亿元、亿股；蓝色字体为外部披露/手工输入，绿色字体为跨表引用。业绩预告未经审计，正式三季报预约 2026-10-29。</x:v>
      </x:c>
      <x:c r="E2" s="9" t="str">
        <x:v>人民币口径；亿元、亿股；蓝色字体为外部披露/手工输入，绿色字体为跨表引用。业绩预告未经审计，正式三季报预约 2026-10-29。</x:v>
      </x:c>
      <x:c r="F2" s="9" t="str">
        <x:v>人民币口径；亿元、亿股；蓝色字体为外部披露/手工输入，绿色字体为跨表引用。业绩预告未经审计，正式三季报预约 2026-10-29。</x:v>
      </x:c>
      <x:c r="G2" s="9" t="str">
        <x:v>人民币口径；亿元、亿股；蓝色字体为外部披露/手工输入，绿色字体为跨表引用。业绩预告未经审计，正式三季报预约 2026-10-29。</x:v>
      </x:c>
      <x:c r="H2" s="9" t="str">
        <x:v>人民币口径；亿元、亿股；蓝色字体为外部披露/手工输入，绿色字体为跨表引用。业绩预告未经审计，正式三季报预约 2026-10-29。</x:v>
      </x:c>
      <x:c r="I2" s="9" t="str">
        <x:v>人民币口径；亿元、亿股；蓝色字体为外部披露/手工输入，绿色字体为跨表引用。业绩预告未经审计，正式三季报预约 2026-10-29。</x:v>
      </x:c>
      <x:c r="J2" s="9" t="str">
        <x:v>人民币口径；亿元、亿股；蓝色字体为外部披露/手工输入，绿色字体为跨表引用。业绩预告未经审计，正式三季报预约 2026-10-29。</x:v>
      </x:c>
      <x:c r="K2" s="9" t="str">
        <x:v>人民币口径；亿元、亿股；蓝色字体为外部披露/手工输入，绿色字体为跨表引用。业绩预告未经审计，正式三季报预约 2026-10-29。</x:v>
      </x:c>
      <x:c r="L2" s="9" t="str">
        <x:v>人民币口径；亿元、亿股；蓝色字体为外部披露/手工输入，绿色字体为跨表引用。业绩预告未经审计，正式三季报预约 2026-10-29。</x:v>
      </x:c>
      <x:c r="M2" s="9" t="str">
        <x:v>人民币口径；亿元、亿股；蓝色字体为外部披露/手工输入，绿色字体为跨表引用。业绩预告未经审计，正式三季报预约 2026-10-29。</x:v>
      </x:c>
      <x:c r="N2" s="9" t="str">
        <x:v>人民币口径；亿元、亿股；蓝色字体为外部披露/手工输入，绿色字体为跨表引用。业绩预告未经审计，正式三季报预约 2026-10-29。</x:v>
      </x:c>
      <x:c r="O2" s="9" t="str">
        <x:v>人民币口径；亿元、亿股；蓝色字体为外部披露/手工输入，绿色字体为跨表引用。业绩预告未经审计，正式三季报预约 2026-10-29。</x:v>
      </x:c>
      <x:c r="P2" s="9" t="str">
        <x:v>人民币口径；亿元、亿股；蓝色字体为外部披露/手工输入，绿色字体为跨表引用。业绩预告未经审计，正式三季报预约 2026-10-29。</x:v>
      </x:c>
      <x:c r="Q2" s="9" t="str">
        <x:v>人民币口径；亿元、亿股；蓝色字体为外部披露/手工输入，绿色字体为跨表引用。业绩预告未经审计，正式三季报预约 2026-10-29。</x:v>
      </x:c>
      <x:c r="R2" s="9" t="str">
        <x:v>人民币口径；亿元、亿股；蓝色字体为外部披露/手工输入，绿色字体为跨表引用。业绩预告未经审计，正式三季报预约 2026-10-29。</x:v>
      </x:c>
      <x:c r="S2" s="9" t="str">
        <x:v>人民币口径；亿元、亿股；蓝色字体为外部披露/手工输入，绿色字体为跨表引用。业绩预告未经审计，正式三季报预约 2026-10-29。</x:v>
      </x:c>
      <x:c r="T2" s="9" t="str">
        <x:v>人民币口径；亿元、亿股；蓝色字体为外部披露/手工输入，绿色字体为跨表引用。业绩预告未经审计，正式三季报预约 2026-10-29。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2" customHeight="1">
      <x:c r="A4" s="11" t="str">
        <x:v>来源索引（优先使用公司公告与正式定期报告）</x:v>
      </x:c>
      <x:c r="B4" s="11" t="str">
        <x:v>来源索引（优先使用公司公告与正式定期报告）</x:v>
      </x:c>
      <x:c r="C4" s="11" t="str">
        <x:v>来源索引（优先使用公司公告与正式定期报告）</x:v>
      </x:c>
      <x:c r="D4" s="11" t="str">
        <x:v>来源索引（优先使用公司公告与正式定期报告）</x:v>
      </x:c>
      <x:c r="E4" s="11" t="str">
        <x:v>来源索引（优先使用公司公告与正式定期报告）</x:v>
      </x:c>
      <x:c r="F4" s="11" t="str">
        <x:v>来源索引（优先使用公司公告与正式定期报告）</x:v>
      </x:c>
      <x:c r="G4" s="11" t="str">
        <x:v>来源索引（优先使用公司公告与正式定期报告）</x:v>
      </x:c>
      <x:c r="H4" s="11" t="str">
        <x:v>来源索引（优先使用公司公告与正式定期报告）</x:v>
      </x:c>
      <x:c r="I4" s="3"/>
      <x:c r="J4" s="11" t="str">
        <x:v>关键输入与当前披露</x:v>
      </x:c>
      <x:c r="K4" s="11" t="str">
        <x:v>关键输入与当前披露</x:v>
      </x:c>
      <x:c r="L4" s="11" t="str">
        <x:v>关键输入与当前披露</x:v>
      </x:c>
      <x:c r="M4" s="11" t="str">
        <x:v>关键输入与当前披露</x:v>
      </x:c>
      <x:c r="N4" s="11" t="str">
        <x:v>增发、员工持股与股东行为关键输入</x:v>
      </x:c>
      <x:c r="O4" s="11" t="str">
        <x:v>增发、员工持股与股东行为关键输入</x:v>
      </x:c>
      <x:c r="P4" s="11" t="str">
        <x:v>增发、员工持股与股东行为关键输入</x:v>
      </x:c>
      <x:c r="Q4" s="11" t="str">
        <x:v>增发、员工持股与股东行为关键输入</x:v>
      </x:c>
      <x:c r="R4" s="11" t="str">
        <x:v>增发、员工持股与股东行为关键输入</x:v>
      </x:c>
      <x:c r="S4" s="11" t="str">
        <x:v>增发、员工持股与股东行为关键输入</x:v>
      </x:c>
      <x:c r="T4" s="11" t="str">
        <x:v>增发、员工持股与股东行为关键输入</x:v>
      </x:c>
    </x:row>
    <x:row r="5" ht="35" customHeight="1">
      <x:c r="A5" s="18" t="str">
        <x:v>S01</x:v>
      </x:c>
      <x:c r="B5" s="18" t="str">
        <x:v>2026年前三季度业绩自愿披露</x:v>
      </x:c>
      <x:c r="C5" s="18" t="str">
        <x:v>公司公告镜像</x:v>
      </x:c>
      <x:c r="D5" s="18" t="str">
        <x:v>2026-10-17</x:v>
      </x:c>
      <x:c r="E5" s="18" t="str">
        <x:v>归母59.70–63.70亿元；扣非59.40–63.40亿元；未经审计</x:v>
      </x:c>
      <x:c r="F5" s="18" t="str">
        <x:v>预告</x:v>
      </x:c>
      <x:c r="G5" s="18" t="str">
        <x:v>正式三季报前的核心增量</x:v>
      </x:c>
      <x:c r="H5" s="20" t="str">
        <x:v>https://money.finance.sina.com.cn/corp/view/vCB_AllBulletinDetail.php?id=12646248&amp;stockid=600487</x:v>
      </x:c>
      <x:c r="I5" s="3"/>
      <x:c r="J5" s="18" t="str">
        <x:v>收盘价</x:v>
      </x:c>
      <x:c r="K5" s="24" t="n">
        <x:v>45.68</x:v>
      </x:c>
      <x:c r="L5" s="18" t="str">
        <x:v>元/股</x:v>
      </x:c>
      <x:c r="M5" s="18" t="str">
        <x:v>S12</x:v>
      </x:c>
      <x:c r="N5" s="15" t="str">
        <x:v>项目</x:v>
      </x:c>
      <x:c r="O5" s="15" t="str">
        <x:v>数值</x:v>
      </x:c>
      <x:c r="P5" s="15" t="str">
        <x:v>单位</x:v>
      </x:c>
      <x:c r="Q5" s="15" t="str">
        <x:v>来源</x:v>
      </x:c>
      <x:c r="R5" s="15" t="str">
        <x:v>状态/口径</x:v>
      </x:c>
      <x:c r="S5" s="15" t="str">
        <x:v>巴菲特式含义</x:v>
      </x:c>
      <x:c r="T5" s="15" t="str">
        <x:v>备注</x:v>
      </x:c>
    </x:row>
    <x:row r="6" ht="30" customHeight="1">
      <x:c r="A6" s="19" t="str">
        <x:v>S02</x:v>
      </x:c>
      <x:c r="B6" s="19" t="str">
        <x:v>2026三季报预约披露</x:v>
      </x:c>
      <x:c r="C6" s="19" t="str">
        <x:v>东方财富个股日历</x:v>
      </x:c>
      <x:c r="D6" s="19" t="str">
        <x:v>2026-10-16查询</x:v>
      </x:c>
      <x:c r="E6" s="19" t="str">
        <x:v>预约披露日2026-10-29</x:v>
      </x:c>
      <x:c r="F6" s="19" t="str">
        <x:v>日历</x:v>
      </x:c>
      <x:c r="G6" s="19" t="str">
        <x:v>用于区分预告与正式报告</x:v>
      </x:c>
      <x:c r="H6" s="21" t="str">
        <x:v>https://data.eastmoney.com/stockcalendar/600487.html</x:v>
      </x:c>
      <x:c r="I6" s="3"/>
      <x:c r="J6" s="19" t="str">
        <x:v>总市值</x:v>
      </x:c>
      <x:c r="K6" s="25" t="n">
        <x:v>1126.647983</x:v>
      </x:c>
      <x:c r="L6" s="19" t="str">
        <x:v>亿元</x:v>
      </x:c>
      <x:c r="M6" s="19" t="str">
        <x:v>S12</x:v>
      </x:c>
      <x:c r="N6" s="19" t="str">
        <x:v>定增审批进度</x:v>
      </x:c>
      <x:c r="O6" s="23" t="str">
        <x:v>暂未提请股东会</x:v>
      </x:c>
      <x:c r="P6" s="19" t="str"/>
      <x:c r="Q6" s="19" t="str">
        <x:v>S15/S19</x:v>
      </x:c>
      <x:c r="R6" s="19" t="str">
        <x:v>董事会预案</x:v>
      </x:c>
      <x:c r="S6" s="19" t="str">
        <x:v>不能把发行上限当成必然结果</x:v>
      </x:c>
      <x:c r="T6" s="19" t="str">
        <x:v>后续仍需股东大会、交易所审核及注册</x:v>
      </x:c>
    </x:row>
    <x:row r="7" ht="30" customHeight="1">
      <x:c r="A7" s="19" t="str">
        <x:v>S03</x:v>
      </x:c>
      <x:c r="B7" s="19" t="str">
        <x:v>2026年半年度报告</x:v>
      </x:c>
      <x:c r="C7" s="19" t="str">
        <x:v>巨潮资讯/公司</x:v>
      </x:c>
      <x:c r="D7" s="19" t="str">
        <x:v>2026-08-27</x:v>
      </x:c>
      <x:c r="E7" s="19" t="str">
        <x:v>收入、利润、现金流、资产负债、研发、订单、诉讼</x:v>
      </x:c>
      <x:c r="F7" s="19" t="str">
        <x:v>正式报告</x:v>
      </x:c>
      <x:c r="G7" s="19" t="str">
        <x:v>已披露最新定期报告</x:v>
      </x:c>
      <x:c r="H7" s="21" t="str">
        <x:v>https://static.cninfo.com.cn/finalpage/2026-08-27/1225513678.PDF</x:v>
      </x:c>
      <x:c r="I7" s="3"/>
      <x:c r="J7" s="19" t="str">
        <x:v>总股本</x:v>
      </x:c>
      <x:c r="K7" s="25" t="n">
        <x:v>24.66392257</x:v>
      </x:c>
      <x:c r="L7" s="19" t="str">
        <x:v>亿股</x:v>
      </x:c>
      <x:c r="M7" s="19" t="str">
        <x:v>S06/S12</x:v>
      </x:c>
      <x:c r="N7" s="19" t="str">
        <x:v>补充流动资金</x:v>
      </x:c>
      <x:c r="O7" s="25" t="n">
        <x:v>19.9</x:v>
      </x:c>
      <x:c r="P7" s="19" t="str">
        <x:v>亿元</x:v>
      </x:c>
      <x:c r="Q7" s="19" t="str">
        <x:v>S06</x:v>
      </x:c>
      <x:c r="R7" s="19" t="str">
        <x:v>占募资约30%</x:v>
      </x:c>
      <x:c r="S7" s="19" t="str">
        <x:v>用途可追踪性弱于具体项目</x:v>
      </x:c>
      <x:c r="T7" s="19" t="str">
        <x:v>重点跟踪现金流与资金去向</x:v>
      </x:c>
    </x:row>
    <x:row r="8" ht="30" customHeight="1">
      <x:c r="A8" s="19" t="str">
        <x:v>S04</x:v>
      </x:c>
      <x:c r="B8" s="19" t="str">
        <x:v>2025年第三季度报告</x:v>
      </x:c>
      <x:c r="C8" s="19" t="str">
        <x:v>巨潮资讯/公司</x:v>
      </x:c>
      <x:c r="D8" s="19" t="str">
        <x:v>2025-10-28</x:v>
      </x:c>
      <x:c r="E8" s="19" t="str">
        <x:v>2025Q3单季与前三季度比较基数</x:v>
      </x:c>
      <x:c r="F8" s="19" t="str">
        <x:v>正式报告</x:v>
      </x:c>
      <x:c r="G8" s="19" t="str">
        <x:v>单季同比基数</x:v>
      </x:c>
      <x:c r="H8" s="21" t="str">
        <x:v>https://static.cninfo.com.cn/finalpage/2025-10-28/1224745916.PDF</x:v>
      </x:c>
      <x:c r="I8" s="3"/>
      <x:c r="J8" s="19" t="str">
        <x:v>归母净资产（2026H1）</x:v>
      </x:c>
      <x:c r="K8" s="25" t="n">
        <x:v>337.07321</x:v>
      </x:c>
      <x:c r="L8" s="19" t="str">
        <x:v>亿元</x:v>
      </x:c>
      <x:c r="M8" s="19" t="str">
        <x:v>S03</x:v>
      </x:c>
      <x:c r="N8" s="19" t="str">
        <x:v>发行价下限系数</x:v>
      </x:c>
      <x:c r="O8" s="27" t="n">
        <x:v>0.8</x:v>
      </x:c>
      <x:c r="P8" s="19" t="str">
        <x:v>%</x:v>
      </x:c>
      <x:c r="Q8" s="19" t="str">
        <x:v>S06</x:v>
      </x:c>
      <x:c r="R8" s="19" t="str">
        <x:v>定价基准日前20日均价的80%</x:v>
      </x:c>
      <x:c r="S8" s="19" t="str">
        <x:v>折价越深，老股东摊薄越大</x:v>
      </x:c>
      <x:c r="T8" s="19" t="str">
        <x:v>最终价格尚未确定</x:v>
      </x:c>
    </x:row>
    <x:row r="9" ht="30" customHeight="1">
      <x:c r="A9" s="19" t="str">
        <x:v>S05</x:v>
      </x:c>
      <x:c r="B9" s="19" t="str">
        <x:v>2025年年度报告</x:v>
      </x:c>
      <x:c r="C9" s="19" t="str">
        <x:v>公司公告镜像</x:v>
      </x:c>
      <x:c r="D9" s="19" t="str">
        <x:v>2026-04-25</x:v>
      </x:c>
      <x:c r="E9" s="19" t="str">
        <x:v>审计意见、分业务收入与毛利率、全年现金流</x:v>
      </x:c>
      <x:c r="F9" s="19" t="str">
        <x:v>正式报告</x:v>
      </x:c>
      <x:c r="G9" s="19" t="str">
        <x:v>十年财务终点</x:v>
      </x:c>
      <x:c r="H9" s="21" t="str">
        <x:v>https://vip.stock.finance.sina.com.cn/corp/view/vCB_AllBulletinDetail.php?CompanyCode=10001298&amp;gather=1&amp;id=12198973</x:v>
      </x:c>
      <x:c r="I9" s="3"/>
      <x:c r="J9" s="19" t="str">
        <x:v>所有者权益（2026H1）</x:v>
      </x:c>
      <x:c r="K9" s="25" t="n">
        <x:v>370.83911</x:v>
      </x:c>
      <x:c r="L9" s="19" t="str">
        <x:v>亿元</x:v>
      </x:c>
      <x:c r="M9" s="19" t="str">
        <x:v>S03</x:v>
      </x:c>
      <x:c r="N9" s="19" t="str">
        <x:v>认购锁定期</x:v>
      </x:c>
      <x:c r="O9" s="28" t="n">
        <x:v>6</x:v>
      </x:c>
      <x:c r="P9" s="19" t="str">
        <x:v>月</x:v>
      </x:c>
      <x:c r="Q9" s="19" t="str">
        <x:v>S06</x:v>
      </x:c>
      <x:c r="R9" s="19" t="str">
        <x:v>特定对象</x:v>
      </x:c>
      <x:c r="S9" s="19" t="str">
        <x:v>短期供给延后但不消失</x:v>
      </x:c>
      <x:c r="T9" s="19" t="str">
        <x:v>解禁后可能形成供给</x:v>
      </x:c>
    </x:row>
    <x:row r="10" ht="30" customHeight="1">
      <x:c r="A10" s="19" t="str">
        <x:v>S06</x:v>
      </x:c>
      <x:c r="B10" s="19" t="str">
        <x:v>2026年度向特定对象发行预案</x:v>
      </x:c>
      <x:c r="C10" s="19" t="str">
        <x:v>巨潮资讯/公司</x:v>
      </x:c>
      <x:c r="D10" s="19" t="str">
        <x:v>2026-09-25</x:v>
      </x:c>
      <x:c r="E10" s="19" t="str">
        <x:v>拟募资不超过66.36亿元，法定股份上限约7.40亿股</x:v>
      </x:c>
      <x:c r="F10" s="19" t="str">
        <x:v>预案</x:v>
      </x:c>
      <x:c r="G10" s="19" t="str">
        <x:v>资本开支与摊薄风险</x:v>
      </x:c>
      <x:c r="H10" s="21" t="str">
        <x:v>https://static.cninfo.com.cn/finalpage/2026-09-25/1225582516.PDF</x:v>
      </x:c>
      <x:c r="I10" s="3"/>
      <x:c r="J10" s="19" t="str">
        <x:v>总资产（2026H1）</x:v>
      </x:c>
      <x:c r="K10" s="25" t="n">
        <x:v>778.83089</x:v>
      </x:c>
      <x:c r="L10" s="19" t="str">
        <x:v>亿元</x:v>
      </x:c>
      <x:c r="M10" s="19" t="str">
        <x:v>S03</x:v>
      </x:c>
      <x:c r="N10" s="19" t="str">
        <x:v>控股股东增持股数</x:v>
      </x:c>
      <x:c r="O10" s="29" t="n">
        <x:v>0.07535573</x:v>
      </x:c>
      <x:c r="P10" s="19" t="str">
        <x:v>亿股</x:v>
      </x:c>
      <x:c r="Q10" s="19" t="str">
        <x:v>S16</x:v>
      </x:c>
      <x:c r="R10" s="19" t="str">
        <x:v>计划已完成</x:v>
      </x:c>
      <x:c r="S10" s="19" t="str">
        <x:v>近期行为是增持而非公开减持</x:v>
      </x:c>
      <x:c r="T10" s="19" t="str">
        <x:v>持股升至24.07%</x:v>
      </x:c>
    </x:row>
    <x:row r="11" ht="30" customHeight="1">
      <x:c r="A11" s="19" t="str">
        <x:v>S07</x:v>
      </x:c>
      <x:c r="B11" s="19" t="str">
        <x:v>上交所公司公告索引</x:v>
      </x:c>
      <x:c r="C11" s="19" t="str">
        <x:v>上海证券交易所</x:v>
      </x:c>
      <x:c r="D11" s="19" t="str">
        <x:v>持续更新</x:v>
      </x:c>
      <x:c r="E11" s="19" t="str">
        <x:v>质押、定增、员工持股等公告索引</x:v>
      </x:c>
      <x:c r="F11" s="19" t="str">
        <x:v>官方索引</x:v>
      </x:c>
      <x:c r="G11" s="19" t="str">
        <x:v>治理与事件核对</x:v>
      </x:c>
      <x:c r="H11" s="21" t="str">
        <x:v>https://www.sse.com.cn/assortment/stock/list/info/announcement/index.shtml?productId=600487</x:v>
      </x:c>
      <x:c r="I11" s="3"/>
      <x:c r="J11" s="19" t="str">
        <x:v>货币资金（2026H1）</x:v>
      </x:c>
      <x:c r="K11" s="25" t="n">
        <x:v>128.96478</x:v>
      </x:c>
      <x:c r="L11" s="19" t="str">
        <x:v>亿元</x:v>
      </x:c>
      <x:c r="M11" s="19" t="str">
        <x:v>S03</x:v>
      </x:c>
      <x:c r="N11" s="19" t="str">
        <x:v>控股股东增持金额</x:v>
      </x:c>
      <x:c r="O11" s="29" t="n">
        <x:v>1.500516</x:v>
      </x:c>
      <x:c r="P11" s="19" t="str">
        <x:v>亿元</x:v>
      </x:c>
      <x:c r="Q11" s="19" t="str">
        <x:v>S16</x:v>
      </x:c>
      <x:c r="R11" s="19" t="str">
        <x:v>计划已完成</x:v>
      </x:c>
      <x:c r="S11" s="19" t="str">
        <x:v>与股东利益方向一致的正面证据</x:v>
      </x:c>
      <x:c r="T11" s="19" t="str">
        <x:v>不能抵消质押风险</x:v>
      </x:c>
    </x:row>
    <x:row r="12" ht="30" customHeight="1">
      <x:c r="A12" s="19" t="str">
        <x:v>S08</x:v>
      </x:c>
      <x:c r="B12" s="19" t="str">
        <x:v>历史主要财务指标</x:v>
      </x:c>
      <x:c r="C12" s="19" t="str">
        <x:v>东方财富数据中心</x:v>
      </x:c>
      <x:c r="D12" s="19" t="str">
        <x:v>2016–2025</x:v>
      </x:c>
      <x:c r="E12" s="19" t="str">
        <x:v>收入、利润、毛利率、ROE</x:v>
      </x:c>
      <x:c r="F12" s="19" t="str">
        <x:v>第三方结构化</x:v>
      </x:c>
      <x:c r="G12" s="19" t="str">
        <x:v>已与正式报告关键期交叉核对</x:v>
      </x:c>
      <x:c r="H12" s="21" t="str">
        <x:v>https://datacenter-web.eastmoney.com/api/data/v1/get?reportName=RPT_F10_FINANCE_MAINFINADATA&amp;columns=ALL&amp;filter=(SECUCODE%3D%22600487.SH%22)&amp;pageNumber=1&amp;pageSize=200</x:v>
      </x:c>
      <x:c r="I12" s="3"/>
      <x:c r="J12" s="19" t="str">
        <x:v>现金及现金等价物（2026H1）</x:v>
      </x:c>
      <x:c r="K12" s="25" t="n">
        <x:v>80.51587</x:v>
      </x:c>
      <x:c r="L12" s="19" t="str">
        <x:v>亿元</x:v>
      </x:c>
      <x:c r="M12" s="19" t="str">
        <x:v>S03</x:v>
      </x:c>
      <x:c r="N12" s="19" t="str">
        <x:v>集团+实控人合计持股</x:v>
      </x:c>
      <x:c r="O12" s="26" t="n">
        <x:v>0.2794</x:v>
      </x:c>
      <x:c r="P12" s="19" t="str">
        <x:v>%</x:v>
      </x:c>
      <x:c r="Q12" s="19" t="str">
        <x:v>S19</x:v>
      </x:c>
      <x:c r="R12" s="19" t="str">
        <x:v>发行前</x:v>
      </x:c>
      <x:c r="S12" s="19" t="str">
        <x:v>定增后若不认购，控制比例被动下降</x:v>
      </x:c>
      <x:c r="T12" s="19" t="str">
        <x:v>合计6.8906亿股</x:v>
      </x:c>
    </x:row>
    <x:row r="13" ht="30" customHeight="1">
      <x:c r="A13" s="19" t="str">
        <x:v>S09</x:v>
      </x:c>
      <x:c r="B13" s="19" t="str">
        <x:v>历史资产负债摘要</x:v>
      </x:c>
      <x:c r="C13" s="19" t="str">
        <x:v>东方财富数据中心</x:v>
      </x:c>
      <x:c r="D13" s="19" t="str">
        <x:v>2016–2025</x:v>
      </x:c>
      <x:c r="E13" s="19" t="str">
        <x:v>资产、现金、应收、存货、权益、负债率</x:v>
      </x:c>
      <x:c r="F13" s="19" t="str">
        <x:v>第三方结构化</x:v>
      </x:c>
      <x:c r="G13" s="19" t="str">
        <x:v>ROIC代理值与营运资本</x:v>
      </x:c>
      <x:c r="H13" s="21" t="str">
        <x:v>https://datacenter-web.eastmoney.com/api/data/v1/get?reportName=RPT_DMSK_FN_BALANCE&amp;columns=ALL&amp;filter=(SECUCODE%3D%22600487.SH%22)&amp;pageNumber=1&amp;pageSize=200</x:v>
      </x:c>
      <x:c r="I13" s="3"/>
      <x:c r="J13" s="19" t="str">
        <x:v>有息负债估算（2026H1）</x:v>
      </x:c>
      <x:c r="K13" s="25" t="n">
        <x:v>187.59301</x:v>
      </x:c>
      <x:c r="L13" s="19" t="str">
        <x:v>亿元</x:v>
      </x:c>
      <x:c r="M13" s="19" t="str">
        <x:v>S03</x:v>
      </x:c>
      <x:c r="N13" s="19" t="str">
        <x:v>员工持股计划股份</x:v>
      </x:c>
      <x:c r="O13" s="29" t="n">
        <x:v>0.084368</x:v>
      </x:c>
      <x:c r="P13" s="19" t="str">
        <x:v>亿股</x:v>
      </x:c>
      <x:c r="Q13" s="19" t="str">
        <x:v>S18</x:v>
      </x:c>
      <x:c r="R13" s="19" t="str">
        <x:v>来自回购专户</x:v>
      </x:c>
      <x:c r="S13" s="19" t="str">
        <x:v>不新增总股本，但形成经济让渡</x:v>
      </x:c>
      <x:c r="T13" s="19" t="str">
        <x:v>占总股本约0.34%</x:v>
      </x:c>
    </x:row>
    <x:row r="14" ht="30" customHeight="1">
      <x:c r="A14" s="19" t="str">
        <x:v>S10</x:v>
      </x:c>
      <x:c r="B14" s="19" t="str">
        <x:v>历史现金流摘要</x:v>
      </x:c>
      <x:c r="C14" s="19" t="str">
        <x:v>东方财富数据中心</x:v>
      </x:c>
      <x:c r="D14" s="19" t="str">
        <x:v>2016–2025</x:v>
      </x:c>
      <x:c r="E14" s="19" t="str">
        <x:v>经营现金流、购建长期资产现金支出</x:v>
      </x:c>
      <x:c r="F14" s="19" t="str">
        <x:v>第三方结构化</x:v>
      </x:c>
      <x:c r="G14" s="19" t="str">
        <x:v>现金兑现校准</x:v>
      </x:c>
      <x:c r="H14" s="21" t="str">
        <x:v>https://datacenter-web.eastmoney.com/api/data/v1/get?reportName=RPT_DMSK_FN_CASHFLOW&amp;columns=ALL&amp;filter=(SECUCODE%3D%22600487.SH%22)&amp;pageNumber=1&amp;pageSize=200</x:v>
      </x:c>
      <x:c r="I14" s="3"/>
      <x:c r="J14" s="19" t="str">
        <x:v>受限货币资金（2026H1）</x:v>
      </x:c>
      <x:c r="K14" s="25" t="n">
        <x:v>48.4489</x:v>
      </x:c>
      <x:c r="L14" s="19" t="str">
        <x:v>亿元</x:v>
      </x:c>
      <x:c r="M14" s="19" t="str">
        <x:v>S03</x:v>
      </x:c>
      <x:c r="N14" s="19" t="str">
        <x:v>员工持股受让价</x:v>
      </x:c>
      <x:c r="O14" s="29" t="n">
        <x:v>34.27</x:v>
      </x:c>
      <x:c r="P14" s="19" t="str">
        <x:v>元/股</x:v>
      </x:c>
      <x:c r="Q14" s="19" t="str">
        <x:v>S18</x:v>
      </x:c>
      <x:c r="R14" s="19" t="str">
        <x:v>折价转让</x:v>
      </x:c>
      <x:c r="S14" s="19" t="str">
        <x:v>折价需由更强的长期激励约束来证明合理</x:v>
      </x:c>
      <x:c r="T14" s="19" t="str">
        <x:v>低于2026-10-16收盘价</x:v>
      </x:c>
    </x:row>
    <x:row r="15" ht="30" customHeight="1">
      <x:c r="A15" s="19" t="str">
        <x:v>S11</x:v>
      </x:c>
      <x:c r="B15" s="19" t="str">
        <x:v>历史利润表摘要</x:v>
      </x:c>
      <x:c r="C15" s="19" t="str">
        <x:v>东方财富数据中心</x:v>
      </x:c>
      <x:c r="D15" s="19" t="str">
        <x:v>2016–2025</x:v>
      </x:c>
      <x:c r="E15" s="19" t="str">
        <x:v>经营利润、税费、财务费用、扣非利润</x:v>
      </x:c>
      <x:c r="F15" s="19" t="str">
        <x:v>第三方结构化</x:v>
      </x:c>
      <x:c r="G15" s="19" t="str">
        <x:v>ROIC代理值</x:v>
      </x:c>
      <x:c r="H15" s="21" t="str">
        <x:v>https://datacenter-web.eastmoney.com/api/data/v1/get?reportName=RPT_DMSK_FN_INCOME&amp;columns=ALL&amp;filter=(SECUCODE%3D%22600487.SH%22)&amp;pageNumber=1&amp;pageSize=200</x:v>
      </x:c>
      <x:c r="I15" s="3"/>
      <x:c r="J15" s="19" t="str">
        <x:v>营业收入（2026H1）</x:v>
      </x:c>
      <x:c r="K15" s="25" t="n">
        <x:v>420.25897</x:v>
      </x:c>
      <x:c r="L15" s="19" t="str">
        <x:v>亿元</x:v>
      </x:c>
      <x:c r="M15" s="19" t="str">
        <x:v>S03</x:v>
      </x:c>
      <x:c r="N15" s="19" t="str">
        <x:v>股份支付费用合计</x:v>
      </x:c>
      <x:c r="O15" s="29" t="n">
        <x:v>2.793424</x:v>
      </x:c>
      <x:c r="P15" s="19" t="str">
        <x:v>亿元</x:v>
      </x:c>
      <x:c r="Q15" s="19" t="str">
        <x:v>S18</x:v>
      </x:c>
      <x:c r="R15" s="19" t="str">
        <x:v>估算</x:v>
      </x:c>
      <x:c r="S15" s="19" t="str">
        <x:v>会计费用将压低未来利润</x:v>
      </x:c>
      <x:c r="T15" s="19" t="str">
        <x:v>以2026年11月过户假设测算</x:v>
      </x:c>
    </x:row>
    <x:row r="16" ht="30" customHeight="1">
      <x:c r="A16" s="19" t="str">
        <x:v>S12</x:v>
      </x:c>
      <x:c r="B16" s="19" t="str">
        <x:v>2026-10-16收盘行情</x:v>
      </x:c>
      <x:c r="C16" s="19" t="str">
        <x:v>东方财富行情接口</x:v>
      </x:c>
      <x:c r="D16" s="19" t="str">
        <x:v>2026-10-16</x:v>
      </x:c>
      <x:c r="E16" s="19" t="str">
        <x:v>收盘45.68元，总市值1126.65亿元，PB 3.34倍</x:v>
      </x:c>
      <x:c r="F16" s="19" t="str">
        <x:v>行情</x:v>
      </x:c>
      <x:c r="G16" s="19" t="str">
        <x:v>估值时点</x:v>
      </x:c>
      <x:c r="H16" s="21" t="str">
        <x:v>https://push2.eastmoney.com/api/qt/stock/get?secid=1.600487</x:v>
      </x:c>
      <x:c r="I16" s="3"/>
      <x:c r="J16" s="19" t="str">
        <x:v>归母净利润（2026H1）</x:v>
      </x:c>
      <x:c r="K16" s="25" t="n">
        <x:v>31.19621</x:v>
      </x:c>
      <x:c r="L16" s="19" t="str">
        <x:v>亿元</x:v>
      </x:c>
      <x:c r="M16" s="19" t="str">
        <x:v>S03</x:v>
      </x:c>
      <x:c r="N16" s="19" t="str">
        <x:v>股份支付费用2026E</x:v>
      </x:c>
      <x:c r="O16" s="29" t="n">
        <x:v>0.347244</x:v>
      </x:c>
      <x:c r="P16" s="19" t="str">
        <x:v>亿元</x:v>
      </x:c>
      <x:c r="Q16" s="19" t="str">
        <x:v>S18</x:v>
      </x:c>
      <x:c r="R16" s="19" t="str">
        <x:v>估算</x:v>
      </x:c>
      <x:c r="S16" s="19" t="str">
        <x:v>影响2026利润比较</x:v>
      </x:c>
      <x:c r="T16" s="19" t="str">
        <x:v>以实际过户日为准</x:v>
      </x:c>
    </x:row>
    <x:row r="17" ht="30" customHeight="1">
      <x:c r="A17" s="19" t="str">
        <x:v>S13</x:v>
      </x:c>
      <x:c r="B17" s="19" t="str">
        <x:v>巴菲特分析框架</x:v>
      </x:c>
      <x:c r="C17" s="19" t="str">
        <x:v>用户提供本地skill</x:v>
      </x:c>
      <x:c r="D17" s="19" t="str">
        <x:v>2026-10-16</x:v>
      </x:c>
      <x:c r="E17" s="19" t="str">
        <x:v>护城河、管理层、所有者收益、安全边际、卖出纪律</x:v>
      </x:c>
      <x:c r="F17" s="19" t="str">
        <x:v>方法论</x:v>
      </x:c>
      <x:c r="G17" s="19" t="str">
        <x:v>不是公司事实来源</x:v>
      </x:c>
      <x:c r="H17" s="21" t="str">
        <x:v>C:/Users/Administrator/Downloads/buffett-skills-main/skills/buffett/SKILL.md</x:v>
      </x:c>
      <x:c r="I17" s="3"/>
      <x:c r="J17" s="19" t="str">
        <x:v>扣非归母（2026H1）</x:v>
      </x:c>
      <x:c r="K17" s="25" t="n">
        <x:v>31.51484</x:v>
      </x:c>
      <x:c r="L17" s="19" t="str">
        <x:v>亿元</x:v>
      </x:c>
      <x:c r="M17" s="19" t="str">
        <x:v>S03</x:v>
      </x:c>
      <x:c r="N17" s="19" t="str">
        <x:v>股份支付费用2027E</x:v>
      </x:c>
      <x:c r="O17" s="29" t="n">
        <x:v>1.954538</x:v>
      </x:c>
      <x:c r="P17" s="19" t="str">
        <x:v>亿元</x:v>
      </x:c>
      <x:c r="Q17" s="19" t="str">
        <x:v>S18</x:v>
      </x:c>
      <x:c r="R17" s="19" t="str">
        <x:v>估算</x:v>
      </x:c>
      <x:c r="S17" s="19" t="str">
        <x:v>2027费用压力最集中</x:v>
      </x:c>
      <x:c r="T17" s="19" t="str">
        <x:v>以实际过户日为准</x:v>
      </x:c>
    </x:row>
    <x:row r="18" ht="30" customHeight="1">
      <x:c r="A18" s="19" t="str">
        <x:v>S14</x:v>
      </x:c>
      <x:c r="B18" s="19" t="str">
        <x:v>宇通客车既有工作簿</x:v>
      </x:c>
      <x:c r="C18" s="19" t="str">
        <x:v>用户既有文件</x:v>
      </x:c>
      <x:c r="D18" s="19" t="str">
        <x:v>2026-10-16</x:v>
      </x:c>
      <x:c r="E18" s="19" t="str">
        <x:v>六表结构与视觉风格参考</x:v>
      </x:c>
      <x:c r="F18" s="19" t="str">
        <x:v>样式参考</x:v>
      </x:c>
      <x:c r="G18" s="19" t="str">
        <x:v>仅参考结构，不沿用结论</x:v>
      </x:c>
      <x:c r="H18" s="21" t="str">
        <x:v>C:/Users/Administrator/Desktop/0000-最新研报整理/红利专区文件/个股调研/宇通客车/2026-10-16_宇通客车巴菲特框架个股调研与安全边际.xlsx</x:v>
      </x:c>
      <x:c r="I18" s="3"/>
      <x:c r="J18" s="19" t="str">
        <x:v>经营现金流（2026H1）</x:v>
      </x:c>
      <x:c r="K18" s="25" t="n">
        <x:v>-8.64794</x:v>
      </x:c>
      <x:c r="L18" s="19" t="str">
        <x:v>亿元</x:v>
      </x:c>
      <x:c r="M18" s="19" t="str">
        <x:v>S03</x:v>
      </x:c>
      <x:c r="N18" s="19" t="str">
        <x:v>股份支付费用2028E</x:v>
      </x:c>
      <x:c r="O18" s="29" t="n">
        <x:v>0.491643</x:v>
      </x:c>
      <x:c r="P18" s="19" t="str">
        <x:v>亿元</x:v>
      </x:c>
      <x:c r="Q18" s="19" t="str">
        <x:v>S18</x:v>
      </x:c>
      <x:c r="R18" s="19" t="str">
        <x:v>估算</x:v>
      </x:c>
      <x:c r="S18" s="19" t="str">
        <x:v>仍会侵蚀部分会计利润</x:v>
      </x:c>
      <x:c r="T18" s="19" t="str">
        <x:v>以实际过户日为准</x:v>
      </x:c>
    </x:row>
    <x:row r="19" ht="30" customHeight="1">
      <x:c r="A19" s="19" t="str">
        <x:v>S15</x:v>
      </x:c>
      <x:c r="B19" s="19" t="str">
        <x:v>暂不召开股东大会审议定增事项公告</x:v>
      </x:c>
      <x:c r="C19" s="19" t="str">
        <x:v>巨潮资讯/公司</x:v>
      </x:c>
      <x:c r="D19" s="19" t="str">
        <x:v>2026-09-25</x:v>
      </x:c>
      <x:c r="E19" s="19" t="str">
        <x:v>定增工作仍在推进，董事会暂不提请股东大会审议</x:v>
      </x:c>
      <x:c r="F19" s="19" t="str">
        <x:v>进度公告</x:v>
      </x:c>
      <x:c r="G19" s="19" t="str">
        <x:v>说明发行仍有多重不确定性</x:v>
      </x:c>
      <x:c r="H19" s="21" t="str">
        <x:v>https://static.cninfo.com.cn/finalpage/2026-09-25/1225582522.PDF</x:v>
      </x:c>
      <x:c r="I19" s="3"/>
      <x:c r="J19" s="19" t="str">
        <x:v>购建长期资产现金支出（2026H1）</x:v>
      </x:c>
      <x:c r="K19" s="25" t="n">
        <x:v>19.68309</x:v>
      </x:c>
      <x:c r="L19" s="19" t="str">
        <x:v>亿元</x:v>
      </x:c>
      <x:c r="M19" s="19" t="str">
        <x:v>S03</x:v>
      </x:c>
      <x:c r="N19" s="19" t="str">
        <x:v>首期解锁股份</x:v>
      </x:c>
      <x:c r="O19" s="30" t="n">
        <x:f>O13*60%</x:f>
        <x:v>0.0506208</x:v>
      </x:c>
      <x:c r="P19" s="19" t="str">
        <x:v>亿股</x:v>
      </x:c>
      <x:c r="Q19" s="19" t="str">
        <x:v>S18</x:v>
      </x:c>
      <x:c r="R19" s="19" t="str">
        <x:v>锁定12个月后60%</x:v>
      </x:c>
      <x:c r="S19" s="19" t="str">
        <x:v>解锁后存在员工出售供给</x:v>
      </x:c>
      <x:c r="T19" s="19" t="str">
        <x:v>并非控股股东减持</x:v>
      </x:c>
    </x:row>
    <x:row r="20" ht="30" customHeight="1">
      <x:c r="A20" s="19" t="str">
        <x:v>S16</x:v>
      </x:c>
      <x:c r="B20" s="19" t="str">
        <x:v>控股股东增持计划实施结果</x:v>
      </x:c>
      <x:c r="C20" s="19" t="str">
        <x:v>公司公告镜像</x:v>
      </x:c>
      <x:c r="D20" s="19" t="str">
        <x:v>2026-04-10</x:v>
      </x:c>
      <x:c r="E20" s="19" t="str">
        <x:v>亨通集团增持753.56万股、耗资1.50亿元，持股升至24.07%</x:v>
      </x:c>
      <x:c r="F20" s="19" t="str">
        <x:v>增持结果</x:v>
      </x:c>
      <x:c r="G20" s="19" t="str">
        <x:v>反证近期大股东主动兑现离场</x:v>
      </x:c>
      <x:c r="H20" s="21" t="str">
        <x:v>https://money.finance.sina.com.cn/corp/view/vCB_AllBulletinDetail.php?id=12070811&amp;stockid=600487</x:v>
      </x:c>
      <x:c r="I20" s="3"/>
      <x:c r="J20" s="19" t="str">
        <x:v>2026Q1-3归母预告低值</x:v>
      </x:c>
      <x:c r="K20" s="25" t="n">
        <x:v>59.696207</x:v>
      </x:c>
      <x:c r="L20" s="19" t="str">
        <x:v>亿元</x:v>
      </x:c>
      <x:c r="M20" s="19" t="str">
        <x:v>S01</x:v>
      </x:c>
      <x:c r="N20" s="19" t="str">
        <x:v>第二期解锁股份</x:v>
      </x:c>
      <x:c r="O20" s="30" t="n">
        <x:f>O13*40%</x:f>
        <x:v>0.0337472</x:v>
      </x:c>
      <x:c r="P20" s="19" t="str">
        <x:v>亿股</x:v>
      </x:c>
      <x:c r="Q20" s="19" t="str">
        <x:v>S18</x:v>
      </x:c>
      <x:c r="R20" s="19" t="str">
        <x:v>锁定24个月后40%</x:v>
      </x:c>
      <x:c r="S20" s="19" t="str">
        <x:v>供给压力后移</x:v>
      </x:c>
      <x:c r="T20" s="19" t="str">
        <x:v>并非新增股本</x:v>
      </x:c>
    </x:row>
    <x:row r="21" ht="30" customHeight="1">
      <x:c r="A21" s="19" t="str">
        <x:v>S17</x:v>
      </x:c>
      <x:c r="B21" s="19" t="str">
        <x:v>控股股东部分股份解除质押公告</x:v>
      </x:c>
      <x:c r="C21" s="19" t="str">
        <x:v>公司公告镜像</x:v>
      </x:c>
      <x:c r="D21" s="19" t="str">
        <x:v>2026-10-01</x:v>
      </x:c>
      <x:c r="E21" s="19" t="str">
        <x:v>剩余质押3.1165亿股，占集团持股52.49%、公司总股本12.64%</x:v>
      </x:c>
      <x:c r="F21" s="19" t="str">
        <x:v>质押公告</x:v>
      </x:c>
      <x:c r="G21" s="19" t="str">
        <x:v>质押不等于减持，但存在被动处置风险</x:v>
      </x:c>
      <x:c r="H21" s="21" t="str">
        <x:v>https://money.finance.sina.com.cn/corp/view/vCB_AllBulletinDetail.php?id=12628999&amp;stockid=600487</x:v>
      </x:c>
      <x:c r="I21" s="3"/>
      <x:c r="J21" s="19" t="str">
        <x:v>2026Q1-3归母预告中值</x:v>
      </x:c>
      <x:c r="K21" s="25" t="n">
        <x:v>61.696207</x:v>
      </x:c>
      <x:c r="L21" s="19" t="str">
        <x:v>亿元</x:v>
      </x:c>
      <x:c r="M21" s="19" t="str">
        <x:v>S01/计算</x:v>
      </x:c>
      <x:c r="N21" s="19" t="str">
        <x:v>中小股东反对比例</x:v>
      </x:c>
      <x:c r="O21" s="26" t="n">
        <x:v>0.204809</x:v>
      </x:c>
      <x:c r="P21" s="19" t="str">
        <x:v>%</x:v>
      </x:c>
      <x:c r="Q21" s="19" t="str">
        <x:v>S19</x:v>
      </x:c>
      <x:c r="R21" s="19" t="str">
        <x:v>员工持股议案</x:v>
      </x:c>
      <x:c r="S21" s="19" t="str">
        <x:v>说明折价与考核强度存在治理争议</x:v>
      </x:c>
      <x:c r="T21" s="19" t="str">
        <x:v>仅指参与表决的中小股东票数</x:v>
      </x:c>
    </x:row>
    <x:row r="22" ht="30" customHeight="1">
      <x:c r="A22" s="19" t="str">
        <x:v>S18</x:v>
      </x:c>
      <x:c r="B22" s="19" t="str">
        <x:v>2026年员工持股计划（草案）</x:v>
      </x:c>
      <x:c r="C22" s="19" t="str">
        <x:v>巨潮资讯/公司</x:v>
      </x:c>
      <x:c r="D22" s="19" t="str">
        <x:v>2026-09-25</x:v>
      </x:c>
      <x:c r="E22" s="19" t="str">
        <x:v>受让回购股843.68万股，价格34.27元/股；预计股份支付费2.79亿元</x:v>
      </x:c>
      <x:c r="F22" s="19" t="str">
        <x:v>员工持股</x:v>
      </x:c>
      <x:c r="G22" s="19" t="str">
        <x:v>不新增股本，但有费用与解锁供给</x:v>
      </x:c>
      <x:c r="H22" s="21" t="str">
        <x:v>https://static.cninfo.com.cn/finalpage/2026-09-25/1225582533.PDF</x:v>
      </x:c>
      <x:c r="I22" s="3"/>
      <x:c r="J22" s="19" t="str">
        <x:v>2026Q1-3归母预告高值</x:v>
      </x:c>
      <x:c r="K22" s="25" t="n">
        <x:v>63.696207</x:v>
      </x:c>
      <x:c r="L22" s="19" t="str">
        <x:v>亿元</x:v>
      </x:c>
      <x:c r="M22" s="19" t="str">
        <x:v>S01</x:v>
      </x:c>
      <x:c r="N22" s="19" t="str">
        <x:v>重要股东减持公告核查</x:v>
      </x:c>
      <x:c r="O22" s="23" t="str">
        <x:v>未见减持计划/结果公告</x:v>
      </x:c>
      <x:c r="P22" s="19" t="str"/>
      <x:c r="Q22" s="19" t="str">
        <x:v>S07</x:v>
      </x:c>
      <x:c r="R22" s="19" t="str">
        <x:v>2024-01-01至2026-10-18</x:v>
      </x:c>
      <x:c r="S22" s="19" t="str">
        <x:v>未发现控股股东、实控人或5%以上股东公开退出证据</x:v>
      </x:c>
      <x:c r="T22" s="19" t="str">
        <x:v>不等于没有零星董监高交易</x:v>
      </x:c>
    </x:row>
    <x:row r="23" ht="35" customHeight="1">
      <x:c r="A23" s="19" t="str">
        <x:v>S19</x:v>
      </x:c>
      <x:c r="B23" s="19" t="str">
        <x:v>2026年第五次临时股东大会决议</x:v>
      </x:c>
      <x:c r="C23" s="19" t="str">
        <x:v>巨潮资讯/公司</x:v>
      </x:c>
      <x:c r="D23" s="19" t="str">
        <x:v>2026-10-13</x:v>
      </x:c>
      <x:c r="E23" s="19" t="str">
        <x:v>员工持股获通过；中小股东反对票占20.48%；定增未列入议案</x:v>
      </x:c>
      <x:c r="F23" s="19" t="str">
        <x:v>股东大会</x:v>
      </x:c>
      <x:c r="G23" s="19" t="str">
        <x:v>治理争议与审批进度核验</x:v>
      </x:c>
      <x:c r="H23" s="21" t="str">
        <x:v>https://static.cninfo.com.cn/finalpage/2026-10-13/1225601413.PDF</x:v>
      </x:c>
      <x:c r="I23" s="3"/>
      <x:c r="J23" s="19" t="str">
        <x:v>2026Q1-3扣非预告低值</x:v>
      </x:c>
      <x:c r="K23" s="25" t="n">
        <x:v>59.396207</x:v>
      </x:c>
      <x:c r="L23" s="19" t="str">
        <x:v>亿元</x:v>
      </x:c>
      <x:c r="M23" s="19" t="str">
        <x:v>S01</x:v>
      </x:c>
      <x:c r="N23" s="3"/>
      <x:c r="O23" s="3"/>
      <x:c r="P23" s="3"/>
      <x:c r="Q23" s="3"/>
      <x:c r="R23" s="3"/>
      <x:c r="S23" s="3"/>
      <x:c r="T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19" t="str">
        <x:v>2026Q1-3扣非预告高值</x:v>
      </x:c>
      <x:c r="K24" s="25" t="n">
        <x:v>63.396207</x:v>
      </x:c>
      <x:c r="L24" s="19" t="str">
        <x:v>亿元</x:v>
      </x:c>
      <x:c r="M24" s="19" t="str">
        <x:v>S01</x:v>
      </x:c>
      <x:c r="N24" s="3"/>
      <x:c r="O24" s="3"/>
      <x:c r="P24" s="3"/>
      <x:c r="Q24" s="3"/>
      <x:c r="R24" s="3"/>
      <x:c r="S24" s="3"/>
      <x:c r="T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19" t="str">
        <x:v>拟募资上限</x:v>
      </x:c>
      <x:c r="K25" s="25" t="n">
        <x:v>66.36</x:v>
      </x:c>
      <x:c r="L25" s="19" t="str">
        <x:v>亿元</x:v>
      </x:c>
      <x:c r="M25" s="19" t="str">
        <x:v>S06</x:v>
      </x:c>
      <x:c r="N25" s="3"/>
      <x:c r="O25" s="3"/>
      <x:c r="P25" s="3"/>
      <x:c r="Q25" s="3"/>
      <x:c r="R25" s="3"/>
      <x:c r="S25" s="3"/>
      <x:c r="T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19" t="str">
        <x:v>发行股份法定上限</x:v>
      </x:c>
      <x:c r="K26" s="25" t="n">
        <x:v>7.39917677</x:v>
      </x:c>
      <x:c r="L26" s="19" t="str">
        <x:v>亿股</x:v>
      </x:c>
      <x:c r="M26" s="19" t="str">
        <x:v>S06</x:v>
      </x:c>
      <x:c r="N26" s="3"/>
      <x:c r="O26" s="3"/>
      <x:c r="P26" s="3"/>
      <x:c r="Q26" s="3"/>
      <x:c r="R26" s="3"/>
      <x:c r="S26" s="3"/>
      <x:c r="T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19" t="str">
        <x:v>控股股东持股比例</x:v>
      </x:c>
      <x:c r="K27" s="26" t="n">
        <x:v>0.2407</x:v>
      </x:c>
      <x:c r="L27" s="19" t="str">
        <x:v>%</x:v>
      </x:c>
      <x:c r="M27" s="19" t="str">
        <x:v>S07</x:v>
      </x:c>
      <x:c r="N27" s="3"/>
      <x:c r="O27" s="3"/>
      <x:c r="P27" s="3"/>
      <x:c r="Q27" s="3"/>
      <x:c r="R27" s="3"/>
      <x:c r="S27" s="3"/>
      <x:c r="T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19" t="str">
        <x:v>控股股东剩余质押</x:v>
      </x:c>
      <x:c r="K28" s="25" t="n">
        <x:v>3.1165</x:v>
      </x:c>
      <x:c r="L28" s="19" t="str">
        <x:v>亿股</x:v>
      </x:c>
      <x:c r="M28" s="19" t="str">
        <x:v>S17</x:v>
      </x:c>
      <x:c r="N28" s="3"/>
      <x:c r="O28" s="3"/>
      <x:c r="P28" s="3"/>
      <x:c r="Q28" s="3"/>
      <x:c r="R28" s="3"/>
      <x:c r="S28" s="3"/>
      <x:c r="T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19" t="str">
        <x:v>占控股股东持股</x:v>
      </x:c>
      <x:c r="K29" s="26" t="n">
        <x:v>0.5249</x:v>
      </x:c>
      <x:c r="L29" s="19" t="str">
        <x:v>%</x:v>
      </x:c>
      <x:c r="M29" s="19" t="str">
        <x:v>S17</x:v>
      </x:c>
      <x:c r="N29" s="3"/>
      <x:c r="O29" s="3"/>
      <x:c r="P29" s="3"/>
      <x:c r="Q29" s="3"/>
      <x:c r="R29" s="3"/>
      <x:c r="S29" s="3"/>
      <x:c r="T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19" t="str">
        <x:v>云南联通诉讼请求</x:v>
      </x:c>
      <x:c r="K30" s="25" t="n">
        <x:v>20.8</x:v>
      </x:c>
      <x:c r="L30" s="19" t="str">
        <x:v>亿元</x:v>
      </x:c>
      <x:c r="M30" s="19" t="str">
        <x:v>S03</x:v>
      </x:c>
      <x:c r="N30" s="3"/>
      <x:c r="O30" s="3"/>
      <x:c r="P30" s="3"/>
      <x:c r="Q30" s="3"/>
      <x:c r="R30" s="3"/>
      <x:c r="S30" s="3"/>
      <x:c r="T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19" t="str">
        <x:v>云南联通反诉请求</x:v>
      </x:c>
      <x:c r="K31" s="25" t="n">
        <x:v>12.77</x:v>
      </x:c>
      <x:c r="L31" s="19" t="str">
        <x:v>亿元</x:v>
      </x:c>
      <x:c r="M31" s="19" t="str">
        <x:v>S03</x:v>
      </x:c>
      <x:c r="N31" s="3"/>
      <x:c r="O31" s="3"/>
      <x:c r="P31" s="3"/>
      <x:c r="Q31" s="3"/>
      <x:c r="R31" s="3"/>
      <x:c r="S31" s="3"/>
      <x:c r="T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19" t="str">
        <x:v>正式三季报预约日</x:v>
      </x:c>
      <x:c r="K32" s="25" t="str">
        <x:v>2026-10-29</x:v>
      </x:c>
      <x:c r="L32" s="19" t="str">
        <x:v>日期</x:v>
      </x:c>
      <x:c r="M32" s="19" t="str">
        <x:v>S02</x:v>
      </x:c>
      <x:c r="N32" s="3"/>
      <x:c r="O32" s="3"/>
      <x:c r="P32" s="3"/>
      <x:c r="Q32" s="3"/>
      <x:c r="R32" s="3"/>
      <x:c r="S32" s="3"/>
      <x:c r="T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</x:row>
    <x:row r="35" ht="22" customHeight="1">
      <x:c r="A35" s="11" t="str">
        <x:v>2016–2025历史财务底表（亿元；毛利率、ROE、负债率为小数）</x:v>
      </x:c>
      <x:c r="B35" s="11" t="str">
        <x:v>2016–2025历史财务底表（亿元；毛利率、ROE、负债率为小数）</x:v>
      </x:c>
      <x:c r="C35" s="11" t="str">
        <x:v>2016–2025历史财务底表（亿元；毛利率、ROE、负债率为小数）</x:v>
      </x:c>
      <x:c r="D35" s="11" t="str">
        <x:v>2016–2025历史财务底表（亿元；毛利率、ROE、负债率为小数）</x:v>
      </x:c>
      <x:c r="E35" s="11" t="str">
        <x:v>2016–2025历史财务底表（亿元；毛利率、ROE、负债率为小数）</x:v>
      </x:c>
      <x:c r="F35" s="11" t="str">
        <x:v>2016–2025历史财务底表（亿元；毛利率、ROE、负债率为小数）</x:v>
      </x:c>
      <x:c r="G35" s="11" t="str">
        <x:v>2016–2025历史财务底表（亿元；毛利率、ROE、负债率为小数）</x:v>
      </x:c>
      <x:c r="H35" s="11" t="str">
        <x:v>2016–2025历史财务底表（亿元；毛利率、ROE、负债率为小数）</x:v>
      </x:c>
      <x:c r="I35" s="11" t="str">
        <x:v>2016–2025历史财务底表（亿元；毛利率、ROE、负债率为小数）</x:v>
      </x:c>
      <x:c r="J35" s="11" t="str">
        <x:v>2016–2025历史财务底表（亿元；毛利率、ROE、负债率为小数）</x:v>
      </x:c>
      <x:c r="K35" s="11" t="str">
        <x:v>2016–2025历史财务底表（亿元；毛利率、ROE、负债率为小数）</x:v>
      </x:c>
      <x:c r="L35" s="11" t="str">
        <x:v>2016–2025历史财务底表（亿元；毛利率、ROE、负债率为小数）</x:v>
      </x:c>
      <x:c r="M35" s="11" t="str">
        <x:v>2016–2025历史财务底表（亿元；毛利率、ROE、负债率为小数）</x:v>
      </x:c>
      <x:c r="N35" s="11" t="str">
        <x:v>2016–2025历史财务底表（亿元；毛利率、ROE、负债率为小数）</x:v>
      </x:c>
      <x:c r="O35" s="11" t="str">
        <x:v>2016–2025历史财务底表（亿元；毛利率、ROE、负债率为小数）</x:v>
      </x:c>
      <x:c r="P35" s="11" t="str">
        <x:v>2016–2025历史财务底表（亿元；毛利率、ROE、负债率为小数）</x:v>
      </x:c>
      <x:c r="Q35" s="11" t="str">
        <x:v>2016–2025历史财务底表（亿元；毛利率、ROE、负债率为小数）</x:v>
      </x:c>
      <x:c r="R35" s="11" t="str">
        <x:v>2016–2025历史财务底表（亿元；毛利率、ROE、负债率为小数）</x:v>
      </x:c>
      <x:c r="S35" s="11" t="str">
        <x:v>2016–2025历史财务底表（亿元；毛利率、ROE、负债率为小数）</x:v>
      </x:c>
      <x:c r="T35" s="11" t="str">
        <x:v>2016–2025历史财务底表（亿元；毛利率、ROE、负债率为小数）</x:v>
      </x:c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</x:row>
    <x:row r="37">
      <x:c r="A37" s="15" t="str">
        <x:v>年度</x:v>
      </x:c>
      <x:c r="B37" s="15" t="str">
        <x:v>收入</x:v>
      </x:c>
      <x:c r="C37" s="15" t="str">
        <x:v>归母</x:v>
      </x:c>
      <x:c r="D37" s="15" t="str">
        <x:v>扣非归母</x:v>
      </x:c>
      <x:c r="E37" s="15" t="str">
        <x:v>经营现金流</x:v>
      </x:c>
      <x:c r="F37" s="15" t="str">
        <x:v>资本开支</x:v>
      </x:c>
      <x:c r="G37" s="15" t="str">
        <x:v>现金</x:v>
      </x:c>
      <x:c r="H37" s="15" t="str">
        <x:v>总资产</x:v>
      </x:c>
      <x:c r="I37" s="15" t="str">
        <x:v>权益</x:v>
      </x:c>
      <x:c r="J37" s="15" t="str">
        <x:v>负债</x:v>
      </x:c>
      <x:c r="K37" s="15" t="str">
        <x:v>应收</x:v>
      </x:c>
      <x:c r="L37" s="15" t="str">
        <x:v>存货</x:v>
      </x:c>
      <x:c r="M37" s="15" t="str">
        <x:v>应付</x:v>
      </x:c>
      <x:c r="N37" s="15" t="str">
        <x:v>毛利率</x:v>
      </x:c>
      <x:c r="O37" s="15" t="str">
        <x:v>ROE</x:v>
      </x:c>
      <x:c r="P37" s="15" t="str">
        <x:v>负债率</x:v>
      </x:c>
      <x:c r="Q37" s="15" t="str">
        <x:v>经营利润</x:v>
      </x:c>
      <x:c r="R37" s="15" t="str">
        <x:v>利润总额</x:v>
      </x:c>
      <x:c r="S37" s="15" t="str">
        <x:v>所得税</x:v>
      </x:c>
      <x:c r="T37" s="15" t="str">
        <x:v>财务费用</x:v>
      </x:c>
    </x:row>
    <x:row r="38">
      <x:c r="A38" s="19" t="n">
        <x:v>2016</x:v>
      </x:c>
      <x:c r="B38" s="25" t="n">
        <x:v>193.0789475601</x:v>
      </x:c>
      <x:c r="C38" s="25" t="n">
        <x:v>13.1639152388</x:v>
      </x:c>
      <x:c r="D38" s="25" t="n">
        <x:v>11.0599748054</x:v>
      </x:c>
      <x:c r="E38" s="25" t="n">
        <x:v>25.7888893393</x:v>
      </x:c>
      <x:c r="F38" s="25" t="n">
        <x:v>8.3073499638</x:v>
      </x:c>
      <x:c r="G38" s="25" t="n">
        <x:v>31.0450152848</x:v>
      </x:c>
      <x:c r="H38" s="25" t="n">
        <x:v>197.34326023160003</x:v>
      </x:c>
      <x:c r="I38" s="25" t="n">
        <x:v>67.8858630219</x:v>
      </x:c>
      <x:c r="J38" s="25" t="n">
        <x:v>129.4573972097</x:v>
      </x:c>
      <x:c r="K38" s="25" t="n">
        <x:v>41.916640770700006</x:v>
      </x:c>
      <x:c r="L38" s="25" t="n">
        <x:v>39.3367339092</x:v>
      </x:c>
      <x:c r="M38" s="25" t="n">
        <x:v>19.0542892464</x:v>
      </x:c>
      <x:c r="N38" s="26" t="n">
        <x:v>0.210716327093</x:v>
      </x:c>
      <x:c r="O38" s="26" t="n">
        <x:v>0.2516</x:v>
      </x:c>
      <x:c r="P38" s="26" t="n">
        <x:v>0.656001107197</x:v>
      </x:c>
      <x:c r="Q38" s="25" t="n">
        <x:v>15.8773198174</x:v>
      </x:c>
      <x:c r="R38" s="25" t="n">
        <x:v>17.8953751846</x:v>
      </x:c>
      <x:c r="S38" s="25" t="n">
        <x:v>2.6641008096000003</x:v>
      </x:c>
      <x:c r="T38" s="25" t="n">
        <x:v>3.4770149092000002</x:v>
      </x:c>
    </x:row>
    <x:row r="39">
      <x:c r="A39" s="19" t="n">
        <x:v>2017</x:v>
      </x:c>
      <x:c r="B39" s="25" t="n">
        <x:v>245.55866734350002</x:v>
      </x:c>
      <x:c r="C39" s="25" t="n">
        <x:v>21.048845043600004</x:v>
      </x:c>
      <x:c r="D39" s="25" t="n">
        <x:v>19.061496603000002</x:v>
      </x:c>
      <x:c r="E39" s="25" t="n">
        <x:v>2.8787514034</x:v>
      </x:c>
      <x:c r="F39" s="25" t="n">
        <x:v>24.879612535299998</x:v>
      </x:c>
      <x:c r="G39" s="25" t="n">
        <x:v>34.077165541</x:v>
      </x:c>
      <x:c r="H39" s="25" t="n">
        <x:v>285.3214346039</x:v>
      </x:c>
      <x:c r="I39" s="25" t="n">
        <x:v>112.2051251211</x:v>
      </x:c>
      <x:c r="J39" s="25" t="n">
        <x:v>173.1163094828</x:v>
      </x:c>
      <x:c r="K39" s="25" t="n">
        <x:v>53.8218659799</x:v>
      </x:c>
      <x:c r="L39" s="25" t="n">
        <x:v>48.9864586291</x:v>
      </x:c>
      <x:c r="M39" s="25" t="n">
        <x:v>29.5567134881</x:v>
      </x:c>
      <x:c r="N39" s="26" t="n">
        <x:v>0.212277977804</x:v>
      </x:c>
      <x:c r="O39" s="26" t="n">
        <x:v>0.2656</x:v>
      </x:c>
      <x:c r="P39" s="26" t="n">
        <x:v>0.606741339721</x:v>
      </x:c>
      <x:c r="Q39" s="25" t="n">
        <x:v>25.0945786706</x:v>
      </x:c>
      <x:c r="R39" s="25" t="n">
        <x:v>25.6149703922</x:v>
      </x:c>
      <x:c r="S39" s="25" t="n">
        <x:v>3.2968040436</x:v>
      </x:c>
      <x:c r="T39" s="25" t="n">
        <x:v>3.8781729056999996</x:v>
      </x:c>
    </x:row>
    <x:row r="40">
      <x:c r="A40" s="19" t="n">
        <x:v>2018</x:v>
      </x:c>
      <x:c r="B40" s="25" t="n">
        <x:v>299.9545126475</x:v>
      </x:c>
      <x:c r="C40" s="25" t="n">
        <x:v>25.315866325499996</x:v>
      </x:c>
      <x:c r="D40" s="25" t="n">
        <x:v>23.1832650049</x:v>
      </x:c>
      <x:c r="E40" s="25" t="n">
        <x:v>18.5325049651</x:v>
      </x:c>
      <x:c r="F40" s="25" t="n">
        <x:v>38.821155830500004</x:v>
      </x:c>
      <x:c r="G40" s="25" t="n">
        <x:v>50.5619999249</x:v>
      </x:c>
      <x:c r="H40" s="25" t="n">
        <x:v>364.4707767057</x:v>
      </x:c>
      <x:c r="I40" s="25" t="n">
        <x:v>135.85532236900002</x:v>
      </x:c>
      <x:c r="J40" s="25" t="n">
        <x:v>228.6154543367</x:v>
      </x:c>
      <x:c r="K40" s="25" t="n">
        <x:v>81.8537201593</x:v>
      </x:c>
      <x:c r="L40" s="25" t="n">
        <x:v>45.0533439194</x:v>
      </x:c>
      <x:c r="M40" s="25" t="n">
        <x:v>29.609731280200002</x:v>
      </x:c>
      <x:c r="N40" s="26" t="n">
        <x:v>0.213560536293</x:v>
      </x:c>
      <x:c r="O40" s="26" t="n">
        <x:v>0.22</x:v>
      </x:c>
      <x:c r="P40" s="26" t="n">
        <x:v>0.627253181731</x:v>
      </x:c>
      <x:c r="Q40" s="25" t="n">
        <x:v>30.4807439975</x:v>
      </x:c>
      <x:c r="R40" s="25" t="n">
        <x:v>30.432135844</x:v>
      </x:c>
      <x:c r="S40" s="25" t="n">
        <x:v>3.9584709492999997</x:v>
      </x:c>
      <x:c r="T40" s="25" t="n">
        <x:v>5.040865435900001</x:v>
      </x:c>
    </x:row>
    <x:row r="41">
      <x:c r="A41" s="19" t="n">
        <x:v>2019</x:v>
      </x:c>
      <x:c r="B41" s="25" t="n">
        <x:v>317.6002142946</x:v>
      </x:c>
      <x:c r="C41" s="25" t="n">
        <x:v>13.6212136814</x:v>
      </x:c>
      <x:c r="D41" s="25" t="n">
        <x:v>11.0052057303</x:v>
      </x:c>
      <x:c r="E41" s="25" t="n">
        <x:v>15.1677369614</x:v>
      </x:c>
      <x:c r="F41" s="25" t="n">
        <x:v>36.174176916600004</x:v>
      </x:c>
      <x:c r="G41" s="25" t="n">
        <x:v>71.70638031050001</x:v>
      </x:c>
      <x:c r="H41" s="25" t="n">
        <x:v>412.4748296325</x:v>
      </x:c>
      <x:c r="I41" s="25" t="n">
        <x:v>164.6460134781</x:v>
      </x:c>
      <x:c r="J41" s="25" t="n">
        <x:v>247.82881615440002</x:v>
      </x:c>
      <x:c r="K41" s="25" t="n">
        <x:v>102.25752148170001</x:v>
      </x:c>
      <x:c r="L41" s="25" t="n">
        <x:v>46.872235137400004</x:v>
      </x:c>
      <x:c r="M41" s="25" t="n">
        <x:v>27.1402362727</x:v>
      </x:c>
      <x:c r="N41" s="26" t="n">
        <x:v>0.16893706835</x:v>
      </x:c>
      <x:c r="O41" s="26" t="n">
        <x:v>0.1034</x:v>
      </x:c>
      <x:c r="P41" s="26" t="n">
        <x:v>0.600833792392</x:v>
      </x:c>
      <x:c r="Q41" s="25" t="n">
        <x:v>15.5101924562</x:v>
      </x:c>
      <x:c r="R41" s="25" t="n">
        <x:v>15.9254607391</x:v>
      </x:c>
      <x:c r="S41" s="25" t="n">
        <x:v>2.5301615197</x:v>
      </x:c>
      <x:c r="T41" s="25" t="n">
        <x:v>7.77087228</x:v>
      </x:c>
    </x:row>
    <x:row r="42">
      <x:c r="A42" s="19" t="n">
        <x:v>2020</x:v>
      </x:c>
      <x:c r="B42" s="25" t="n">
        <x:v>323.841434947</x:v>
      </x:c>
      <x:c r="C42" s="25" t="n">
        <x:v>10.6175860035</x:v>
      </x:c>
      <x:c r="D42" s="25" t="n">
        <x:v>7.9593521008</x:v>
      </x:c>
      <x:c r="E42" s="25" t="n">
        <x:v>16.1238536507</x:v>
      </x:c>
      <x:c r="F42" s="25" t="n">
        <x:v>15.183643468700001</x:v>
      </x:c>
      <x:c r="G42" s="25" t="n">
        <x:v>97.2782843996</x:v>
      </x:c>
      <x:c r="H42" s="25" t="n">
        <x:v>484.8472417386</x:v>
      </x:c>
      <x:c r="I42" s="25" t="n">
        <x:v>233.4195482994</x:v>
      </x:c>
      <x:c r="J42" s="25" t="n">
        <x:v>251.42769343920003</x:v>
      </x:c>
      <x:c r="K42" s="25" t="n">
        <x:v>102.87523503</x:v>
      </x:c>
      <x:c r="L42" s="25" t="n">
        <x:v>48.62060437780001</x:v>
      </x:c>
      <x:c r="M42" s="25" t="n">
        <x:v>38.6759963325</x:v>
      </x:c>
      <x:c r="N42" s="26" t="n">
        <x:v>0.164011710009</x:v>
      </x:c>
      <x:c r="O42" s="26" t="n">
        <x:v>0.0736</x:v>
      </x:c>
      <x:c r="P42" s="26" t="n">
        <x:v>0.51857094729</x:v>
      </x:c>
      <x:c r="Q42" s="25" t="n">
        <x:v>13.7422637579</x:v>
      </x:c>
      <x:c r="R42" s="25" t="n">
        <x:v>13.3993596577</x:v>
      </x:c>
      <x:c r="S42" s="25" t="n">
        <x:v>1.8093197121999998</x:v>
      </x:c>
      <x:c r="T42" s="25" t="n">
        <x:v>6.7967793622</x:v>
      </x:c>
    </x:row>
    <x:row r="43">
      <x:c r="A43" s="19" t="n">
        <x:v>2021</x:v>
      </x:c>
      <x:c r="B43" s="25" t="n">
        <x:v>412.71165065639997</x:v>
      </x:c>
      <x:c r="C43" s="25" t="n">
        <x:v>14.3630170064</x:v>
      </x:c>
      <x:c r="D43" s="25" t="n">
        <x:v>13.579091186700001</x:v>
      </x:c>
      <x:c r="E43" s="25" t="n">
        <x:v>13.7594861888</x:v>
      </x:c>
      <x:c r="F43" s="25" t="n">
        <x:v>27.056725383299998</x:v>
      </x:c>
      <x:c r="G43" s="25" t="n">
        <x:v>102.4832079121</x:v>
      </x:c>
      <x:c r="H43" s="25" t="n">
        <x:v>524.5739249842</x:v>
      </x:c>
      <x:c r="I43" s="25" t="n">
        <x:v>246.5004970924</x:v>
      </x:c>
      <x:c r="J43" s="25" t="n">
        <x:v>278.0734278918</x:v>
      </x:c>
      <x:c r="K43" s="25" t="n">
        <x:v>138.8907371644</x:v>
      </x:c>
      <x:c r="L43" s="25" t="n">
        <x:v>51.528578193200005</x:v>
      </x:c>
      <x:c r="M43" s="25" t="n">
        <x:v>54.1199711753</x:v>
      </x:c>
      <x:c r="N43" s="26" t="n">
        <x:v>0.159519911002</x:v>
      </x:c>
      <x:c r="O43" s="26" t="n">
        <x:v>0.0703</x:v>
      </x:c>
      <x:c r="P43" s="26" t="n">
        <x:v>0.530093881239</x:v>
      </x:c>
      <x:c r="Q43" s="25" t="n">
        <x:v>17.0884395149</x:v>
      </x:c>
      <x:c r="R43" s="25" t="n">
        <x:v>17.3749395721</x:v>
      </x:c>
      <x:c r="S43" s="25" t="n">
        <x:v>1.5954461012</x:v>
      </x:c>
      <x:c r="T43" s="25" t="n">
        <x:v>5.068635066600001</x:v>
      </x:c>
    </x:row>
    <x:row r="44">
      <x:c r="A44" s="19" t="n">
        <x:v>2022</x:v>
      </x:c>
      <x:c r="B44" s="25" t="n">
        <x:v>464.6398363892</x:v>
      </x:c>
      <x:c r="C44" s="25" t="n">
        <x:v>15.8624430609</x:v>
      </x:c>
      <x:c r="D44" s="25" t="n">
        <x:v>15.4296404785</x:v>
      </x:c>
      <x:c r="E44" s="25" t="n">
        <x:v>8.5466839064</x:v>
      </x:c>
      <x:c r="F44" s="25" t="n">
        <x:v>26.4288021555</x:v>
      </x:c>
      <x:c r="G44" s="25" t="n">
        <x:v>96.79340520029999</x:v>
      </x:c>
      <x:c r="H44" s="25" t="n">
        <x:v>556.8360690673</x:v>
      </x:c>
      <x:c r="I44" s="25" t="n">
        <x:v>269.0943753716</x:v>
      </x:c>
      <x:c r="J44" s="25" t="n">
        <x:v>287.7416936957</x:v>
      </x:c>
      <x:c r="K44" s="25" t="n">
        <x:v>145.899688199</x:v>
      </x:c>
      <x:c r="L44" s="25" t="n">
        <x:v>47.99707952360001</x:v>
      </x:c>
      <x:c r="M44" s="25" t="n">
        <x:v>53.992450013699994</x:v>
      </x:c>
      <x:c r="N44" s="26" t="n">
        <x:v>0.141714009925</x:v>
      </x:c>
      <x:c r="O44" s="26" t="n">
        <x:v>0.0747</x:v>
      </x:c>
      <x:c r="P44" s="26" t="n">
        <x:v>0.516743992855</x:v>
      </x:c>
      <x:c r="Q44" s="25" t="n">
        <x:v>16.7431172152</x:v>
      </x:c>
      <x:c r="R44" s="25" t="n">
        <x:v>16.861686841</x:v>
      </x:c>
      <x:c r="S44" s="25" t="n">
        <x:v>0.9208157214</x:v>
      </x:c>
      <x:c r="T44" s="25" t="n">
        <x:v>3.4629612842000004</x:v>
      </x:c>
    </x:row>
    <x:row r="45">
      <x:c r="A45" s="19" t="n">
        <x:v>2023</x:v>
      </x:c>
      <x:c r="B45" s="25" t="n">
        <x:v>476.217432631</x:v>
      </x:c>
      <x:c r="C45" s="25" t="n">
        <x:v>21.5360533012</x:v>
      </x:c>
      <x:c r="D45" s="25" t="n">
        <x:v>20.327017227200002</x:v>
      </x:c>
      <x:c r="E45" s="25" t="n">
        <x:v>18.5742323198</x:v>
      </x:c>
      <x:c r="F45" s="25" t="n">
        <x:v>21.0588009262</x:v>
      </x:c>
      <x:c r="G45" s="25" t="n">
        <x:v>115.34921073390001</x:v>
      </x:c>
      <x:c r="H45" s="25" t="n">
        <x:v>624.9077152952</x:v>
      </x:c>
      <x:c r="I45" s="25" t="n">
        <x:v>281.1886666172</x:v>
      </x:c>
      <x:c r="J45" s="25" t="n">
        <x:v>343.719048678</x:v>
      </x:c>
      <x:c r="K45" s="25" t="n">
        <x:v>149.3452460941</x:v>
      </x:c>
      <x:c r="L45" s="25" t="n">
        <x:v>82.9968787519</x:v>
      </x:c>
      <x:c r="M45" s="25" t="n">
        <x:v>56.4294455103</x:v>
      </x:c>
      <x:c r="N45" s="26" t="n">
        <x:v>0.152204635387</x:v>
      </x:c>
      <x:c r="O45" s="26" t="n">
        <x:v>0.0871</x:v>
      </x:c>
      <x:c r="P45" s="26" t="n">
        <x:v>0.550031693105</x:v>
      </x:c>
      <x:c r="Q45" s="25" t="n">
        <x:v>23.105088361</x:v>
      </x:c>
      <x:c r="R45" s="25" t="n">
        <x:v>23.852611837799998</x:v>
      </x:c>
      <x:c r="S45" s="25" t="n">
        <x:v>1.5849124281</x:v>
      </x:c>
      <x:c r="T45" s="25" t="n">
        <x:v>3.5406402498</x:v>
      </x:c>
    </x:row>
    <x:row r="46">
      <x:c r="A46" s="19" t="n">
        <x:v>2024</x:v>
      </x:c>
      <x:c r="B46" s="25" t="n">
        <x:v>599.8421242178</x:v>
      </x:c>
      <x:c r="C46" s="25" t="n">
        <x:v>27.688215235500003</x:v>
      </x:c>
      <x:c r="D46" s="25" t="n">
        <x:v>25.7627212347</x:v>
      </x:c>
      <x:c r="E46" s="25" t="n">
        <x:v>32.6208906689</x:v>
      </x:c>
      <x:c r="F46" s="25" t="n">
        <x:v>20.339176461</x:v>
      </x:c>
      <x:c r="G46" s="25" t="n">
        <x:v>119.1846333873</x:v>
      </x:c>
      <x:c r="H46" s="25" t="n">
        <x:v>664.3866049332</x:v>
      </x:c>
      <x:c r="I46" s="25" t="n">
        <x:v>309.0051031436</x:v>
      </x:c>
      <x:c r="J46" s="25" t="n">
        <x:v>355.3815017896</x:v>
      </x:c>
      <x:c r="K46" s="25" t="n">
        <x:v>168.1328517054</x:v>
      </x:c>
      <x:c r="L46" s="25" t="n">
        <x:v>90.4075257649</x:v>
      </x:c>
      <x:c r="M46" s="25" t="n">
        <x:v>69.708844005</x:v>
      </x:c>
      <x:c r="N46" s="26" t="n">
        <x:v>0.132090536438</x:v>
      </x:c>
      <x:c r="O46" s="26" t="n">
        <x:v>0.1028</x:v>
      </x:c>
      <x:c r="P46" s="26" t="n">
        <x:v>0.534901665914</x:v>
      </x:c>
      <x:c r="Q46" s="25" t="n">
        <x:v>33.0132984664</x:v>
      </x:c>
      <x:c r="R46" s="25" t="n">
        <x:v>32.957210460300004</x:v>
      </x:c>
      <x:c r="S46" s="25" t="n">
        <x:v>3.2536060851</x:v>
      </x:c>
      <x:c r="T46" s="25" t="n">
        <x:v>4.272364491399999</x:v>
      </x:c>
    </x:row>
    <x:row r="47">
      <x:c r="A47" s="19" t="n">
        <x:v>2025</x:v>
      </x:c>
      <x:c r="B47" s="25" t="n">
        <x:v>668.5485438079</x:v>
      </x:c>
      <x:c r="C47" s="25" t="n">
        <x:v>26.8026933843</x:v>
      </x:c>
      <x:c r="D47" s="25" t="n">
        <x:v>25.652217741599998</x:v>
      </x:c>
      <x:c r="E47" s="25" t="n">
        <x:v>28.0779607931</x:v>
      </x:c>
      <x:c r="F47" s="25" t="n">
        <x:v>28.3815090147</x:v>
      </x:c>
      <x:c r="G47" s="25" t="n">
        <x:v>133.7520068214</x:v>
      </x:c>
      <x:c r="H47" s="25" t="n">
        <x:v>723.6153569562</x:v>
      </x:c>
      <x:c r="I47" s="25" t="n">
        <x:v>349.2667463134</x:v>
      </x:c>
      <x:c r="J47" s="25" t="n">
        <x:v>374.3486106428</x:v>
      </x:c>
      <x:c r="K47" s="25" t="n">
        <x:v>173.7515045848</x:v>
      </x:c>
      <x:c r="L47" s="25" t="n">
        <x:v>94.3346592355</x:v>
      </x:c>
      <x:c r="M47" s="25" t="n">
        <x:v>64.7620489227</x:v>
      </x:c>
      <x:c r="N47" s="26" t="n">
        <x:v>0.124573244885</x:v>
      </x:c>
      <x:c r="O47" s="26" t="n">
        <x:v>0.0896</x:v>
      </x:c>
      <x:c r="P47" s="26" t="n">
        <x:v>0.517330937001</x:v>
      </x:c>
      <x:c r="Q47" s="25" t="n">
        <x:v>30.5220428188</x:v>
      </x:c>
      <x:c r="R47" s="25" t="n">
        <x:v>30.334664895899998</x:v>
      </x:c>
      <x:c r="S47" s="25" t="n">
        <x:v>1.8473992774</x:v>
      </x:c>
      <x:c r="T47" s="25" t="n">
        <x:v>3.3645498906999998</x:v>
      </x:c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</x:row>
    <x:row r="50" ht="22" customHeight="1">
      <x:c r="A50" s="11" t="str">
        <x:v>2025业务结构：整体更像“高端制造 + 工程项目 + 科技期权”，不宜整家公司套纯科技估值</x:v>
      </x:c>
      <x:c r="B50" s="11" t="str">
        <x:v>2025业务结构：整体更像“高端制造 + 工程项目 + 科技期权”，不宜整家公司套纯科技估值</x:v>
      </x:c>
      <x:c r="C50" s="11" t="str">
        <x:v>2025业务结构：整体更像“高端制造 + 工程项目 + 科技期权”，不宜整家公司套纯科技估值</x:v>
      </x:c>
      <x:c r="D50" s="11" t="str">
        <x:v>2025业务结构：整体更像“高端制造 + 工程项目 + 科技期权”，不宜整家公司套纯科技估值</x:v>
      </x:c>
      <x:c r="E50" s="11" t="str">
        <x:v>2025业务结构：整体更像“高端制造 + 工程项目 + 科技期权”，不宜整家公司套纯科技估值</x:v>
      </x:c>
      <x:c r="F50" s="11" t="str">
        <x:v>2025业务结构：整体更像“高端制造 + 工程项目 + 科技期权”，不宜整家公司套纯科技估值</x:v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</x:row>
    <x:row r="51">
      <x:c r="A51" s="15" t="str">
        <x:v>业务</x:v>
      </x:c>
      <x:c r="B51" s="15" t="str">
        <x:v>收入（亿元）</x:v>
      </x:c>
      <x:c r="C51" s="15" t="str">
        <x:v>收入占比</x:v>
      </x:c>
      <x:c r="D51" s="15" t="str">
        <x:v>毛利率</x:v>
      </x:c>
      <x:c r="E51" s="15" t="str">
        <x:v>收入同比</x:v>
      </x:c>
      <x:c r="F51" s="15" t="str">
        <x:v>估值属性</x:v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</x:row>
    <x:row r="52">
      <x:c r="A52" s="19" t="str">
        <x:v>光通信</x:v>
      </x:c>
      <x:c r="B52" s="31" t="n">
        <x:v>56.08847</x:v>
      </x:c>
      <x:c r="C52" s="32" t="n">
        <x:f>B52/668.54854</x:f>
        <x:v>0.08389588286289579</x:v>
      </x:c>
      <x:c r="D52" s="32" t="n">
        <x:v>0.2753</x:v>
      </x:c>
      <x:c r="E52" s="32" t="n">
        <x:v>-0.1453</x:v>
      </x:c>
      <x:c r="F52" s="19" t="str">
        <x:v>技术/周期：光纤景气与AI光互连期权</x:v>
      </x:c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</x:row>
    <x:row r="53">
      <x:c r="A53" s="19" t="str">
        <x:v>智能电网</x:v>
      </x:c>
      <x:c r="B53" s="31" t="n">
        <x:v>247.96092</x:v>
      </x:c>
      <x:c r="C53" s="32" t="n">
        <x:f>B53/668.54854</x:f>
        <x:v>0.37089441553488395</x:v>
      </x:c>
      <x:c r="D53" s="32" t="n">
        <x:v>0.1302</x:v>
      </x:c>
      <x:c r="E53" s="32" t="n">
        <x:v>0.1177</x:v>
      </x:c>
      <x:c r="F53" s="19" t="str">
        <x:v>制造/工程：规模、交付与成本优势</x:v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</x:row>
    <x:row r="54">
      <x:c r="A54" s="19" t="str">
        <x:v>海洋能源与通信</x:v>
      </x:c>
      <x:c r="B54" s="31" t="n">
        <x:v>57.36683</x:v>
      </x:c>
      <x:c r="C54" s="32" t="n">
        <x:f>B54/668.54854</x:f>
        <x:v>0.08580802524824899</x:v>
      </x:c>
      <x:c r="D54" s="32" t="n">
        <x:v>0.3368</x:v>
      </x:c>
      <x:c r="E54" s="32" t="n">
        <x:v>-0.0002</x:v>
      </x:c>
      <x:c r="F54" s="19" t="str">
        <x:v>高壁垒工程：资质、船舶、系统集成</x:v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</x:row>
    <x:row r="55">
      <x:c r="A55" s="19" t="str">
        <x:v>工业与新能源智能</x:v>
      </x:c>
      <x:c r="B55" s="31" t="n">
        <x:v>73.07784</x:v>
      </x:c>
      <x:c r="C55" s="32" t="n">
        <x:f>B55/668.54854</x:f>
        <x:v>0.10930820370948681</x:v>
      </x:c>
      <x:c r="D55" s="32" t="n">
        <x:v>0.1401</x:v>
      </x:c>
      <x:c r="E55" s="32" t="n">
        <x:v>0.0801</x:v>
      </x:c>
      <x:c r="F55" s="19" t="str">
        <x:v>制造/工程</x:v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</x:row>
    <x:row r="56">
      <x:c r="A56" s="19" t="str">
        <x:v>铜导体/能源传输材料（约）</x:v>
      </x:c>
      <x:c r="B56" s="31" t="n">
        <x:v>200.84</x:v>
      </x:c>
      <x:c r="C56" s="32" t="n">
        <x:f>B56/668.54854</x:f>
        <x:v>0.3004119940191628</x:v>
      </x:c>
      <x:c r="D56" s="32"/>
      <x:c r="E56" s="32"/>
      <x:c r="F56" s="19" t="str">
        <x:v>大宗加工：低倍数、重营运资本</x:v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</x:row>
    <x:row r="57">
      <x:c r="A57" s="19" t="str">
        <x:v>其他及抵消</x:v>
      </x:c>
      <x:c r="B57" s="31" t="n">
        <x:f>668.54854-SUM(B52:B56)</x:f>
        <x:v>33.21447999999998</x:v>
      </x:c>
      <x:c r="C57" s="32" t="n">
        <x:f>1-SUM(C52:C56)</x:f>
        <x:v>0.049681478625321684</x:v>
      </x:c>
      <x:c r="D57" s="32"/>
      <x:c r="E57" s="32"/>
      <x:c r="F57" s="19" t="str">
        <x:v>不单独估值</x:v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</x:row>
    <x:row r="59" ht="34" customHeight="1">
      <x:c r="A59" s="35" t="str">
        <x:v>2026H1增量提示：公司披露光通信业务收入同比增长超过130%、毛利率超过60%。这反映景气跃升，但不能直接外推为长期稳态。</x:v>
      </x:c>
      <x:c r="B59" s="35" t="str">
        <x:v>2026H1增量提示：公司披露光通信业务收入同比增长超过130%、毛利率超过60%。这反映景气跃升，但不能直接外推为长期稳态。</x:v>
      </x:c>
      <x:c r="C59" s="35" t="str">
        <x:v>2026H1增量提示：公司披露光通信业务收入同比增长超过130%、毛利率超过60%。这反映景气跃升，但不能直接外推为长期稳态。</x:v>
      </x:c>
      <x:c r="D59" s="35" t="str">
        <x:v>2026H1增量提示：公司披露光通信业务收入同比增长超过130%、毛利率超过60%。这反映景气跃升，但不能直接外推为长期稳态。</x:v>
      </x:c>
      <x:c r="E59" s="35" t="str">
        <x:v>2026H1增量提示：公司披露光通信业务收入同比增长超过130%、毛利率超过60%。这反映景气跃升，但不能直接外推为长期稳态。</x:v>
      </x:c>
      <x:c r="F59" s="35" t="str">
        <x:v>2026H1增量提示：公司披露光通信业务收入同比增长超过130%、毛利率超过60%。这反映景气跃升，但不能直接外推为长期稳态。</x:v>
      </x:c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</x:row>
  </x:sheetData>
  <x:mergeCells>
    <x:mergeCell ref="A1:T1"/>
    <x:mergeCell ref="A2:T2"/>
    <x:mergeCell ref="A4:H4"/>
    <x:mergeCell ref="J4:M4"/>
    <x:mergeCell ref="N4:T4"/>
    <x:mergeCell ref="A35:T35"/>
    <x:mergeCell ref="A50:F50"/>
    <x:mergeCell ref="A59:F59"/>
  </x:mergeCells>
  <x:pageMargins left="0.7" right="0.7" top="0.75" bottom="0.75" header="0.3" footer="0.3"/>
</x:worksheet>
</file>