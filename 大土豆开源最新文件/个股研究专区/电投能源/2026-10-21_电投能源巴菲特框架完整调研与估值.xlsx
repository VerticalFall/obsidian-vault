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1a1bc0682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图流" sheetId="1" r:id="R1f2bd92690424159"/>
    <x:sheet xmlns:r="http://schemas.openxmlformats.org/officeDocument/2006/relationships" name="巴菲特八问" sheetId="2" r:id="Ref0d052c57fb4e9d"/>
    <x:sheet xmlns:r="http://schemas.openxmlformats.org/officeDocument/2006/relationships" name="生意与护城河" sheetId="3" r:id="R920ab6a3832546d2"/>
    <x:sheet xmlns:r="http://schemas.openxmlformats.org/officeDocument/2006/relationships" name="财务与分红" sheetId="4" r:id="Ra4a61a2650cc44a4"/>
    <x:sheet xmlns:r="http://schemas.openxmlformats.org/officeDocument/2006/relationships" name="估值系统" sheetId="5" r:id="R3fcc4a0961f74e58"/>
    <x:sheet xmlns:r="http://schemas.openxmlformats.org/officeDocument/2006/relationships" name="风险与跟踪" sheetId="6" r:id="Rbff61553b43446e8"/>
    <x:sheet xmlns:r="http://schemas.openxmlformats.org/officeDocument/2006/relationships" name="数据与来源" sheetId="7" r:id="Rcc3dac4285aa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#,##0.000"/>
    <x:numFmt numFmtId="202" formatCode="0.0%"/>
    <x:numFmt numFmtId="203" formatCode="0.00"/>
    <x:numFmt numFmtId="204" formatCode="#,##0.00"/>
    <x:numFmt numFmtId="205" formatCode="#,##0.0"/>
    <x:numFmt numFmtId="206" formatCode="0.00x"/>
    <x:numFmt numFmtId="207" formatCode="0.0"/>
    <x:numFmt numFmtId="208" formatCode="0.0x"/>
  </x:numFmts>
  <x:fonts count="16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9"/>
      <x:color rgb="FF65758B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1"/>
      <x:color rgb="FF0000FF"/>
      <x:name val="Arial"/>
    </x:font>
    <x:font>
      <x:b/>
      <x:sz val="11"/>
      <x:color rgb="FF008000"/>
      <x:name val="Arial"/>
    </x:font>
    <x:font>
      <x:b/>
      <x:sz val="10"/>
      <x:color rgb="FF17365D"/>
      <x:name val="Arial"/>
    </x:font>
    <x:font>
      <x:b/>
      <x:sz val="15"/>
      <x:color rgb="FF17365D"/>
      <x:name val="Arial"/>
    </x:font>
    <x:font>
      <x:b/>
      <x:sz val="10"/>
      <x:color rgb="FF008000"/>
      <x:name val="Arial"/>
    </x:font>
    <x:font>
      <x:b/>
      <x:sz val="12"/>
      <x:color rgb="FF17365D"/>
      <x:name val="Arial"/>
    </x:font>
    <x:font>
      <x:b/>
      <x:sz val="13"/>
      <x:color rgb="FF17365D"/>
      <x:name val="Arial"/>
    </x:font>
    <x:font>
      <x:sz val="10"/>
      <x:color rgb="FF17365D"/>
      <x:name val="Arial"/>
    </x:font>
    <x:font>
      <x:b/>
      <x:sz val="11"/>
      <x:color rgb="FF17365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3F8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18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  <x:diagonal/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  <x:diagonal/>
    </x:border>
    <x:border>
      <x:left/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/>
      <x:top/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/>
      <x:diagonal/>
    </x:border>
    <x:border>
      <x:left style="thin">
        <x:color rgb="FFFFFFFF"/>
      </x:left>
      <x:right/>
      <x:top style="thin">
        <x:color rgb="FFFFFFFF"/>
      </x:top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  <x:diagonal/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1" fontId="1" fillId="0" borderId="7" xfId="0" applyNumberFormat="1" applyFont="1" applyFill="1" applyBorder="1" applyAlignment="1">
      <x:alignment horizontal="center" vertical="center"/>
    </x:xf>
    <x:xf numFmtId="20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2" fontId="1" fillId="0" borderId="7" xfId="0" applyNumberFormat="1" applyFont="1" applyFill="1" applyBorder="1" applyAlignment="1">
      <x:alignment horizontal="center" vertical="center"/>
    </x:xf>
    <x:xf numFmtId="203" fontId="1" fillId="0" borderId="7" xfId="0" applyNumberFormat="1" applyFont="1" applyFill="1" applyBorder="1" applyAlignment="1">
      <x:alignment horizontal="center" vertical="center"/>
    </x:xf>
    <x:xf numFmtId="202" fontId="5" fillId="0" borderId="7" xfId="0" applyNumberFormat="1" applyFont="1" applyFill="1" applyBorder="1" applyAlignment="1">
      <x:alignment horizontal="center" vertical="center"/>
    </x:xf>
    <x:xf numFmtId="203" fontId="5" fillId="0" borderId="7" xfId="0" applyNumberFormat="1" applyFont="1" applyFill="1" applyBorder="1" applyAlignment="1">
      <x:alignment horizontal="center" vertical="center"/>
    </x:xf>
    <x:xf numFmtId="201" fontId="6" fillId="0" borderId="7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left"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3" borderId="8" xfId="0" applyNumberFormat="1" applyFont="1" applyFill="1" applyBorder="1" applyAlignment="1">
      <x:alignment horizontal="center" vertical="center"/>
    </x:xf>
    <x:xf numFmtId="0" fontId="7" fillId="3" borderId="8" xfId="0" applyNumberFormat="1" applyFont="1" applyFill="1" applyBorder="1" applyAlignment="1">
      <x:alignment horizontal="center" vertical="center"/>
    </x:xf>
    <x:xf numFmtId="0" fontId="1" fillId="4" borderId="8" xfId="0" applyNumberFormat="1" applyFont="1" applyFill="1" applyBorder="1" applyAlignment="1">
      <x:alignment horizontal="center" vertical="center"/>
    </x:xf>
    <x:xf numFmtId="0" fontId="8" fillId="4" borderId="8" xfId="0" applyNumberFormat="1" applyFont="1" applyFill="1" applyBorder="1" applyAlignment="1">
      <x:alignment horizontal="center" vertical="center"/>
    </x:xf>
    <x:xf numFmtId="204" fontId="1" fillId="0" borderId="7" xfId="0" applyNumberFormat="1" applyFont="1" applyFill="1" applyBorder="1" applyAlignment="1">
      <x:alignment horizontal="center" vertical="center"/>
    </x:xf>
    <x:xf numFmtId="204" fontId="6" fillId="0" borderId="7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205" fontId="5" fillId="3" borderId="7" xfId="0" applyNumberFormat="1" applyFont="1" applyFill="1" applyBorder="1" applyAlignment="1">
      <x:alignment horizontal="center" vertical="center"/>
    </x:xf>
    <x:xf numFmtId="202" fontId="5" fillId="3" borderId="7" xfId="0" applyNumberFormat="1" applyFont="1" applyFill="1" applyBorder="1" applyAlignment="1">
      <x:alignment horizontal="center" vertical="center"/>
    </x:xf>
    <x:xf numFmtId="206" fontId="1" fillId="0" borderId="7" xfId="0" applyNumberFormat="1" applyFont="1" applyFill="1" applyBorder="1" applyAlignment="1">
      <x:alignment horizontal="center" vertical="center"/>
    </x:xf>
    <x:xf numFmtId="203" fontId="1" fillId="4" borderId="7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/>
    </x:xf>
    <x:xf numFmtId="0" fontId="4" fillId="2" borderId="12" xfId="0" applyNumberFormat="1" applyFont="1" applyFill="1" applyBorder="1" applyAlignment="1">
      <x:alignment vertical="center"/>
    </x:xf>
    <x:xf numFmtId="0" fontId="4" fillId="2" borderId="13" xfId="0" applyNumberFormat="1" applyFont="1" applyFill="1" applyBorder="1" applyAlignment="1">
      <x:alignment vertical="center"/>
    </x:xf>
    <x:xf numFmtId="0" fontId="4" fillId="2" borderId="14" xfId="0" applyNumberFormat="1" applyFont="1" applyFill="1" applyBorder="1" applyAlignment="1">
      <x:alignment vertical="center"/>
    </x:xf>
    <x:xf numFmtId="0" fontId="4" fillId="2" borderId="9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vertical="center" wrapText="1"/>
    </x:xf>
    <x:xf numFmtId="0" fontId="4" fillId="2" borderId="12" xfId="0" applyNumberFormat="1" applyFont="1" applyFill="1" applyBorder="1" applyAlignment="1">
      <x:alignment vertical="center" wrapText="1"/>
    </x:xf>
    <x:xf numFmtId="0" fontId="4" fillId="2" borderId="13" xfId="0" applyNumberFormat="1" applyFont="1" applyFill="1" applyBorder="1" applyAlignment="1">
      <x:alignment vertical="center" wrapText="1"/>
    </x:xf>
    <x:xf numFmtId="0" fontId="4" fillId="2" borderId="14" xfId="0" applyNumberFormat="1" applyFont="1" applyFill="1" applyBorder="1" applyAlignment="1">
      <x:alignment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4" fillId="2" borderId="15" xfId="0" applyNumberFormat="1" applyFont="1" applyFill="1" applyBorder="1" applyAlignment="1">
      <x:alignment vertical="center"/>
    </x:xf>
    <x:xf numFmtId="0" fontId="4" fillId="2" borderId="16" xfId="0" applyNumberFormat="1" applyFont="1" applyFill="1" applyBorder="1" applyAlignment="1">
      <x:alignment vertical="center"/>
    </x:xf>
    <x:xf numFmtId="0" fontId="4" fillId="2" borderId="15" xfId="0" applyNumberFormat="1" applyFont="1" applyFill="1" applyBorder="1" applyAlignment="1">
      <x:alignment vertical="center" wrapText="1"/>
    </x:xf>
    <x:xf numFmtId="0" fontId="4" fillId="2" borderId="16" xfId="0" applyNumberFormat="1" applyFont="1" applyFill="1" applyBorder="1" applyAlignment="1">
      <x:alignment vertical="center" wrapText="1"/>
    </x:xf>
    <x:xf numFmtId="0" fontId="4" fillId="2" borderId="15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204" fontId="5" fillId="3" borderId="7" xfId="0" applyNumberFormat="1" applyFont="1" applyFill="1" applyBorder="1" applyAlignment="1">
      <x:alignment horizontal="center" vertical="center"/>
    </x:xf>
    <x:xf numFmtId="207" fontId="5" fillId="3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2" fontId="10" fillId="5" borderId="0" xfId="0" applyNumberFormat="1" applyFont="1" applyFill="1" applyBorder="1" applyAlignment="1">
      <x:alignment vertical="center"/>
    </x:xf>
    <x:xf numFmtId="202" fontId="10" fillId="5" borderId="0" xfId="0" applyNumberFormat="1" applyFont="1" applyFill="1" applyBorder="1" applyAlignment="1">
      <x:alignment horizontal="center" vertical="center"/>
    </x:xf>
    <x:xf numFmtId="202" fontId="6" fillId="0" borderId="7" xfId="0" applyNumberFormat="1" applyFont="1" applyFill="1" applyBorder="1" applyAlignment="1">
      <x:alignment horizontal="center" vertical="center"/>
    </x:xf>
    <x:xf numFmtId="203" fontId="6" fillId="0" borderId="7" xfId="0" applyNumberFormat="1" applyFont="1" applyFill="1" applyBorder="1" applyAlignment="1">
      <x:alignment horizontal="center" vertical="center"/>
    </x:xf>
    <x:xf numFmtId="204" fontId="1" fillId="3" borderId="7" xfId="0" applyNumberFormat="1" applyFont="1" applyFill="1" applyBorder="1" applyAlignment="1">
      <x:alignment horizontal="center" vertical="center"/>
    </x:xf>
    <x:xf numFmtId="202" fontId="1" fillId="3" borderId="7" xfId="0" applyNumberFormat="1" applyFont="1" applyFill="1" applyBorder="1" applyAlignment="1">
      <x:alignment horizontal="center" vertical="center"/>
    </x:xf>
    <x:xf numFmtId="0" fontId="1" fillId="3" borderId="7" xfId="0" applyNumberFormat="1" applyFont="1" applyFill="1" applyBorder="1" applyAlignment="1">
      <x:alignment horizontal="left" vertical="center" wrapText="1"/>
    </x:xf>
    <x:xf numFmtId="0" fontId="1" fillId="5" borderId="7" xfId="0" applyNumberFormat="1" applyFont="1" applyFill="1" applyBorder="1" applyAlignment="1">
      <x:alignment horizontal="center" vertical="center"/>
    </x:xf>
    <x:xf numFmtId="204" fontId="1" fillId="5" borderId="7" xfId="0" applyNumberFormat="1" applyFont="1" applyFill="1" applyBorder="1" applyAlignment="1">
      <x:alignment horizontal="center" vertical="center"/>
    </x:xf>
    <x:xf numFmtId="202" fontId="1" fillId="5" borderId="7" xfId="0" applyNumberFormat="1" applyFont="1" applyFill="1" applyBorder="1" applyAlignment="1">
      <x:alignment horizontal="center" vertical="center"/>
    </x:xf>
    <x:xf numFmtId="0" fontId="1" fillId="5" borderId="7" xfId="0" applyNumberFormat="1" applyFont="1" applyFill="1" applyBorder="1" applyAlignment="1">
      <x:alignment horizontal="left" vertical="center" wrapText="1"/>
    </x:xf>
    <x:xf numFmtId="204" fontId="9" fillId="0" borderId="7" xfId="0" applyNumberFormat="1" applyFont="1" applyFill="1" applyBorder="1" applyAlignment="1">
      <x:alignment horizontal="center" vertical="center"/>
    </x:xf>
    <x:xf numFmtId="202" fontId="9" fillId="0" borderId="7" xfId="0" applyNumberFormat="1" applyFont="1" applyFill="1" applyBorder="1" applyAlignment="1">
      <x:alignment horizontal="center" vertical="center"/>
    </x:xf>
    <x:xf numFmtId="0" fontId="9" fillId="0" borderId="7" xfId="0" applyNumberFormat="1" applyFont="1" applyFill="1" applyBorder="1" applyAlignment="1">
      <x:alignment vertical="center" wrapText="1"/>
    </x:xf>
    <x:xf numFmtId="202" fontId="1" fillId="0" borderId="7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208" fontId="1" fillId="0" borderId="7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horizontal="center" vertical="center"/>
    </x:xf>
    <x:xf numFmtId="0" fontId="9" fillId="4" borderId="7" xfId="0" applyNumberFormat="1" applyFont="1" applyFill="1" applyBorder="1" applyAlignment="1">
      <x:alignment horizontal="center" vertical="center"/>
    </x:xf>
    <x:xf numFmtId="0" fontId="9" fillId="3" borderId="7" xfId="0" applyNumberFormat="1" applyFont="1" applyFill="1" applyBorder="1" applyAlignment="1">
      <x:alignment horizontal="center" vertical="center"/>
    </x:xf>
    <x:xf numFmtId="0" fontId="9" fillId="0" borderId="7" xfId="0" applyNumberFormat="1" applyFont="1" applyFill="1" applyBorder="1" applyAlignment="1">
      <x:alignment vertical="center"/>
    </x:xf>
    <x:xf numFmtId="0" fontId="9" fillId="3" borderId="7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1" fillId="0" borderId="8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203" fontId="2" fillId="5" borderId="0" xfId="0" applyNumberFormat="1" applyFont="1" applyFill="1" applyBorder="1" applyAlignment="1">
      <x:alignment vertical="center"/>
    </x:xf>
    <x:xf numFmtId="203" fontId="2" fillId="5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horizontal="center" vertical="center" wrapText="1"/>
    </x:xf>
    <x:xf numFmtId="0" fontId="15" fillId="3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horizontal="center" vertical="center" wrapText="1"/>
    </x:xf>
    <x:xf numFmtId="0" fontId="15" fillId="3" borderId="17" xfId="0" applyNumberFormat="1" applyFont="1" applyFill="1" applyBorder="1" applyAlignment="1">
      <x:alignment vertical="center"/>
    </x:xf>
    <x:xf numFmtId="0" fontId="15" fillId="3" borderId="17" xfId="0" applyNumberFormat="1" applyFont="1" applyFill="1" applyBorder="1" applyAlignment="1">
      <x:alignment vertical="center" wrapText="1"/>
    </x:xf>
    <x:xf numFmtId="0" fontId="15" fillId="3" borderId="17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a82e7dc29462d" /><Relationship Type="http://schemas.openxmlformats.org/officeDocument/2006/relationships/theme" Target="/xl/theme/theme1.xml" Id="Rb864ff6986d447de" /><Relationship Type="http://schemas.openxmlformats.org/officeDocument/2006/relationships/sharedStrings" Target="/xl/sharedStrings.xml" Id="R30c0fcccb5be4ad2" /><Relationship Type="http://schemas.openxmlformats.org/officeDocument/2006/relationships/worksheet" Target="/xl/worksheets/sheet1.xml" Id="R1f2bd92690424159" /><Relationship Type="http://schemas.openxmlformats.org/officeDocument/2006/relationships/worksheet" Target="/xl/worksheets/sheet2.xml" Id="Ref0d052c57fb4e9d" /><Relationship Type="http://schemas.openxmlformats.org/officeDocument/2006/relationships/worksheet" Target="/xl/worksheets/sheet3.xml" Id="R920ab6a3832546d2" /><Relationship Type="http://schemas.openxmlformats.org/officeDocument/2006/relationships/worksheet" Target="/xl/worksheets/sheet4.xml" Id="Ra4a61a2650cc44a4" /><Relationship Type="http://schemas.openxmlformats.org/officeDocument/2006/relationships/worksheet" Target="/xl/worksheets/sheet5.xml" Id="R3fcc4a0961f74e58" /><Relationship Type="http://schemas.openxmlformats.org/officeDocument/2006/relationships/worksheet" Target="/xl/worksheets/sheet6.xml" Id="Rbff61553b43446e8" /><Relationship Type="http://schemas.openxmlformats.org/officeDocument/2006/relationships/worksheet" Target="/xl/worksheets/sheet7.xml" Id="Rcc3dac4285aa4a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12596346ad42fa" /><Relationship Type="http://schemas.openxmlformats.org/officeDocument/2006/relationships/chart" Target="/xl/drawings/charts/chart2.xml" Id="Rd8b40dec09c947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ba2374f18bf4f6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bc5da28436d4285" /><Relationship Type="http://schemas.openxmlformats.org/officeDocument/2006/relationships/chart" Target="/xl/drawings/charts/chart5.xml" Id="Rdb780662cce847ff" /><Relationship Type="http://schemas.openxmlformats.org/officeDocument/2006/relationships/chart" Target="/xl/drawings/charts/chart6.xml" Id="R7ee20fe6381243c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c04eb527ef624c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五年收入与归母净利润（十亿元）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'一图流'!$A$18:$A$22</c:f>
              <c:strCache>
                <c:ptCount val="0"/>
              </c:strCache>
            </c:strRef>
          </c:cat>
          <c:val>
            <c:numRef>
              <c:f>'一图流'!$B$18:$B$22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归母净利润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'一图流'!$A$18:$A$22</c:f>
              <c:strCache>
                <c:ptCount val="0"/>
              </c:strCache>
            </c:strRef>
          </c:cat>
          <c:val>
            <c:numRef>
              <c:f>'一图流'!$C$18:$C$22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基准估值与现价（元/股）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基准值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'一图流'!$J$25:$J$29</c:f>
              <c:strCache>
                <c:ptCount val="0"/>
              </c:strCache>
            </c:strRef>
          </c:cat>
          <c:val>
            <c:numRef>
              <c:f>'一图流'!$K$25:$K$29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分部收入与毛利（十亿元）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营业收入</c:v>
          </c:tx>
          <c:spPr>
            <a:solidFill xmlns:a="http://schemas.openxmlformats.org/drawingml/2006/main">
              <a:srgbClr val="5B9BD5"/>
            </a:solidFill>
          </c:spPr>
          <c:invertIfNegative val="0"/>
          <c:cat>
            <c:strRef>
              <c:f>'数据与来源'!$A$45:$A$48</c:f>
              <c:strCache>
                <c:ptCount val="0"/>
              </c:strCache>
            </c:strRef>
          </c:cat>
          <c:val>
            <c:numRef>
              <c:f>'数据与来源'!$B$45:$B$48</c:f>
              <c:numCache>
                <c:formatCode>#,##0.000</c:formatCode>
                <c:ptCount val="0"/>
              </c:numCache>
            </c:numRef>
          </c:val>
        </c:ser>
        <c:ser>
          <c:idx val="1"/>
          <c:order val="1"/>
          <c:tx>
            <c:v>毛利</c:v>
          </c:tx>
          <c:spPr>
            <a:solidFill xmlns:a="http://schemas.openxmlformats.org/drawingml/2006/main">
              <a:srgbClr val="70AD47"/>
            </a:solidFill>
          </c:spPr>
          <c:invertIfNegative val="0"/>
          <c:cat>
            <c:strRef>
              <c:f>'数据与来源'!$A$45:$A$48</c:f>
              <c:strCache>
                <c:ptCount val="0"/>
              </c:strCache>
            </c:strRef>
          </c:cat>
          <c:val>
            <c:numRef>
              <c:f>'数据与来源'!$G$45:$G$48</c:f>
              <c:numCache>
                <c:formatCode>#,##0.000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收入与归母净利润（十亿元）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营业收入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'数据与来源'!$A$34:$A$38</c:f>
              <c:strCache>
                <c:ptCount val="0"/>
              </c:strCache>
            </c:strRef>
          </c:cat>
          <c:val>
            <c:numRef>
              <c:f>'数据与来源'!$B$34:$B$38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归母净利润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'数据与来源'!$A$34:$A$38</c:f>
              <c:strCache>
                <c:ptCount val="0"/>
              </c:strCache>
            </c:strRef>
          </c:cat>
          <c:val>
            <c:numRef>
              <c:f>'数据与来源'!$C$34:$C$38</c:f>
              <c:numCache>
                <c:formatCode>#,##0.000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利润、经营现金流与自由现金流（十亿元）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归母净利润</c:v>
          </c:tx>
          <c:marker>
            <c:symbol val="none"/>
          </c:marker>
          <c:cat>
            <c:strRef>
              <c:f>'数据与来源'!$A$34:$A$38</c:f>
              <c:strCache>
                <c:ptCount val="0"/>
              </c:strCache>
            </c:strRef>
          </c:cat>
          <c:val>
            <c:numRef>
              <c:f>'数据与来源'!$C$34:$C$38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经营现金流</c:v>
          </c:tx>
          <c:marker>
            <c:symbol val="none"/>
          </c:marker>
          <c:cat>
            <c:strRef>
              <c:f>'数据与来源'!$A$34:$A$38</c:f>
              <c:strCache>
                <c:ptCount val="0"/>
              </c:strCache>
            </c:strRef>
          </c:cat>
          <c:val>
            <c:numRef>
              <c:f>'数据与来源'!$E$34:$E$38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自由现金流</c:v>
          </c:tx>
          <c:marker>
            <c:symbol val="none"/>
          </c:marker>
          <c:cat>
            <c:strRef>
              <c:f>'数据与来源'!$A$34:$A$38</c:f>
              <c:strCache>
                <c:ptCount val="0"/>
              </c:strCache>
            </c:strRef>
          </c:cat>
          <c:val>
            <c:numRef>
              <c:f>'数据与来源'!$M$34:$M$38</c:f>
              <c:numCache>
                <c:formatCode>#,##0.000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年度DPS（元/股，重组前口径）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DPS</c:v>
          </c:tx>
          <c:spPr>
            <a:solidFill xmlns:a="http://schemas.openxmlformats.org/drawingml/2006/main">
              <a:srgbClr val="5B9BD5"/>
            </a:solidFill>
          </c:spPr>
          <c:invertIfNegative val="0"/>
          <c:cat>
            <c:strRef>
              <c:f>'数据与来源'!$A$34:$A$38</c:f>
              <c:strCache>
                <c:ptCount val="0"/>
              </c:strCache>
            </c:strRef>
          </c:cat>
          <c:val>
            <c:numRef>
              <c:f>'数据与来源'!$J$34:$J$38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基准估值与当前价格（元/股）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基准值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'估值系统'!$M$30:$M$34</c:f>
              <c:strCache>
                <c:ptCount val="0"/>
              </c:strCache>
            </c:strRef>
          </c:cat>
          <c:val>
            <c:numRef>
              <c:f>'估值系统'!$N$30:$N$34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12596346ad42fa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b40dec09c947e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a2374f18bf4f6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c5da28436d4285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780662cce847ff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e20fe6381243c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4eb527ef624c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3849db46cb4b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7a6eef6ec304f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a95617f57b847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95868f2d780404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3" hidden="0" customWidth="1"/>
    <x:col min="12" max="12" width="13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电投能源一图流</x:v>
      </x:c>
      <x:c r="B2" s="4" t="str">
        <x:v>电投能源一图流</x:v>
      </x:c>
      <x:c r="C2" s="4" t="str">
        <x:v>电投能源一图流</x:v>
      </x:c>
      <x:c r="D2" s="4" t="str">
        <x:v>电投能源一图流</x:v>
      </x:c>
      <x:c r="E2" s="4" t="str">
        <x:v>电投能源一图流</x:v>
      </x:c>
      <x:c r="F2" s="4" t="str">
        <x:v>电投能源一图流</x:v>
      </x:c>
      <x:c r="G2" s="4" t="str">
        <x:v>电投能源一图流</x:v>
      </x:c>
      <x:c r="H2" s="4" t="str">
        <x:v>电投能源一图流</x:v>
      </x:c>
      <x:c r="I2" s="4" t="str">
        <x:v>电投能源一图流</x:v>
      </x:c>
      <x:c r="J2" s="4" t="str">
        <x:v>电投能源一图流</x:v>
      </x:c>
      <x:c r="K2" s="4" t="str">
        <x:v>电投能源一图流</x:v>
      </x:c>
      <x:c r="L2" s="4" t="str">
        <x:v>电投能源一图流</x:v>
      </x:c>
      <x:c r="M2" s="4" t="str">
        <x:v>电投能源一图流</x:v>
      </x:c>
      <x:c r="N2" s="4" t="str">
        <x:v>电投能源一图流</x:v>
      </x:c>
      <x:c r="O2" s="4" t="str">
        <x:v>电投能源一图流</x:v>
      </x:c>
    </x:row>
    <x:row r="3">
      <x:c r="A3" s="6" t="str">
        <x:v>002128.SZ；巴菲特框架；研究截止2026-10-21；最新财务2026H1；股价2026-10-20</x:v>
      </x:c>
      <x:c r="B3" s="6" t="str">
        <x:v>002128.SZ；巴菲特框架；研究截止2026-10-21；最新财务2026H1；股价2026-10-20</x:v>
      </x:c>
      <x:c r="C3" s="6" t="str">
        <x:v>002128.SZ；巴菲特框架；研究截止2026-10-21；最新财务2026H1；股价2026-10-20</x:v>
      </x:c>
      <x:c r="D3" s="6" t="str">
        <x:v>002128.SZ；巴菲特框架；研究截止2026-10-21；最新财务2026H1；股价2026-10-20</x:v>
      </x:c>
      <x:c r="E3" s="6" t="str">
        <x:v>002128.SZ；巴菲特框架；研究截止2026-10-21；最新财务2026H1；股价2026-10-20</x:v>
      </x:c>
      <x:c r="F3" s="6" t="str">
        <x:v>002128.SZ；巴菲特框架；研究截止2026-10-21；最新财务2026H1；股价2026-10-20</x:v>
      </x:c>
      <x:c r="G3" s="6" t="str">
        <x:v>002128.SZ；巴菲特框架；研究截止2026-10-21；最新财务2026H1；股价2026-10-20</x:v>
      </x:c>
      <x:c r="H3" s="6" t="str">
        <x:v>002128.SZ；巴菲特框架；研究截止2026-10-21；最新财务2026H1；股价2026-10-20</x:v>
      </x:c>
      <x:c r="I3" s="6" t="str">
        <x:v>002128.SZ；巴菲特框架；研究截止2026-10-21；最新财务2026H1；股价2026-10-20</x:v>
      </x:c>
      <x:c r="J3" s="6" t="str">
        <x:v>002128.SZ；巴菲特框架；研究截止2026-10-21；最新财务2026H1；股价2026-10-20</x:v>
      </x:c>
      <x:c r="K3" s="6" t="str">
        <x:v>002128.SZ；巴菲特框架；研究截止2026-10-21；最新财务2026H1；股价2026-10-20</x:v>
      </x:c>
      <x:c r="L3" s="6" t="str">
        <x:v>002128.SZ；巴菲特框架；研究截止2026-10-21；最新财务2026H1；股价2026-10-20</x:v>
      </x:c>
      <x:c r="M3" s="6" t="str">
        <x:v>002128.SZ；巴菲特框架；研究截止2026-10-21；最新财务2026H1；股价2026-10-20</x:v>
      </x:c>
      <x:c r="N3" s="6" t="str">
        <x:v>002128.SZ；巴菲特框架；研究截止2026-10-21；最新财务2026H1；股价2026-10-20</x:v>
      </x:c>
      <x:c r="O3" s="6" t="str">
        <x:v>002128.SZ；巴菲特框架；研究截止2026-10-21；最新财务2026H1；股价2026-10-20</x:v>
      </x:c>
    </x:row>
    <x:row r="4">
      <x:c r="A4" s="39" t="str">
        <x:v>情景选择</x:v>
      </x:c>
      <x:c r="B4" s="39"/>
      <x:c r="C4" s="109" t="str">
        <x:f>'估值系统'!C5</x:f>
        <x:v>基准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80" t="str">
        <x:v>当前价格</x:v>
      </x:c>
      <x:c r="B5" s="80"/>
      <x:c r="C5" s="80"/>
      <x:c r="D5" s="80" t="str">
        <x:v>基准价值区间</x:v>
      </x:c>
      <x:c r="E5" s="80"/>
      <x:c r="F5" s="80"/>
      <x:c r="G5" s="80" t="str">
        <x:v>估值位置</x:v>
      </x:c>
      <x:c r="H5" s="80"/>
      <x:c r="I5" s="80"/>
      <x:c r="J5" s="80" t="str">
        <x:v>重组后股息率口径</x:v>
      </x:c>
      <x:c r="K5" s="80"/>
      <x:c r="L5" s="80"/>
      <x:c r="M5" s="80" t="str">
        <x:v>结论</x:v>
      </x:c>
      <x:c r="N5" s="80"/>
      <x:c r="O5" s="80"/>
    </x:row>
    <x:row r="6" ht="32" customHeight="1">
      <x:c r="A6" s="112" t="n">
        <x:f>'数据与来源'!B10</x:f>
        <x:v>27.96</x:v>
      </x:c>
      <x:c r="B6" s="2"/>
      <x:c r="C6" s="2"/>
      <x:c r="D6" s="115" t="n">
        <x:f>'估值系统'!G22</x:f>
        <x:v>24.297070373178375</x:v>
      </x:c>
      <x:c r="E6" s="115" t="str">
        <x:v>至</x:v>
      </x:c>
      <x:c r="F6" s="115" t="n">
        <x:f>'估值系统'!G23</x:f>
        <x:v>28.715316256967913</x:v>
      </x:c>
      <x:c r="G6" s="119" t="str">
        <x:f>IF($A$6&lt;'估值系统'!$G$22,"低于基准区间",IF($A$6&lt;='估值系统'!$G$23,"基准区间内偏上","高于基准区间"))</x:f>
        <x:v>基准区间内偏上</x:v>
      </x:c>
      <x:c r="H6" s="2"/>
      <x:c r="I6" s="2"/>
      <x:c r="J6" s="122" t="str">
        <x:v>3.3%：2025分红总额摊薄到新股本
4.9%—5.4%：85亿元利润、45%—50%派息假设</x:v>
      </x:c>
      <x:c r="K6" s="2"/>
      <x:c r="L6" s="2"/>
      <x:c r="M6" s="125" t="str">
        <x:v>质量较高的周期价值股；高分有基本面支撑，但当前安全边际不足。</x:v>
      </x:c>
      <x:c r="N6" s="2"/>
      <x:c r="O6" s="2"/>
    </x:row>
    <x:row r="7" ht="32" customHeight="1">
      <x:c r="A7" s="2"/>
      <x:c r="B7" s="2"/>
      <x:c r="C7" s="2"/>
      <x:c r="D7" s="115" t="str">
        <x:v>下沿</x:v>
      </x:c>
      <x:c r="E7" s="115" t="str">
        <x:v>元/股</x:v>
      </x:c>
      <x:c r="F7" s="115" t="str">
        <x:v>上沿</x:v>
      </x:c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12" t="str">
        <x:v>公司全貌</x:v>
      </x:c>
      <x:c r="B9" s="13" t="str">
        <x:v>公司全貌</x:v>
      </x:c>
      <x:c r="C9" s="13" t="str">
        <x:v>公司全貌</x:v>
      </x:c>
      <x:c r="D9" s="13" t="str">
        <x:v>公司全貌</x:v>
      </x:c>
      <x:c r="E9" s="13" t="str">
        <x:v>公司全貌</x:v>
      </x:c>
      <x:c r="F9" s="13" t="str">
        <x:v>公司全貌</x:v>
      </x:c>
      <x:c r="G9" s="13" t="str">
        <x:v>公司全貌</x:v>
      </x:c>
      <x:c r="H9" s="13" t="str">
        <x:v>公司全貌</x:v>
      </x:c>
      <x:c r="I9" s="13" t="str">
        <x:v>公司全貌</x:v>
      </x:c>
      <x:c r="J9" s="13" t="str">
        <x:v>公司全貌</x:v>
      </x:c>
      <x:c r="K9" s="13" t="str">
        <x:v>公司全貌</x:v>
      </x:c>
      <x:c r="L9" s="13" t="str">
        <x:v>公司全貌</x:v>
      </x:c>
      <x:c r="M9" s="13" t="str">
        <x:v>公司全貌</x:v>
      </x:c>
      <x:c r="N9" s="13" t="str">
        <x:v>公司全貌</x:v>
      </x:c>
      <x:c r="O9" s="14" t="str">
        <x:v>公司全貌</x:v>
      </x:c>
    </x:row>
    <x:row r="10" ht="46" customHeight="1">
      <x:c r="A10" s="96" t="str">
        <x:v>商业模式</x:v>
      </x:c>
      <x:c r="B10" s="78" t="str">
        <x:v>煤炭+火电+电解铝+新能源；煤电铝内部协同，但四类产品都缺少自主定价权。</x:v>
      </x:c>
      <x:c r="C10" s="78"/>
      <x:c r="D10" s="78"/>
      <x:c r="E10" s="96" t="str">
        <x:v>护城河</x:v>
      </x:c>
      <x:c r="F10" s="78" t="str">
        <x:v>露天矿资源、成本位置、采矿/铝产能指标、坑口电厂与区域一体化。</x:v>
      </x:c>
      <x:c r="G10" s="78"/>
      <x:c r="H10" s="78"/>
      <x:c r="I10" s="96" t="str">
        <x:v>财务质量</x:v>
      </x:c>
      <x:c r="J10" s="78" t="str">
        <x:v>五年CFO/净利170%，ROE均值16%；但FCF/净利仅40%。</x:v>
      </x:c>
      <x:c r="K10" s="78"/>
      <x:c r="L10" s="78"/>
      <x:c r="M10" s="96" t="str">
        <x:v>最大风险</x:v>
      </x:c>
      <x:c r="N10" s="78" t="str">
        <x:v>铝煤周期反转、并购摊薄、资本开支与新能源电价。</x:v>
      </x:c>
      <x:c r="O10" s="78"/>
    </x:row>
    <x:row r="11" ht="46" customHeight="1">
      <x:c r="A11" s="96" t="str">
        <x:v>经营规模</x:v>
      </x:c>
      <x:c r="B11" s="78" t="str">
        <x:v>煤炭63Mt/年；电解铝1.615Mt/年；新能源7.384GW。</x:v>
      </x:c>
      <x:c r="C11" s="78"/>
      <x:c r="D11" s="78"/>
      <x:c r="E11" s="96" t="str">
        <x:v>重组变化</x:v>
      </x:c>
      <x:c r="F11" s="78" t="str">
        <x:v>白音华新增15Mt煤、0.405Mt铝及火电绿电；总股本+39.5%。</x:v>
      </x:c>
      <x:c r="G11" s="78"/>
      <x:c r="H11" s="78"/>
      <x:c r="I11" s="96" t="str">
        <x:v>H1变化</x:v>
      </x:c>
      <x:c r="J11" s="78" t="str">
        <x:v>收入+20.0%，归母净利+49.1%，CFO+52.1%。</x:v>
      </x:c>
      <x:c r="K11" s="78"/>
      <x:c r="L11" s="78"/>
      <x:c r="M11" s="96" t="str">
        <x:v>当前估值</x:v>
      </x:c>
      <x:c r="N11" s="78" t="str">
        <x:v>正常化PE约10.3倍；PB约1.65倍。</x:v>
      </x:c>
      <x:c r="O11" s="78"/>
    </x:row>
    <x:row r="12" ht="46" customHeight="1">
      <x:c r="A12" s="96" t="str">
        <x:v>利润来源</x:v>
      </x:c>
      <x:c r="B12" s="78" t="str">
        <x:v>H1毛利：铝业57.6%、煤炭32.2%、新能源4.6%、火电5.7%。</x:v>
      </x:c>
      <x:c r="C12" s="78"/>
      <x:c r="D12" s="78"/>
      <x:c r="E12" s="96" t="str">
        <x:v>管理层</x:v>
      </x:c>
      <x:c r="F12" s="78" t="str">
        <x:v>分红提升且并购设补偿；关联交易定价与每股增厚仍需验证。</x:v>
      </x:c>
      <x:c r="G12" s="78"/>
      <x:c r="H12" s="78"/>
      <x:c r="I12" s="96" t="str">
        <x:v>分红</x:v>
      </x:c>
      <x:c r="J12" s="78" t="str">
        <x:v>2025 DPS 1.30元基于旧股本，不能直接外推。</x:v>
      </x:c>
      <x:c r="K12" s="78"/>
      <x:c r="L12" s="78"/>
      <x:c r="M12" s="96" t="str">
        <x:v>价格判断</x:v>
      </x:c>
      <x:c r="N12" s="78" t="str">
        <x:v>基准价值24.29—28.72元，现价靠近上沿。</x:v>
      </x:c>
      <x:c r="O12" s="78"/>
    </x:row>
    <x:row r="13" ht="46" customHeight="1">
      <x:c r="A13" s="96" t="str">
        <x:v>能力圈边界</x:v>
      </x:c>
      <x:c r="B13" s="78" t="str">
        <x:v>资源NAV未强算；缺少分矿单位成本、维持性开支与复垦现金流。</x:v>
      </x:c>
      <x:c r="C13" s="78"/>
      <x:c r="D13" s="78"/>
      <x:c r="E13" s="96" t="str">
        <x:v>研究结论</x:v>
      </x:c>
      <x:c r="F13" s="78" t="str">
        <x:v>值得跟踪，不追高；等待价格或正常化利润提供更清楚余地。</x:v>
      </x:c>
      <x:c r="G13" s="78"/>
      <x:c r="H13" s="78"/>
      <x:c r="I13" s="96" t="str">
        <x:v>最重要验证</x:v>
      </x:c>
      <x:c r="J13" s="78" t="str">
        <x:v>2026H2铝毛利、煤炭毛利、标的承诺完成率与新股本DPS。</x:v>
      </x:c>
      <x:c r="K13" s="78"/>
      <x:c r="L13" s="78"/>
      <x:c r="M13" s="96" t="str">
        <x:v>可信度</x:v>
      </x:c>
      <x:c r="N13" s="78" t="str">
        <x:v>中等偏高：财报口径可靠，周期中枢仍需估计。</x:v>
      </x:c>
      <x:c r="O13" s="78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12" t="str">
        <x:v>趋势、估值与风险</x:v>
      </x:c>
      <x:c r="B16" s="13" t="str">
        <x:v>趋势、估值与风险</x:v>
      </x:c>
      <x:c r="C16" s="13" t="str">
        <x:v>趋势、估值与风险</x:v>
      </x:c>
      <x:c r="D16" s="13" t="str">
        <x:v>趋势、估值与风险</x:v>
      </x:c>
      <x:c r="E16" s="13" t="str">
        <x:v>趋势、估值与风险</x:v>
      </x:c>
      <x:c r="F16" s="13" t="str">
        <x:v>趋势、估值与风险</x:v>
      </x:c>
      <x:c r="G16" s="13" t="str">
        <x:v>趋势、估值与风险</x:v>
      </x:c>
      <x:c r="H16" s="13" t="str">
        <x:v>趋势、估值与风险</x:v>
      </x:c>
      <x:c r="I16" s="13" t="str">
        <x:v>趋势、估值与风险</x:v>
      </x:c>
      <x:c r="J16" s="13" t="str">
        <x:v>趋势、估值与风险</x:v>
      </x:c>
      <x:c r="K16" s="13" t="str">
        <x:v>趋势、估值与风险</x:v>
      </x:c>
      <x:c r="L16" s="13" t="str">
        <x:v>趋势、估值与风险</x:v>
      </x:c>
      <x:c r="M16" s="13" t="str">
        <x:v>趋势、估值与风险</x:v>
      </x:c>
      <x:c r="N16" s="13" t="str">
        <x:v>趋势、估值与风险</x:v>
      </x:c>
      <x:c r="O16" s="14" t="str">
        <x:v>趋势、估值与风险</x:v>
      </x:c>
    </x:row>
    <x:row r="17">
      <x:c r="A17" s="21" t="str">
        <x:v>年度</x:v>
      </x:c>
      <x:c r="B17" s="22" t="str">
        <x:v>营业收入</x:v>
      </x:c>
      <x:c r="C17" s="23" t="str">
        <x:v>归母净利润</x:v>
      </x:c>
      <x:c r="D17" s="2"/>
      <x:c r="E17" s="2"/>
      <x:c r="F17" s="2"/>
      <x:c r="G17" s="2"/>
      <x:c r="H17" s="2"/>
      <x:c r="I17" s="2"/>
      <x:c r="J17" s="21" t="str">
        <x:v>方法</x:v>
      </x:c>
      <x:c r="K17" s="22" t="str">
        <x:v>悲观</x:v>
      </x:c>
      <x:c r="L17" s="22" t="str">
        <x:v>基准</x:v>
      </x:c>
      <x:c r="M17" s="22" t="str">
        <x:v>乐观</x:v>
      </x:c>
      <x:c r="N17" s="22" t="str">
        <x:v>现价</x:v>
      </x:c>
      <x:c r="O17" s="23" t="str">
        <x:v>基准安全边际</x:v>
      </x:c>
    </x:row>
    <x:row r="18">
      <x:c r="A18" s="25" t="str">
        <x:v>2021</x:v>
      </x:c>
      <x:c r="B18" s="44" t="n">
        <x:f>'数据与来源'!B34</x:f>
        <x:v>24.67256880235</x:v>
      </x:c>
      <x:c r="C18" s="44" t="n">
        <x:f>'数据与来源'!C34</x:f>
        <x:v>3.58219111624</x:v>
      </x:c>
      <x:c r="D18" s="2"/>
      <x:c r="E18" s="2"/>
      <x:c r="F18" s="2"/>
      <x:c r="G18" s="2"/>
      <x:c r="H18" s="2"/>
      <x:c r="I18" s="2"/>
      <x:c r="J18" s="25" t="str">
        <x:v>正常化PE</x:v>
      </x:c>
      <x:c r="K18" s="31" t="n">
        <x:f>'估值系统'!F11</x:f>
        <x:v>16.63213862408538</x:v>
      </x:c>
      <x:c r="L18" s="51" t="n">
        <x:f>'估值系统'!G11</x:f>
        <x:v>27.18714967398571</x:v>
      </x:c>
      <x:c r="M18" s="31" t="n">
        <x:f>'估值系统'!H11</x:f>
        <x:v>38.62174497804441</x:v>
      </x:c>
      <x:c r="N18" s="31" t="n">
        <x:f>$A$6</x:f>
        <x:v>27.96</x:v>
      </x:c>
      <x:c r="O18" s="30" t="n">
        <x:f>1-$N18/$L18</x:f>
        <x:v>-0.02842704495623538</x:v>
      </x:c>
    </x:row>
    <x:row r="19">
      <x:c r="A19" s="25" t="str">
        <x:v>2022</x:v>
      </x:c>
      <x:c r="B19" s="44" t="n">
        <x:f>'数据与来源'!B35</x:f>
        <x:v>26.79290034399</x:v>
      </x:c>
      <x:c r="C19" s="44" t="n">
        <x:f>'数据与来源'!C35</x:f>
        <x:v>3.98613404693</x:v>
      </x:c>
      <x:c r="D19" s="2"/>
      <x:c r="E19" s="2"/>
      <x:c r="F19" s="2"/>
      <x:c r="G19" s="2"/>
      <x:c r="H19" s="2"/>
      <x:c r="I19" s="2"/>
      <x:c r="J19" s="25" t="str">
        <x:v>所有者收益</x:v>
      </x:c>
      <x:c r="K19" s="31" t="n">
        <x:f>'估值系统'!F15</x:f>
        <x:v>17.446299256033612</x:v>
      </x:c>
      <x:c r="L19" s="51" t="n">
        <x:f>'估值系统'!G15</x:f>
        <x:v>28.715316256967913</x:v>
      </x:c>
      <x:c r="M19" s="31" t="n">
        <x:f>'估值系统'!H15</x:f>
        <x:v>44.276215183348164</x:v>
      </x:c>
      <x:c r="N19" s="31" t="n">
        <x:f>$A$6</x:f>
        <x:v>27.96</x:v>
      </x:c>
      <x:c r="O19" s="30" t="n">
        <x:f>1-$N19/$L19</x:f>
        <x:v>0.026303602238217816</x:v>
      </x:c>
    </x:row>
    <x:row r="20">
      <x:c r="A20" s="25" t="str">
        <x:v>2023</x:v>
      </x:c>
      <x:c r="B20" s="44" t="n">
        <x:f>'数据与来源'!B36</x:f>
        <x:v>26.84552975625</x:v>
      </x:c>
      <x:c r="C20" s="44" t="n">
        <x:f>'数据与来源'!C36</x:f>
        <x:v>4.55965207929</x:v>
      </x:c>
      <x:c r="D20" s="2"/>
      <x:c r="E20" s="2"/>
      <x:c r="F20" s="2"/>
      <x:c r="G20" s="2"/>
      <x:c r="H20" s="2"/>
      <x:c r="I20" s="2"/>
      <x:c r="J20" s="25" t="str">
        <x:v>PB-ROE</x:v>
      </x:c>
      <x:c r="K20" s="31" t="n">
        <x:f>'估值系统'!F20</x:f>
        <x:v>16.097437928399753</x:v>
      </x:c>
      <x:c r="L20" s="51" t="n">
        <x:f>'估值系统'!G20</x:f>
        <x:v>24.297070373178375</x:v>
      </x:c>
      <x:c r="M20" s="31" t="n">
        <x:f>'估值系统'!H20</x:f>
        <x:v>35.10479732847177</x:v>
      </x:c>
      <x:c r="N20" s="31" t="n">
        <x:f>$A$6</x:f>
        <x:v>27.96</x:v>
      </x:c>
      <x:c r="O20" s="30" t="n">
        <x:f>1-$N20/$L20</x:f>
        <x:v>-0.15075601998770805</x:v>
      </x:c>
    </x:row>
    <x:row r="21">
      <x:c r="A21" s="25" t="str">
        <x:v>2024</x:v>
      </x:c>
      <x:c r="B21" s="44" t="n">
        <x:f>'数据与来源'!B37</x:f>
        <x:v>29.85905154704</x:v>
      </x:c>
      <x:c r="C21" s="44" t="n">
        <x:f>'数据与来源'!C37</x:f>
        <x:v>5.3416133093</x:v>
      </x:c>
      <x:c r="D21" s="2"/>
      <x:c r="E21" s="2"/>
      <x:c r="F21" s="2"/>
      <x:c r="G21" s="2"/>
      <x:c r="H21" s="2"/>
      <x:c r="I21" s="2"/>
      <x:c r="J21" s="25" t="str">
        <x:v>SOTP</x:v>
      </x:c>
      <x:c r="K21" s="31" t="n">
        <x:f>'估值系统'!F21</x:f>
        <x:v>13.193763812375419</x:v>
      </x:c>
      <x:c r="L21" s="51" t="n">
        <x:f>'估值系统'!G21</x:f>
        <x:v>26.899285736261156</x:v>
      </x:c>
      <x:c r="M21" s="31" t="n">
        <x:f>'估值系统'!H21</x:f>
        <x:v>39.693238524019144</x:v>
      </x:c>
      <x:c r="N21" s="31" t="n">
        <x:f>$A$6</x:f>
        <x:v>27.96</x:v>
      </x:c>
      <x:c r="O21" s="30" t="n">
        <x:f>1-$N21/$L21</x:f>
        <x:v>-0.039432804058026294</x:v>
      </x:c>
    </x:row>
    <x:row r="22">
      <x:c r="A22" s="25" t="str">
        <x:v>2025</x:v>
      </x:c>
      <x:c r="B22" s="44" t="n">
        <x:f>'数据与来源'!B38</x:f>
        <x:v>30.11495832731</x:v>
      </x:c>
      <x:c r="C22" s="44" t="n">
        <x:f>'数据与来源'!C38</x:f>
        <x:v>5.41908919976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1" t="str">
        <x:v>方法</x:v>
      </x:c>
      <x:c r="K24" s="23" t="str">
        <x:v>基准值</x:v>
      </x:c>
      <x:c r="L24" s="2"/>
      <x:c r="M24" s="2"/>
      <x:c r="N24" s="2"/>
      <x:c r="O24" s="2"/>
    </x:row>
    <x:row r="25">
      <x:c r="A25" s="21" t="str">
        <x:v>关键监控</x:v>
      </x:c>
      <x:c r="B25" s="22" t="str">
        <x:v>当前</x:v>
      </x:c>
      <x:c r="C25" s="23" t="str">
        <x:v>触发线</x:v>
      </x:c>
      <x:c r="D25" s="2"/>
      <x:c r="E25" s="2"/>
      <x:c r="F25" s="2"/>
      <x:c r="G25" s="2"/>
      <x:c r="H25" s="2"/>
      <x:c r="I25" s="2"/>
      <x:c r="J25" s="25" t="str">
        <x:v>正常化PE</x:v>
      </x:c>
      <x:c r="K25" s="31" t="n">
        <x:f>L18</x:f>
        <x:v>27.18714967398571</x:v>
      </x:c>
      <x:c r="L25" s="2"/>
      <x:c r="M25" s="2"/>
      <x:c r="N25" s="2"/>
      <x:c r="O25" s="2"/>
    </x:row>
    <x:row r="26">
      <x:c r="A26" s="25" t="str">
        <x:v>铝业毛利率</x:v>
      </x:c>
      <x:c r="B26" s="30" t="n">
        <x:f>'生意与护城河'!K24</x:f>
        <x:v>0.39716548295147114</x:v>
      </x:c>
      <x:c r="C26" s="25" t="str">
        <x:v>&lt;25%</x:v>
      </x:c>
      <x:c r="D26" s="2"/>
      <x:c r="E26" s="2"/>
      <x:c r="F26" s="2"/>
      <x:c r="G26" s="2"/>
      <x:c r="H26" s="2"/>
      <x:c r="I26" s="2"/>
      <x:c r="J26" s="25" t="str">
        <x:v>所有者收益</x:v>
      </x:c>
      <x:c r="K26" s="31" t="n">
        <x:f>L19</x:f>
        <x:v>28.715316256967913</x:v>
      </x:c>
      <x:c r="L26" s="2"/>
      <x:c r="M26" s="2"/>
      <x:c r="N26" s="2"/>
      <x:c r="O26" s="2"/>
    </x:row>
    <x:row r="27">
      <x:c r="A27" s="25" t="str">
        <x:v>煤炭毛利率</x:v>
      </x:c>
      <x:c r="B27" s="30" t="n">
        <x:f>'生意与护城河'!K23</x:f>
        <x:v>0.5844746785984831</x:v>
      </x:c>
      <x:c r="C27" s="25" t="str">
        <x:v>&lt;45%</x:v>
      </x:c>
      <x:c r="D27" s="2"/>
      <x:c r="E27" s="2"/>
      <x:c r="F27" s="2"/>
      <x:c r="G27" s="2"/>
      <x:c r="H27" s="2"/>
      <x:c r="I27" s="2"/>
      <x:c r="J27" s="25" t="str">
        <x:v>PB-ROE</x:v>
      </x:c>
      <x:c r="K27" s="31" t="n">
        <x:f>L20</x:f>
        <x:v>24.297070373178375</x:v>
      </x:c>
      <x:c r="L27" s="2"/>
      <x:c r="M27" s="2"/>
      <x:c r="N27" s="2"/>
      <x:c r="O27" s="2"/>
    </x:row>
    <x:row r="28">
      <x:c r="A28" s="25" t="str">
        <x:v>五年FCF/净利</x:v>
      </x:c>
      <x:c r="B28" s="30" t="n">
        <x:f>'财务与分红'!J6</x:f>
        <x:v>0.3962756223363062</x:v>
      </x:c>
      <x:c r="C28" s="25" t="str">
        <x:v>连续2年FCF&lt;0</x:v>
      </x:c>
      <x:c r="D28" s="2"/>
      <x:c r="E28" s="2"/>
      <x:c r="F28" s="2"/>
      <x:c r="G28" s="2"/>
      <x:c r="H28" s="2"/>
      <x:c r="I28" s="2"/>
      <x:c r="J28" s="25" t="str">
        <x:v>SOTP</x:v>
      </x:c>
      <x:c r="K28" s="31" t="n">
        <x:f>L21</x:f>
        <x:v>26.899285736261156</x:v>
      </x:c>
      <x:c r="L28" s="2"/>
      <x:c r="M28" s="2"/>
      <x:c r="N28" s="2"/>
      <x:c r="O28" s="2"/>
    </x:row>
    <x:row r="29">
      <x:c r="A29" s="25" t="str">
        <x:v>重组后股本增幅</x:v>
      </x:c>
      <x:c r="B29" s="30" t="n">
        <x:f>('数据与来源'!B82/'数据与来源'!B81)-1</x:f>
        <x:v>0.3947689325214552</x:v>
      </x:c>
      <x:c r="C29" s="25" t="str">
        <x:v>看每股增厚</x:v>
      </x:c>
      <x:c r="D29" s="2"/>
      <x:c r="E29" s="2"/>
      <x:c r="F29" s="2"/>
      <x:c r="G29" s="2"/>
      <x:c r="H29" s="2"/>
      <x:c r="I29" s="2"/>
      <x:c r="J29" s="25" t="str">
        <x:v>当前价格</x:v>
      </x:c>
      <x:c r="K29" s="31" t="n">
        <x:f>$A$6</x:f>
        <x:v>27.96</x:v>
      </x:c>
      <x:c r="L29" s="2"/>
      <x:c r="M29" s="2"/>
      <x:c r="N29" s="2"/>
      <x:c r="O29" s="2"/>
    </x:row>
    <x:row r="30">
      <x:c r="A30" s="25" t="str">
        <x:v>当前价/基准区间</x:v>
      </x:c>
      <x:c r="B30" s="30" t="n">
        <x:f>'估值系统'!B39</x:f>
        <x:v>0.8290461244497157</x:v>
      </x:c>
      <x:c r="C30" s="25" t="str">
        <x:v>&gt;100%为高于上沿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12" t="str">
        <x:v>决定性风险与条件价格</x:v>
      </x:c>
      <x:c r="B33" s="13" t="str">
        <x:v>决定性风险与条件价格</x:v>
      </x:c>
      <x:c r="C33" s="13" t="str">
        <x:v>决定性风险与条件价格</x:v>
      </x:c>
      <x:c r="D33" s="13" t="str">
        <x:v>决定性风险与条件价格</x:v>
      </x:c>
      <x:c r="E33" s="13" t="str">
        <x:v>决定性风险与条件价格</x:v>
      </x:c>
      <x:c r="F33" s="13" t="str">
        <x:v>决定性风险与条件价格</x:v>
      </x:c>
      <x:c r="G33" s="13" t="str">
        <x:v>决定性风险与条件价格</x:v>
      </x:c>
      <x:c r="H33" s="13" t="str">
        <x:v>决定性风险与条件价格</x:v>
      </x:c>
      <x:c r="I33" s="14" t="str">
        <x:v>决定性风险与条件价格</x:v>
      </x:c>
      <x:c r="J33" s="2"/>
      <x:c r="K33" s="2"/>
      <x:c r="L33" s="2"/>
      <x:c r="M33" s="2"/>
      <x:c r="N33" s="2"/>
      <x:c r="O33" s="2"/>
    </x:row>
    <x:row r="34">
      <x:c r="A34" s="21" t="str">
        <x:v>项目</x:v>
      </x:c>
      <x:c r="B34" s="22" t="str">
        <x:v>当前判断</x:v>
      </x:c>
      <x:c r="C34" s="22"/>
      <x:c r="D34" s="22"/>
      <x:c r="E34" s="22" t="str">
        <x:v>条件</x:v>
      </x:c>
      <x:c r="F34" s="22"/>
      <x:c r="G34" s="22" t="str">
        <x:v>行动</x:v>
      </x:c>
      <x:c r="H34" s="22"/>
      <x:c r="I34" s="23"/>
      <x:c r="J34" s="2"/>
      <x:c r="K34" s="2"/>
      <x:c r="L34" s="2"/>
      <x:c r="M34" s="2"/>
      <x:c r="N34" s="2"/>
      <x:c r="O34" s="2"/>
    </x:row>
    <x:row r="35">
      <x:c r="A35" s="96" t="str">
        <x:v>≤22元</x:v>
      </x:c>
      <x:c r="B35" s="78" t="str">
        <x:v>相对基准价值有较明显折价。</x:v>
      </x:c>
      <x:c r="C35" s="78"/>
      <x:c r="D35" s="78"/>
      <x:c r="E35" s="78" t="str">
        <x:v>基本面未触发红线。</x:v>
      </x:c>
      <x:c r="F35" s="78"/>
      <x:c r="G35" s="78" t="str">
        <x:v>进入重点跟踪区。</x:v>
      </x:c>
      <x:c r="H35" s="78"/>
      <x:c r="I35" s="78"/>
      <x:c r="J35" s="2"/>
      <x:c r="K35" s="2"/>
      <x:c r="L35" s="2"/>
      <x:c r="M35" s="2"/>
      <x:c r="N35" s="2"/>
      <x:c r="O35" s="2"/>
    </x:row>
    <x:row r="36">
      <x:c r="A36" s="96" t="str">
        <x:v>22—25元</x:v>
      </x:c>
      <x:c r="B36" s="78" t="str">
        <x:v>估值较合理，仍需看铝煤周期。</x:v>
      </x:c>
      <x:c r="C36" s="78"/>
      <x:c r="D36" s="78"/>
      <x:c r="E36" s="78" t="str">
        <x:v>正常化利润维持85亿元。</x:v>
      </x:c>
      <x:c r="F36" s="78"/>
      <x:c r="G36" s="78" t="str">
        <x:v>分批验证，不以旧DPS决策。</x:v>
      </x:c>
      <x:c r="H36" s="78"/>
      <x:c r="I36" s="78"/>
      <x:c r="J36" s="2"/>
      <x:c r="K36" s="2"/>
      <x:c r="L36" s="2"/>
      <x:c r="M36" s="2"/>
      <x:c r="N36" s="2"/>
      <x:c r="O36" s="2"/>
    </x:row>
    <x:row r="37">
      <x:c r="A37" s="96" t="str">
        <x:v>25—29元</x:v>
      </x:c>
      <x:c r="B37" s="78" t="str">
        <x:v>基准价值区间。</x:v>
      </x:c>
      <x:c r="C37" s="78"/>
      <x:c r="D37" s="78"/>
      <x:c r="E37" s="78" t="str">
        <x:v>需要13%左右可持续ROE。</x:v>
      </x:c>
      <x:c r="F37" s="78"/>
      <x:c r="G37" s="78" t="str">
        <x:v>以业绩兑现为主。</x:v>
      </x:c>
      <x:c r="H37" s="78"/>
      <x:c r="I37" s="78"/>
      <x:c r="J37" s="128" t="str">
        <x:v>一句话：公司好于一般资源股，但当前价格已反映大部分优势；真正的买点应来自周期与价格同时留出余地。</x:v>
      </x:c>
      <x:c r="K37" s="2"/>
      <x:c r="L37" s="2"/>
      <x:c r="M37" s="2"/>
      <x:c r="N37" s="2"/>
      <x:c r="O37" s="2"/>
    </x:row>
    <x:row r="38">
      <x:c r="A38" s="96" t="str">
        <x:v>&gt;29元</x:v>
      </x:c>
      <x:c r="B38" s="78" t="str">
        <x:v>高于基准上沿。</x:v>
      </x:c>
      <x:c r="C38" s="78"/>
      <x:c r="D38" s="78"/>
      <x:c r="E38" s="78" t="str">
        <x:v>需要利润上修或更低资本成本。</x:v>
      </x:c>
      <x:c r="F38" s="78"/>
      <x:c r="G38" s="78" t="str">
        <x:v>重新评估安全边际。</x:v>
      </x:c>
      <x:c r="H38" s="78"/>
      <x:c r="I38" s="78"/>
      <x:c r="J38" s="2"/>
      <x:c r="K38" s="2"/>
      <x:c r="L38" s="2"/>
      <x:c r="M38" s="2"/>
      <x:c r="N38" s="2"/>
      <x:c r="O38" s="2"/>
    </x:row>
    <x:row r="39">
      <x:c r="A39" s="107" t="str">
        <x:v>永久损失</x:v>
      </x:c>
      <x:c r="B39" s="99" t="str">
        <x:v>周期高点误判、关联资本配置失误、转型压低长期回报。</x:v>
      </x:c>
      <x:c r="C39" s="99"/>
      <x:c r="D39" s="99"/>
      <x:c r="E39" s="99" t="str">
        <x:v>三条任一结构性恶化。</x:v>
      </x:c>
      <x:c r="F39" s="99"/>
      <x:c r="G39" s="99" t="str">
        <x:v>先验证事实，再谈便宜。</x:v>
      </x:c>
      <x:c r="H39" s="99"/>
      <x:c r="I39" s="99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131" t="str">
        <x:v>事实、计算、假设、判断已分开；估值参数可在“估值系统”编辑；来源见“数据与来源”。本文件不构成收益保证。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</x:sheetData>
  <x:mergeCells>
    <x:mergeCell ref="A2:O2"/>
    <x:mergeCell ref="A3:O3"/>
    <x:mergeCell ref="A6:C7"/>
    <x:mergeCell ref="G6:I7"/>
    <x:mergeCell ref="J6:L7"/>
    <x:mergeCell ref="M6:O7"/>
    <x:mergeCell ref="A9:O9"/>
    <x:mergeCell ref="B10:D10"/>
    <x:mergeCell ref="F10:H10"/>
    <x:mergeCell ref="J10:L10"/>
    <x:mergeCell ref="N10:O10"/>
    <x:mergeCell ref="B11:D11"/>
    <x:mergeCell ref="F11:H11"/>
    <x:mergeCell ref="J11:L11"/>
    <x:mergeCell ref="N11:O11"/>
    <x:mergeCell ref="B12:D12"/>
    <x:mergeCell ref="F12:H12"/>
    <x:mergeCell ref="J12:L12"/>
    <x:mergeCell ref="N12:O12"/>
    <x:mergeCell ref="B13:D13"/>
    <x:mergeCell ref="F13:H13"/>
    <x:mergeCell ref="J13:L13"/>
    <x:mergeCell ref="N13:O13"/>
    <x:mergeCell ref="A16:O16"/>
    <x:mergeCell ref="A33:I33"/>
    <x:mergeCell ref="B35:D35"/>
    <x:mergeCell ref="E35:F35"/>
    <x:mergeCell ref="G35:I35"/>
    <x:mergeCell ref="B36:D36"/>
    <x:mergeCell ref="E36:F36"/>
    <x:mergeCell ref="G36:I36"/>
    <x:mergeCell ref="B37:D37"/>
    <x:mergeCell ref="E37:F37"/>
    <x:mergeCell ref="G37:I37"/>
    <x:mergeCell ref="B38:D38"/>
    <x:mergeCell ref="E38:F38"/>
    <x:mergeCell ref="G38:I38"/>
    <x:mergeCell ref="B39:D39"/>
    <x:mergeCell ref="E39:F39"/>
    <x:mergeCell ref="G39:I39"/>
    <x:mergeCell ref="J37:O39"/>
    <x:mergeCell ref="A41:O41"/>
  </x:mergeCells>
  <x:pageMargins left="0.7" right="0.7" top="0.75" bottom="0.75" header="0.3" footer="0.3"/>
  <x:drawing xmlns:r="http://schemas.openxmlformats.org/officeDocument/2006/relationships" r:id="R6a3849db46cb4bd5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11" hidden="0" customWidth="1"/>
    <x:col min="4" max="4" width="36" hidden="0" customWidth="1"/>
    <x:col min="5" max="5" width="36" hidden="0" customWidth="1"/>
    <x:col min="6" max="6" width="24" hidden="0" customWidth="1"/>
    <x:col min="7" max="7" width="18" hidden="0" customWidth="1"/>
    <x:col min="8" max="8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4" t="str">
        <x:v>巴菲特八问</x:v>
      </x:c>
      <x:c r="B2" s="4" t="str">
        <x:v>巴菲特八问</x:v>
      </x:c>
      <x:c r="C2" s="4" t="str">
        <x:v>巴菲特八问</x:v>
      </x:c>
      <x:c r="D2" s="4" t="str">
        <x:v>巴菲特八问</x:v>
      </x:c>
      <x:c r="E2" s="4" t="str">
        <x:v>巴菲特八问</x:v>
      </x:c>
      <x:c r="F2" s="4" t="str">
        <x:v>巴菲特八问</x:v>
      </x:c>
      <x:c r="G2" s="4" t="str">
        <x:v>巴菲特八问</x:v>
      </x:c>
      <x:c r="H2" s="4" t="str">
        <x:v>巴菲特八问</x:v>
      </x:c>
    </x:row>
    <x:row r="3">
      <x:c r="A3" s="6" t="str">
        <x:v>结论不是机械打分；未知不当作通过；资源周期股重点看成本、现金与资本配置</x:v>
      </x:c>
      <x:c r="B3" s="6" t="str">
        <x:v>结论不是机械打分；未知不当作通过；资源周期股重点看成本、现金与资本配置</x:v>
      </x:c>
      <x:c r="C3" s="6" t="str">
        <x:v>结论不是机械打分；未知不当作通过；资源周期股重点看成本、现金与资本配置</x:v>
      </x:c>
      <x:c r="D3" s="6" t="str">
        <x:v>结论不是机械打分；未知不当作通过；资源周期股重点看成本、现金与资本配置</x:v>
      </x:c>
      <x:c r="E3" s="6" t="str">
        <x:v>结论不是机械打分；未知不当作通过；资源周期股重点看成本、现金与资本配置</x:v>
      </x:c>
      <x:c r="F3" s="6" t="str">
        <x:v>结论不是机械打分；未知不当作通过；资源周期股重点看成本、现金与资本配置</x:v>
      </x:c>
      <x:c r="G3" s="6" t="str">
        <x:v>结论不是机械打分；未知不当作通过；资源周期股重点看成本、现金与资本配置</x:v>
      </x:c>
      <x:c r="H3" s="6" t="str">
        <x:v>结论不是机械打分；未知不当作通过；资源周期股重点看成本、现金与资本配置</x:v>
      </x:c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1" t="str">
        <x:v>序号</x:v>
      </x:c>
      <x:c r="B5" s="22" t="str">
        <x:v>问题</x:v>
      </x:c>
      <x:c r="C5" s="22" t="str">
        <x:v>结论</x:v>
      </x:c>
      <x:c r="D5" s="22" t="str">
        <x:v>事实/计算</x:v>
      </x:c>
      <x:c r="E5" s="22" t="str">
        <x:v>反证与不确定性</x:v>
      </x:c>
      <x:c r="F5" s="22" t="str">
        <x:v>监控指标</x:v>
      </x:c>
      <x:c r="G5" s="22" t="str">
        <x:v>当前值</x:v>
      </x:c>
      <x:c r="H5" s="23" t="str">
        <x:v>触发条件</x:v>
      </x:c>
    </x:row>
    <x:row r="6" ht="48" customHeight="1">
      <x:c r="A6" s="25" t="n">
        <x:v>1</x:v>
      </x:c>
      <x:c r="B6" s="25" t="str">
        <x:v>能解释怎么赚钱吗？</x:v>
      </x:c>
      <x:c r="C6" s="102" t="str">
        <x:v>通过</x:v>
      </x:c>
      <x:c r="D6" s="78" t="str">
        <x:v>煤炭、火电、电解铝、新能源四块，煤电铝内部协同清晰。</x:v>
      </x:c>
      <x:c r="E6" s="78" t="str">
        <x:v>分部间交易与少数股东使归母利润桥接更复杂。</x:v>
      </x:c>
      <x:c r="F6" s="78" t="str">
        <x:v>分部毛利/少数股东占比</x:v>
      </x:c>
      <x:c r="G6" s="97" t="n">
        <x:f>'财务与分红'!B51</x:f>
        <x:v>0.1748021878748133</x:v>
      </x:c>
      <x:c r="H6" s="78" t="str">
        <x:v>少数股东占比&gt;25%</x:v>
      </x:c>
    </x:row>
    <x:row r="7" ht="48" customHeight="1">
      <x:c r="A7" s="25" t="n">
        <x:v>2</x:v>
      </x:c>
      <x:c r="B7" s="25" t="str">
        <x:v>十年后仍有需求吗？</x:v>
      </x:c>
      <x:c r="C7" s="103" t="str">
        <x:v>存疑</x:v>
      </x:c>
      <x:c r="D7" s="78" t="str">
        <x:v>电力和铝长期有需求；煤炭仍承担保供与调峰。</x:v>
      </x:c>
      <x:c r="E7" s="78" t="str">
        <x:v>煤炭与火电长期份额承压，碳成本和新能源替代加快。</x:v>
      </x:c>
      <x:c r="F7" s="78" t="str">
        <x:v>煤炭销量/火电利用小时</x:v>
      </x:c>
      <x:c r="G7" s="78" t="str">
        <x:v>H1煤销量+9.6%</x:v>
      </x:c>
      <x:c r="H7" s="78" t="str">
        <x:v>连续2年销量-5%</x:v>
      </x:c>
    </x:row>
    <x:row r="8" ht="48" customHeight="1">
      <x:c r="A8" s="25" t="n">
        <x:v>3</x:v>
      </x:c>
      <x:c r="B8" s="25" t="str">
        <x:v>对手难复制什么？</x:v>
      </x:c>
      <x:c r="C8" s="102" t="str">
        <x:v>通过</x:v>
      </x:c>
      <x:c r="D8" s="78" t="str">
        <x:v>露天矿资源、采矿权、铝产能指标、坑口电厂和区域一体化集群。</x:v>
      </x:c>
      <x:c r="E8" s="78" t="str">
        <x:v>护城河是成本与牌照，不是品牌；央企同业仍可获得资源。</x:v>
      </x:c>
      <x:c r="F8" s="78" t="str">
        <x:v>煤炭成本与分部毛利率</x:v>
      </x:c>
      <x:c r="G8" s="97" t="n">
        <x:f>'生意与护城河'!K23</x:f>
        <x:v>0.5844746785984831</x:v>
      </x:c>
      <x:c r="H8" s="78" t="str">
        <x:v>煤炭毛利&lt;45%</x:v>
      </x:c>
    </x:row>
    <x:row r="9" ht="48" customHeight="1">
      <x:c r="A9" s="25" t="n">
        <x:v>4</x:v>
      </x:c>
      <x:c r="B9" s="25" t="str">
        <x:v>有定价或成本优势吗？</x:v>
      </x:c>
      <x:c r="C9" s="103" t="str">
        <x:v>存疑</x:v>
      </x:c>
      <x:c r="D9" s="78" t="str">
        <x:v>没有产品定价权，但资源位置与一体化形成成本优势。</x:v>
      </x:c>
      <x:c r="E9" s="78" t="str">
        <x:v>铝价、煤价、电价都由市场或政策决定。</x:v>
      </x:c>
      <x:c r="F9" s="78" t="str">
        <x:v>铝/煤毛利率</x:v>
      </x:c>
      <x:c r="G9" s="97" t="n">
        <x:f>'生意与护城河'!K24</x:f>
        <x:v>0.39716548295147114</x:v>
      </x:c>
      <x:c r="H9" s="78" t="str">
        <x:v>铝&lt;25%或煤&lt;45%</x:v>
      </x:c>
    </x:row>
    <x:row r="10" ht="48" customHeight="1">
      <x:c r="A10" s="25" t="n">
        <x:v>5</x:v>
      </x:c>
      <x:c r="B10" s="25" t="str">
        <x:v>利润能变现金吗？</x:v>
      </x:c>
      <x:c r="C10" s="102" t="str">
        <x:v>通过</x:v>
      </x:c>
      <x:c r="D10" s="78" t="str">
        <x:v>五年累计经营现金流/归母净利润约170%。</x:v>
      </x:c>
      <x:c r="E10" s="78" t="str">
        <x:v>五年累计FCF/归母净利润仅约40%，资本开支吞噬现金。</x:v>
      </x:c>
      <x:c r="F10" s="78" t="str">
        <x:v>累计FCF/利润</x:v>
      </x:c>
      <x:c r="G10" s="97" t="n">
        <x:f>'财务与分红'!J6</x:f>
        <x:v>0.3962756223363062</x:v>
      </x:c>
      <x:c r="H10" s="78" t="str">
        <x:v>连续2年FCF&lt;0</x:v>
      </x:c>
    </x:row>
    <x:row r="11" ht="48" customHeight="1">
      <x:c r="A11" s="25" t="n">
        <x:v>6</x:v>
      </x:c>
      <x:c r="B11" s="25" t="str">
        <x:v>压力情景能存活吗？</x:v>
      </x:c>
      <x:c r="C11" s="103" t="str">
        <x:v>通过</x:v>
      </x:c>
      <x:c r="D11" s="78" t="str">
        <x:v>H1利息保障倍数高，广义净债务相对盈利规模可控。</x:v>
      </x:c>
      <x:c r="E11" s="78" t="str">
        <x:v>多板块同跌时，分红与项目投资可能被迫收缩。</x:v>
      </x:c>
      <x:c r="F11" s="78" t="str">
        <x:v>净债务/利息保障</x:v>
      </x:c>
      <x:c r="G11" s="100" t="n">
        <x:f>'财务与分红'!B49</x:f>
        <x:v>4.393021240672814</x:v>
      </x:c>
      <x:c r="H11" s="78" t="str">
        <x:v>利息保障&lt;5倍</x:v>
      </x:c>
    </x:row>
    <x:row r="12" ht="48" customHeight="1">
      <x:c r="A12" s="25" t="n">
        <x:v>7</x:v>
      </x:c>
      <x:c r="B12" s="25" t="str">
        <x:v>管理层可信吗？</x:v>
      </x:c>
      <x:c r="C12" s="102" t="str">
        <x:v>存疑</x:v>
      </x:c>
      <x:c r="D12" s="78" t="str">
        <x:v>审计意见标准；分红提升；重大重组设业绩补偿。</x:v>
      </x:c>
      <x:c r="E12" s="78" t="str">
        <x:v>关联收购评估增值46%，控股集团持股集中，需盯每股价值。</x:v>
      </x:c>
      <x:c r="F12" s="78" t="str">
        <x:v>并购承诺/关联交易/ROIC</x:v>
      </x:c>
      <x:c r="G12" s="78" t="str">
        <x:v>无诚信一票否决证据</x:v>
      </x:c>
      <x:c r="H12" s="78" t="str">
        <x:v>承诺未完成或再度高溢价注入</x:v>
      </x:c>
    </x:row>
    <x:row r="13" ht="48" customHeight="1">
      <x:c r="A13" s="25" t="n">
        <x:v>8</x:v>
      </x:c>
      <x:c r="B13" s="25" t="str">
        <x:v>价格有余地吗？</x:v>
      </x:c>
      <x:c r="C13" s="103" t="str">
        <x:v>存疑</x:v>
      </x:c>
      <x:c r="D13" s="78" t="str">
        <x:v>当前27.96元在基准24.29-28.72元区间内。</x:v>
      </x:c>
      <x:c r="E13" s="78" t="str">
        <x:v>铝业H1毛利率处高位，价格未留出明显周期安全边际。</x:v>
      </x:c>
      <x:c r="F13" s="78" t="str">
        <x:v>正常化利润/当前PB隐含ROE</x:v>
      </x:c>
      <x:c r="G13" s="97" t="n">
        <x:f>'估值系统'!B39</x:f>
        <x:v>0.8290461244497157</x:v>
      </x:c>
      <x:c r="H13" s="78" t="str">
        <x:v>价格&gt;基准上沿或利润&lt;65亿元</x:v>
      </x:c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12" t="str">
        <x:v>总判断</x:v>
      </x:c>
      <x:c r="B16" s="13" t="str">
        <x:v>总判断</x:v>
      </x:c>
      <x:c r="C16" s="13" t="str">
        <x:v>总判断</x:v>
      </x:c>
      <x:c r="D16" s="13" t="str">
        <x:v>总判断</x:v>
      </x:c>
      <x:c r="E16" s="13" t="str">
        <x:v>总判断</x:v>
      </x:c>
      <x:c r="F16" s="13" t="str">
        <x:v>总判断</x:v>
      </x:c>
      <x:c r="G16" s="13" t="str">
        <x:v>总判断</x:v>
      </x:c>
      <x:c r="H16" s="14" t="str">
        <x:v>总判断</x:v>
      </x:c>
    </x:row>
    <x:row r="17" ht="34" customHeight="1">
      <x:c r="A17" s="104" t="str">
        <x:v>公司质量</x:v>
      </x:c>
      <x:c r="B17" s="78" t="str">
        <x:v>高于一般周期股：低成本煤矿与煤电铝一体化是真优势；但没有品牌定价权，资本开支高。</x:v>
      </x:c>
      <x:c r="C17" s="78"/>
      <x:c r="D17" s="78"/>
      <x:c r="E17" s="78"/>
      <x:c r="F17" s="78"/>
      <x:c r="G17" s="78"/>
      <x:c r="H17" s="78"/>
    </x:row>
    <x:row r="18" ht="34" customHeight="1">
      <x:c r="A18" s="104" t="str">
        <x:v>价格判断</x:v>
      </x:c>
      <x:c r="B18" s="78" t="str">
        <x:v>当前接近基准区间上沿。若没有更高的中周期利润假设，安全边际不足。</x:v>
      </x:c>
      <x:c r="C18" s="78"/>
      <x:c r="D18" s="78"/>
      <x:c r="E18" s="78"/>
      <x:c r="F18" s="78"/>
      <x:c r="G18" s="78"/>
      <x:c r="H18" s="78"/>
    </x:row>
    <x:row r="19" ht="34" customHeight="1">
      <x:c r="A19" s="104" t="str">
        <x:v>最关键变量</x:v>
      </x:c>
      <x:c r="B19" s="78" t="str">
        <x:v>铝价—氧化铝价差、煤炭毛利率、并购后每股利润/分红、区域新能源实现电价。</x:v>
      </x:c>
      <x:c r="C19" s="78"/>
      <x:c r="D19" s="78"/>
      <x:c r="E19" s="78"/>
      <x:c r="F19" s="78"/>
      <x:c r="G19" s="78"/>
      <x:c r="H19" s="78"/>
    </x:row>
    <x:row r="20" ht="34" customHeight="1">
      <x:c r="A20" s="105" t="str">
        <x:v>结论</x:v>
      </x:c>
      <x:c r="B20" s="98" t="str">
        <x:v>值得持续跟踪；不宜把量化高分直接等同于低估。更适合在周期与价格同时留出余地时配置。</x:v>
      </x:c>
      <x:c r="C20" s="98"/>
      <x:c r="D20" s="98"/>
      <x:c r="E20" s="98"/>
      <x:c r="F20" s="98"/>
      <x:c r="G20" s="98"/>
      <x:c r="H20" s="98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</x:sheetData>
  <x:mergeCells>
    <x:mergeCell ref="A2:H2"/>
    <x:mergeCell ref="A3:H3"/>
    <x:mergeCell ref="A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2" hidden="0" customWidth="1"/>
    <x:col min="5" max="5" width="15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6" hidden="0" customWidth="1"/>
    <x:col min="14" max="1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4" t="str">
        <x:v>生意、护城河与资本配置</x:v>
      </x:c>
      <x:c r="B2" s="4" t="str">
        <x:v>生意、护城河与资本配置</x:v>
      </x:c>
      <x:c r="C2" s="4" t="str">
        <x:v>生意、护城河与资本配置</x:v>
      </x:c>
      <x:c r="D2" s="4" t="str">
        <x:v>生意、护城河与资本配置</x:v>
      </x:c>
      <x:c r="E2" s="4" t="str">
        <x:v>生意、护城河与资本配置</x:v>
      </x:c>
      <x:c r="F2" s="4" t="str">
        <x:v>生意、护城河与资本配置</x:v>
      </x:c>
      <x:c r="G2" s="4" t="str">
        <x:v>生意、护城河与资本配置</x:v>
      </x:c>
      <x:c r="H2" s="4" t="str">
        <x:v>生意、护城河与资本配置</x:v>
      </x:c>
      <x:c r="I2" s="4" t="str">
        <x:v>生意、护城河与资本配置</x:v>
      </x:c>
      <x:c r="J2" s="4" t="str">
        <x:v>生意、护城河与资本配置</x:v>
      </x:c>
      <x:c r="K2" s="4" t="str">
        <x:v>生意、护城河与资本配置</x:v>
      </x:c>
      <x:c r="L2" s="4" t="str">
        <x:v>生意、护城河与资本配置</x:v>
      </x:c>
      <x:c r="M2" s="4" t="str">
        <x:v>生意、护城河与资本配置</x:v>
      </x:c>
      <x:c r="N2" s="4" t="str">
        <x:v>生意、护城河与资本配置</x:v>
      </x:c>
    </x:row>
    <x:row r="3">
      <x:c r="A3" s="6" t="str">
        <x:v>核心不是品牌定价权，而是资源禀赋、成本位置、牌照产能与煤电铝一体化</x:v>
      </x:c>
      <x:c r="B3" s="6" t="str">
        <x:v>核心不是品牌定价权，而是资源禀赋、成本位置、牌照产能与煤电铝一体化</x:v>
      </x:c>
      <x:c r="C3" s="6" t="str">
        <x:v>核心不是品牌定价权，而是资源禀赋、成本位置、牌照产能与煤电铝一体化</x:v>
      </x:c>
      <x:c r="D3" s="6" t="str">
        <x:v>核心不是品牌定价权，而是资源禀赋、成本位置、牌照产能与煤电铝一体化</x:v>
      </x:c>
      <x:c r="E3" s="6" t="str">
        <x:v>核心不是品牌定价权，而是资源禀赋、成本位置、牌照产能与煤电铝一体化</x:v>
      </x:c>
      <x:c r="F3" s="6" t="str">
        <x:v>核心不是品牌定价权，而是资源禀赋、成本位置、牌照产能与煤电铝一体化</x:v>
      </x:c>
      <x:c r="G3" s="6" t="str">
        <x:v>核心不是品牌定价权，而是资源禀赋、成本位置、牌照产能与煤电铝一体化</x:v>
      </x:c>
      <x:c r="H3" s="6" t="str">
        <x:v>核心不是品牌定价权，而是资源禀赋、成本位置、牌照产能与煤电铝一体化</x:v>
      </x:c>
      <x:c r="I3" s="6" t="str">
        <x:v>核心不是品牌定价权，而是资源禀赋、成本位置、牌照产能与煤电铝一体化</x:v>
      </x:c>
      <x:c r="J3" s="6" t="str">
        <x:v>核心不是品牌定价权，而是资源禀赋、成本位置、牌照产能与煤电铝一体化</x:v>
      </x:c>
      <x:c r="K3" s="6" t="str">
        <x:v>核心不是品牌定价权，而是资源禀赋、成本位置、牌照产能与煤电铝一体化</x:v>
      </x:c>
      <x:c r="L3" s="6" t="str">
        <x:v>核心不是品牌定价权，而是资源禀赋、成本位置、牌照产能与煤电铝一体化</x:v>
      </x:c>
      <x:c r="M3" s="6" t="str">
        <x:v>核心不是品牌定价权，而是资源禀赋、成本位置、牌照产能与煤电铝一体化</x:v>
      </x:c>
      <x:c r="N3" s="6" t="str">
        <x:v>核心不是品牌定价权，而是资源禀赋、成本位置、牌照产能与煤电铝一体化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12" t="str">
        <x:v>2026H1分部经济性</x:v>
      </x:c>
      <x:c r="B5" s="13" t="str">
        <x:v>2026H1分部经济性</x:v>
      </x:c>
      <x:c r="C5" s="13" t="str">
        <x:v>2026H1分部经济性</x:v>
      </x:c>
      <x:c r="D5" s="13" t="str">
        <x:v>2026H1分部经济性</x:v>
      </x:c>
      <x:c r="E5" s="13" t="str">
        <x:v>2026H1分部经济性</x:v>
      </x:c>
      <x:c r="F5" s="13" t="str">
        <x:v>2026H1分部经济性</x:v>
      </x:c>
      <x:c r="G5" s="14" t="str">
        <x:v>2026H1分部经济性</x:v>
      </x:c>
      <x:c r="H5" s="2"/>
      <x:c r="I5" s="2"/>
      <x:c r="J5" s="2"/>
      <x:c r="K5" s="2"/>
      <x:c r="L5" s="2"/>
      <x:c r="M5" s="2"/>
      <x:c r="N5" s="2"/>
    </x:row>
    <x:row r="6">
      <x:c r="A6" s="21" t="str">
        <x:v>分部</x:v>
      </x:c>
      <x:c r="B6" s="22" t="str">
        <x:v>收入</x:v>
      </x:c>
      <x:c r="C6" s="22" t="str">
        <x:v>成本</x:v>
      </x:c>
      <x:c r="D6" s="22" t="str">
        <x:v>毛利</x:v>
      </x:c>
      <x:c r="E6" s="22" t="str">
        <x:v>毛利率</x:v>
      </x:c>
      <x:c r="F6" s="22" t="str">
        <x:v>收入占比</x:v>
      </x:c>
      <x:c r="G6" s="23" t="str">
        <x:v>毛利占比</x:v>
      </x:c>
      <x:c r="H6" s="2"/>
      <x:c r="I6" s="2"/>
      <x:c r="J6" s="2"/>
      <x:c r="K6" s="2"/>
      <x:c r="L6" s="2"/>
      <x:c r="M6" s="2"/>
      <x:c r="N6" s="2"/>
    </x:row>
    <x:row r="7">
      <x:c r="A7" s="25" t="str">
        <x:v>铝业</x:v>
      </x:c>
      <x:c r="B7" s="45" t="n">
        <x:f>'数据与来源'!B45</x:f>
        <x:v>15.21451877186</x:v>
      </x:c>
      <x:c r="C7" s="45" t="n">
        <x:f>'数据与来源'!C45</x:f>
        <x:v>9.17183707596</x:v>
      </x:c>
      <x:c r="D7" s="44" t="n">
        <x:f>B7-C7</x:f>
        <x:v>6.042681695900001</x:v>
      </x:c>
      <x:c r="E7" s="30" t="n">
        <x:f>D7/B7</x:f>
        <x:v>0.39716548295147114</x:v>
      </x:c>
      <x:c r="F7" s="30" t="n">
        <x:f>B7/SUM($B$7:$B$10)</x:f>
        <x:v>0.6359812659240283</x:v>
      </x:c>
      <x:c r="G7" s="30" t="n">
        <x:f>D7/SUM($D$7:$D$10)</x:f>
        <x:v>0.5756269608545042</x:v>
      </x:c>
      <x:c r="H7" s="2"/>
      <x:c r="I7" s="2"/>
      <x:c r="J7" s="2"/>
      <x:c r="K7" s="2"/>
      <x:c r="L7" s="2"/>
      <x:c r="M7" s="2"/>
      <x:c r="N7" s="2"/>
    </x:row>
    <x:row r="8">
      <x:c r="A8" s="25" t="str">
        <x:v>煤炭</x:v>
      </x:c>
      <x:c r="B8" s="45" t="n">
        <x:f>'数据与来源'!B46</x:f>
        <x:v>5.78408491635</x:v>
      </x:c>
      <x:c r="C8" s="45" t="n">
        <x:f>'数据与来源'!C46</x:f>
        <x:v>2.40343374388</x:v>
      </x:c>
      <x:c r="D8" s="44" t="n">
        <x:f>B8-C8</x:f>
        <x:v>3.3806511724700004</x:v>
      </x:c>
      <x:c r="E8" s="30" t="n">
        <x:f>D8/B8</x:f>
        <x:v>0.5844746785984831</x:v>
      </x:c>
      <x:c r="F8" s="30" t="n">
        <x:f>B8/SUM($B$7:$B$10)</x:f>
        <x:v>0.24178021680948894</x:v>
      </x:c>
      <x:c r="G8" s="30" t="n">
        <x:f>D8/SUM($D$7:$D$10)</x:f>
        <x:v>0.3220414474981352</x:v>
      </x:c>
      <x:c r="H8" s="2"/>
      <x:c r="I8" s="2"/>
      <x:c r="J8" s="2"/>
      <x:c r="K8" s="2"/>
      <x:c r="L8" s="2"/>
      <x:c r="M8" s="2"/>
      <x:c r="N8" s="2"/>
    </x:row>
    <x:row r="9">
      <x:c r="A9" s="25" t="str">
        <x:v>新能源</x:v>
      </x:c>
      <x:c r="B9" s="45" t="n">
        <x:f>'数据与来源'!B47</x:f>
        <x:v>1.00994833176</x:v>
      </x:c>
      <x:c r="C9" s="45" t="n">
        <x:f>'数据与来源'!C47</x:f>
        <x:v>0.53143593008</x:v>
      </x:c>
      <x:c r="D9" s="44" t="n">
        <x:f>B9-C9</x:f>
        <x:v>0.47851240168</x:v>
      </x:c>
      <x:c r="E9" s="30" t="n">
        <x:f>D9/B9</x:f>
        <x:v>0.4737988931038818</x:v>
      </x:c>
      <x:c r="F9" s="30" t="n">
        <x:f>B9/SUM($B$7:$B$10)</x:f>
        <x:v>0.04221679490373142</x:v>
      </x:c>
      <x:c r="G9" s="30" t="n">
        <x:f>D9/SUM($D$7:$D$10)</x:f>
        <x:v>0.04558317868987525</x:v>
      </x:c>
      <x:c r="H9" s="2"/>
      <x:c r="I9" s="2"/>
      <x:c r="J9" s="2"/>
      <x:c r="K9" s="2"/>
      <x:c r="L9" s="2"/>
      <x:c r="M9" s="2"/>
      <x:c r="N9" s="2"/>
    </x:row>
    <x:row r="10">
      <x:c r="A10" s="25" t="str">
        <x:v>火电</x:v>
      </x:c>
      <x:c r="B10" s="45" t="n">
        <x:f>'数据与来源'!B48</x:f>
        <x:v>1.91435198217</x:v>
      </x:c>
      <x:c r="C10" s="45" t="n">
        <x:f>'数据与来源'!C48</x:f>
        <x:v>1.31863180301</x:v>
      </x:c>
      <x:c r="D10" s="44" t="n">
        <x:f>B10-C10</x:f>
        <x:v>0.59572017916</x:v>
      </x:c>
      <x:c r="E10" s="30" t="n">
        <x:f>D10/B10</x:f>
        <x:v>0.3111863360074074</x:v>
      </x:c>
      <x:c r="F10" s="30" t="n">
        <x:f>B10/SUM($B$7:$B$10)</x:f>
        <x:v>0.08002172236275133</x:v>
      </x:c>
      <x:c r="G10" s="30" t="n">
        <x:f>D10/SUM($D$7:$D$10)</x:f>
        <x:v>0.056748412957485415</x:v>
      </x:c>
      <x:c r="H10" s="2"/>
      <x:c r="I10" s="2"/>
      <x:c r="J10" s="2"/>
      <x:c r="K10" s="2"/>
      <x:c r="L10" s="2"/>
      <x:c r="M10" s="2"/>
      <x:c r="N10" s="2"/>
    </x:row>
    <x:row r="11">
      <x:c r="A11" s="79" t="str">
        <x:v>合计</x:v>
      </x:c>
      <x:c r="B11" s="94" t="n">
        <x:f>SUM(B7:B10)</x:f>
        <x:v>23.92290400214</x:v>
      </x:c>
      <x:c r="C11" s="94" t="n">
        <x:f>SUM(C7:C10)</x:f>
        <x:v>13.42533855293</x:v>
      </x:c>
      <x:c r="D11" s="94" t="n">
        <x:f>SUM(D7:D10)</x:f>
        <x:v>10.49756544921</x:v>
      </x:c>
      <x:c r="E11" s="95" t="n">
        <x:f>D11/B11</x:f>
        <x:v>0.43880815841885046</x:v>
      </x:c>
      <x:c r="F11" s="95" t="n">
        <x:v>1</x:v>
      </x:c>
      <x:c r="G11" s="95" t="n">
        <x:v>1</x:v>
      </x:c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12" t="str">
        <x:v>怎么赚钱</x:v>
      </x:c>
      <x:c r="B14" s="13" t="str">
        <x:v>怎么赚钱</x:v>
      </x:c>
      <x:c r="C14" s="13" t="str">
        <x:v>怎么赚钱</x:v>
      </x:c>
      <x:c r="D14" s="13" t="str">
        <x:v>怎么赚钱</x:v>
      </x:c>
      <x:c r="E14" s="13" t="str">
        <x:v>怎么赚钱</x:v>
      </x:c>
      <x:c r="F14" s="13" t="str">
        <x:v>怎么赚钱</x:v>
      </x:c>
      <x:c r="G14" s="13" t="str">
        <x:v>怎么赚钱</x:v>
      </x:c>
      <x:c r="H14" s="13" t="str">
        <x:v>怎么赚钱</x:v>
      </x:c>
      <x:c r="I14" s="13" t="str">
        <x:v>怎么赚钱</x:v>
      </x:c>
      <x:c r="J14" s="13" t="str">
        <x:v>怎么赚钱</x:v>
      </x:c>
      <x:c r="K14" s="13" t="str">
        <x:v>怎么赚钱</x:v>
      </x:c>
      <x:c r="L14" s="13" t="str">
        <x:v>怎么赚钱</x:v>
      </x:c>
      <x:c r="M14" s="13" t="str">
        <x:v>怎么赚钱</x:v>
      </x:c>
      <x:c r="N14" s="14" t="str">
        <x:v>怎么赚钱</x:v>
      </x:c>
    </x:row>
    <x:row r="15" ht="52" customHeight="1">
      <x:c r="A15" s="96" t="str">
        <x:v>煤炭</x:v>
      </x:c>
      <x:c r="B15" s="78" t="str">
        <x:v>露天矿低成本开采，向东北及内蒙古火电、煤化工和供热客户销售；部分煤炭内部供给火电与铝业。</x:v>
      </x:c>
      <x:c r="C15" s="78"/>
      <x:c r="D15" s="96" t="str">
        <x:v>铝业</x:v>
      </x:c>
      <x:c r="E15" s="78" t="str">
        <x:v>以自备煤电和新能源供电生产电解铝；利润取决于铝价、氧化铝成本、电价与少数股东权益。</x:v>
      </x:c>
      <x:c r="F15" s="78"/>
      <x:c r="G15" s="78"/>
      <x:c r="H15" s="96" t="str">
        <x:v>火电</x:v>
      </x:c>
      <x:c r="I15" s="78" t="str">
        <x:v>坑口电厂与热电联产获取电量、电价、容量电价和辅助服务收入。</x:v>
      </x:c>
      <x:c r="J15" s="78"/>
      <x:c r="K15" s="78"/>
      <x:c r="L15" s="96" t="str">
        <x:v>新能源</x:v>
      </x:c>
      <x:c r="M15" s="78" t="str">
        <x:v>风光发电面向国网、蒙西和市场化用户；收益取决于利用小时、限电率和实现电价。</x:v>
      </x:c>
      <x:c r="N15" s="78"/>
    </x:row>
    <x:row r="16" ht="52" customHeight="1">
      <x:c r="A16" s="96" t="str">
        <x:v>关键规模</x:v>
      </x:c>
      <x:c r="B16" s="78" t="str">
        <x:v>煤炭产能6300万吨/年，剩余保有储量24.17亿吨。</x:v>
      </x:c>
      <x:c r="C16" s="78"/>
      <x:c r="D16" s="96" t="str">
        <x:v>关键规模</x:v>
      </x:c>
      <x:c r="E16" s="78" t="str">
        <x:v>电解铝产能161.53万吨/年。</x:v>
      </x:c>
      <x:c r="F16" s="78"/>
      <x:c r="G16" s="78"/>
      <x:c r="H16" s="96" t="str">
        <x:v>关键规模</x:v>
      </x:c>
      <x:c r="I16" s="78" t="str">
        <x:v>白音华新增70万千瓦坑口自备火电；原有坑口电厂120万千瓦。</x:v>
      </x:c>
      <x:c r="J16" s="78"/>
      <x:c r="K16" s="78"/>
      <x:c r="L16" s="96" t="str">
        <x:v>关键规模</x:v>
      </x:c>
      <x:c r="M16" s="78" t="str">
        <x:v>新能源装机738.37万千瓦。</x:v>
      </x:c>
      <x:c r="N16" s="78"/>
    </x:row>
    <x:row r="17" ht="52" customHeight="1">
      <x:c r="A17" s="96" t="str">
        <x:v>定价权</x:v>
      </x:c>
      <x:c r="B17" s="78" t="str">
        <x:v>没有品牌定价权，煤价由市场、长协及区域供需决定。</x:v>
      </x:c>
      <x:c r="C17" s="78"/>
      <x:c r="D17" s="96" t="str">
        <x:v>定价权</x:v>
      </x:c>
      <x:c r="E17" s="78" t="str">
        <x:v>没有定价权，铝价由大宗商品市场决定。</x:v>
      </x:c>
      <x:c r="F17" s="78"/>
      <x:c r="G17" s="78"/>
      <x:c r="H17" s="96" t="str">
        <x:v>定价权</x:v>
      </x:c>
      <x:c r="I17" s="78" t="str">
        <x:v>受市场交易和政策机制影响。</x:v>
      </x:c>
      <x:c r="J17" s="78"/>
      <x:c r="K17" s="78"/>
      <x:c r="L17" s="96" t="str">
        <x:v>定价权</x:v>
      </x:c>
      <x:c r="M17" s="78" t="str">
        <x:v>全面入市后竞争加剧，区域电价承压。</x:v>
      </x:c>
      <x:c r="N17" s="78"/>
    </x:row>
    <x:row r="18" ht="52" customHeight="1">
      <x:c r="A18" s="96" t="str">
        <x:v>核心优势</x:v>
      </x:c>
      <x:c r="B18" s="78" t="str">
        <x:v>资源位置、露天矿成本、区域运力与客户网络。</x:v>
      </x:c>
      <x:c r="C18" s="78"/>
      <x:c r="D18" s="96" t="str">
        <x:v>核心优势</x:v>
      </x:c>
      <x:c r="E18" s="78" t="str">
        <x:v>煤电铝一体化降低电力与原料波动，铝液就地转化。</x:v>
      </x:c>
      <x:c r="F18" s="78"/>
      <x:c r="G18" s="78"/>
      <x:c r="H18" s="96" t="str">
        <x:v>核心优势</x:v>
      </x:c>
      <x:c r="I18" s="78" t="str">
        <x:v>坑口、供热、容量与调峰价值。</x:v>
      </x:c>
      <x:c r="J18" s="78"/>
      <x:c r="K18" s="78"/>
      <x:c r="L18" s="96" t="str">
        <x:v>核心优势</x:v>
      </x:c>
      <x:c r="M18" s="78" t="str">
        <x:v>内蒙古风光资源与大基地规模。</x:v>
      </x:c>
      <x:c r="N18" s="78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12" t="str">
        <x:v>护城河证据、反证与可证伪指标</x:v>
      </x:c>
      <x:c r="B21" s="13" t="str">
        <x:v>护城河证据、反证与可证伪指标</x:v>
      </x:c>
      <x:c r="C21" s="13" t="str">
        <x:v>护城河证据、反证与可证伪指标</x:v>
      </x:c>
      <x:c r="D21" s="13" t="str">
        <x:v>护城河证据、反证与可证伪指标</x:v>
      </x:c>
      <x:c r="E21" s="13" t="str">
        <x:v>护城河证据、反证与可证伪指标</x:v>
      </x:c>
      <x:c r="F21" s="13" t="str">
        <x:v>护城河证据、反证与可证伪指标</x:v>
      </x:c>
      <x:c r="G21" s="13" t="str">
        <x:v>护城河证据、反证与可证伪指标</x:v>
      </x:c>
      <x:c r="H21" s="13" t="str">
        <x:v>护城河证据、反证与可证伪指标</x:v>
      </x:c>
      <x:c r="I21" s="13" t="str">
        <x:v>护城河证据、反证与可证伪指标</x:v>
      </x:c>
      <x:c r="J21" s="13" t="str">
        <x:v>护城河证据、反证与可证伪指标</x:v>
      </x:c>
      <x:c r="K21" s="13" t="str">
        <x:v>护城河证据、反证与可证伪指标</x:v>
      </x:c>
      <x:c r="L21" s="13" t="str">
        <x:v>护城河证据、反证与可证伪指标</x:v>
      </x:c>
      <x:c r="M21" s="13" t="str">
        <x:v>护城河证据、反证与可证伪指标</x:v>
      </x:c>
      <x:c r="N21" s="14" t="str">
        <x:v>护城河证据、反证与可证伪指标</x:v>
      </x:c>
    </x:row>
    <x:row r="22">
      <x:c r="A22" s="21" t="str">
        <x:v>护城河</x:v>
      </x:c>
      <x:c r="B22" s="22" t="str">
        <x:v>证据</x:v>
      </x:c>
      <x:c r="C22" s="22"/>
      <x:c r="D22" s="22"/>
      <x:c r="E22" s="22" t="str">
        <x:v>反证/边界</x:v>
      </x:c>
      <x:c r="F22" s="22"/>
      <x:c r="G22" s="22"/>
      <x:c r="H22" s="22" t="str">
        <x:v>趋势</x:v>
      </x:c>
      <x:c r="I22" s="22" t="str">
        <x:v>监控指标</x:v>
      </x:c>
      <x:c r="J22" s="22"/>
      <x:c r="K22" s="22" t="str">
        <x:v>当前值</x:v>
      </x:c>
      <x:c r="L22" s="22" t="str">
        <x:v>触发条件</x:v>
      </x:c>
      <x:c r="M22" s="22"/>
      <x:c r="N22" s="23" t="str">
        <x:v>判断</x:v>
      </x:c>
    </x:row>
    <x:row r="23" ht="55" customHeight="1">
      <x:c r="A23" s="96" t="str">
        <x:v>资源与低成本</x:v>
      </x:c>
      <x:c r="B23" s="78" t="str">
        <x:v>露天矿资源稀缺，煤炭产能6300万吨，剩余储量24.17亿吨。</x:v>
      </x:c>
      <x:c r="C23" s="78"/>
      <x:c r="D23" s="78"/>
      <x:c r="E23" s="78" t="str">
        <x:v>褐煤热值与运输半径限制，安全环保投入上升。</x:v>
      </x:c>
      <x:c r="F23" s="78"/>
      <x:c r="G23" s="78"/>
      <x:c r="H23" s="78" t="str">
        <x:v>稳定</x:v>
      </x:c>
      <x:c r="I23" s="78" t="str">
        <x:v>煤炭毛利率</x:v>
      </x:c>
      <x:c r="J23" s="78"/>
      <x:c r="K23" s="97" t="n">
        <x:f>D8/B8</x:f>
        <x:v>0.5844746785984831</x:v>
      </x:c>
      <x:c r="L23" s="78" t="str">
        <x:v>&lt;45%</x:v>
      </x:c>
      <x:c r="M23" s="78"/>
      <x:c r="N23" s="98" t="str">
        <x:v>窄而实</x:v>
      </x:c>
    </x:row>
    <x:row r="24" ht="55" customHeight="1">
      <x:c r="A24" s="96" t="str">
        <x:v>煤电铝一体化</x:v>
      </x:c>
      <x:c r="B24" s="78" t="str">
        <x:v>内部煤、电、铝匹配，白音华补齐15Mt煤、40.53万吨铝及火电绿电。</x:v>
      </x:c>
      <x:c r="C24" s="78"/>
      <x:c r="D24" s="78"/>
      <x:c r="E24" s="78" t="str">
        <x:v>重资产、高资本开支；现有铝子公司部分利润归少数股东。</x:v>
      </x:c>
      <x:c r="F24" s="78"/>
      <x:c r="G24" s="78"/>
      <x:c r="H24" s="78" t="str">
        <x:v>扩宽</x:v>
      </x:c>
      <x:c r="I24" s="78" t="str">
        <x:v>铝业毛利率</x:v>
      </x:c>
      <x:c r="J24" s="78"/>
      <x:c r="K24" s="97" t="n">
        <x:f>D7/B7</x:f>
        <x:v>0.39716548295147114</x:v>
      </x:c>
      <x:c r="L24" s="78" t="str">
        <x:v>&lt;25%</x:v>
      </x:c>
      <x:c r="M24" s="78"/>
      <x:c r="N24" s="98" t="str">
        <x:v>最关键</x:v>
      </x:c>
    </x:row>
    <x:row r="25" ht="55" customHeight="1">
      <x:c r="A25" s="96" t="str">
        <x:v>牌照与有效规模</x:v>
      </x:c>
      <x:c r="B25" s="78" t="str">
        <x:v>采矿权、电解铝产能指标、坑口电厂和电网接入难以快速复制。</x:v>
      </x:c>
      <x:c r="C25" s="78"/>
      <x:c r="D25" s="78"/>
      <x:c r="E25" s="78" t="str">
        <x:v>同为央企的竞争者也能获得政策与资本支持。</x:v>
      </x:c>
      <x:c r="F25" s="78"/>
      <x:c r="G25" s="78"/>
      <x:c r="H25" s="78" t="str">
        <x:v>稳定</x:v>
      </x:c>
      <x:c r="I25" s="78" t="str">
        <x:v>ROE/新增资本回报</x:v>
      </x:c>
      <x:c r="J25" s="78"/>
      <x:c r="K25" s="97" t="n">
        <x:f>'财务与分红'!M6</x:f>
        <x:v>0.16934</x:v>
      </x:c>
      <x:c r="L25" s="78" t="str">
        <x:v>连续2年&lt;10%</x:v>
      </x:c>
      <x:c r="M25" s="78"/>
      <x:c r="N25" s="98" t="str">
        <x:v>中等</x:v>
      </x:c>
    </x:row>
    <x:row r="26" ht="55" customHeight="1">
      <x:c r="A26" s="96" t="str">
        <x:v>新能源资源</x:v>
      </x:c>
      <x:c r="B26" s="78" t="str">
        <x:v>内蒙古风光资源和7.38GW规模，具备协同开发能力。</x:v>
      </x:c>
      <x:c r="C26" s="78"/>
      <x:c r="D26" s="78"/>
      <x:c r="E26" s="78" t="str">
        <x:v>装机增长快于消纳，现货低价和负电价时段增加。</x:v>
      </x:c>
      <x:c r="F26" s="78"/>
      <x:c r="G26" s="78"/>
      <x:c r="H26" s="78" t="str">
        <x:v>偏弱</x:v>
      </x:c>
      <x:c r="I26" s="78" t="str">
        <x:v>利用小时/实现电价</x:v>
      </x:c>
      <x:c r="J26" s="78"/>
      <x:c r="K26" s="78" t="str">
        <x:v>待三季报更新</x:v>
      </x:c>
      <x:c r="L26" s="78" t="str">
        <x:v>同比-10%</x:v>
      </x:c>
      <x:c r="M26" s="78"/>
      <x:c r="N26" s="98" t="str">
        <x:v>有资源无定价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12" t="str">
        <x:v>资本配置：白音华重组是否增厚每股价值</x:v>
      </x:c>
      <x:c r="B29" s="13" t="str">
        <x:v>资本配置：白音华重组是否增厚每股价值</x:v>
      </x:c>
      <x:c r="C29" s="13" t="str">
        <x:v>资本配置：白音华重组是否增厚每股价值</x:v>
      </x:c>
      <x:c r="D29" s="13" t="str">
        <x:v>资本配置：白音华重组是否增厚每股价值</x:v>
      </x:c>
      <x:c r="E29" s="13" t="str">
        <x:v>资本配置：白音华重组是否增厚每股价值</x:v>
      </x:c>
      <x:c r="F29" s="13" t="str">
        <x:v>资本配置：白音华重组是否增厚每股价值</x:v>
      </x:c>
      <x:c r="G29" s="13" t="str">
        <x:v>资本配置：白音华重组是否增厚每股价值</x:v>
      </x:c>
      <x:c r="H29" s="13" t="str">
        <x:v>资本配置：白音华重组是否增厚每股价值</x:v>
      </x:c>
      <x:c r="I29" s="13" t="str">
        <x:v>资本配置：白音华重组是否增厚每股价值</x:v>
      </x:c>
      <x:c r="J29" s="13" t="str">
        <x:v>资本配置：白音华重组是否增厚每股价值</x:v>
      </x:c>
      <x:c r="K29" s="13" t="str">
        <x:v>资本配置：白音华重组是否增厚每股价值</x:v>
      </x:c>
      <x:c r="L29" s="13" t="str">
        <x:v>资本配置：白音华重组是否增厚每股价值</x:v>
      </x:c>
      <x:c r="M29" s="13" t="str">
        <x:v>资本配置：白音华重组是否增厚每股价值</x:v>
      </x:c>
      <x:c r="N29" s="14" t="str">
        <x:v>资本配置：白音华重组是否增厚每股价值</x:v>
      </x:c>
    </x:row>
    <x:row r="30">
      <x:c r="A30" s="21" t="str">
        <x:v>事项</x:v>
      </x:c>
      <x:c r="B30" s="22" t="str">
        <x:v>事实</x:v>
      </x:c>
      <x:c r="C30" s="22"/>
      <x:c r="D30" s="22"/>
      <x:c r="E30" s="22" t="str">
        <x:v>计算</x:v>
      </x:c>
      <x:c r="F30" s="22"/>
      <x:c r="G30" s="22" t="str">
        <x:v>优点</x:v>
      </x:c>
      <x:c r="H30" s="22"/>
      <x:c r="I30" s="22"/>
      <x:c r="J30" s="22" t="str">
        <x:v>风险</x:v>
      </x:c>
      <x:c r="K30" s="22"/>
      <x:c r="L30" s="22"/>
      <x:c r="M30" s="22" t="str">
        <x:v>后续验证</x:v>
      </x:c>
      <x:c r="N30" s="23"/>
    </x:row>
    <x:row r="31" ht="55" customHeight="1">
      <x:c r="A31" s="96" t="str">
        <x:v>交易定价</x:v>
      </x:c>
      <x:c r="B31" s="78" t="str">
        <x:v>账面75.33亿元、评估109.98亿元、最终对价111.49亿元。</x:v>
      </x:c>
      <x:c r="C31" s="78"/>
      <x:c r="D31" s="78"/>
      <x:c r="E31" s="78" t="str">
        <x:v>评估增值率</x:v>
      </x:c>
      <x:c r="F31" s="78"/>
      <x:c r="G31" s="78" t="str">
        <x:v>获得完整煤电铝资产与协同。</x:v>
      </x:c>
      <x:c r="H31" s="78"/>
      <x:c r="I31" s="78"/>
      <x:c r="J31" s="99" t="str">
        <x:v>关联交易，评估增值46%。</x:v>
      </x:c>
      <x:c r="K31" s="99"/>
      <x:c r="L31" s="99"/>
      <x:c r="M31" s="78" t="str">
        <x:v>承诺利润与真实现金回报</x:v>
      </x:c>
      <x:c r="N31" s="78"/>
    </x:row>
    <x:row r="32" ht="55" customHeight="1">
      <x:c r="A32" s="96" t="str">
        <x:v>资产购买发行</x:v>
      </x:c>
      <x:c r="B32" s="78" t="str">
        <x:v>发行7.118亿股，实际发行价13.47元/股，另付现金15.61亿元。</x:v>
      </x:c>
      <x:c r="C32" s="78"/>
      <x:c r="D32" s="78"/>
      <x:c r="E32" s="78" t="str">
        <x:v>股份对价95.88亿元</x:v>
      </x:c>
      <x:c r="F32" s="78"/>
      <x:c r="G32" s="78" t="str">
        <x:v>低于当前股价，换入盈利资产。</x:v>
      </x:c>
      <x:c r="H32" s="78"/>
      <x:c r="I32" s="78"/>
      <x:c r="J32" s="99" t="str">
        <x:v>原股东被显著摊薄。</x:v>
      </x:c>
      <x:c r="K32" s="99"/>
      <x:c r="L32" s="99"/>
      <x:c r="M32" s="78" t="str">
        <x:v>每股盈利、每股分红是否增厚</x:v>
      </x:c>
      <x:c r="N32" s="78"/>
    </x:row>
    <x:row r="33" ht="55" customHeight="1">
      <x:c r="A33" s="96" t="str">
        <x:v>配套融资</x:v>
      </x:c>
      <x:c r="B33" s="78" t="str">
        <x:v>发行1.731亿股，价格26元/股，募集45亿元、净额44.57亿元。</x:v>
      </x:c>
      <x:c r="C33" s="78"/>
      <x:c r="D33" s="78"/>
      <x:c r="E33" s="78" t="str">
        <x:v>接近当前价</x:v>
      </x:c>
      <x:c r="F33" s="78"/>
      <x:c r="G33" s="78" t="str">
        <x:v>降低财务费用并支持改造。</x:v>
      </x:c>
      <x:c r="H33" s="78"/>
      <x:c r="I33" s="78"/>
      <x:c r="J33" s="99" t="str">
        <x:v>募集资金尚待形成收益。</x:v>
      </x:c>
      <x:c r="K33" s="99"/>
      <x:c r="L33" s="99"/>
      <x:c r="M33" s="78" t="str">
        <x:v>募投进度与增量ROIC</x:v>
      </x:c>
      <x:c r="N33" s="78"/>
    </x:row>
    <x:row r="34" ht="55" customHeight="1">
      <x:c r="A34" s="96" t="str">
        <x:v>总股本变化</x:v>
      </x:c>
      <x:c r="B34" s="78" t="str">
        <x:v>22.42亿股增至31.26亿股。</x:v>
      </x:c>
      <x:c r="C34" s="78"/>
      <x:c r="D34" s="78"/>
      <x:c r="E34" s="78" t="str">
        <x:v>股本+39.5%</x:v>
      </x:c>
      <x:c r="F34" s="78"/>
      <x:c r="G34" s="78" t="str">
        <x:v>资产与利润规模同步扩大。</x:v>
      </x:c>
      <x:c r="H34" s="78"/>
      <x:c r="I34" s="78"/>
      <x:c r="J34" s="99" t="str">
        <x:v>旧EPS、旧DPS不可直接外推。</x:v>
      </x:c>
      <x:c r="K34" s="99"/>
      <x:c r="L34" s="99"/>
      <x:c r="M34" s="78" t="str">
        <x:v>用期末股本计算每股价值</x:v>
      </x:c>
      <x:c r="N34" s="78"/>
    </x:row>
    <x:row r="35" ht="55" customHeight="1">
      <x:c r="A35" s="96" t="str">
        <x:v>业绩承诺</x:v>
      </x:c>
      <x:c r="B35" s="78" t="str">
        <x:v>采矿权2026-2028累计扣非净利不低于16.63亿元；铝电资产三年分别6.78/5.28/5.26亿元。</x:v>
      </x:c>
      <x:c r="C35" s="78"/>
      <x:c r="D35" s="78"/>
      <x:c r="E35" s="78" t="str">
        <x:v>有补偿安排</x:v>
      </x:c>
      <x:c r="F35" s="78"/>
      <x:c r="G35" s="78" t="str">
        <x:v>提供最低兑现约束。</x:v>
      </x:c>
      <x:c r="H35" s="78"/>
      <x:c r="I35" s="78"/>
      <x:c r="J35" s="99" t="str">
        <x:v>承诺不等于高回报，且周期顺风可能掩盖。</x:v>
      </x:c>
      <x:c r="K35" s="99"/>
      <x:c r="L35" s="99"/>
      <x:c r="M35" s="78" t="str">
        <x:v>逐年核对完成率与现金流</x:v>
      </x:c>
      <x:c r="N35" s="78"/>
    </x:row>
    <x:row r="36" ht="55" customHeight="1">
      <x:c r="A36" s="96" t="str">
        <x:v>治理结构</x:v>
      </x:c>
      <x:c r="B36" s="78" t="str">
        <x:v>两家同一集团股东重组后合计持股约62.75%。</x:v>
      </x:c>
      <x:c r="C36" s="78"/>
      <x:c r="D36" s="78"/>
      <x:c r="E36" s="78" t="str">
        <x:v>控制力增强</x:v>
      </x:c>
      <x:c r="F36" s="78"/>
      <x:c r="G36" s="78" t="str">
        <x:v>资源注入能力强。</x:v>
      </x:c>
      <x:c r="H36" s="78"/>
      <x:c r="I36" s="78"/>
      <x:c r="J36" s="99" t="str">
        <x:v>中小股东依赖关联交易定价与董事会制衡。</x:v>
      </x:c>
      <x:c r="K36" s="99"/>
      <x:c r="L36" s="99"/>
      <x:c r="M36" s="78" t="str">
        <x:v>新增关联交易与独董意见</x:v>
      </x:c>
      <x:c r="N36" s="78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</x:sheetData>
  <x:mergeCells>
    <x:mergeCell ref="A2:N2"/>
    <x:mergeCell ref="A3:N3"/>
    <x:mergeCell ref="A5:G5"/>
    <x:mergeCell ref="A14:N14"/>
    <x:mergeCell ref="B15:C15"/>
    <x:mergeCell ref="E15:G15"/>
    <x:mergeCell ref="I15:K15"/>
    <x:mergeCell ref="M15:N15"/>
    <x:mergeCell ref="B16:C16"/>
    <x:mergeCell ref="E16:G16"/>
    <x:mergeCell ref="I16:K16"/>
    <x:mergeCell ref="M16:N16"/>
    <x:mergeCell ref="B17:C17"/>
    <x:mergeCell ref="E17:G17"/>
    <x:mergeCell ref="I17:K17"/>
    <x:mergeCell ref="M17:N17"/>
    <x:mergeCell ref="B18:C18"/>
    <x:mergeCell ref="E18:G18"/>
    <x:mergeCell ref="I18:K18"/>
    <x:mergeCell ref="M18:N18"/>
    <x:mergeCell ref="A21:N21"/>
    <x:mergeCell ref="B23:D23"/>
    <x:mergeCell ref="E23:G23"/>
    <x:mergeCell ref="I23:J23"/>
    <x:mergeCell ref="L23:M23"/>
    <x:mergeCell ref="B24:D24"/>
    <x:mergeCell ref="E24:G24"/>
    <x:mergeCell ref="I24:J24"/>
    <x:mergeCell ref="L24:M24"/>
    <x:mergeCell ref="B25:D25"/>
    <x:mergeCell ref="E25:G25"/>
    <x:mergeCell ref="I25:J25"/>
    <x:mergeCell ref="L25:M25"/>
    <x:mergeCell ref="B26:D26"/>
    <x:mergeCell ref="E26:G26"/>
    <x:mergeCell ref="I26:J26"/>
    <x:mergeCell ref="L26:M26"/>
    <x:mergeCell ref="A29:N29"/>
    <x:mergeCell ref="B31:D31"/>
    <x:mergeCell ref="E31:F31"/>
    <x:mergeCell ref="G31:I31"/>
    <x:mergeCell ref="J31:L31"/>
    <x:mergeCell ref="M31:N31"/>
    <x:mergeCell ref="B32:D32"/>
    <x:mergeCell ref="E32:F32"/>
    <x:mergeCell ref="G32:I32"/>
    <x:mergeCell ref="J32:L32"/>
    <x:mergeCell ref="M32:N32"/>
    <x:mergeCell ref="B33:D33"/>
    <x:mergeCell ref="E33:F33"/>
    <x:mergeCell ref="G33:I33"/>
    <x:mergeCell ref="J33:L33"/>
    <x:mergeCell ref="M33:N33"/>
    <x:mergeCell ref="B34:D34"/>
    <x:mergeCell ref="E34:F34"/>
    <x:mergeCell ref="G34:I34"/>
    <x:mergeCell ref="J34:L34"/>
    <x:mergeCell ref="M34:N34"/>
    <x:mergeCell ref="B35:D35"/>
    <x:mergeCell ref="E35:F35"/>
    <x:mergeCell ref="G35:I35"/>
    <x:mergeCell ref="J35:L35"/>
    <x:mergeCell ref="M35:N35"/>
    <x:mergeCell ref="B36:D36"/>
    <x:mergeCell ref="E36:F36"/>
    <x:mergeCell ref="G36:I36"/>
    <x:mergeCell ref="J36:L36"/>
    <x:mergeCell ref="M36:N36"/>
  </x:mergeCells>
  <x:pageMargins left="0.7" right="0.7" top="0.75" bottom="0.75" header="0.3" footer="0.3"/>
  <x:drawing xmlns:r="http://schemas.openxmlformats.org/officeDocument/2006/relationships" r:id="R17a6eef6ec304f36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8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财务、现金流与分红</x:v>
      </x:c>
      <x:c r="B2" s="4" t="str">
        <x:v>财务、现金流与分红</x:v>
      </x:c>
      <x:c r="C2" s="4" t="str">
        <x:v>财务、现金流与分红</x:v>
      </x:c>
      <x:c r="D2" s="4" t="str">
        <x:v>财务、现金流与分红</x:v>
      </x:c>
      <x:c r="E2" s="4" t="str">
        <x:v>财务、现金流与分红</x:v>
      </x:c>
      <x:c r="F2" s="4" t="str">
        <x:v>财务、现金流与分红</x:v>
      </x:c>
      <x:c r="G2" s="4" t="str">
        <x:v>财务、现金流与分红</x:v>
      </x:c>
      <x:c r="H2" s="4" t="str">
        <x:v>财务、现金流与分红</x:v>
      </x:c>
      <x:c r="I2" s="4" t="str">
        <x:v>财务、现金流与分红</x:v>
      </x:c>
      <x:c r="J2" s="4" t="str">
        <x:v>财务、现金流与分红</x:v>
      </x:c>
      <x:c r="K2" s="4" t="str">
        <x:v>财务、现金流与分红</x:v>
      </x:c>
      <x:c r="L2" s="4" t="str">
        <x:v>财务、现金流与分红</x:v>
      </x:c>
      <x:c r="M2" s="4" t="str">
        <x:v>财务、现金流与分红</x:v>
      </x:c>
      <x:c r="N2" s="4" t="str">
        <x:v>财务、现金流与分红</x:v>
      </x:c>
      <x:c r="O2" s="4" t="str">
        <x:v>财务、现金流与分红</x:v>
      </x:c>
    </x:row>
    <x:row r="3">
      <x:c r="A3" s="6" t="str">
        <x:v>历史年度为重组前口径；2025H1对比已按同一控制合并重述；金额默认十亿元</x:v>
      </x:c>
      <x:c r="B3" s="6" t="str">
        <x:v>历史年度为重组前口径；2025H1对比已按同一控制合并重述；金额默认十亿元</x:v>
      </x:c>
      <x:c r="C3" s="6" t="str">
        <x:v>历史年度为重组前口径；2025H1对比已按同一控制合并重述；金额默认十亿元</x:v>
      </x:c>
      <x:c r="D3" s="6" t="str">
        <x:v>历史年度为重组前口径；2025H1对比已按同一控制合并重述；金额默认十亿元</x:v>
      </x:c>
      <x:c r="E3" s="6" t="str">
        <x:v>历史年度为重组前口径；2025H1对比已按同一控制合并重述；金额默认十亿元</x:v>
      </x:c>
      <x:c r="F3" s="6" t="str">
        <x:v>历史年度为重组前口径；2025H1对比已按同一控制合并重述；金额默认十亿元</x:v>
      </x:c>
      <x:c r="G3" s="6" t="str">
        <x:v>历史年度为重组前口径；2025H1对比已按同一控制合并重述；金额默认十亿元</x:v>
      </x:c>
      <x:c r="H3" s="6" t="str">
        <x:v>历史年度为重组前口径；2025H1对比已按同一控制合并重述；金额默认十亿元</x:v>
      </x:c>
      <x:c r="I3" s="6" t="str">
        <x:v>历史年度为重组前口径；2025H1对比已按同一控制合并重述；金额默认十亿元</x:v>
      </x:c>
      <x:c r="J3" s="6" t="str">
        <x:v>历史年度为重组前口径；2025H1对比已按同一控制合并重述；金额默认十亿元</x:v>
      </x:c>
      <x:c r="K3" s="6" t="str">
        <x:v>历史年度为重组前口径；2025H1对比已按同一控制合并重述；金额默认十亿元</x:v>
      </x:c>
      <x:c r="L3" s="6" t="str">
        <x:v>历史年度为重组前口径；2025H1对比已按同一控制合并重述；金额默认十亿元</x:v>
      </x:c>
      <x:c r="M3" s="6" t="str">
        <x:v>历史年度为重组前口径；2025H1对比已按同一控制合并重述；金额默认十亿元</x:v>
      </x:c>
      <x:c r="N3" s="6" t="str">
        <x:v>历史年度为重组前口径；2025H1对比已按同一控制合并重述；金额默认十亿元</x:v>
      </x:c>
      <x:c r="O3" s="6" t="str">
        <x:v>历史年度为重组前口径；2025H1对比已按同一控制合并重述；金额默认十亿元</x:v>
      </x:c>
    </x:row>
    <x:row r="4">
      <x:c r="A4" s="12" t="str">
        <x:v>五年质量概览</x:v>
      </x:c>
      <x:c r="B4" s="13" t="str">
        <x:v>五年质量概览</x:v>
      </x:c>
      <x:c r="C4" s="13" t="str">
        <x:v>五年质量概览</x:v>
      </x:c>
      <x:c r="D4" s="13" t="str">
        <x:v>五年质量概览</x:v>
      </x:c>
      <x:c r="E4" s="13" t="str">
        <x:v>五年质量概览</x:v>
      </x:c>
      <x:c r="F4" s="13" t="str">
        <x:v>五年质量概览</x:v>
      </x:c>
      <x:c r="G4" s="13" t="str">
        <x:v>五年质量概览</x:v>
      </x:c>
      <x:c r="H4" s="13" t="str">
        <x:v>五年质量概览</x:v>
      </x:c>
      <x:c r="I4" s="13" t="str">
        <x:v>五年质量概览</x:v>
      </x:c>
      <x:c r="J4" s="13" t="str">
        <x:v>五年质量概览</x:v>
      </x:c>
      <x:c r="K4" s="13" t="str">
        <x:v>五年质量概览</x:v>
      </x:c>
      <x:c r="L4" s="13" t="str">
        <x:v>五年质量概览</x:v>
      </x:c>
      <x:c r="M4" s="13" t="str">
        <x:v>五年质量概览</x:v>
      </x:c>
      <x:c r="N4" s="13" t="str">
        <x:v>五年质量概览</x:v>
      </x:c>
      <x:c r="O4" s="14" t="str">
        <x:v>五年质量概览</x:v>
      </x:c>
    </x:row>
    <x:row r="5">
      <x:c r="A5" s="80" t="str">
        <x:v>营收CAGR</x:v>
      </x:c>
      <x:c r="B5" s="80"/>
      <x:c r="C5" s="80"/>
      <x:c r="D5" s="80" t="str">
        <x:v>归母净利CAGR</x:v>
      </x:c>
      <x:c r="E5" s="80"/>
      <x:c r="F5" s="80"/>
      <x:c r="G5" s="80" t="str">
        <x:v>累计CFO/归母净利</x:v>
      </x:c>
      <x:c r="H5" s="80"/>
      <x:c r="I5" s="80"/>
      <x:c r="J5" s="80" t="str">
        <x:v>累计FCF/归母净利</x:v>
      </x:c>
      <x:c r="K5" s="80"/>
      <x:c r="L5" s="80"/>
      <x:c r="M5" s="80" t="str">
        <x:v>平均ROE</x:v>
      </x:c>
      <x:c r="N5" s="80"/>
      <x:c r="O5" s="80"/>
    </x:row>
    <x:row r="6">
      <x:c r="A6" s="84" t="n">
        <x:f>POWER(F9/B9,1/4)-1</x:f>
        <x:v>0.05109501034442987</x:v>
      </x:c>
      <x:c r="B6" s="2"/>
      <x:c r="C6" s="2"/>
      <x:c r="D6" s="84" t="n">
        <x:f>POWER(F10/B10,1/4)-1</x:f>
        <x:v>0.1090327899273551</x:v>
      </x:c>
      <x:c r="E6" s="2"/>
      <x:c r="F6" s="2"/>
      <x:c r="G6" s="84" t="n">
        <x:f>SUM(B12:F12)/SUM(B10:F10)</x:f>
        <x:v>1.6980529638088433</x:v>
      </x:c>
      <x:c r="H6" s="2"/>
      <x:c r="I6" s="2"/>
      <x:c r="J6" s="84" t="n">
        <x:f>SUM(B14:F14)/SUM(B10:F10)</x:f>
        <x:v>0.3962756223363062</x:v>
      </x:c>
      <x:c r="K6" s="2"/>
      <x:c r="L6" s="2"/>
      <x:c r="M6" s="84" t="n">
        <x:f>AVERAGE(B17:F17)</x:f>
        <x:v>0.16934</x:v>
      </x:c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21" t="str">
        <x:v>指标</x:v>
      </x:c>
      <x:c r="B8" s="22" t="str">
        <x:v>2021</x:v>
      </x:c>
      <x:c r="C8" s="22" t="str">
        <x:v>2022</x:v>
      </x:c>
      <x:c r="D8" s="22" t="str">
        <x:v>2023</x:v>
      </x:c>
      <x:c r="E8" s="22" t="str">
        <x:v>2024</x:v>
      </x:c>
      <x:c r="F8" s="22" t="str">
        <x:v>2025</x:v>
      </x:c>
      <x:c r="G8" s="23" t="str">
        <x:v>五年观察</x:v>
      </x:c>
      <x:c r="H8" s="2"/>
      <x:c r="I8" s="2"/>
      <x:c r="J8" s="2"/>
      <x:c r="K8" s="2"/>
      <x:c r="L8" s="2"/>
      <x:c r="M8" s="2"/>
      <x:c r="N8" s="2"/>
      <x:c r="O8" s="2"/>
    </x:row>
    <x:row r="9">
      <x:c r="A9" s="25" t="str">
        <x:v>营业收入</x:v>
      </x:c>
      <x:c r="B9" s="45" t="n">
        <x:f>'数据与来源'!B34</x:f>
        <x:v>24.67256880235</x:v>
      </x:c>
      <x:c r="C9" s="45" t="n">
        <x:f>'数据与来源'!B35</x:f>
        <x:v>26.79290034399</x:v>
      </x:c>
      <x:c r="D9" s="45" t="n">
        <x:f>'数据与来源'!B36</x:f>
        <x:v>26.84552975625</x:v>
      </x:c>
      <x:c r="E9" s="45" t="n">
        <x:f>'数据与来源'!B37</x:f>
        <x:v>29.85905154704</x:v>
      </x:c>
      <x:c r="F9" s="45" t="n">
        <x:f>'数据与来源'!B38</x:f>
        <x:v>30.11495832731</x:v>
      </x:c>
      <x:c r="G9" s="36" t="str">
        <x:v>+5.1%年复合</x:v>
      </x:c>
      <x:c r="H9" s="2"/>
      <x:c r="I9" s="2"/>
      <x:c r="J9" s="2"/>
      <x:c r="K9" s="2"/>
      <x:c r="L9" s="2"/>
      <x:c r="M9" s="2"/>
      <x:c r="N9" s="2"/>
      <x:c r="O9" s="2"/>
    </x:row>
    <x:row r="10">
      <x:c r="A10" s="25" t="str">
        <x:v>归母净利润</x:v>
      </x:c>
      <x:c r="B10" s="45" t="n">
        <x:f>'数据与来源'!C34</x:f>
        <x:v>3.58219111624</x:v>
      </x:c>
      <x:c r="C10" s="45" t="n">
        <x:f>'数据与来源'!C35</x:f>
        <x:v>3.98613404693</x:v>
      </x:c>
      <x:c r="D10" s="45" t="n">
        <x:f>'数据与来源'!C36</x:f>
        <x:v>4.55965207929</x:v>
      </x:c>
      <x:c r="E10" s="45" t="n">
        <x:f>'数据与来源'!C37</x:f>
        <x:v>5.3416133093</x:v>
      </x:c>
      <x:c r="F10" s="45" t="n">
        <x:f>'数据与来源'!C38</x:f>
        <x:v>5.41908919976</x:v>
      </x:c>
      <x:c r="G10" s="36" t="str">
        <x:v>+10.9%年复合</x:v>
      </x:c>
      <x:c r="H10" s="2"/>
      <x:c r="I10" s="2"/>
      <x:c r="J10" s="2"/>
      <x:c r="K10" s="2"/>
      <x:c r="L10" s="2"/>
      <x:c r="M10" s="2"/>
      <x:c r="N10" s="2"/>
      <x:c r="O10" s="2"/>
    </x:row>
    <x:row r="11">
      <x:c r="A11" s="25" t="str">
        <x:v>扣非归母净利润</x:v>
      </x:c>
      <x:c r="B11" s="45" t="n">
        <x:f>'数据与来源'!D34</x:f>
        <x:v>3.54223861312</x:v>
      </x:c>
      <x:c r="C11" s="45" t="n">
        <x:f>'数据与来源'!D35</x:f>
        <x:v>3.86376478073</x:v>
      </x:c>
      <x:c r="D11" s="45" t="n">
        <x:f>'数据与来源'!D36</x:f>
        <x:v>4.33787404859</x:v>
      </x:c>
      <x:c r="E11" s="45" t="n">
        <x:f>'数据与来源'!D37</x:f>
        <x:v>5.09773197372</x:v>
      </x:c>
      <x:c r="F11" s="45" t="n">
        <x:f>'数据与来源'!D38</x:f>
        <x:v>5.22855406922</x:v>
      </x:c>
      <x:c r="G11" s="36" t="str">
        <x:v>非经常损益占比低</x:v>
      </x:c>
      <x:c r="H11" s="2"/>
      <x:c r="I11" s="2"/>
      <x:c r="J11" s="2"/>
      <x:c r="K11" s="2"/>
      <x:c r="L11" s="2"/>
      <x:c r="M11" s="2"/>
      <x:c r="N11" s="2"/>
      <x:c r="O11" s="2"/>
    </x:row>
    <x:row r="12">
      <x:c r="A12" s="25" t="str">
        <x:v>经营现金流</x:v>
      </x:c>
      <x:c r="B12" s="45" t="n">
        <x:f>'数据与来源'!E34</x:f>
        <x:v>6.33281693491</x:v>
      </x:c>
      <x:c r="C12" s="45" t="n">
        <x:f>'数据与来源'!E35</x:f>
        <x:v>8.50412817949</x:v>
      </x:c>
      <x:c r="D12" s="45" t="n">
        <x:f>'数据与来源'!E36</x:f>
        <x:v>6.87129163051</x:v>
      </x:c>
      <x:c r="E12" s="45" t="n">
        <x:f>'数据与来源'!E37</x:f>
        <x:v>7.95047386361</x:v>
      </x:c>
      <x:c r="F12" s="45" t="n">
        <x:f>'数据与来源'!E38</x:f>
        <x:v>9.20747988122</x:v>
      </x:c>
      <x:c r="G12" s="36" t="str">
        <x:v>累计388.66亿元</x:v>
      </x:c>
      <x:c r="H12" s="2"/>
      <x:c r="I12" s="2"/>
      <x:c r="J12" s="2"/>
      <x:c r="K12" s="2"/>
      <x:c r="L12" s="2"/>
      <x:c r="M12" s="2"/>
      <x:c r="N12" s="2"/>
      <x:c r="O12" s="2"/>
    </x:row>
    <x:row r="13">
      <x:c r="A13" s="25" t="str">
        <x:v>资本开支</x:v>
      </x:c>
      <x:c r="B13" s="45" t="n">
        <x:f>'数据与来源'!F34</x:f>
        <x:v>3.33664994214</x:v>
      </x:c>
      <x:c r="C13" s="45" t="n">
        <x:f>'数据与来源'!F35</x:f>
        <x:v>6.72767033051</x:v>
      </x:c>
      <x:c r="D13" s="45" t="n">
        <x:f>'数据与来源'!F36</x:f>
        <x:v>7.79721105046</x:v>
      </x:c>
      <x:c r="E13" s="45" t="n">
        <x:f>'数据与来源'!F37</x:f>
        <x:v>4.18540058321</x:v>
      </x:c>
      <x:c r="F13" s="45" t="n">
        <x:f>'数据与来源'!F38</x:f>
        <x:v>7.74903277043</x:v>
      </x:c>
      <x:c r="G13" s="36" t="str">
        <x:v>累计297.96亿元</x:v>
      </x:c>
      <x:c r="H13" s="2"/>
      <x:c r="I13" s="2"/>
      <x:c r="J13" s="2"/>
      <x:c r="K13" s="2"/>
      <x:c r="L13" s="2"/>
      <x:c r="M13" s="2"/>
      <x:c r="N13" s="2"/>
      <x:c r="O13" s="2"/>
    </x:row>
    <x:row r="14">
      <x:c r="A14" s="25" t="str">
        <x:v>自由现金流</x:v>
      </x:c>
      <x:c r="B14" s="44" t="n">
        <x:f>B12-B13</x:f>
        <x:v>2.99616699277</x:v>
      </x:c>
      <x:c r="C14" s="44" t="n">
        <x:f>C12-C13</x:f>
        <x:v>1.7764578489799998</x:v>
      </x:c>
      <x:c r="D14" s="44" t="n">
        <x:f>D12-D13</x:f>
        <x:v>-0.9259194199499996</x:v>
      </x:c>
      <x:c r="E14" s="44" t="n">
        <x:f>E12-E13</x:f>
        <x:v>3.7650732804</x:v>
      </x:c>
      <x:c r="F14" s="44" t="n">
        <x:f>F12-F13</x:f>
        <x:v>1.458447110789999</x:v>
      </x:c>
      <x:c r="G14" s="36" t="str">
        <x:v>累计90.70亿元</x:v>
      </x:c>
      <x:c r="H14" s="2"/>
      <x:c r="I14" s="2"/>
      <x:c r="J14" s="2"/>
      <x:c r="K14" s="2"/>
      <x:c r="L14" s="2"/>
      <x:c r="M14" s="2"/>
      <x:c r="N14" s="2"/>
      <x:c r="O14" s="2"/>
    </x:row>
    <x:row r="15">
      <x:c r="A15" s="25" t="str">
        <x:v>CFO/归母净利润</x:v>
      </x:c>
      <x:c r="B15" s="30" t="n">
        <x:f>B12/B10</x:f>
        <x:v>1.7678612696569798</x:v>
      </x:c>
      <x:c r="C15" s="30" t="n">
        <x:f>C12/C10</x:f>
        <x:v>2.1334275464317667</x:v>
      </x:c>
      <x:c r="D15" s="30" t="n">
        <x:f>D12/D10</x:f>
        <x:v>1.5069771796228701</x:v>
      </x:c>
      <x:c r="E15" s="30" t="n">
        <x:f>E12/E10</x:f>
        <x:v>1.4884031103052429</x:v>
      </x:c>
      <x:c r="F15" s="30" t="n">
        <x:f>F12/F10</x:f>
        <x:v>1.6990825472346496</x:v>
      </x:c>
      <x:c r="G15" s="36" t="str">
        <x:v>累计169.8%</x:v>
      </x:c>
      <x:c r="H15" s="2"/>
      <x:c r="I15" s="2"/>
      <x:c r="J15" s="2"/>
      <x:c r="K15" s="2"/>
      <x:c r="L15" s="2"/>
      <x:c r="M15" s="2"/>
      <x:c r="N15" s="2"/>
      <x:c r="O15" s="2"/>
    </x:row>
    <x:row r="16">
      <x:c r="A16" s="25" t="str">
        <x:v>FCF/归母净利润</x:v>
      </x:c>
      <x:c r="B16" s="30" t="n">
        <x:f>B14/B10</x:f>
        <x:v>0.8364062372849853</x:v>
      </x:c>
      <x:c r="C16" s="30" t="n">
        <x:f>C14/C10</x:f>
        <x:v>0.4456593351014309</x:v>
      </x:c>
      <x:c r="D16" s="30" t="n">
        <x:f>D14/D10</x:f>
        <x:v>-0.20306799813861628</x:v>
      </x:c>
      <x:c r="E16" s="30" t="n">
        <x:f>E14/E10</x:f>
        <x:v>0.7048569528319901</x:v>
      </x:c>
      <x:c r="F16" s="30" t="n">
        <x:f>F14/F10</x:f>
        <x:v>0.2691314088084379</x:v>
      </x:c>
      <x:c r="G16" s="36" t="str">
        <x:v>累计39.6%</x:v>
      </x:c>
      <x:c r="H16" s="2"/>
      <x:c r="I16" s="2"/>
      <x:c r="J16" s="2"/>
      <x:c r="K16" s="2"/>
      <x:c r="L16" s="2"/>
      <x:c r="M16" s="2"/>
      <x:c r="N16" s="2"/>
      <x:c r="O16" s="2"/>
    </x:row>
    <x:row r="17">
      <x:c r="A17" s="25" t="str">
        <x:v>ROE</x:v>
      </x:c>
      <x:c r="B17" s="85" t="n">
        <x:f>'数据与来源'!G34</x:f>
        <x:v>0.1891</x:v>
      </x:c>
      <x:c r="C17" s="85" t="n">
        <x:f>'数据与来源'!G35</x:f>
        <x:v>0.1822</x:v>
      </x:c>
      <x:c r="D17" s="85" t="n">
        <x:f>'数据与来源'!G36</x:f>
        <x:v>0.1624</x:v>
      </x:c>
      <x:c r="E17" s="85" t="n">
        <x:f>'数据与来源'!G37</x:f>
        <x:v>0.1636</x:v>
      </x:c>
      <x:c r="F17" s="85" t="n">
        <x:f>'数据与来源'!G38</x:f>
        <x:v>0.1494</x:v>
      </x:c>
      <x:c r="G17" s="36" t="str">
        <x:v>均值16.1%</x:v>
      </x:c>
      <x:c r="H17" s="2"/>
      <x:c r="I17" s="2"/>
      <x:c r="J17" s="2"/>
      <x:c r="K17" s="2"/>
      <x:c r="L17" s="2"/>
      <x:c r="M17" s="2"/>
      <x:c r="N17" s="2"/>
      <x:c r="O17" s="2"/>
    </x:row>
    <x:row r="18">
      <x:c r="A18" s="25" t="str">
        <x:v>总资产</x:v>
      </x:c>
      <x:c r="B18" s="45" t="n">
        <x:f>'数据与来源'!H34</x:f>
        <x:v>37.66324158366</x:v>
      </x:c>
      <x:c r="C18" s="45" t="n">
        <x:f>'数据与来源'!H35</x:f>
        <x:v>42.12010565875</x:v>
      </x:c>
      <x:c r="D18" s="45" t="n">
        <x:f>'数据与来源'!H36</x:f>
        <x:v>48.50117513073</x:v>
      </x:c>
      <x:c r="E18" s="45" t="n">
        <x:f>'数据与来源'!H37</x:f>
        <x:v>51.63428725508</x:v>
      </x:c>
      <x:c r="F18" s="45" t="n">
        <x:f>'数据与来源'!H38</x:f>
        <x:v>56.47646556508</x:v>
      </x:c>
      <x:c r="G18" s="36" t="str">
        <x:v>扩表明显</x:v>
      </x:c>
      <x:c r="H18" s="2"/>
      <x:c r="I18" s="2"/>
      <x:c r="J18" s="2"/>
      <x:c r="K18" s="2"/>
      <x:c r="L18" s="2"/>
      <x:c r="M18" s="2"/>
      <x:c r="N18" s="2"/>
      <x:c r="O18" s="2"/>
    </x:row>
    <x:row r="19">
      <x:c r="A19" s="25" t="str">
        <x:v>归母净资产</x:v>
      </x:c>
      <x:c r="B19" s="45" t="n">
        <x:f>'数据与来源'!I34</x:f>
        <x:v>20.41963172205</x:v>
      </x:c>
      <x:c r="C19" s="45" t="n">
        <x:f>'数据与来源'!I35</x:f>
        <x:v>23.49084336913</x:v>
      </x:c>
      <x:c r="D19" s="45" t="n">
        <x:f>'数据与来源'!I36</x:f>
        <x:v>30.88749780207</x:v>
      </x:c>
      <x:c r="E19" s="45" t="n">
        <x:f>'数据与来源'!I37</x:f>
        <x:v>34.60333993391</x:v>
      </x:c>
      <x:c r="F19" s="45" t="n">
        <x:f>'数据与来源'!I38</x:f>
        <x:v>38.19981636861</x:v>
      </x:c>
      <x:c r="G19" s="36" t="str">
        <x:v>归母净资产增长</x:v>
      </x:c>
      <x:c r="H19" s="2"/>
      <x:c r="I19" s="2"/>
      <x:c r="J19" s="2"/>
      <x:c r="K19" s="2"/>
      <x:c r="L19" s="2"/>
      <x:c r="M19" s="2"/>
      <x:c r="N19" s="2"/>
      <x:c r="O19" s="2"/>
    </x:row>
    <x:row r="20">
      <x:c r="A20" s="25" t="str">
        <x:v>DPS（元/股）</x:v>
      </x:c>
      <x:c r="B20" s="86" t="n">
        <x:f>'数据与来源'!J34</x:f>
        <x:v>0.5</x:v>
      </x:c>
      <x:c r="C20" s="86" t="n">
        <x:f>'数据与来源'!J35</x:f>
        <x:v>0.5</x:v>
      </x:c>
      <x:c r="D20" s="86" t="n">
        <x:f>'数据与来源'!J36</x:f>
        <x:v>0.68</x:v>
      </x:c>
      <x:c r="E20" s="86" t="n">
        <x:f>'数据与来源'!J37</x:f>
        <x:v>0.85</x:v>
      </x:c>
      <x:c r="F20" s="86" t="n">
        <x:f>'数据与来源'!J38</x:f>
        <x:v>1.3</x:v>
      </x:c>
      <x:c r="G20" s="36" t="str">
        <x:v>2025含中期0.30</x:v>
      </x:c>
      <x:c r="H20" s="2"/>
      <x:c r="I20" s="2"/>
      <x:c r="J20" s="2"/>
      <x:c r="K20" s="2"/>
      <x:c r="L20" s="2"/>
      <x:c r="M20" s="2"/>
      <x:c r="N20" s="2"/>
      <x:c r="O20" s="2"/>
    </x:row>
    <x:row r="21">
      <x:c r="A21" s="25" t="str">
        <x:v>现金分红</x:v>
      </x:c>
      <x:c r="B21" s="45" t="n">
        <x:f>'数据与来源'!K34</x:f>
        <x:v>0.9607867465</x:v>
      </x:c>
      <x:c r="C21" s="45" t="n">
        <x:f>'数据与来源'!K35</x:f>
        <x:v>1.1207867465</x:v>
      </x:c>
      <x:c r="D21" s="45" t="n">
        <x:f>'数据与来源'!K36</x:f>
        <x:v>1.52426997524</x:v>
      </x:c>
      <x:c r="E21" s="45" t="n">
        <x:f>'数据与来源'!K37</x:f>
        <x:v>1.90533746905</x:v>
      </x:c>
      <x:c r="F21" s="45" t="n">
        <x:f>'数据与来源'!K38</x:f>
        <x:v>2.9140455409</x:v>
      </x:c>
      <x:c r="G21" s="36" t="str">
        <x:v>五年累计84.25亿元</x:v>
      </x:c>
      <x:c r="H21" s="2"/>
      <x:c r="I21" s="2"/>
      <x:c r="J21" s="2"/>
      <x:c r="K21" s="2"/>
      <x:c r="L21" s="2"/>
      <x:c r="M21" s="2"/>
      <x:c r="N21" s="2"/>
      <x:c r="O21" s="2"/>
    </x:row>
    <x:row r="22">
      <x:c r="A22" s="25" t="str">
        <x:v>派息率</x:v>
      </x:c>
      <x:c r="B22" s="30" t="n">
        <x:f>B21/B10</x:f>
        <x:v>0.26821202870618394</x:v>
      </x:c>
      <x:c r="C22" s="30" t="n">
        <x:f>C21/C10</x:f>
        <x:v>0.2811713638589741</x:v>
      </x:c>
      <x:c r="D22" s="30" t="n">
        <x:f>D21/D10</x:f>
        <x:v>0.3342952376044774</x:v>
      </x:c>
      <x:c r="E22" s="30" t="n">
        <x:f>E21/E10</x:f>
        <x:v>0.35669700495404977</x:v>
      </x:c>
      <x:c r="F22" s="30" t="n">
        <x:f>F21/F10</x:f>
        <x:v>0.5377371424388174</x:v>
      </x:c>
      <x:c r="G22" s="36" t="str">
        <x:v>2025升至53.8%</x:v>
      </x:c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12" t="str">
        <x:v>2026H1同比（重述口径）</x:v>
      </x:c>
      <x:c r="B25" s="13" t="str">
        <x:v>2026H1同比（重述口径）</x:v>
      </x:c>
      <x:c r="C25" s="13" t="str">
        <x:v>2026H1同比（重述口径）</x:v>
      </x:c>
      <x:c r="D25" s="14" t="str">
        <x:v>2026H1同比（重述口径）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1" t="str">
        <x:v>指标</x:v>
      </x:c>
      <x:c r="B26" s="22" t="str">
        <x:v>2025H1重述</x:v>
      </x:c>
      <x:c r="C26" s="22" t="str">
        <x:v>2026H1</x:v>
      </x:c>
      <x:c r="D26" s="23" t="str">
        <x:v>同比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5" t="str">
        <x:v>营业收入</x:v>
      </x:c>
      <x:c r="B27" s="45" t="n">
        <x:f>'数据与来源'!B39</x:f>
        <x:v>19.94231352435</x:v>
      </x:c>
      <x:c r="C27" s="45" t="n">
        <x:f>'数据与来源'!B40</x:f>
        <x:v>23.92290400214</x:v>
      </x:c>
      <x:c r="D27" s="30" t="n">
        <x:f>C27/B27-1</x:f>
        <x:v>0.19960525005935814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5" t="str">
        <x:v>归母净利润</x:v>
      </x:c>
      <x:c r="B28" s="45" t="n">
        <x:f>'数据与来源'!C39</x:f>
        <x:v>3.5489573563</x:v>
      </x:c>
      <x:c r="C28" s="45" t="n">
        <x:f>'数据与来源'!C40</x:f>
        <x:v>5.29268283065</x:v>
      </x:c>
      <x:c r="D28" s="30" t="n">
        <x:f>C28/B28-1</x:f>
        <x:v>0.49133458063523694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5" t="str">
        <x:v>扣非归母净利润</x:v>
      </x:c>
      <x:c r="B29" s="45" t="n">
        <x:f>'数据与来源'!D39</x:f>
        <x:v>2.72414926587</x:v>
      </x:c>
      <x:c r="C29" s="45" t="n">
        <x:f>'数据与来源'!D40</x:f>
        <x:v>4.03684090478</x:v>
      </x:c>
      <x:c r="D29" s="30" t="n">
        <x:f>C29/B29-1</x:f>
        <x:v>0.48187214091250286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5" t="str">
        <x:v>经营现金流</x:v>
      </x:c>
      <x:c r="B30" s="45" t="n">
        <x:f>'数据与来源'!E39</x:f>
        <x:v>5.51706009661</x:v>
      </x:c>
      <x:c r="C30" s="45" t="n">
        <x:f>'数据与来源'!E40</x:f>
        <x:v>8.39366397666</x:v>
      </x:c>
      <x:c r="D30" s="30" t="n">
        <x:f>C30/B30-1</x:f>
        <x:v>0.5214015852061411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5" t="str">
        <x:v>资本开支</x:v>
      </x:c>
      <x:c r="B31" s="45" t="n">
        <x:f>'数据与来源'!F39</x:f>
        <x:v>3.43956866623</x:v>
      </x:c>
      <x:c r="C31" s="45" t="n">
        <x:f>'数据与来源'!F40</x:f>
        <x:v>1.65788146316</x:v>
      </x:c>
      <x:c r="D31" s="30" t="n">
        <x:f>C31/B31-1</x:f>
        <x:v>-0.5179972769733507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5" t="str">
        <x:v>自由现金流</x:v>
      </x:c>
      <x:c r="B32" s="44" t="n">
        <x:f>B30-B31</x:f>
        <x:v>2.07749143038</x:v>
      </x:c>
      <x:c r="C32" s="44" t="n">
        <x:f>C30-C31</x:f>
        <x:v>6.735782513499999</x:v>
      </x:c>
      <x:c r="D32" s="30" t="n">
        <x:f>C32/B32-1</x:f>
        <x:v>2.2422672916960904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12" t="str">
        <x:v>分红口径校正</x:v>
      </x:c>
      <x:c r="B35" s="13" t="str">
        <x:v>分红口径校正</x:v>
      </x:c>
      <x:c r="C35" s="13" t="str">
        <x:v>分红口径校正</x:v>
      </x:c>
      <x:c r="D35" s="13" t="str">
        <x:v>分红口径校正</x:v>
      </x:c>
      <x:c r="E35" s="13" t="str">
        <x:v>分红口径校正</x:v>
      </x:c>
      <x:c r="F35" s="13" t="str">
        <x:v>分红口径校正</x:v>
      </x:c>
      <x:c r="G35" s="14" t="str">
        <x:v>分红口径校正</x:v>
      </x:c>
      <x:c r="H35" s="2"/>
      <x:c r="I35" s="2"/>
      <x:c r="J35" s="2"/>
      <x:c r="K35" s="2"/>
      <x:c r="L35" s="2"/>
      <x:c r="M35" s="2"/>
      <x:c r="N35" s="2"/>
      <x:c r="O35" s="2"/>
    </x:row>
    <x:row r="36">
      <x:c r="A36" s="21" t="str">
        <x:v>口径</x:v>
      </x:c>
      <x:c r="B36" s="22" t="str">
        <x:v>利润/分红总额</x:v>
      </x:c>
      <x:c r="C36" s="22" t="str">
        <x:v>股本</x:v>
      </x:c>
      <x:c r="D36" s="22" t="str">
        <x:v>DPS</x:v>
      </x:c>
      <x:c r="E36" s="22" t="str">
        <x:v>现价股息率</x:v>
      </x:c>
      <x:c r="F36" s="22" t="str">
        <x:v>状态</x:v>
      </x:c>
      <x:c r="G36" s="23" t="str">
        <x:v>解释</x:v>
      </x:c>
      <x:c r="H36" s="2"/>
      <x:c r="I36" s="2"/>
      <x:c r="J36" s="2"/>
      <x:c r="K36" s="2"/>
      <x:c r="L36" s="2"/>
      <x:c r="M36" s="2"/>
      <x:c r="N36" s="2"/>
      <x:c r="O36" s="2"/>
    </x:row>
    <x:row r="37">
      <x:c r="A37" s="25" t="str">
        <x:v>2025实际（旧股本）</x:v>
      </x:c>
      <x:c r="B37" s="44" t="n">
        <x:f>'数据与来源'!K38</x:f>
        <x:v>2.9140455409</x:v>
      </x:c>
      <x:c r="C37" s="44" t="n">
        <x:f>'数据与来源'!L38</x:f>
        <x:v>2.241573493</x:v>
      </x:c>
      <x:c r="D37" s="44" t="n">
        <x:f>B37/C37</x:f>
        <x:v>1.3</x:v>
      </x:c>
      <x:c r="E37" s="30" t="n">
        <x:f>D37/'估值系统'!$B$9</x:f>
        <x:v>0.046494992846924176</x:v>
      </x:c>
      <x:c r="F37" s="25" t="str">
        <x:v>已实施</x:v>
      </x:c>
      <x:c r="G37" s="37" t="str">
        <x:v>不能直接当作重组后可持续DPS</x:v>
      </x:c>
      <x:c r="H37" s="2"/>
      <x:c r="I37" s="2"/>
      <x:c r="J37" s="2"/>
      <x:c r="K37" s="2"/>
      <x:c r="L37" s="2"/>
      <x:c r="M37" s="2"/>
      <x:c r="N37" s="2"/>
      <x:c r="O37" s="2"/>
    </x:row>
    <x:row r="38">
      <x:c r="A38" s="46" t="str">
        <x:v>同一现金总额摊薄到新股本</x:v>
      </x:c>
      <x:c r="B38" s="87" t="n">
        <x:f>B37</x:f>
        <x:v>2.9140455409</x:v>
      </x:c>
      <x:c r="C38" s="87" t="n">
        <x:f>'数据与来源'!B11</x:f>
        <x:v>3.126477068</x:v>
      </x:c>
      <x:c r="D38" s="87" t="n">
        <x:f>B38/C38</x:f>
        <x:v>0.9320540267912818</x:v>
      </x:c>
      <x:c r="E38" s="88" t="n">
        <x:f>D38/'估值系统'!$B$9</x:f>
        <x:v>0.03333526562200578</x:v>
      </x:c>
      <x:c r="F38" s="46" t="str">
        <x:v>计算</x:v>
      </x:c>
      <x:c r="G38" s="89" t="str">
        <x:v>若总分红不变，DPS降至约0.93元</x:v>
      </x:c>
      <x:c r="H38" s="2"/>
      <x:c r="I38" s="2"/>
      <x:c r="J38" s="2"/>
      <x:c r="K38" s="2"/>
      <x:c r="L38" s="2"/>
      <x:c r="M38" s="2"/>
      <x:c r="N38" s="2"/>
      <x:c r="O38" s="2"/>
    </x:row>
    <x:row r="39">
      <x:c r="A39" s="90" t="str">
        <x:v>基准利润×40%派息</x:v>
      </x:c>
      <x:c r="B39" s="91" t="n">
        <x:f>'估值系统'!$G$9*0.4</x:f>
        <x:v>3.4000000000000004</x:v>
      </x:c>
      <x:c r="C39" s="91" t="n">
        <x:f>'数据与来源'!B11</x:f>
        <x:v>3.126477068</x:v>
      </x:c>
      <x:c r="D39" s="91" t="n">
        <x:f>B39/C39</x:f>
        <x:v>1.0874859869594287</x:v>
      </x:c>
      <x:c r="E39" s="92" t="n">
        <x:f>D39/'估值系统'!$B$9</x:f>
        <x:v>0.03889434860369916</x:v>
      </x:c>
      <x:c r="F39" s="90" t="str">
        <x:v>假设</x:v>
      </x:c>
      <x:c r="G39" s="93" t="str">
        <x:v>以正常化利润85亿元、派息率40%测算</x:v>
      </x:c>
      <x:c r="H39" s="2"/>
      <x:c r="I39" s="2"/>
      <x:c r="J39" s="2"/>
      <x:c r="K39" s="2"/>
      <x:c r="L39" s="2"/>
      <x:c r="M39" s="2"/>
      <x:c r="N39" s="2"/>
      <x:c r="O39" s="2"/>
    </x:row>
    <x:row r="40">
      <x:c r="A40" s="90" t="str">
        <x:v>基准利润×45%派息</x:v>
      </x:c>
      <x:c r="B40" s="91" t="n">
        <x:f>'估值系统'!$G$9*0.45</x:f>
        <x:v>3.825</x:v>
      </x:c>
      <x:c r="C40" s="91" t="n">
        <x:f>'数据与来源'!B11</x:f>
        <x:v>3.126477068</x:v>
      </x:c>
      <x:c r="D40" s="91" t="n">
        <x:f>B40/C40</x:f>
        <x:v>1.223421735329357</x:v>
      </x:c>
      <x:c r="E40" s="92" t="n">
        <x:f>D40/'估值系统'!$B$9</x:f>
        <x:v>0.04375614217916155</x:v>
      </x:c>
      <x:c r="F40" s="90" t="str">
        <x:v>假设</x:v>
      </x:c>
      <x:c r="G40" s="93" t="str">
        <x:v>以正常化利润85亿元、派息率45%测算</x:v>
      </x:c>
      <x:c r="H40" s="2"/>
      <x:c r="I40" s="2"/>
      <x:c r="J40" s="2"/>
      <x:c r="K40" s="2"/>
      <x:c r="L40" s="2"/>
      <x:c r="M40" s="2"/>
      <x:c r="N40" s="2"/>
      <x:c r="O40" s="2"/>
    </x:row>
    <x:row r="41">
      <x:c r="A41" s="90" t="str">
        <x:v>基准利润×50%派息</x:v>
      </x:c>
      <x:c r="B41" s="91" t="n">
        <x:f>'估值系统'!$G$9*0.5</x:f>
        <x:v>4.25</x:v>
      </x:c>
      <x:c r="C41" s="91" t="n">
        <x:f>'数据与来源'!B11</x:f>
        <x:v>3.126477068</x:v>
      </x:c>
      <x:c r="D41" s="91" t="n">
        <x:f>B41/C41</x:f>
        <x:v>1.3593574836992857</x:v>
      </x:c>
      <x:c r="E41" s="92" t="n">
        <x:f>D41/'估值系统'!$B$9</x:f>
        <x:v>0.04861793575462395</x:v>
      </x:c>
      <x:c r="F41" s="90" t="str">
        <x:v>假设</x:v>
      </x:c>
      <x:c r="G41" s="93" t="str">
        <x:v>以正常化利润85亿元、派息率50%测算</x:v>
      </x:c>
      <x:c r="H41" s="2"/>
      <x:c r="I41" s="2"/>
      <x:c r="J41" s="2"/>
      <x:c r="K41" s="2"/>
      <x:c r="L41" s="2"/>
      <x:c r="M41" s="2"/>
      <x:c r="N41" s="2"/>
      <x:c r="O41" s="2"/>
    </x:row>
    <x:row r="42">
      <x:c r="A42" s="90" t="str">
        <x:v>基准利润×55%派息</x:v>
      </x:c>
      <x:c r="B42" s="91" t="n">
        <x:f>'估值系统'!$G$9*0.55</x:f>
        <x:v>4.675000000000001</x:v>
      </x:c>
      <x:c r="C42" s="91" t="n">
        <x:f>'数据与来源'!B11</x:f>
        <x:v>3.126477068</x:v>
      </x:c>
      <x:c r="D42" s="91" t="n">
        <x:f>B42/C42</x:f>
        <x:v>1.4952932320692145</x:v>
      </x:c>
      <x:c r="E42" s="92" t="n">
        <x:f>D42/'估值系统'!$B$9</x:f>
        <x:v>0.05347972933008635</x:v>
      </x:c>
      <x:c r="F42" s="90" t="str">
        <x:v>假设</x:v>
      </x:c>
      <x:c r="G42" s="93" t="str">
        <x:v>以正常化利润85亿元、派息率55%测算</x:v>
      </x:c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12" t="str">
        <x:v>资产负债与现金安全</x:v>
      </x:c>
      <x:c r="B45" s="13" t="str">
        <x:v>资产负债与现金安全</x:v>
      </x:c>
      <x:c r="C45" s="13" t="str">
        <x:v>资产负债与现金安全</x:v>
      </x:c>
      <x:c r="D45" s="13" t="str">
        <x:v>资产负债与现金安全</x:v>
      </x:c>
      <x:c r="E45" s="13" t="str">
        <x:v>资产负债与现金安全</x:v>
      </x:c>
      <x:c r="F45" s="13" t="str">
        <x:v>资产负债与现金安全</x:v>
      </x:c>
      <x:c r="G45" s="14" t="str">
        <x:v>资产负债与现金安全</x:v>
      </x:c>
      <x:c r="H45" s="2"/>
      <x:c r="I45" s="2"/>
      <x:c r="J45" s="2"/>
      <x:c r="K45" s="2"/>
      <x:c r="L45" s="2"/>
      <x:c r="M45" s="2"/>
      <x:c r="N45" s="2"/>
      <x:c r="O45" s="2"/>
    </x:row>
    <x:row r="46">
      <x:c r="A46" s="21" t="str">
        <x:v>指标</x:v>
      </x:c>
      <x:c r="B46" s="22" t="str">
        <x:v>计算值</x:v>
      </x:c>
      <x:c r="C46" s="22" t="str">
        <x:v>单位</x:v>
      </x:c>
      <x:c r="D46" s="22" t="str">
        <x:v>判断</x:v>
      </x:c>
      <x:c r="E46" s="22" t="str">
        <x:v>口径</x:v>
      </x:c>
      <x:c r="F46" s="22" t="str">
        <x:v>触发条件</x:v>
      </x:c>
      <x:c r="G46" s="23" t="str">
        <x:v>备注</x:v>
      </x:c>
      <x:c r="H46" s="2"/>
      <x:c r="I46" s="2"/>
      <x:c r="J46" s="2"/>
      <x:c r="K46" s="2"/>
      <x:c r="L46" s="2"/>
      <x:c r="M46" s="2"/>
      <x:c r="N46" s="2"/>
      <x:c r="O46" s="2"/>
    </x:row>
    <x:row r="47">
      <x:c r="A47" s="25" t="str">
        <x:v>广义净债务</x:v>
      </x:c>
      <x:c r="B47" s="44" t="n">
        <x:f>'数据与来源'!B14+'数据与来源'!B15+'数据与来源'!B16+'数据与来源'!B17+'数据与来源'!B18-'数据与来源'!B13</x:f>
        <x:v>10.316446816579997</x:v>
      </x:c>
      <x:c r="C47" s="25" t="str">
        <x:v>十亿元</x:v>
      </x:c>
      <x:c r="D47" s="25" t="str">
        <x:v>可控</x:v>
      </x:c>
      <x:c r="E47" s="37" t="str">
        <x:v>含长期应付款、租赁负债</x:v>
      </x:c>
      <x:c r="F47" s="37" t="str">
        <x:v>&gt;180亿元且现金下降</x:v>
      </x:c>
      <x:c r="G47" s="37" t="str">
        <x:v>募集资金使期末现金较高</x:v>
      </x:c>
      <x:c r="H47" s="2"/>
      <x:c r="I47" s="2"/>
      <x:c r="J47" s="2"/>
      <x:c r="K47" s="2"/>
      <x:c r="L47" s="2"/>
      <x:c r="M47" s="2"/>
      <x:c r="N47" s="2"/>
      <x:c r="O47" s="2"/>
    </x:row>
    <x:row r="48">
      <x:c r="A48" s="25" t="str">
        <x:v>流动比率</x:v>
      </x:c>
      <x:c r="B48" s="44" t="n">
        <x:f>'数据与来源'!B20/'数据与来源'!B21</x:f>
        <x:v>77.37535527929737</x:v>
      </x:c>
      <x:c r="C48" s="25" t="str">
        <x:v>倍</x:v>
      </x:c>
      <x:c r="D48" s="25" t="str">
        <x:v>正常</x:v>
      </x:c>
      <x:c r="E48" s="37" t="str">
        <x:v>流动资产/流动负债</x:v>
      </x:c>
      <x:c r="F48" s="37" t="str">
        <x:v>&lt;1.0</x:v>
      </x:c>
      <x:c r="G48" s="37" t="str">
        <x:v>并购后流动负债增加</x:v>
      </x:c>
      <x:c r="H48" s="2"/>
      <x:c r="I48" s="2"/>
      <x:c r="J48" s="2"/>
      <x:c r="K48" s="2"/>
      <x:c r="L48" s="2"/>
      <x:c r="M48" s="2"/>
      <x:c r="N48" s="2"/>
      <x:c r="O48" s="2"/>
    </x:row>
    <x:row r="49">
      <x:c r="A49" s="25" t="str">
        <x:v>H1利息保障倍数</x:v>
      </x:c>
      <x:c r="B49" s="44" t="n">
        <x:f>('数据与来源'!B28+'数据与来源'!B22)/'数据与来源'!B22</x:f>
        <x:v>4.393021240672814</x:v>
      </x:c>
      <x:c r="C49" s="25" t="str">
        <x:v>倍</x:v>
      </x:c>
      <x:c r="D49" s="25" t="str">
        <x:v>充足</x:v>
      </x:c>
      <x:c r="E49" s="37" t="str">
        <x:v>(利润总额+利息)/利息</x:v>
      </x:c>
      <x:c r="F49" s="37" t="str">
        <x:v>&lt;5倍</x:v>
      </x:c>
      <x:c r="G49" s="37" t="str">
        <x:v>周期下行需重测</x:v>
      </x:c>
      <x:c r="H49" s="2"/>
      <x:c r="I49" s="2"/>
      <x:c r="J49" s="2"/>
      <x:c r="K49" s="2"/>
      <x:c r="L49" s="2"/>
      <x:c r="M49" s="2"/>
      <x:c r="N49" s="2"/>
      <x:c r="O49" s="2"/>
    </x:row>
    <x:row r="50">
      <x:c r="A50" s="25" t="str">
        <x:v>五年FCF覆盖分红</x:v>
      </x:c>
      <x:c r="B50" s="50" t="n">
        <x:f>SUM(B14:F14)/SUM(B21:F21)</x:f>
        <x:v>1.0765557265991224</x:v>
      </x:c>
      <x:c r="C50" s="25" t="str">
        <x:v>倍</x:v>
      </x:c>
      <x:c r="D50" s="25" t="str">
        <x:v>刚好覆盖</x:v>
      </x:c>
      <x:c r="E50" s="37" t="str">
        <x:v>累计FCF/累计现金分红</x:v>
      </x:c>
      <x:c r="F50" s="37" t="str">
        <x:v>&lt;0.8倍</x:v>
      </x:c>
      <x:c r="G50" s="37" t="str">
        <x:v>资本开支高，单年覆盖并不稳定</x:v>
      </x:c>
      <x:c r="H50" s="2"/>
      <x:c r="I50" s="2"/>
      <x:c r="J50" s="2"/>
      <x:c r="K50" s="2"/>
      <x:c r="L50" s="2"/>
      <x:c r="M50" s="2"/>
      <x:c r="N50" s="2"/>
      <x:c r="O50" s="2"/>
    </x:row>
    <x:row r="51">
      <x:c r="A51" s="25" t="str">
        <x:v>少数股东损益占比</x:v>
      </x:c>
      <x:c r="B51" s="30" t="n">
        <x:f>'数据与来源'!B29/'数据与来源'!B28</x:f>
        <x:v>0.1748021878748133</x:v>
      </x:c>
      <x:c r="C51" s="25" t="str">
        <x:v>%</x:v>
      </x:c>
      <x:c r="D51" s="25" t="str">
        <x:v>需关注</x:v>
      </x:c>
      <x:c r="E51" s="37" t="str">
        <x:v>少数股东损益/合并净利润</x:v>
      </x:c>
      <x:c r="F51" s="37" t="str">
        <x:v>&gt;25%</x:v>
      </x:c>
      <x:c r="G51" s="37" t="str">
        <x:v>铝业51%子公司造成利润外流</x:v>
      </x:c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</x:sheetData>
  <x:mergeCells>
    <x:mergeCell ref="A2:O2"/>
    <x:mergeCell ref="A3:O3"/>
    <x:mergeCell ref="A4:O4"/>
    <x:mergeCell ref="A6:C6"/>
    <x:mergeCell ref="D6:F6"/>
    <x:mergeCell ref="G6:I6"/>
    <x:mergeCell ref="J6:L6"/>
    <x:mergeCell ref="M6:O6"/>
    <x:mergeCell ref="A25:D25"/>
    <x:mergeCell ref="A35:G35"/>
    <x:mergeCell ref="A45:G45"/>
  </x:mergeCells>
  <x:pageMargins left="0.7" right="0.7" top="0.75" bottom="0.75" header="0.3" footer="0.3"/>
  <x:drawing xmlns:r="http://schemas.openxmlformats.org/officeDocument/2006/relationships" r:id="Raa95617f57b84790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28" hidden="0" customWidth="1"/>
    <x:col min="4" max="4" width="12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3" hidden="0" customWidth="1"/>
    <x:col min="10" max="10" width="12" hidden="0" customWidth="1"/>
    <x:col min="11" max="11" width="12" hidden="0" customWidth="1"/>
    <x:col min="12" max="12" width="3" hidden="0" customWidth="1"/>
    <x:col min="13" max="13" width="18" hidden="0" customWidth="1"/>
    <x:col min="14" max="14" width="14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4" t="str">
        <x:v>电投能源多维估值系统</x:v>
      </x:c>
      <x:c r="B2" s="4" t="str">
        <x:v>电投能源多维估值系统</x:v>
      </x:c>
      <x:c r="C2" s="4" t="str">
        <x:v>电投能源多维估值系统</x:v>
      </x:c>
      <x:c r="D2" s="4" t="str">
        <x:v>电投能源多维估值系统</x:v>
      </x:c>
      <x:c r="E2" s="4" t="str">
        <x:v>电投能源多维估值系统</x:v>
      </x:c>
      <x:c r="F2" s="4" t="str">
        <x:v>电投能源多维估值系统</x:v>
      </x:c>
      <x:c r="G2" s="4" t="str">
        <x:v>电投能源多维估值系统</x:v>
      </x:c>
      <x:c r="H2" s="4" t="str">
        <x:v>电投能源多维估值系统</x:v>
      </x:c>
      <x:c r="I2" s="4" t="str">
        <x:v>电投能源多维估值系统</x:v>
      </x:c>
      <x:c r="J2" s="4" t="str">
        <x:v>电投能源多维估值系统</x:v>
      </x:c>
      <x:c r="K2" s="4" t="str">
        <x:v>电投能源多维估值系统</x:v>
      </x:c>
      <x:c r="L2" s="4" t="str">
        <x:v>电投能源多维估值系统</x:v>
      </x:c>
      <x:c r="M2" s="4" t="str">
        <x:v>电投能源多维估值系统</x:v>
      </x:c>
      <x:c r="N2" s="4" t="str">
        <x:v>电投能源多维估值系统</x:v>
      </x:c>
      <x:c r="O2" s="4" t="str">
        <x:v>电投能源多维估值系统</x:v>
      </x:c>
      <x:c r="P2" s="4" t="str">
        <x:v>电投能源多维估值系统</x:v>
      </x:c>
      <x:c r="Q2" s="4" t="str">
        <x:v>电投能源多维估值系统</x:v>
      </x:c>
    </x:row>
    <x:row r="3">
      <x:c r="A3" s="6" t="str">
        <x:v>周期股采用中周期利润；方法不机械平均；蓝字/浅黄为可编辑分析假设</x:v>
      </x:c>
      <x:c r="B3" s="6" t="str">
        <x:v>周期股采用中周期利润；方法不机械平均；蓝字/浅黄为可编辑分析假设</x:v>
      </x:c>
      <x:c r="C3" s="6" t="str">
        <x:v>周期股采用中周期利润；方法不机械平均；蓝字/浅黄为可编辑分析假设</x:v>
      </x:c>
      <x:c r="D3" s="6" t="str">
        <x:v>周期股采用中周期利润；方法不机械平均；蓝字/浅黄为可编辑分析假设</x:v>
      </x:c>
      <x:c r="E3" s="6" t="str">
        <x:v>周期股采用中周期利润；方法不机械平均；蓝字/浅黄为可编辑分析假设</x:v>
      </x:c>
      <x:c r="F3" s="6" t="str">
        <x:v>周期股采用中周期利润；方法不机械平均；蓝字/浅黄为可编辑分析假设</x:v>
      </x:c>
      <x:c r="G3" s="6" t="str">
        <x:v>周期股采用中周期利润；方法不机械平均；蓝字/浅黄为可编辑分析假设</x:v>
      </x:c>
      <x:c r="H3" s="6" t="str">
        <x:v>周期股采用中周期利润；方法不机械平均；蓝字/浅黄为可编辑分析假设</x:v>
      </x:c>
      <x:c r="I3" s="6" t="str">
        <x:v>周期股采用中周期利润；方法不机械平均；蓝字/浅黄为可编辑分析假设</x:v>
      </x:c>
      <x:c r="J3" s="6" t="str">
        <x:v>周期股采用中周期利润；方法不机械平均；蓝字/浅黄为可编辑分析假设</x:v>
      </x:c>
      <x:c r="K3" s="6" t="str">
        <x:v>周期股采用中周期利润；方法不机械平均；蓝字/浅黄为可编辑分析假设</x:v>
      </x:c>
      <x:c r="L3" s="6" t="str">
        <x:v>周期股采用中周期利润；方法不机械平均；蓝字/浅黄为可编辑分析假设</x:v>
      </x:c>
      <x:c r="M3" s="6" t="str">
        <x:v>周期股采用中周期利润；方法不机械平均；蓝字/浅黄为可编辑分析假设</x:v>
      </x:c>
      <x:c r="N3" s="6" t="str">
        <x:v>周期股采用中周期利润；方法不机械平均；蓝字/浅黄为可编辑分析假设</x:v>
      </x:c>
      <x:c r="O3" s="6" t="str">
        <x:v>周期股采用中周期利润；方法不机械平均；蓝字/浅黄为可编辑分析假设</x:v>
      </x:c>
      <x:c r="P3" s="6" t="str">
        <x:v>周期股采用中周期利润；方法不机械平均；蓝字/浅黄为可编辑分析假设</x:v>
      </x:c>
      <x:c r="Q3" s="6" t="str">
        <x:v>周期股采用中周期利润；方法不机械平均；蓝字/浅黄为可编辑分析假设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39" t="str">
        <x:v>情景选择器</x:v>
      </x:c>
      <x:c r="B5" s="41" t="n">
        <x:v>2</x:v>
      </x:c>
      <x:c r="C5" s="43" t="str">
        <x:f>CHOOSE($B$5,"悲观","基准","乐观")</x:f>
        <x:v>基准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12" t="str">
        <x:v>市场输入与口径校正</x:v>
      </x:c>
      <x:c r="B7" s="13" t="str">
        <x:v>市场输入与口径校正</x:v>
      </x:c>
      <x:c r="C7" s="14" t="str">
        <x:v>市场输入与口径校正</x:v>
      </x:c>
      <x:c r="D7" s="2"/>
      <x:c r="E7" s="12" t="str">
        <x:v>三情景估值</x:v>
      </x:c>
      <x:c r="F7" s="13" t="str">
        <x:v>三情景估值</x:v>
      </x:c>
      <x:c r="G7" s="13" t="str">
        <x:v>三情景估值</x:v>
      </x:c>
      <x:c r="H7" s="14" t="str">
        <x:v>三情景估值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1" t="str">
        <x:v>项目</x:v>
      </x:c>
      <x:c r="B8" s="22" t="str">
        <x:v>数值</x:v>
      </x:c>
      <x:c r="C8" s="23" t="str">
        <x:v>说明</x:v>
      </x:c>
      <x:c r="D8" s="2"/>
      <x:c r="E8" s="21" t="str">
        <x:v>驱动/结果</x:v>
      </x:c>
      <x:c r="F8" s="22" t="str">
        <x:v>悲观</x:v>
      </x:c>
      <x:c r="G8" s="22" t="str">
        <x:v>基准</x:v>
      </x:c>
      <x:c r="H8" s="23" t="str">
        <x:v>乐观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5" t="str">
        <x:v>当前股价</x:v>
      </x:c>
      <x:c r="B9" s="45" t="n">
        <x:f>'数据与来源'!B10</x:f>
        <x:v>27.96</x:v>
      </x:c>
      <x:c r="C9" s="37" t="str">
        <x:v>2026-10-20收盘</x:v>
      </x:c>
      <x:c r="D9" s="2"/>
      <x:c r="E9" s="25" t="str">
        <x:v>正常化归母净利润</x:v>
      </x:c>
      <x:c r="F9" s="48" t="n">
        <x:v>6.5</x:v>
      </x:c>
      <x:c r="G9" s="48" t="n">
        <x:v>8.5</x:v>
      </x:c>
      <x:c r="H9" s="48" t="n">
        <x:v>10.5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5" t="str">
        <x:v>当前总股本</x:v>
      </x:c>
      <x:c r="B10" s="45" t="n">
        <x:f>'数据与来源'!B11</x:f>
        <x:v>3.126477068</x:v>
      </x:c>
      <x:c r="C10" s="37" t="str">
        <x:v>重组及配套融资后</x:v>
      </x:c>
      <x:c r="D10" s="2"/>
      <x:c r="E10" s="25" t="str">
        <x:v>PE倍数</x:v>
      </x:c>
      <x:c r="F10" s="48" t="n">
        <x:v>8</x:v>
      </x:c>
      <x:c r="G10" s="48" t="n">
        <x:v>10</x:v>
      </x:c>
      <x:c r="H10" s="48" t="n">
        <x:v>11.5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5" t="str">
        <x:v>当前市值</x:v>
      </x:c>
      <x:c r="B11" s="44" t="n">
        <x:f>B9*B10</x:f>
        <x:v>87.41629882128</x:v>
      </x:c>
      <x:c r="C11" s="37" t="str">
        <x:v>股价×期末股本</x:v>
      </x:c>
      <x:c r="D11" s="2"/>
      <x:c r="E11" s="25" t="str">
        <x:v>PE估值</x:v>
      </x:c>
      <x:c r="F11" s="31" t="n">
        <x:f>F9*F10/$B$10</x:f>
        <x:v>16.63213862408538</x:v>
      </x:c>
      <x:c r="G11" s="31" t="n">
        <x:f>G9*G10/$B$10</x:f>
        <x:v>27.18714967398571</x:v>
      </x:c>
      <x:c r="H11" s="31" t="n">
        <x:f>H9*H10/$B$10</x:f>
        <x:v>38.62174497804441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5" t="str">
        <x:v>归母净资产</x:v>
      </x:c>
      <x:c r="B12" s="45" t="n">
        <x:f>'数据与来源'!B12</x:f>
        <x:v>52.84468406353</x:v>
      </x:c>
      <x:c r="C12" s="37" t="str">
        <x:v>2026-06-30归母</x:v>
      </x:c>
      <x:c r="D12" s="2"/>
      <x:c r="E12" s="25" t="str">
        <x:v>所有者收益</x:v>
      </x:c>
      <x:c r="F12" s="48" t="n">
        <x:v>6</x:v>
      </x:c>
      <x:c r="G12" s="48" t="n">
        <x:v>8</x:v>
      </x:c>
      <x:c r="H12" s="48" t="n">
        <x:v>9.5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5" t="str">
        <x:v>BVPS</x:v>
      </x:c>
      <x:c r="B13" s="44" t="n">
        <x:f>B12/B10</x:f>
        <x:v>16.90230982481974</x:v>
      </x:c>
      <x:c r="C13" s="37" t="str">
        <x:v>净资产/期末股本</x:v>
      </x:c>
      <x:c r="D13" s="2"/>
      <x:c r="E13" s="25" t="str">
        <x:v>股权成本Ke</x:v>
      </x:c>
      <x:c r="F13" s="49" t="n">
        <x:v>0.11</x:v>
      </x:c>
      <x:c r="G13" s="49" t="n">
        <x:v>0.1</x:v>
      </x:c>
      <x:c r="H13" s="49" t="n">
        <x:v>0.09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5" t="str">
        <x:v>当前PB</x:v>
      </x:c>
      <x:c r="B14" s="44" t="n">
        <x:f>B9/B13</x:f>
        <x:v>1.6542117787323303</x:v>
      </x:c>
      <x:c r="C14" s="37" t="str">
        <x:v>当前股价/BVPS</x:v>
      </x:c>
      <x:c r="D14" s="2"/>
      <x:c r="E14" s="25" t="str">
        <x:v>永续增长g</x:v>
      </x:c>
      <x:c r="F14" s="49" t="n">
        <x:v>0</x:v>
      </x:c>
      <x:c r="G14" s="49" t="n">
        <x:v>0.01</x:v>
      </x:c>
      <x:c r="H14" s="49" t="n">
        <x:v>0.02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5" t="str">
        <x:v>H1经济口径年化EPS</x:v>
      </x:c>
      <x:c r="B15" s="45" t="n">
        <x:f>'数据与来源'!C40*2/B10</x:f>
        <x:v>3.3857167127956687</x:v>
      </x:c>
      <x:c r="C15" s="37" t="str">
        <x:v>归母利润含同控并购日前经营利润</x:v>
      </x:c>
      <x:c r="D15" s="2"/>
      <x:c r="E15" s="25" t="str">
        <x:v>所有者收益估值</x:v>
      </x:c>
      <x:c r="F15" s="31" t="n">
        <x:f>F12*(1+F14)/(F13-F14)/$B$10</x:f>
        <x:v>17.446299256033612</x:v>
      </x:c>
      <x:c r="G15" s="31" t="n">
        <x:f>G12*(1+G14)/(G13-G14)/$B$10</x:f>
        <x:v>28.715316256967913</x:v>
      </x:c>
      <x:c r="H15" s="31" t="n">
        <x:f>H12*(1+H14)/(H13-H14)/$B$10</x:f>
        <x:v>44.276215183348164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5" t="str">
        <x:v>H1扣非口径年化EPS</x:v>
      </x:c>
      <x:c r="B16" s="45" t="n">
        <x:f>'数据与来源'!D40*2/B10</x:f>
        <x:v>2.582357597372277</x:v>
      </x:c>
      <x:c r="C16" s="37" t="str">
        <x:v>会计扣非排除了并购日前利润</x:v>
      </x:c>
      <x:c r="D16" s="2"/>
      <x:c r="E16" s="25" t="str">
        <x:v>可持续ROE</x:v>
      </x:c>
      <x:c r="F16" s="49" t="n">
        <x:v>0.1</x:v>
      </x:c>
      <x:c r="G16" s="49" t="n">
        <x:v>0.13</x:v>
      </x:c>
      <x:c r="H16" s="49" t="n">
        <x:v>0.16</x:v>
      </x:c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5" t="str">
        <x:v>PB模型股权成本</x:v>
      </x:c>
      <x:c r="F17" s="49" t="n">
        <x:v>0.105</x:v>
      </x:c>
      <x:c r="G17" s="49" t="n">
        <x:v>0.095</x:v>
      </x:c>
      <x:c r="H17" s="49" t="n">
        <x:v>0.09</x:v>
      </x:c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5" t="str">
        <x:v>PB模型永续增长</x:v>
      </x:c>
      <x:c r="F18" s="49" t="n">
        <x:v>0</x:v>
      </x:c>
      <x:c r="G18" s="49" t="n">
        <x:v>0.015</x:v>
      </x:c>
      <x:c r="H18" s="49" t="n">
        <x:v>0.025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5" t="str">
        <x:v>合理PB</x:v>
      </x:c>
      <x:c r="F19" s="50" t="n">
        <x:f>(F16-F18)/(F17-F18)</x:f>
        <x:v>0.9523809523809524</x:v>
      </x:c>
      <x:c r="G19" s="50" t="n">
        <x:f>(G16-G18)/(G17-G18)</x:f>
        <x:v>1.4375</x:v>
      </x:c>
      <x:c r="H19" s="50" t="n">
        <x:f>(H16-H18)/(H17-H18)</x:f>
        <x:v>2.076923076923077</x:v>
      </x:c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5" t="str">
        <x:v>PB-ROE估值</x:v>
      </x:c>
      <x:c r="F20" s="31" t="n">
        <x:f>F19*$B$13</x:f>
        <x:v>16.097437928399753</x:v>
      </x:c>
      <x:c r="G20" s="31" t="n">
        <x:f>G19*$B$13</x:f>
        <x:v>24.297070373178375</x:v>
      </x:c>
      <x:c r="H20" s="31" t="n">
        <x:f>H19*$B$13</x:f>
        <x:v>35.10479732847177</x:v>
      </x:c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2"/>
      <x:c r="D21" s="2"/>
      <x:c r="E21" s="25" t="str">
        <x:v>SOTP估值</x:v>
      </x:c>
      <x:c r="F21" s="31" t="n">
        <x:f>F38</x:f>
        <x:v>13.193763812375419</x:v>
      </x:c>
      <x:c r="G21" s="31" t="n">
        <x:f>H38</x:f>
        <x:v>26.899285736261156</x:v>
      </x:c>
      <x:c r="H21" s="31" t="n">
        <x:f>J38</x:f>
        <x:v>39.693238524019144</x:v>
      </x:c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"/>
      <x:c r="D22" s="2"/>
      <x:c r="E22" s="25" t="str">
        <x:v>情景价值下沿</x:v>
      </x:c>
      <x:c r="F22" s="31" t="n">
        <x:f>MIN(F11,F15,F20,F21)</x:f>
        <x:v>13.193763812375419</x:v>
      </x:c>
      <x:c r="G22" s="51" t="n">
        <x:f>MIN(G11,G15,G20,G21)</x:f>
        <x:v>24.297070373178375</x:v>
      </x:c>
      <x:c r="H22" s="31" t="n">
        <x:f>MIN(H11,H15,H20,H21)</x:f>
        <x:v>35.10479732847177</x:v>
      </x:c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5" t="str">
        <x:v>情景价值上沿</x:v>
      </x:c>
      <x:c r="F23" s="31" t="n">
        <x:f>MAX(F11,F15,F20,F21)</x:f>
        <x:v>17.446299256033612</x:v>
      </x:c>
      <x:c r="G23" s="51" t="n">
        <x:f>MAX(G11,G15,G20,G21)</x:f>
        <x:v>28.715316256967913</x:v>
      </x:c>
      <x:c r="H23" s="31" t="n">
        <x:f>MAX(H11,H15,H20,H21)</x:f>
        <x:v>44.276215183348164</x:v>
      </x:c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5" t="str">
        <x:v>相对区间上沿安全边际</x:v>
      </x:c>
      <x:c r="F24" s="30" t="n">
        <x:f>1-$B$9/F23</x:f>
        <x:v>-0.6026321450568</x:v>
      </x:c>
      <x:c r="G24" s="30" t="n">
        <x:f>1-$B$9/G23</x:f>
        <x:v>0.026303602238217816</x:v>
      </x:c>
      <x:c r="H24" s="30" t="n">
        <x:f>1-$B$9/H23</x:f>
        <x:v>0.36850970923739945</x:v>
      </x:c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12" t="str">
        <x:v>净利润×PE敏感性（元/股）</x:v>
      </x:c>
      <x:c r="B27" s="13" t="str">
        <x:v>净利润×PE敏感性（元/股）</x:v>
      </x:c>
      <x:c r="C27" s="13" t="str">
        <x:v>净利润×PE敏感性（元/股）</x:v>
      </x:c>
      <x:c r="D27" s="14" t="str">
        <x:v>净利润×PE敏感性（元/股）</x:v>
      </x:c>
      <x:c r="E27" s="12" t="str">
        <x:v>分部估值（正常化归母利润×分部倍数）</x:v>
      </x:c>
      <x:c r="F27" s="13" t="str">
        <x:v>分部估值（正常化归母利润×分部倍数）</x:v>
      </x:c>
      <x:c r="G27" s="13" t="str">
        <x:v>分部估值（正常化归母利润×分部倍数）</x:v>
      </x:c>
      <x:c r="H27" s="13" t="str">
        <x:v>分部估值（正常化归母利润×分部倍数）</x:v>
      </x:c>
      <x:c r="I27" s="13" t="str">
        <x:v>分部估值（正常化归母利润×分部倍数）</x:v>
      </x:c>
      <x:c r="J27" s="14" t="str">
        <x:v>分部估值（正常化归母利润×分部倍数）</x:v>
      </x:c>
      <x:c r="K27" s="2"/>
      <x:c r="L27" s="2"/>
      <x:c r="M27" s="2"/>
      <x:c r="N27" s="2"/>
      <x:c r="O27" s="2"/>
      <x:c r="P27" s="2"/>
      <x:c r="Q27" s="2"/>
    </x:row>
    <x:row r="28">
      <x:c r="A28" s="21" t="str">
        <x:v>净利润/PE</x:v>
      </x:c>
      <x:c r="B28" s="22" t="n">
        <x:v>8</x:v>
      </x:c>
      <x:c r="C28" s="22" t="n">
        <x:v>10</x:v>
      </x:c>
      <x:c r="D28" s="23" t="n">
        <x:v>12</x:v>
      </x:c>
      <x:c r="E28" s="64" t="str">
        <x:v>分部</x:v>
      </x:c>
      <x:c r="F28" s="65" t="str">
        <x:v>悲观利润</x:v>
      </x:c>
      <x:c r="G28" s="65" t="str">
        <x:v>悲观倍数</x:v>
      </x:c>
      <x:c r="H28" s="65" t="str">
        <x:v>基准利润</x:v>
      </x:c>
      <x:c r="I28" s="65" t="str">
        <x:v>基准倍数</x:v>
      </x:c>
      <x:c r="J28" s="66" t="str">
        <x:v>乐观利润</x:v>
      </x:c>
      <x:c r="K28" s="74" t="str">
        <x:v>乐观倍数</x:v>
      </x:c>
      <x:c r="L28" s="2"/>
      <x:c r="M28" s="2"/>
      <x:c r="N28" s="2"/>
      <x:c r="O28" s="2"/>
      <x:c r="P28" s="2"/>
      <x:c r="Q28" s="2"/>
    </x:row>
    <x:row r="29">
      <x:c r="A29" s="77" t="n">
        <x:v>7</x:v>
      </x:c>
      <x:c r="B29" s="31" t="n">
        <x:f>$A29*B$28/$B$10</x:f>
        <x:v>17.911533902861176</x:v>
      </x:c>
      <x:c r="C29" s="31" t="n">
        <x:f>$A29*C$28/$B$10</x:f>
        <x:v>22.389417378576468</x:v>
      </x:c>
      <x:c r="D29" s="31" t="n">
        <x:f>$A29*D$28/$B$10</x:f>
        <x:v>26.867300854291763</x:v>
      </x:c>
      <x:c r="E29" s="67" t="str"/>
      <x:c r="F29" s="68" t="str">
        <x:v>十亿元</x:v>
      </x:c>
      <x:c r="G29" s="68" t="str">
        <x:v>倍</x:v>
      </x:c>
      <x:c r="H29" s="68" t="str">
        <x:v>十亿元</x:v>
      </x:c>
      <x:c r="I29" s="68" t="str">
        <x:v>倍</x:v>
      </x:c>
      <x:c r="J29" s="69" t="str">
        <x:v>十亿元</x:v>
      </x:c>
      <x:c r="K29" s="75" t="str">
        <x:v>倍</x:v>
      </x:c>
      <x:c r="L29" s="2"/>
      <x:c r="M29" s="21" t="str">
        <x:v>方法</x:v>
      </x:c>
      <x:c r="N29" s="23" t="str">
        <x:v>基准值</x:v>
      </x:c>
      <x:c r="O29" s="2"/>
      <x:c r="P29" s="2"/>
      <x:c r="Q29" s="2"/>
    </x:row>
    <x:row r="30">
      <x:c r="A30" s="77" t="n">
        <x:v>8</x:v>
      </x:c>
      <x:c r="B30" s="31" t="n">
        <x:f>$A30*B$28/$B$10</x:f>
        <x:v>20.470324460412773</x:v>
      </x:c>
      <x:c r="C30" s="31" t="n">
        <x:f>$A30*C$28/$B$10</x:f>
        <x:v>25.587905575515965</x:v>
      </x:c>
      <x:c r="D30" s="31" t="n">
        <x:f>$A30*D$28/$B$10</x:f>
        <x:v>30.705486690619157</x:v>
      </x:c>
      <x:c r="E30" s="25" t="str">
        <x:v>煤炭</x:v>
      </x:c>
      <x:c r="F30" s="76" t="n">
        <x:v>3</x:v>
      </x:c>
      <x:c r="G30" s="76" t="n">
        <x:v>7.5</x:v>
      </x:c>
      <x:c r="H30" s="76" t="n">
        <x:v>4</x:v>
      </x:c>
      <x:c r="I30" s="76" t="n">
        <x:v>9.5</x:v>
      </x:c>
      <x:c r="J30" s="76" t="n">
        <x:v>4.7</x:v>
      </x:c>
      <x:c r="K30" s="76" t="n">
        <x:v>11</x:v>
      </x:c>
      <x:c r="L30" s="2"/>
      <x:c r="M30" s="25" t="str">
        <x:v>正常化PE</x:v>
      </x:c>
      <x:c r="N30" s="31" t="n">
        <x:f>G11</x:f>
        <x:v>27.18714967398571</x:v>
      </x:c>
      <x:c r="O30" s="2"/>
      <x:c r="P30" s="2"/>
      <x:c r="Q30" s="2"/>
    </x:row>
    <x:row r="31">
      <x:c r="A31" s="77" t="n">
        <x:v>9</x:v>
      </x:c>
      <x:c r="B31" s="31" t="n">
        <x:f>$A31*B$28/$B$10</x:f>
        <x:v>23.02911501796437</x:v>
      </x:c>
      <x:c r="C31" s="31" t="n">
        <x:f>$A31*C$28/$B$10</x:f>
        <x:v>28.78639377245546</x:v>
      </x:c>
      <x:c r="D31" s="31" t="n">
        <x:f>$A31*D$28/$B$10</x:f>
        <x:v>34.54367252694655</x:v>
      </x:c>
      <x:c r="E31" s="25" t="str">
        <x:v>铝业</x:v>
      </x:c>
      <x:c r="F31" s="76" t="n">
        <x:v>2.3</x:v>
      </x:c>
      <x:c r="G31" s="76" t="n">
        <x:v>7.5</x:v>
      </x:c>
      <x:c r="H31" s="76" t="n">
        <x:v>3.6</x:v>
      </x:c>
      <x:c r="I31" s="76" t="n">
        <x:v>10</x:v>
      </x:c>
      <x:c r="J31" s="76" t="n">
        <x:v>4.7</x:v>
      </x:c>
      <x:c r="K31" s="76" t="n">
        <x:v>12</x:v>
      </x:c>
      <x:c r="L31" s="2"/>
      <x:c r="M31" s="25" t="str">
        <x:v>所有者收益</x:v>
      </x:c>
      <x:c r="N31" s="31" t="n">
        <x:f>G15</x:f>
        <x:v>28.715316256967913</x:v>
      </x:c>
      <x:c r="O31" s="2"/>
      <x:c r="P31" s="2"/>
      <x:c r="Q31" s="2"/>
    </x:row>
    <x:row r="32">
      <x:c r="A32" s="77" t="n">
        <x:v>10</x:v>
      </x:c>
      <x:c r="B32" s="31" t="n">
        <x:f>$A32*B$28/$B$10</x:f>
        <x:v>25.587905575515965</x:v>
      </x:c>
      <x:c r="C32" s="31" t="n">
        <x:f>$A32*C$28/$B$10</x:f>
        <x:v>31.984881969394955</x:v>
      </x:c>
      <x:c r="D32" s="31" t="n">
        <x:f>$A32*D$28/$B$10</x:f>
        <x:v>38.38185836327395</x:v>
      </x:c>
      <x:c r="E32" s="25" t="str">
        <x:v>新能源</x:v>
      </x:c>
      <x:c r="F32" s="76" t="n">
        <x:v>0.35</x:v>
      </x:c>
      <x:c r="G32" s="76" t="n">
        <x:v>10</x:v>
      </x:c>
      <x:c r="H32" s="76" t="n">
        <x:v>0.5</x:v>
      </x:c>
      <x:c r="I32" s="76" t="n">
        <x:v>13</x:v>
      </x:c>
      <x:c r="J32" s="76" t="n">
        <x:v>0.7</x:v>
      </x:c>
      <x:c r="K32" s="76" t="n">
        <x:v>15</x:v>
      </x:c>
      <x:c r="L32" s="2"/>
      <x:c r="M32" s="25" t="str">
        <x:v>PB-ROE</x:v>
      </x:c>
      <x:c r="N32" s="31" t="n">
        <x:f>G20</x:f>
        <x:v>24.297070373178375</x:v>
      </x:c>
      <x:c r="O32" s="2"/>
      <x:c r="P32" s="2"/>
      <x:c r="Q32" s="2"/>
    </x:row>
    <x:row r="33">
      <x:c r="A33" s="77" t="n">
        <x:v>11</x:v>
      </x:c>
      <x:c r="B33" s="31" t="n">
        <x:f>$A33*B$28/$B$10</x:f>
        <x:v>28.14669613306756</x:v>
      </x:c>
      <x:c r="C33" s="31" t="n">
        <x:f>$A33*C$28/$B$10</x:f>
        <x:v>35.18337016633445</x:v>
      </x:c>
      <x:c r="D33" s="31" t="n">
        <x:f>$A33*D$28/$B$10</x:f>
        <x:v>42.22004419960134</x:v>
      </x:c>
      <x:c r="E33" s="25" t="str">
        <x:v>火电</x:v>
      </x:c>
      <x:c r="F33" s="76" t="n">
        <x:v>0</x:v>
      </x:c>
      <x:c r="G33" s="76" t="n">
        <x:v>8</x:v>
      </x:c>
      <x:c r="H33" s="76" t="n">
        <x:v>0.4</x:v>
      </x:c>
      <x:c r="I33" s="76" t="n">
        <x:v>9</x:v>
      </x:c>
      <x:c r="J33" s="76" t="n">
        <x:v>0.5</x:v>
      </x:c>
      <x:c r="K33" s="76" t="n">
        <x:v>11</x:v>
      </x:c>
      <x:c r="L33" s="2"/>
      <x:c r="M33" s="25" t="str">
        <x:v>SOTP</x:v>
      </x:c>
      <x:c r="N33" s="31" t="n">
        <x:f>G21</x:f>
        <x:v>26.899285736261156</x:v>
      </x:c>
      <x:c r="O33" s="2"/>
      <x:c r="P33" s="2"/>
      <x:c r="Q33" s="2"/>
    </x:row>
    <x:row r="34">
      <x:c r="A34" s="2"/>
      <x:c r="B34" s="2"/>
      <x:c r="C34" s="2"/>
      <x:c r="D34" s="2"/>
      <x:c r="E34" s="25" t="str">
        <x:v>总部/抵销</x:v>
      </x:c>
      <x:c r="F34" s="76" t="n">
        <x:v>-0.25</x:v>
      </x:c>
      <x:c r="G34" s="76" t="n">
        <x:v>8</x:v>
      </x:c>
      <x:c r="H34" s="76" t="n">
        <x:v>0</x:v>
      </x:c>
      <x:c r="I34" s="76" t="n">
        <x:v>8</x:v>
      </x:c>
      <x:c r="J34" s="76" t="n">
        <x:v>0</x:v>
      </x:c>
      <x:c r="K34" s="76" t="n">
        <x:v>8</x:v>
      </x:c>
      <x:c r="L34" s="2"/>
      <x:c r="M34" s="25" t="str">
        <x:v>当前价格</x:v>
      </x:c>
      <x:c r="N34" s="31" t="n">
        <x:f>$B$9</x:f>
        <x:v>27.96</x:v>
      </x:c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12" t="str">
        <x:v>当前价格隐含条件</x:v>
      </x:c>
      <x:c r="B36" s="13" t="str">
        <x:v>当前价格隐含条件</x:v>
      </x:c>
      <x:c r="C36" s="14" t="str">
        <x:v>当前价格隐含条件</x:v>
      </x:c>
      <x:c r="D36" s="2"/>
      <x:c r="E36" s="25" t="str">
        <x:v>股权价值</x:v>
      </x:c>
      <x:c r="F36" s="44" t="n">
        <x:f>SUMPRODUCT(F30:F34,G30:G34)</x:f>
        <x:v>41.25</x:v>
      </x:c>
      <x:c r="G36" s="44"/>
      <x:c r="H36" s="44" t="n">
        <x:f>SUMPRODUCT(H30:H34,I30:I34)</x:f>
        <x:v>84.1</x:v>
      </x:c>
      <x:c r="I36" s="44"/>
      <x:c r="J36" s="44" t="n">
        <x:f>SUMPRODUCT(J30:J34,K30:K34)</x:f>
        <x:v>124.10000000000001</x:v>
      </x:c>
      <x:c r="K36" s="44"/>
      <x:c r="L36" s="2"/>
      <x:c r="M36" s="2"/>
      <x:c r="N36" s="2"/>
      <x:c r="O36" s="2"/>
      <x:c r="P36" s="2"/>
      <x:c r="Q36" s="2"/>
    </x:row>
    <x:row r="37">
      <x:c r="A37" s="21" t="str">
        <x:v>指标</x:v>
      </x:c>
      <x:c r="B37" s="22" t="str">
        <x:v>计算值</x:v>
      </x:c>
      <x:c r="C37" s="23" t="str">
        <x:v>解释</x:v>
      </x:c>
      <x:c r="D37" s="2"/>
      <x:c r="E37" s="25" t="str">
        <x:v>总股本</x:v>
      </x:c>
      <x:c r="F37" s="44" t="n">
        <x:f>$B$10</x:f>
        <x:v>3.126477068</x:v>
      </x:c>
      <x:c r="G37" s="44"/>
      <x:c r="H37" s="44" t="n">
        <x:f>$B$10</x:f>
        <x:v>3.126477068</x:v>
      </x:c>
      <x:c r="I37" s="44"/>
      <x:c r="J37" s="44" t="n">
        <x:f>$B$10</x:f>
        <x:v>3.126477068</x:v>
      </x:c>
      <x:c r="K37" s="44"/>
      <x:c r="L37" s="2"/>
      <x:c r="M37" s="2"/>
      <x:c r="N37" s="2"/>
      <x:c r="O37" s="2"/>
      <x:c r="P37" s="2"/>
      <x:c r="Q37" s="2"/>
    </x:row>
    <x:row r="38">
      <x:c r="A38" s="25" t="str">
        <x:v>当前PB隐含可持续ROE</x:v>
      </x:c>
      <x:c r="B38" s="30" t="n">
        <x:f>$B$14*(0.095-0.015)+0.015</x:f>
        <x:v>0.1473369422985864</x:v>
      </x:c>
      <x:c r="C38" s="36" t="str">
        <x:v>假设Ke=9.5%、g=1.5%</x:v>
      </x:c>
      <x:c r="D38" s="2"/>
      <x:c r="E38" s="25" t="str">
        <x:v>每股价值</x:v>
      </x:c>
      <x:c r="F38" s="44" t="n">
        <x:f>F36/F37</x:f>
        <x:v>13.193763812375419</x:v>
      </x:c>
      <x:c r="G38" s="44"/>
      <x:c r="H38" s="44" t="n">
        <x:f>H36/H37</x:f>
        <x:v>26.899285736261156</x:v>
      </x:c>
      <x:c r="I38" s="44"/>
      <x:c r="J38" s="44" t="n">
        <x:f>J36/J37</x:f>
        <x:v>39.693238524019144</x:v>
      </x:c>
      <x:c r="K38" s="44"/>
      <x:c r="L38" s="2"/>
      <x:c r="M38" s="2"/>
      <x:c r="N38" s="2"/>
      <x:c r="O38" s="2"/>
      <x:c r="P38" s="2"/>
      <x:c r="Q38" s="2"/>
    </x:row>
    <x:row r="39">
      <x:c r="A39" s="25" t="str">
        <x:v>当前价/基准区间位置</x:v>
      </x:c>
      <x:c r="B39" s="30" t="n">
        <x:f>($B$9-$G$22)/($G$23-$G$22)</x:f>
        <x:v>0.8290461244497157</x:v>
      </x:c>
      <x:c r="C39" s="36" t="str">
        <x:v>0%为下沿，100%为上沿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5" t="str">
        <x:v>基准区间下沿</x:v>
      </x:c>
      <x:c r="B40" s="31" t="n">
        <x:f>$G$22</x:f>
        <x:v>24.297070373178375</x:v>
      </x:c>
      <x:c r="C40" s="36" t="str">
        <x:v>四种方法最小值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5" t="str">
        <x:v>基准区间上沿</x:v>
      </x:c>
      <x:c r="B41" s="31" t="n">
        <x:f>$G$23</x:f>
        <x:v>28.715316256967913</x:v>
      </x:c>
      <x:c r="C41" s="36" t="str">
        <x:v>四种方法最大值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12" t="str">
        <x:v>估值说明与限制</x:v>
      </x:c>
      <x:c r="B45" s="13" t="str">
        <x:v>估值说明与限制</x:v>
      </x:c>
      <x:c r="C45" s="13" t="str">
        <x:v>估值说明与限制</x:v>
      </x:c>
      <x:c r="D45" s="13" t="str">
        <x:v>估值说明与限制</x:v>
      </x:c>
      <x:c r="E45" s="13" t="str">
        <x:v>估值说明与限制</x:v>
      </x:c>
      <x:c r="F45" s="13" t="str">
        <x:v>估值说明与限制</x:v>
      </x:c>
      <x:c r="G45" s="13" t="str">
        <x:v>估值说明与限制</x:v>
      </x:c>
      <x:c r="H45" s="14" t="str">
        <x:v>估值说明与限制</x:v>
      </x:c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38" customHeight="1">
      <x:c r="A46" s="79" t="str">
        <x:v>事实</x:v>
      </x:c>
      <x:c r="B46" s="37" t="str">
        <x:v>2026H1归母净利润52.93亿元，其中12.56亿元因同一控制合并被列为非经常性；它是标的资产并购日前真实经营利润，不等同于补贴。</x:v>
      </x:c>
      <x:c r="C46" s="37"/>
      <x:c r="D46" s="37"/>
      <x:c r="E46" s="37"/>
      <x:c r="F46" s="37"/>
      <x:c r="G46" s="37"/>
      <x:c r="H46" s="37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38" customHeight="1">
      <x:c r="A47" s="79" t="str">
        <x:v>假设</x:v>
      </x:c>
      <x:c r="B47" s="37" t="str">
        <x:v>正常化利润以65/85/105亿元覆盖铝价与煤价周期；基准低于H1经济口径年化105.85亿元。</x:v>
      </x:c>
      <x:c r="C47" s="37"/>
      <x:c r="D47" s="37"/>
      <x:c r="E47" s="37"/>
      <x:c r="F47" s="37"/>
      <x:c r="G47" s="37"/>
      <x:c r="H47" s="37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38" customHeight="1">
      <x:c r="A48" s="79" t="str">
        <x:v>判断</x:v>
      </x:c>
      <x:c r="B48" s="37" t="str">
        <x:v>基准价值区间取四种方法的交集包络，不做平均；当前价格位于区间上半部，安全边际有限。</x:v>
      </x:c>
      <x:c r="C48" s="37"/>
      <x:c r="D48" s="37"/>
      <x:c r="E48" s="37"/>
      <x:c r="F48" s="37"/>
      <x:c r="G48" s="37"/>
      <x:c r="H48" s="37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38" customHeight="1">
      <x:c r="A49" s="79" t="str">
        <x:v>限制</x:v>
      </x:c>
      <x:c r="B49" s="37" t="str">
        <x:v>资源NAV因缺少分矿可采储量、单位成本与复垦现金流而不强算；PB-ROE和所有者收益对长期ROE、折现率高度敏感。</x:v>
      </x:c>
      <x:c r="C49" s="37"/>
      <x:c r="D49" s="37"/>
      <x:c r="E49" s="37"/>
      <x:c r="F49" s="37"/>
      <x:c r="G49" s="37"/>
      <x:c r="H49" s="37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38" customHeight="1">
      <x:c r="A50" s="79" t="str">
        <x:v>更新</x:v>
      </x:c>
      <x:c r="B50" s="37" t="str">
        <x:v>三季报发布后先更新归母利润、铝煤毛利率、期末股本和净债务，再评估正常化利润是否需要调整。</x:v>
      </x:c>
      <x:c r="C50" s="37"/>
      <x:c r="D50" s="37"/>
      <x:c r="E50" s="37"/>
      <x:c r="F50" s="37"/>
      <x:c r="G50" s="37"/>
      <x:c r="H50" s="37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</x:sheetData>
  <x:mergeCells>
    <x:mergeCell ref="A2:Q2"/>
    <x:mergeCell ref="A3:Q3"/>
    <x:mergeCell ref="A7:C7"/>
    <x:mergeCell ref="E7:H7"/>
    <x:mergeCell ref="E27:J27"/>
    <x:mergeCell ref="A27:D27"/>
    <x:mergeCell ref="A36:C36"/>
    <x:mergeCell ref="A45:H45"/>
    <x:mergeCell ref="B46:H46"/>
    <x:mergeCell ref="B47:H47"/>
    <x:mergeCell ref="B48:H48"/>
    <x:mergeCell ref="B49:H49"/>
    <x:mergeCell ref="B50:H50"/>
  </x:mergeCells>
  <x:conditionalFormatting sqref="B29:D3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B5">
      <x:formula1>"1,2,3"</x:formula1>
    </x:dataValidation>
  </x:dataValidations>
  <x:pageMargins left="0.7" right="0.7" top="0.75" bottom="0.75" header="0.3" footer="0.3"/>
  <x:drawing xmlns:r="http://schemas.openxmlformats.org/officeDocument/2006/relationships" r:id="Rc95868f2d780404e"/>
</x:worksheet>
</file>

<file path=xl/worksheets/sheet6.xml><?xml version="1.0" encoding="utf-8"?>
<x:worksheet xmlns:x="http://schemas.openxmlformats.org/spreadsheetml/2006/main">
  <x:sheetPr>
    <x:tabColor rgb="FFC55A1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风险、反证与跟踪</x:v>
      </x:c>
      <x:c r="B2" s="4" t="str">
        <x:v>风险、反证与跟踪</x:v>
      </x:c>
      <x:c r="C2" s="4" t="str">
        <x:v>风险、反证与跟踪</x:v>
      </x:c>
      <x:c r="D2" s="4" t="str">
        <x:v>风险、反证与跟踪</x:v>
      </x:c>
      <x:c r="E2" s="4" t="str">
        <x:v>风险、反证与跟踪</x:v>
      </x:c>
      <x:c r="F2" s="4" t="str">
        <x:v>风险、反证与跟踪</x:v>
      </x:c>
      <x:c r="G2" s="4" t="str">
        <x:v>风险、反证与跟踪</x:v>
      </x:c>
      <x:c r="H2" s="4" t="str">
        <x:v>风险、反证与跟踪</x:v>
      </x:c>
      <x:c r="I2" s="4" t="str">
        <x:v>风险、反证与跟踪</x:v>
      </x:c>
    </x:row>
    <x:row r="3">
      <x:c r="A3" s="6" t="str">
        <x:v>三条永久损失路径：周期顶部误判、关联资本配置失误、能源转型与电价机制长期压低回报</x:v>
      </x:c>
      <x:c r="B3" s="6" t="str">
        <x:v>三条永久损失路径：周期顶部误判、关联资本配置失误、能源转型与电价机制长期压低回报</x:v>
      </x:c>
      <x:c r="C3" s="6" t="str">
        <x:v>三条永久损失路径：周期顶部误判、关联资本配置失误、能源转型与电价机制长期压低回报</x:v>
      </x:c>
      <x:c r="D3" s="6" t="str">
        <x:v>三条永久损失路径：周期顶部误判、关联资本配置失误、能源转型与电价机制长期压低回报</x:v>
      </x:c>
      <x:c r="E3" s="6" t="str">
        <x:v>三条永久损失路径：周期顶部误判、关联资本配置失误、能源转型与电价机制长期压低回报</x:v>
      </x:c>
      <x:c r="F3" s="6" t="str">
        <x:v>三条永久损失路径：周期顶部误判、关联资本配置失误、能源转型与电价机制长期压低回报</x:v>
      </x:c>
      <x:c r="G3" s="6" t="str">
        <x:v>三条永久损失路径：周期顶部误判、关联资本配置失误、能源转型与电价机制长期压低回报</x:v>
      </x:c>
      <x:c r="H3" s="6" t="str">
        <x:v>三条永久损失路径：周期顶部误判、关联资本配置失误、能源转型与电价机制长期压低回报</x:v>
      </x:c>
      <x:c r="I3" s="6" t="str">
        <x:v>三条永久损失路径：周期顶部误判、关联资本配置失误、能源转型与电价机制长期压低回报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1" t="str">
        <x:v>风险路径</x:v>
      </x:c>
      <x:c r="B5" s="22" t="str">
        <x:v>当前证据</x:v>
      </x:c>
      <x:c r="C5" s="22" t="str">
        <x:v>当前值</x:v>
      </x:c>
      <x:c r="D5" s="22" t="str">
        <x:v>触发条件</x:v>
      </x:c>
      <x:c r="E5" s="22" t="str">
        <x:v>后续核查</x:v>
      </x:c>
      <x:c r="F5" s="22" t="str">
        <x:v>频率</x:v>
      </x:c>
      <x:c r="G5" s="22" t="str">
        <x:v>对价值影响</x:v>
      </x:c>
      <x:c r="H5" s="22" t="str">
        <x:v>状态</x:v>
      </x:c>
      <x:c r="I5" s="23" t="str">
        <x:v>备注</x:v>
      </x:c>
    </x:row>
    <x:row r="6" ht="55" customHeight="1">
      <x:c r="A6" s="107" t="str">
        <x:v>铝周期反转</x:v>
      </x:c>
      <x:c r="B6" s="78" t="str">
        <x:v>H1铝业毛利率同比提升16.13个百分点，盈利弹性很大。</x:v>
      </x:c>
      <x:c r="C6" s="97" t="n">
        <x:f>'生意与护城河'!K24</x:f>
        <x:v>0.39716548295147114</x:v>
      </x:c>
      <x:c r="D6" s="78" t="str">
        <x:v>毛利率&lt;25%或单季下降&gt;8个百分点</x:v>
      </x:c>
      <x:c r="E6" s="78" t="str">
        <x:v>铝价、氧化铝价、铝液占比、子公司净利</x:v>
      </x:c>
      <x:c r="F6" s="78" t="str">
        <x:v>季</x:v>
      </x:c>
      <x:c r="G6" s="78" t="str">
        <x:v>正常化利润下修</x:v>
      </x:c>
      <x:c r="H6" s="98" t="str">
        <x:v>重点关注</x:v>
      </x:c>
      <x:c r="I6" s="78" t="str">
        <x:v>当前高利润不可线性外推</x:v>
      </x:c>
    </x:row>
    <x:row r="7" ht="55" customHeight="1">
      <x:c r="A7" s="107" t="str">
        <x:v>煤价与销量下降</x:v>
      </x:c>
      <x:c r="B7" s="78" t="str">
        <x:v>煤炭是主要利润来源，仍无定价权。</x:v>
      </x:c>
      <x:c r="C7" s="97" t="n">
        <x:f>'生意与护城河'!K23</x:f>
        <x:v>0.5844746785984831</x:v>
      </x:c>
      <x:c r="D7" s="78" t="str">
        <x:v>毛利率&lt;45%或销量同比-5%</x:v>
      </x:c>
      <x:c r="E7" s="78" t="str">
        <x:v>吨煤售价、成本、长协比例、铁路运力</x:v>
      </x:c>
      <x:c r="F7" s="78" t="str">
        <x:v>季</x:v>
      </x:c>
      <x:c r="G7" s="78" t="str">
        <x:v>利润与现金流同步下降</x:v>
      </x:c>
      <x:c r="H7" s="98" t="str">
        <x:v>关注</x:v>
      </x:c>
      <x:c r="I7" s="78" t="str">
        <x:v>低成本是缓冲，不是免疫</x:v>
      </x:c>
    </x:row>
    <x:row r="8" ht="55" customHeight="1">
      <x:c r="A8" s="107" t="str">
        <x:v>新能源电价与消纳</x:v>
      </x:c>
      <x:c r="B8" s="78" t="str">
        <x:v>内蒙古装机增长快，负电价和限电压力增加。</x:v>
      </x:c>
      <x:c r="C8" s="78" t="str">
        <x:v>蒙东负电价时段46.4%</x:v>
      </x:c>
      <x:c r="D8" s="78" t="str">
        <x:v>利用小时或实现电价同比-10%</x:v>
      </x:c>
      <x:c r="E8" s="78" t="str">
        <x:v>限电率、利用小时、市场化电价</x:v>
      </x:c>
      <x:c r="F8" s="78" t="str">
        <x:v>季</x:v>
      </x:c>
      <x:c r="G8" s="78" t="str">
        <x:v>新能源估值倍数下修</x:v>
      </x:c>
      <x:c r="H8" s="98" t="str">
        <x:v>重点关注</x:v>
      </x:c>
      <x:c r="I8" s="78" t="str">
        <x:v>税收优惠终止亦增压</x:v>
      </x:c>
    </x:row>
    <x:row r="9" ht="55" customHeight="1">
      <x:c r="A9" s="107" t="str">
        <x:v>重组摊薄与承诺兑现</x:v>
      </x:c>
      <x:c r="B9" s="78" t="str">
        <x:v>总股本增加39.5%，关联收购评估增值46%。</x:v>
      </x:c>
      <x:c r="C9" s="97" t="n">
        <x:f>('数据与来源'!B82/'数据与来源'!B81)-1</x:f>
        <x:v>0.3947689325214552</x:v>
      </x:c>
      <x:c r="D9" s="78" t="str">
        <x:v>业绩承诺未完成；每股利润两年不增厚</x:v>
      </x:c>
      <x:c r="E9" s="78" t="str">
        <x:v>标的利润、现金流、每股指标、补偿进展</x:v>
      </x:c>
      <x:c r="F9" s="78" t="str">
        <x:v>年</x:v>
      </x:c>
      <x:c r="G9" s="78" t="str">
        <x:v>每股价值永久受损</x:v>
      </x:c>
      <x:c r="H9" s="98" t="str">
        <x:v>重点关注</x:v>
      </x:c>
      <x:c r="I9" s="78" t="str">
        <x:v>规模增长不等于每股价值增长</x:v>
      </x:c>
    </x:row>
    <x:row r="10" ht="55" customHeight="1">
      <x:c r="A10" s="107" t="str">
        <x:v>资本开支吞噬现金</x:v>
      </x:c>
      <x:c r="B10" s="78" t="str">
        <x:v>五年累计FCF/归母净利润约40%。</x:v>
      </x:c>
      <x:c r="C10" s="97" t="n">
        <x:f>'财务与分红'!J6</x:f>
        <x:v>0.3962756223363062</x:v>
      </x:c>
      <x:c r="D10" s="78" t="str">
        <x:v>连续2年FCF&lt;0且广义净债务上升</x:v>
      </x:c>
      <x:c r="E10" s="78" t="str">
        <x:v>资本开支、在建工程、净债务、项目ROIC</x:v>
      </x:c>
      <x:c r="F10" s="78" t="str">
        <x:v>半年</x:v>
      </x:c>
      <x:c r="G10" s="78" t="str">
        <x:v>分红下降、估值折价</x:v>
      </x:c>
      <x:c r="H10" s="98" t="str">
        <x:v>关注</x:v>
      </x:c>
      <x:c r="I10" s="78" t="str">
        <x:v>扩张期尤其重要</x:v>
      </x:c>
    </x:row>
    <x:row r="11" ht="55" customHeight="1">
      <x:c r="A11" s="107" t="str">
        <x:v>分红基数误判</x:v>
      </x:c>
      <x:c r="B11" s="78" t="str">
        <x:v>2025年1.30元DPS基于重组前22.42亿股。</x:v>
      </x:c>
      <x:c r="C11" s="106" t="n">
        <x:f>'财务与分红'!D38</x:f>
        <x:v>0.9320540267912818</x:v>
      </x:c>
      <x:c r="D11" s="78" t="str">
        <x:v>派息率&lt;40%或同额摊薄后仍当作预测</x:v>
      </x:c>
      <x:c r="E11" s="78" t="str">
        <x:v>年度分红总额、期末股本、派息率</x:v>
      </x:c>
      <x:c r="F11" s="78" t="str">
        <x:v>年</x:v>
      </x:c>
      <x:c r="G11" s="78" t="str">
        <x:v>红利属性弱于量化显示</x:v>
      </x:c>
      <x:c r="H11" s="98" t="str">
        <x:v>重点关注</x:v>
      </x:c>
      <x:c r="I11" s="78" t="str">
        <x:v>同额摊薄DPS约0.93元</x:v>
      </x:c>
    </x:row>
    <x:row r="12" ht="55" customHeight="1">
      <x:c r="A12" s="107" t="str">
        <x:v>关联交易与治理</x:v>
      </x:c>
      <x:c r="B12" s="78" t="str">
        <x:v>控股集团相关方持股约62.75%，资源注入能力与定价风险并存。</x:v>
      </x:c>
      <x:c r="C12" s="78" t="str">
        <x:v>约62.75%</x:v>
      </x:c>
      <x:c r="D12" s="78" t="str">
        <x:v>新增高溢价关联收购且缺少每股增厚证据</x:v>
      </x:c>
      <x:c r="E12" s="78" t="str">
        <x:v>董事会意见、评估假设、关联交易占比</x:v>
      </x:c>
      <x:c r="F12" s="78" t="str">
        <x:v>事件</x:v>
      </x:c>
      <x:c r="G12" s="78" t="str">
        <x:v>资本配置折价</x:v>
      </x:c>
      <x:c r="H12" s="98" t="str">
        <x:v>关注</x:v>
      </x:c>
      <x:c r="I12" s="78" t="str">
        <x:v>未发现诚信一票否决事实</x:v>
      </x:c>
    </x:row>
    <x:row r="13" ht="55" customHeight="1">
      <x:c r="A13" s="107" t="str">
        <x:v>煤电转型与碳成本</x:v>
      </x:c>
      <x:c r="B13" s="78" t="str">
        <x:v>火电利用小时承压，容量电价缓冲固定成本。</x:v>
      </x:c>
      <x:c r="C13" s="78" t="str">
        <x:v>容量电价165元/kW年</x:v>
      </x:c>
      <x:c r="D13" s="78" t="str">
        <x:v>火电毛利转负或碳成本显著上升</x:v>
      </x:c>
      <x:c r="E13" s="78" t="str">
        <x:v>容量电费、辅助服务、碳履约成本</x:v>
      </x:c>
      <x:c r="F13" s="78" t="str">
        <x:v>半年</x:v>
      </x:c>
      <x:c r="G13" s="78" t="str">
        <x:v>火电资产减值</x:v>
      </x:c>
      <x:c r="H13" s="98" t="str">
        <x:v>关注</x:v>
      </x:c>
      <x:c r="I13" s="78" t="str">
        <x:v>火电从电量盈利转向调节服务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12" t="str">
        <x:v>持有/卖出四项检验</x:v>
      </x:c>
      <x:c r="B16" s="13" t="str">
        <x:v>持有/卖出四项检验</x:v>
      </x:c>
      <x:c r="C16" s="13" t="str">
        <x:v>持有/卖出四项检验</x:v>
      </x:c>
      <x:c r="D16" s="13" t="str">
        <x:v>持有/卖出四项检验</x:v>
      </x:c>
      <x:c r="E16" s="13" t="str">
        <x:v>持有/卖出四项检验</x:v>
      </x:c>
      <x:c r="F16" s="13" t="str">
        <x:v>持有/卖出四项检验</x:v>
      </x:c>
      <x:c r="G16" s="13" t="str">
        <x:v>持有/卖出四项检验</x:v>
      </x:c>
      <x:c r="H16" s="13" t="str">
        <x:v>持有/卖出四项检验</x:v>
      </x:c>
      <x:c r="I16" s="14" t="str">
        <x:v>持有/卖出四项检验</x:v>
      </x:c>
    </x:row>
    <x:row r="17">
      <x:c r="A17" s="21" t="str">
        <x:v>检验</x:v>
      </x:c>
      <x:c r="B17" s="22" t="str">
        <x:v>目前判断</x:v>
      </x:c>
      <x:c r="C17" s="22" t="str">
        <x:v>需要改变判断的事实</x:v>
      </x:c>
      <x:c r="D17" s="22"/>
      <x:c r="E17" s="22"/>
      <x:c r="F17" s="22" t="str">
        <x:v>行动</x:v>
      </x:c>
      <x:c r="G17" s="22"/>
      <x:c r="H17" s="22"/>
      <x:c r="I17" s="23"/>
    </x:row>
    <x:row r="18" ht="40" customHeight="1">
      <x:c r="A18" s="78" t="str">
        <x:v>价格是否过高</x:v>
      </x:c>
      <x:c r="B18" s="78" t="str">
        <x:v>未明显过高，但接近基准上沿。</x:v>
      </x:c>
      <x:c r="C18" s="78" t="str">
        <x:v>价格高于35元且正常化利润未上修。</x:v>
      </x:c>
      <x:c r="D18" s="78"/>
      <x:c r="E18" s="78"/>
      <x:c r="F18" s="78" t="str">
        <x:v>重新估值，不以历史高点为锚。</x:v>
      </x:c>
      <x:c r="G18" s="78"/>
      <x:c r="H18" s="78"/>
      <x:c r="I18" s="78"/>
    </x:row>
    <x:row r="19" ht="40" customHeight="1">
      <x:c r="A19" s="78" t="str">
        <x:v>生意是否恶化</x:v>
      </x:c>
      <x:c r="B19" s="78" t="str">
        <x:v>暂未；煤铝盈利强，新能源承压。</x:v>
      </x:c>
      <x:c r="C19" s="78" t="str">
        <x:v>煤铝毛利同时跌破触发线，ROE连续两年&lt;10%。</x:v>
      </x:c>
      <x:c r="D19" s="78"/>
      <x:c r="E19" s="78"/>
      <x:c r="F19" s="78" t="str">
        <x:v>先判断结构性还是周期性。</x:v>
      </x:c>
      <x:c r="G19" s="78"/>
      <x:c r="H19" s="78"/>
      <x:c r="I19" s="78"/>
    </x:row>
    <x:row r="20" ht="40" customHeight="1">
      <x:c r="A20" s="78" t="str">
        <x:v>诚信是否受损</x:v>
      </x:c>
      <x:c r="B20" s="78" t="str">
        <x:v>未发现一票否决证据。</x:v>
      </x:c>
      <x:c r="C20" s="78" t="str">
        <x:v>重大关联交易信息不透明、承诺未兑现且解释不充分。</x:v>
      </x:c>
      <x:c r="D20" s="78"/>
      <x:c r="E20" s="78"/>
      <x:c r="F20" s="78" t="str">
        <x:v>治理风险优先于便宜。</x:v>
      </x:c>
      <x:c r="G20" s="78"/>
      <x:c r="H20" s="78"/>
      <x:c r="I20" s="78"/>
    </x:row>
    <x:row r="21" ht="40" customHeight="1">
      <x:c r="A21" s="78" t="str">
        <x:v>是否有明显更优机会</x:v>
      </x:c>
      <x:c r="B21" s="78" t="str">
        <x:v>未知，未指定可比对象。</x:v>
      </x:c>
      <x:c r="C21" s="78" t="str">
        <x:v>同等风险下有更高FCF收益率和更大安全边际。</x:v>
      </x:c>
      <x:c r="D21" s="78"/>
      <x:c r="E21" s="78"/>
      <x:c r="F21" s="78" t="str">
        <x:v>需要明确候选标的后再比较。</x:v>
      </x:c>
      <x:c r="G21" s="78"/>
      <x:c r="H21" s="78"/>
      <x:c r="I21" s="78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</x:sheetData>
  <x:mergeCells>
    <x:mergeCell ref="A2:I2"/>
    <x:mergeCell ref="A3:I3"/>
    <x:mergeCell ref="A16:I16"/>
    <x:mergeCell ref="C18:E18"/>
    <x:mergeCell ref="F18:I18"/>
    <x:mergeCell ref="C19:E19"/>
    <x:mergeCell ref="F19:I19"/>
    <x:mergeCell ref="C20:E20"/>
    <x:mergeCell ref="F20:I20"/>
    <x:mergeCell ref="C21:E21"/>
    <x:mergeCell ref="F21:I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3" hidden="0" customWidth="1"/>
    <x:col min="5" max="5" width="17" hidden="0" customWidth="1"/>
    <x:col min="6" max="6" width="28" hidden="0" customWidth="1"/>
    <x:col min="7" max="7" width="62" hidden="0" customWidth="1"/>
    <x:col min="8" max="8" width="3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电投能源：数据与来源</x:v>
      </x:c>
      <x:c r="B2" s="4" t="str">
        <x:v>电投能源：数据与来源</x:v>
      </x:c>
      <x:c r="C2" s="4" t="str">
        <x:v>电投能源：数据与来源</x:v>
      </x:c>
      <x:c r="D2" s="4" t="str">
        <x:v>电投能源：数据与来源</x:v>
      </x:c>
      <x:c r="E2" s="4" t="str">
        <x:v>电投能源：数据与来源</x:v>
      </x:c>
      <x:c r="F2" s="4" t="str">
        <x:v>电投能源：数据与来源</x:v>
      </x:c>
      <x:c r="G2" s="4" t="str">
        <x:v>电投能源：数据与来源</x:v>
      </x:c>
      <x:c r="H2" s="4" t="str">
        <x:v>电投能源：数据与来源</x:v>
      </x:c>
      <x:c r="I2" s="4" t="str">
        <x:v>电投能源：数据与来源</x:v>
      </x:c>
      <x:c r="J2" s="4" t="str">
        <x:v>电投能源：数据与来源</x:v>
      </x:c>
      <x:c r="K2" s="4" t="str">
        <x:v>电投能源：数据与来源</x:v>
      </x:c>
      <x:c r="L2" s="4" t="str">
        <x:v>电投能源：数据与来源</x:v>
      </x:c>
      <x:c r="M2" s="4" t="str">
        <x:v>电投能源：数据与来源</x:v>
      </x:c>
    </x:row>
    <x:row r="3">
      <x:c r="A3" s="6" t="str">
        <x:v>研究截止 2026-10-21；财务截止 2026-06-30；股价为 2026-10-20 收盘价；金额默认十亿元</x:v>
      </x:c>
      <x:c r="B3" s="6" t="str">
        <x:v>研究截止 2026-10-21；财务截止 2026-06-30；股价为 2026-10-20 收盘价；金额默认十亿元</x:v>
      </x:c>
      <x:c r="C3" s="6" t="str">
        <x:v>研究截止 2026-10-21；财务截止 2026-06-30；股价为 2026-10-20 收盘价；金额默认十亿元</x:v>
      </x:c>
      <x:c r="D3" s="6" t="str">
        <x:v>研究截止 2026-10-21；财务截止 2026-06-30；股价为 2026-10-20 收盘价；金额默认十亿元</x:v>
      </x:c>
      <x:c r="E3" s="6" t="str">
        <x:v>研究截止 2026-10-21；财务截止 2026-06-30；股价为 2026-10-20 收盘价；金额默认十亿元</x:v>
      </x:c>
      <x:c r="F3" s="6" t="str">
        <x:v>研究截止 2026-10-21；财务截止 2026-06-30；股价为 2026-10-20 收盘价；金额默认十亿元</x:v>
      </x:c>
      <x:c r="G3" s="6" t="str">
        <x:v>研究截止 2026-10-21；财务截止 2026-06-30；股价为 2026-10-20 收盘价；金额默认十亿元</x:v>
      </x:c>
      <x:c r="H3" s="6" t="str">
        <x:v>研究截止 2026-10-21；财务截止 2026-06-30；股价为 2026-10-20 收盘价；金额默认十亿元</x:v>
      </x:c>
      <x:c r="I3" s="6" t="str">
        <x:v>研究截止 2026-10-21；财务截止 2026-06-30；股价为 2026-10-20 收盘价；金额默认十亿元</x:v>
      </x:c>
      <x:c r="J3" s="6" t="str">
        <x:v>研究截止 2026-10-21；财务截止 2026-06-30；股价为 2026-10-20 收盘价；金额默认十亿元</x:v>
      </x:c>
      <x:c r="K3" s="6" t="str">
        <x:v>研究截止 2026-10-21；财务截止 2026-06-30；股价为 2026-10-20 收盘价；金额默认十亿元</x:v>
      </x:c>
      <x:c r="L3" s="6" t="str">
        <x:v>研究截止 2026-10-21；财务截止 2026-06-30；股价为 2026-10-20 收盘价；金额默认十亿元</x:v>
      </x:c>
      <x:c r="M3" s="6" t="str">
        <x:v>研究截止 2026-10-21；财务截止 2026-06-30；股价为 2026-10-20 收盘价；金额默认十亿元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12" t="str">
        <x:v>市场与资产负债表输入</x:v>
      </x:c>
      <x:c r="B5" s="13" t="str">
        <x:v>市场与资产负债表输入</x:v>
      </x:c>
      <x:c r="C5" s="13" t="str">
        <x:v>市场与资产负债表输入</x:v>
      </x:c>
      <x:c r="D5" s="14" t="str">
        <x:v>市场与资产负债表输入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1" t="str">
        <x:v>项目</x:v>
      </x:c>
      <x:c r="B6" s="22" t="str">
        <x:v>原始值</x:v>
      </x:c>
      <x:c r="C6" s="22" t="str">
        <x:v>单位</x:v>
      </x:c>
      <x:c r="D6" s="23" t="str">
        <x:v>来源ID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5" t="str">
        <x:v>研究截止日</x:v>
      </x:c>
      <x:c r="B7" s="28" t="d">
        <x:v>2026-10-21T00:00:00.000Z</x:v>
      </x:c>
      <x:c r="C7" s="25" t="str">
        <x:v>日期</x:v>
      </x:c>
      <x:c r="D7" s="25" t="str">
        <x:v>S1-S7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5" t="str">
        <x:v>最新财务截止日</x:v>
      </x:c>
      <x:c r="B8" s="28" t="d">
        <x:v>2026-06-30T00:00:00.000Z</x:v>
      </x:c>
      <x:c r="C8" s="25" t="str">
        <x:v>日期</x:v>
      </x:c>
      <x:c r="D8" s="25" t="str">
        <x:v>S2</x:v>
      </x:c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5" t="str">
        <x:v>股价日期</x:v>
      </x:c>
      <x:c r="B9" s="28" t="d">
        <x:v>2026-10-20T00:00:00.000Z</x:v>
      </x:c>
      <x:c r="C9" s="25" t="str">
        <x:v>日期</x:v>
      </x:c>
      <x:c r="D9" s="25" t="str">
        <x:v>S7</x:v>
      </x:c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5" t="str">
        <x:v>收盘价</x:v>
      </x:c>
      <x:c r="B10" s="29" t="n">
        <x:v>27.96</x:v>
      </x:c>
      <x:c r="C10" s="25" t="str">
        <x:v>元/股</x:v>
      </x:c>
      <x:c r="D10" s="25" t="str">
        <x:v>S7</x:v>
      </x:c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25" t="str">
        <x:v>期末总股本</x:v>
      </x:c>
      <x:c r="B11" s="29" t="n">
        <x:v>3.126477068</x:v>
      </x:c>
      <x:c r="C11" s="25" t="str">
        <x:v>十亿股</x:v>
      </x:c>
      <x:c r="D11" s="25" t="str">
        <x:v>S2/S3</x:v>
      </x:c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5" t="str">
        <x:v>归母净资产</x:v>
      </x:c>
      <x:c r="B12" s="29" t="n">
        <x:v>52.84468406353</x:v>
      </x:c>
      <x:c r="C12" s="25" t="str">
        <x:v>十亿元</x:v>
      </x:c>
      <x:c r="D12" s="25" t="str">
        <x:v>S2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A13" s="25" t="str">
        <x:v>货币资金</x:v>
      </x:c>
      <x:c r="B13" s="29" t="n">
        <x:v>10.43790111361</x:v>
      </x:c>
      <x:c r="C13" s="25" t="str">
        <x:v>十亿元</x:v>
      </x:c>
      <x:c r="D13" s="25" t="str">
        <x:v>S2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5" t="str">
        <x:v>短期借款</x:v>
      </x:c>
      <x:c r="B14" s="29" t="n">
        <x:v>3.29470184836</x:v>
      </x:c>
      <x:c r="C14" s="25" t="str">
        <x:v>十亿元</x:v>
      </x:c>
      <x:c r="D14" s="25" t="str">
        <x:v>S2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5" t="str">
        <x:v>一年内到期非流动负债</x:v>
      </x:c>
      <x:c r="B15" s="29" t="n">
        <x:v>3.31137258376</x:v>
      </x:c>
      <x:c r="C15" s="25" t="str">
        <x:v>十亿元</x:v>
      </x:c>
      <x:c r="D15" s="25" t="str">
        <x:v>S2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5" t="str">
        <x:v>长期借款</x:v>
      </x:c>
      <x:c r="B16" s="29" t="n">
        <x:v>12.37867948851</x:v>
      </x:c>
      <x:c r="C16" s="25" t="str">
        <x:v>十亿元</x:v>
      </x:c>
      <x:c r="D16" s="25" t="str">
        <x:v>S2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A17" s="25" t="str">
        <x:v>租赁负债</x:v>
      </x:c>
      <x:c r="B17" s="29" t="n">
        <x:v>0.12677360559</x:v>
      </x:c>
      <x:c r="C17" s="25" t="str">
        <x:v>十亿元</x:v>
      </x:c>
      <x:c r="D17" s="25" t="str">
        <x:v>S2</x:v>
      </x:c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5" t="str">
        <x:v>长期应付款</x:v>
      </x:c>
      <x:c r="B18" s="29" t="n">
        <x:v>1.64282040397</x:v>
      </x:c>
      <x:c r="C18" s="25" t="str">
        <x:v>十亿元</x:v>
      </x:c>
      <x:c r="D18" s="25" t="str">
        <x:v>S2</x:v>
      </x:c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5" t="str">
        <x:v>流动资产</x:v>
      </x:c>
      <x:c r="B19" s="29" t="n">
        <x:v>19.69006668346</x:v>
      </x:c>
      <x:c r="C19" s="25" t="str">
        <x:v>十亿元</x:v>
      </x:c>
      <x:c r="D19" s="25" t="str">
        <x:v>S2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5" t="str">
        <x:v>流动负债</x:v>
      </x:c>
      <x:c r="B20" s="29" t="n">
        <x:v>15.80171715577</x:v>
      </x:c>
      <x:c r="C20" s="25" t="str">
        <x:v>十亿元</x:v>
      </x:c>
      <x:c r="D20" s="25" t="str">
        <x:v>S2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5" t="str">
        <x:v>2026H1利息费用</x:v>
      </x:c>
      <x:c r="B21" s="29" t="n">
        <x:v>0.20422157803</x:v>
      </x:c>
      <x:c r="C21" s="25" t="str">
        <x:v>十亿元</x:v>
      </x:c>
      <x:c r="D21" s="25" t="str">
        <x:v>S2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5" t="str">
        <x:v>2026H1固定资产及使用权资产折旧</x:v>
      </x:c>
      <x:c r="B22" s="29" t="n">
        <x:v>1.890302127</x:v>
      </x:c>
      <x:c r="C22" s="25" t="str">
        <x:v>十亿元</x:v>
      </x:c>
      <x:c r="D22" s="25" t="str">
        <x:v>S2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5" t="str">
        <x:v>总资产</x:v>
      </x:c>
      <x:c r="B23" s="29" t="n">
        <x:v>89.39694824165</x:v>
      </x:c>
      <x:c r="C23" s="25" t="str">
        <x:v>十亿元</x:v>
      </x:c>
      <x:c r="D23" s="25" t="str">
        <x:v>S2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5" t="str">
        <x:v>少数股东权益</x:v>
      </x:c>
      <x:c r="B24" s="29" t="n">
        <x:v>6.31810753363</x:v>
      </x:c>
      <x:c r="C24" s="25" t="str">
        <x:v>十亿元</x:v>
      </x:c>
      <x:c r="D24" s="25" t="str">
        <x:v>S2</x:v>
      </x:c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5" t="str">
        <x:v>所有者权益</x:v>
      </x:c>
      <x:c r="B25" s="29" t="n">
        <x:v>59.16279159716</x:v>
      </x:c>
      <x:c r="C25" s="25" t="str">
        <x:v>十亿元</x:v>
      </x:c>
      <x:c r="D25" s="25" t="str">
        <x:v>S2</x:v>
      </x:c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5" t="str">
        <x:v>2026H1毛利</x:v>
      </x:c>
      <x:c r="B26" s="29" t="n">
        <x:v>10.49756544921</x:v>
      </x:c>
      <x:c r="C26" s="25" t="str">
        <x:v>十亿元</x:v>
      </x:c>
      <x:c r="D26" s="25" t="str">
        <x:v>S2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5" t="str">
        <x:v>2026H1利润总额</x:v>
      </x:c>
      <x:c r="B27" s="29" t="n">
        <x:v>8.59334450905</x:v>
      </x:c>
      <x:c r="C27" s="25" t="str">
        <x:v>十亿元</x:v>
      </x:c>
      <x:c r="D27" s="25" t="str">
        <x:v>S2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5" t="str">
        <x:v>2026H1合并净利润</x:v>
      </x:c>
      <x:c r="B28" s="29" t="n">
        <x:v>6.4138352682</x:v>
      </x:c>
      <x:c r="C28" s="25" t="str">
        <x:v>十亿元</x:v>
      </x:c>
      <x:c r="D28" s="25" t="str">
        <x:v>S2</x:v>
      </x:c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5" t="str">
        <x:v>2026H1少数股东损益</x:v>
      </x:c>
      <x:c r="B29" s="29" t="n">
        <x:v>1.12115243755</x:v>
      </x:c>
      <x:c r="C29" s="25" t="str">
        <x:v>十亿元</x:v>
      </x:c>
      <x:c r="D29" s="25" t="str">
        <x:v>S2</x:v>
      </x:c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12" t="str">
        <x:v>历史财务原始数据</x:v>
      </x:c>
      <x:c r="B32" s="13" t="str">
        <x:v>历史财务原始数据</x:v>
      </x:c>
      <x:c r="C32" s="13" t="str">
        <x:v>历史财务原始数据</x:v>
      </x:c>
      <x:c r="D32" s="13" t="str">
        <x:v>历史财务原始数据</x:v>
      </x:c>
      <x:c r="E32" s="13" t="str">
        <x:v>历史财务原始数据</x:v>
      </x:c>
      <x:c r="F32" s="13" t="str">
        <x:v>历史财务原始数据</x:v>
      </x:c>
      <x:c r="G32" s="13" t="str">
        <x:v>历史财务原始数据</x:v>
      </x:c>
      <x:c r="H32" s="13" t="str">
        <x:v>历史财务原始数据</x:v>
      </x:c>
      <x:c r="I32" s="13" t="str">
        <x:v>历史财务原始数据</x:v>
      </x:c>
      <x:c r="J32" s="13" t="str">
        <x:v>历史财务原始数据</x:v>
      </x:c>
      <x:c r="K32" s="13" t="str">
        <x:v>历史财务原始数据</x:v>
      </x:c>
      <x:c r="L32" s="13" t="str">
        <x:v>历史财务原始数据</x:v>
      </x:c>
      <x:c r="M32" s="14" t="str">
        <x:v>历史财务原始数据</x:v>
      </x:c>
    </x:row>
    <x:row r="33">
      <x:c r="A33" s="21" t="str">
        <x:v>期间</x:v>
      </x:c>
      <x:c r="B33" s="22" t="str">
        <x:v>营业收入</x:v>
      </x:c>
      <x:c r="C33" s="22" t="str">
        <x:v>归母净利润</x:v>
      </x:c>
      <x:c r="D33" s="22" t="str">
        <x:v>扣非归母净利润</x:v>
      </x:c>
      <x:c r="E33" s="22" t="str">
        <x:v>经营现金流</x:v>
      </x:c>
      <x:c r="F33" s="22" t="str">
        <x:v>资本开支</x:v>
      </x:c>
      <x:c r="G33" s="22" t="str">
        <x:v>ROE</x:v>
      </x:c>
      <x:c r="H33" s="22" t="str">
        <x:v>总资产</x:v>
      </x:c>
      <x:c r="I33" s="22" t="str">
        <x:v>归母净资产</x:v>
      </x:c>
      <x:c r="J33" s="22" t="str">
        <x:v>DPS</x:v>
      </x:c>
      <x:c r="K33" s="22" t="str">
        <x:v>现金分红</x:v>
      </x:c>
      <x:c r="L33" s="22" t="str">
        <x:v>期末股本</x:v>
      </x:c>
      <x:c r="M33" s="23" t="str">
        <x:v>自由现金流</x:v>
      </x:c>
    </x:row>
    <x:row r="34">
      <x:c r="A34" s="25" t="str">
        <x:v>2021</x:v>
      </x:c>
      <x:c r="B34" s="29" t="n">
        <x:v>24.67256880235</x:v>
      </x:c>
      <x:c r="C34" s="29" t="n">
        <x:v>3.58219111624</x:v>
      </x:c>
      <x:c r="D34" s="29" t="n">
        <x:v>3.54223861312</x:v>
      </x:c>
      <x:c r="E34" s="29" t="n">
        <x:v>6.33281693491</x:v>
      </x:c>
      <x:c r="F34" s="29" t="n">
        <x:v>3.33664994214</x:v>
      </x:c>
      <x:c r="G34" s="32" t="n">
        <x:v>0.1891</x:v>
      </x:c>
      <x:c r="H34" s="29" t="n">
        <x:v>37.66324158366</x:v>
      </x:c>
      <x:c r="I34" s="29" t="n">
        <x:v>20.41963172205</x:v>
      </x:c>
      <x:c r="J34" s="33" t="n">
        <x:v>0.5</x:v>
      </x:c>
      <x:c r="K34" s="29" t="n">
        <x:v>0.9607867465</x:v>
      </x:c>
      <x:c r="L34" s="29" t="n">
        <x:v>1.921573493</x:v>
      </x:c>
      <x:c r="M34" s="34" t="n">
        <x:f>E34-F34</x:f>
        <x:v>2.99616699277</x:v>
      </x:c>
    </x:row>
    <x:row r="35">
      <x:c r="A35" s="25" t="str">
        <x:v>2022</x:v>
      </x:c>
      <x:c r="B35" s="29" t="n">
        <x:v>26.79290034399</x:v>
      </x:c>
      <x:c r="C35" s="29" t="n">
        <x:v>3.98613404693</x:v>
      </x:c>
      <x:c r="D35" s="29" t="n">
        <x:v>3.86376478073</x:v>
      </x:c>
      <x:c r="E35" s="29" t="n">
        <x:v>8.50412817949</x:v>
      </x:c>
      <x:c r="F35" s="29" t="n">
        <x:v>6.72767033051</x:v>
      </x:c>
      <x:c r="G35" s="32" t="n">
        <x:v>0.1822</x:v>
      </x:c>
      <x:c r="H35" s="29" t="n">
        <x:v>42.12010565875</x:v>
      </x:c>
      <x:c r="I35" s="29" t="n">
        <x:v>23.49084336913</x:v>
      </x:c>
      <x:c r="J35" s="33" t="n">
        <x:v>0.5</x:v>
      </x:c>
      <x:c r="K35" s="29" t="n">
        <x:v>1.1207867465</x:v>
      </x:c>
      <x:c r="L35" s="29" t="n">
        <x:v>2.241573493</x:v>
      </x:c>
      <x:c r="M35" s="34" t="n">
        <x:f>E35-F35</x:f>
        <x:v>1.7764578489799998</x:v>
      </x:c>
    </x:row>
    <x:row r="36">
      <x:c r="A36" s="25" t="str">
        <x:v>2023</x:v>
      </x:c>
      <x:c r="B36" s="29" t="n">
        <x:v>26.84552975625</x:v>
      </x:c>
      <x:c r="C36" s="29" t="n">
        <x:v>4.55965207929</x:v>
      </x:c>
      <x:c r="D36" s="29" t="n">
        <x:v>4.33787404859</x:v>
      </x:c>
      <x:c r="E36" s="29" t="n">
        <x:v>6.87129163051</x:v>
      </x:c>
      <x:c r="F36" s="29" t="n">
        <x:v>7.79721105046</x:v>
      </x:c>
      <x:c r="G36" s="32" t="n">
        <x:v>0.1624</x:v>
      </x:c>
      <x:c r="H36" s="29" t="n">
        <x:v>48.50117513073</x:v>
      </x:c>
      <x:c r="I36" s="29" t="n">
        <x:v>30.88749780207</x:v>
      </x:c>
      <x:c r="J36" s="33" t="n">
        <x:v>0.68</x:v>
      </x:c>
      <x:c r="K36" s="29" t="n">
        <x:v>1.52426997524</x:v>
      </x:c>
      <x:c r="L36" s="29" t="n">
        <x:v>2.241573493</x:v>
      </x:c>
      <x:c r="M36" s="34" t="n">
        <x:f>E36-F36</x:f>
        <x:v>-0.9259194199499996</x:v>
      </x:c>
    </x:row>
    <x:row r="37">
      <x:c r="A37" s="25" t="str">
        <x:v>2024</x:v>
      </x:c>
      <x:c r="B37" s="29" t="n">
        <x:v>29.85905154704</x:v>
      </x:c>
      <x:c r="C37" s="29" t="n">
        <x:v>5.3416133093</x:v>
      </x:c>
      <x:c r="D37" s="29" t="n">
        <x:v>5.09773197372</x:v>
      </x:c>
      <x:c r="E37" s="29" t="n">
        <x:v>7.95047386361</x:v>
      </x:c>
      <x:c r="F37" s="29" t="n">
        <x:v>4.18540058321</x:v>
      </x:c>
      <x:c r="G37" s="32" t="n">
        <x:v>0.1636</x:v>
      </x:c>
      <x:c r="H37" s="29" t="n">
        <x:v>51.63428725508</x:v>
      </x:c>
      <x:c r="I37" s="29" t="n">
        <x:v>34.60333993391</x:v>
      </x:c>
      <x:c r="J37" s="33" t="n">
        <x:v>0.85</x:v>
      </x:c>
      <x:c r="K37" s="29" t="n">
        <x:v>1.90533746905</x:v>
      </x:c>
      <x:c r="L37" s="29" t="n">
        <x:v>2.241573493</x:v>
      </x:c>
      <x:c r="M37" s="34" t="n">
        <x:f>E37-F37</x:f>
        <x:v>3.7650732804</x:v>
      </x:c>
    </x:row>
    <x:row r="38">
      <x:c r="A38" s="25" t="str">
        <x:v>2025</x:v>
      </x:c>
      <x:c r="B38" s="29" t="n">
        <x:v>30.11495832731</x:v>
      </x:c>
      <x:c r="C38" s="29" t="n">
        <x:v>5.41908919976</x:v>
      </x:c>
      <x:c r="D38" s="29" t="n">
        <x:v>5.22855406922</x:v>
      </x:c>
      <x:c r="E38" s="29" t="n">
        <x:v>9.20747988122</x:v>
      </x:c>
      <x:c r="F38" s="29" t="n">
        <x:v>7.74903277043</x:v>
      </x:c>
      <x:c r="G38" s="32" t="n">
        <x:v>0.1494</x:v>
      </x:c>
      <x:c r="H38" s="29" t="n">
        <x:v>56.47646556508</x:v>
      </x:c>
      <x:c r="I38" s="29" t="n">
        <x:v>38.19981636861</x:v>
      </x:c>
      <x:c r="J38" s="33" t="n">
        <x:v>1.3</x:v>
      </x:c>
      <x:c r="K38" s="29" t="n">
        <x:v>2.9140455409</x:v>
      </x:c>
      <x:c r="L38" s="29" t="n">
        <x:v>2.241573493</x:v>
      </x:c>
      <x:c r="M38" s="34" t="n">
        <x:f>E38-F38</x:f>
        <x:v>1.458447110789999</x:v>
      </x:c>
    </x:row>
    <x:row r="39">
      <x:c r="A39" s="25" t="str">
        <x:v>2025H1重述</x:v>
      </x:c>
      <x:c r="B39" s="29" t="n">
        <x:v>19.94231352435</x:v>
      </x:c>
      <x:c r="C39" s="29" t="n">
        <x:v>3.5489573563</x:v>
      </x:c>
      <x:c r="D39" s="29" t="n">
        <x:v>2.72414926587</x:v>
      </x:c>
      <x:c r="E39" s="29" t="n">
        <x:v>5.51706009661</x:v>
      </x:c>
      <x:c r="F39" s="29" t="n">
        <x:v>3.43956866623</x:v>
      </x:c>
      <x:c r="G39" s="32"/>
      <x:c r="H39" s="29"/>
      <x:c r="I39" s="29"/>
      <x:c r="J39" s="33"/>
      <x:c r="K39" s="29"/>
      <x:c r="L39" s="29" t="n">
        <x:v>2.953400147</x:v>
      </x:c>
      <x:c r="M39" s="34" t="n">
        <x:f>E39-F39</x:f>
        <x:v>2.07749143038</x:v>
      </x:c>
    </x:row>
    <x:row r="40">
      <x:c r="A40" s="25" t="str">
        <x:v>2026H1</x:v>
      </x:c>
      <x:c r="B40" s="29" t="n">
        <x:v>23.92290400214</x:v>
      </x:c>
      <x:c r="C40" s="29" t="n">
        <x:v>5.29268283065</x:v>
      </x:c>
      <x:c r="D40" s="29" t="n">
        <x:v>4.03684090478</x:v>
      </x:c>
      <x:c r="E40" s="29" t="n">
        <x:v>8.39366397666</x:v>
      </x:c>
      <x:c r="F40" s="29" t="n">
        <x:v>1.65788146316</x:v>
      </x:c>
      <x:c r="G40" s="32" t="n">
        <x:v>0.1058</x:v>
      </x:c>
      <x:c r="H40" s="29" t="n">
        <x:v>89.39694824165</x:v>
      </x:c>
      <x:c r="I40" s="29" t="n">
        <x:v>52.84468406353</x:v>
      </x:c>
      <x:c r="J40" s="33" t="n">
        <x:v>0</x:v>
      </x:c>
      <x:c r="K40" s="29" t="n">
        <x:v>0</x:v>
      </x:c>
      <x:c r="L40" s="29" t="n">
        <x:v>3.126477068</x:v>
      </x:c>
      <x:c r="M40" s="34" t="n">
        <x:f>E40-F40</x:f>
        <x:v>6.735782513499999</x:v>
      </x:c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12" t="str">
        <x:v>2026H1分部原始数据</x:v>
      </x:c>
      <x:c r="B43" s="13" t="str">
        <x:v>2026H1分部原始数据</x:v>
      </x:c>
      <x:c r="C43" s="13" t="str">
        <x:v>2026H1分部原始数据</x:v>
      </x:c>
      <x:c r="D43" s="13" t="str">
        <x:v>2026H1分部原始数据</x:v>
      </x:c>
      <x:c r="E43" s="13" t="str">
        <x:v>2026H1分部原始数据</x:v>
      </x:c>
      <x:c r="F43" s="13" t="str">
        <x:v>2026H1分部原始数据</x:v>
      </x:c>
      <x:c r="G43" s="14" t="str">
        <x:v>2026H1分部原始数据</x:v>
      </x:c>
      <x:c r="H43" s="2"/>
      <x:c r="I43" s="2"/>
      <x:c r="J43" s="2"/>
      <x:c r="K43" s="2"/>
      <x:c r="L43" s="2"/>
      <x:c r="M43" s="2"/>
    </x:row>
    <x:row r="44">
      <x:c r="A44" s="21" t="str">
        <x:v>分部</x:v>
      </x:c>
      <x:c r="B44" s="22" t="str">
        <x:v>营业收入</x:v>
      </x:c>
      <x:c r="C44" s="22" t="str">
        <x:v>营业成本</x:v>
      </x:c>
      <x:c r="D44" s="22" t="str">
        <x:v>期间</x:v>
      </x:c>
      <x:c r="E44" s="22" t="str">
        <x:v>单位</x:v>
      </x:c>
      <x:c r="F44" s="22" t="str">
        <x:v>来源ID</x:v>
      </x:c>
      <x:c r="G44" s="23" t="str">
        <x:v>毛利</x:v>
      </x:c>
      <x:c r="H44" s="2"/>
      <x:c r="I44" s="2"/>
      <x:c r="J44" s="2"/>
      <x:c r="K44" s="2"/>
      <x:c r="L44" s="2"/>
      <x:c r="M44" s="2"/>
    </x:row>
    <x:row r="45">
      <x:c r="A45" s="25" t="str">
        <x:v>铝业</x:v>
      </x:c>
      <x:c r="B45" s="29" t="n">
        <x:v>15.21451877186</x:v>
      </x:c>
      <x:c r="C45" s="29" t="n">
        <x:v>9.17183707596</x:v>
      </x:c>
      <x:c r="D45" s="25" t="str">
        <x:v>2026H1</x:v>
      </x:c>
      <x:c r="E45" s="25" t="str">
        <x:v>十亿元</x:v>
      </x:c>
      <x:c r="F45" s="25" t="str">
        <x:v>S2</x:v>
      </x:c>
      <x:c r="G45" s="34" t="n">
        <x:f>B45-C45</x:f>
        <x:v>6.042681695900001</x:v>
      </x:c>
      <x:c r="H45" s="2"/>
      <x:c r="I45" s="2"/>
      <x:c r="J45" s="2"/>
      <x:c r="K45" s="2"/>
      <x:c r="L45" s="2"/>
      <x:c r="M45" s="2"/>
    </x:row>
    <x:row r="46">
      <x:c r="A46" s="25" t="str">
        <x:v>煤炭</x:v>
      </x:c>
      <x:c r="B46" s="29" t="n">
        <x:v>5.78408491635</x:v>
      </x:c>
      <x:c r="C46" s="29" t="n">
        <x:v>2.40343374388</x:v>
      </x:c>
      <x:c r="D46" s="25" t="str">
        <x:v>2026H1</x:v>
      </x:c>
      <x:c r="E46" s="25" t="str">
        <x:v>十亿元</x:v>
      </x:c>
      <x:c r="F46" s="25" t="str">
        <x:v>S2</x:v>
      </x:c>
      <x:c r="G46" s="34" t="n">
        <x:f>B46-C46</x:f>
        <x:v>3.3806511724700004</x:v>
      </x:c>
      <x:c r="H46" s="2"/>
      <x:c r="I46" s="2"/>
      <x:c r="J46" s="2"/>
      <x:c r="K46" s="2"/>
      <x:c r="L46" s="2"/>
      <x:c r="M46" s="2"/>
    </x:row>
    <x:row r="47">
      <x:c r="A47" s="25" t="str">
        <x:v>新能源</x:v>
      </x:c>
      <x:c r="B47" s="29" t="n">
        <x:v>1.00994833176</x:v>
      </x:c>
      <x:c r="C47" s="29" t="n">
        <x:v>0.53143593008</x:v>
      </x:c>
      <x:c r="D47" s="25" t="str">
        <x:v>2026H1</x:v>
      </x:c>
      <x:c r="E47" s="25" t="str">
        <x:v>十亿元</x:v>
      </x:c>
      <x:c r="F47" s="25" t="str">
        <x:v>S2</x:v>
      </x:c>
      <x:c r="G47" s="34" t="n">
        <x:f>B47-C47</x:f>
        <x:v>0.47851240168</x:v>
      </x:c>
      <x:c r="H47" s="2"/>
      <x:c r="I47" s="2"/>
      <x:c r="J47" s="2"/>
      <x:c r="K47" s="2"/>
      <x:c r="L47" s="2"/>
      <x:c r="M47" s="2"/>
    </x:row>
    <x:row r="48">
      <x:c r="A48" s="25" t="str">
        <x:v>火电</x:v>
      </x:c>
      <x:c r="B48" s="29" t="n">
        <x:v>1.91435198217</x:v>
      </x:c>
      <x:c r="C48" s="29" t="n">
        <x:v>1.31863180301</x:v>
      </x:c>
      <x:c r="D48" s="25" t="str">
        <x:v>2026H1</x:v>
      </x:c>
      <x:c r="E48" s="25" t="str">
        <x:v>十亿元</x:v>
      </x:c>
      <x:c r="F48" s="25" t="str">
        <x:v>S2</x:v>
      </x:c>
      <x:c r="G48" s="34" t="n">
        <x:f>B48-C48</x:f>
        <x:v>0.59572017916</x:v>
      </x:c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12" t="str">
        <x:v>产能、产量与资源</x:v>
      </x:c>
      <x:c r="B51" s="13" t="str">
        <x:v>产能、产量与资源</x:v>
      </x:c>
      <x:c r="C51" s="13" t="str">
        <x:v>产能、产量与资源</x:v>
      </x:c>
      <x:c r="D51" s="14" t="str">
        <x:v>产能、产量与资源</x:v>
      </x:c>
      <x:c r="E51" s="2"/>
      <x:c r="F51" s="2"/>
      <x:c r="G51" s="2"/>
      <x:c r="H51" s="2"/>
      <x:c r="I51" s="2"/>
      <x:c r="J51" s="2"/>
      <x:c r="K51" s="2"/>
      <x:c r="L51" s="2"/>
      <x:c r="M51" s="2"/>
    </x:row>
    <x:row r="52">
      <x:c r="A52" s="21" t="str">
        <x:v>指标</x:v>
      </x:c>
      <x:c r="B52" s="22" t="str">
        <x:v>原始值</x:v>
      </x:c>
      <x:c r="C52" s="22" t="str">
        <x:v>单位</x:v>
      </x:c>
      <x:c r="D52" s="23" t="str">
        <x:v>来源ID</x:v>
      </x:c>
      <x:c r="E52" s="2"/>
      <x:c r="F52" s="2"/>
      <x:c r="G52" s="2"/>
      <x:c r="H52" s="2"/>
      <x:c r="I52" s="2"/>
      <x:c r="J52" s="2"/>
      <x:c r="K52" s="2"/>
      <x:c r="L52" s="2"/>
      <x:c r="M52" s="2"/>
    </x:row>
    <x:row r="53">
      <x:c r="A53" s="25" t="str">
        <x:v>煤炭核定产能</x:v>
      </x:c>
      <x:c r="B53" s="29" t="n">
        <x:v>63</x:v>
      </x:c>
      <x:c r="C53" s="25" t="str">
        <x:v>百万吨/年</x:v>
      </x:c>
      <x:c r="D53" s="25" t="str">
        <x:v>S2</x:v>
      </x:c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5" t="str">
        <x:v>煤炭剩余保有储量</x:v>
      </x:c>
      <x:c r="B54" s="29" t="n">
        <x:v>2.416945</x:v>
      </x:c>
      <x:c r="C54" s="25" t="str">
        <x:v>十亿吨</x:v>
      </x:c>
      <x:c r="D54" s="25" t="str">
        <x:v>S2</x:v>
      </x:c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5" t="str">
        <x:v>2026H1原煤产量</x:v>
      </x:c>
      <x:c r="B55" s="29" t="n">
        <x:v>31.1055</x:v>
      </x:c>
      <x:c r="C55" s="25" t="str">
        <x:v>百万吨</x:v>
      </x:c>
      <x:c r="D55" s="25" t="str">
        <x:v>S2</x:v>
      </x:c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5" t="str">
        <x:v>2026H1原煤销量</x:v>
      </x:c>
      <x:c r="B56" s="29" t="n">
        <x:v>31.0427</x:v>
      </x:c>
      <x:c r="C56" s="25" t="str">
        <x:v>百万吨</x:v>
      </x:c>
      <x:c r="D56" s="25" t="str">
        <x:v>S2</x:v>
      </x:c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5" t="str">
        <x:v>电解铝产能</x:v>
      </x:c>
      <x:c r="B57" s="29" t="n">
        <x:v>1.6153</x:v>
      </x:c>
      <x:c r="C57" s="25" t="str">
        <x:v>百万吨/年</x:v>
      </x:c>
      <x:c r="D57" s="25" t="str">
        <x:v>S2</x:v>
      </x:c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5" t="str">
        <x:v>2026H1电解铝产量</x:v>
      </x:c>
      <x:c r="B58" s="29" t="n">
        <x:v>0.7093</x:v>
      </x:c>
      <x:c r="C58" s="25" t="str">
        <x:v>百万吨</x:v>
      </x:c>
      <x:c r="D58" s="25" t="str">
        <x:v>S2</x:v>
      </x:c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5" t="str">
        <x:v>2026H1电解铝销量</x:v>
      </x:c>
      <x:c r="B59" s="29" t="n">
        <x:v>0.7113</x:v>
      </x:c>
      <x:c r="C59" s="25" t="str">
        <x:v>百万吨</x:v>
      </x:c>
      <x:c r="D59" s="25" t="str">
        <x:v>S2</x:v>
      </x:c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5" t="str">
        <x:v>新能源装机</x:v>
      </x:c>
      <x:c r="B60" s="29" t="n">
        <x:v>7.3837</x:v>
      </x:c>
      <x:c r="C60" s="25" t="str">
        <x:v>GW</x:v>
      </x:c>
      <x:c r="D60" s="25" t="str">
        <x:v>S2</x:v>
      </x:c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5" t="str">
        <x:v>其中风电</x:v>
      </x:c>
      <x:c r="B61" s="29" t="n">
        <x:v>5.5104</x:v>
      </x:c>
      <x:c r="C61" s="25" t="str">
        <x:v>GW</x:v>
      </x:c>
      <x:c r="D61" s="25" t="str">
        <x:v>S2</x:v>
      </x:c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5" t="str">
        <x:v>其中光伏</x:v>
      </x:c>
      <x:c r="B62" s="29" t="n">
        <x:v>1.8733</x:v>
      </x:c>
      <x:c r="C62" s="25" t="str">
        <x:v>GW</x:v>
      </x:c>
      <x:c r="D62" s="25" t="str">
        <x:v>S2</x:v>
      </x:c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5" t="str">
        <x:v>2026H1火电发电量</x:v>
      </x:c>
      <x:c r="B63" s="29" t="n">
        <x:v>5.7632656</x:v>
      </x:c>
      <x:c r="C63" s="25" t="str">
        <x:v>十亿千瓦时</x:v>
      </x:c>
      <x:c r="D63" s="25" t="str">
        <x:v>S2</x:v>
      </x:c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5" t="str">
        <x:v>2026H1新能源发电量</x:v>
      </x:c>
      <x:c r="B64" s="29" t="n">
        <x:v>4.3204905</x:v>
      </x:c>
      <x:c r="C64" s="25" t="str">
        <x:v>十亿千瓦时</x:v>
      </x:c>
      <x:c r="D64" s="25" t="str">
        <x:v>S2</x:v>
      </x:c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5" t="str">
        <x:v>2026H1新能源售电量</x:v>
      </x:c>
      <x:c r="B65" s="29" t="n">
        <x:v>4.3077325</x:v>
      </x:c>
      <x:c r="C65" s="25" t="str">
        <x:v>十亿千瓦时</x:v>
      </x:c>
      <x:c r="D65" s="25" t="str">
        <x:v>S2</x:v>
      </x:c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12" t="str">
        <x:v>重组与股本变动</x:v>
      </x:c>
      <x:c r="B68" s="13" t="str">
        <x:v>重组与股本变动</x:v>
      </x:c>
      <x:c r="C68" s="13" t="str">
        <x:v>重组与股本变动</x:v>
      </x:c>
      <x:c r="D68" s="14" t="str">
        <x:v>重组与股本变动</x:v>
      </x:c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1" t="str">
        <x:v>项目</x:v>
      </x:c>
      <x:c r="B69" s="22" t="str">
        <x:v>原始值</x:v>
      </x:c>
      <x:c r="C69" s="22" t="str">
        <x:v>单位</x:v>
      </x:c>
      <x:c r="D69" s="23" t="str">
        <x:v>来源ID</x:v>
      </x:c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5" t="str">
        <x:v>标的账面价值</x:v>
      </x:c>
      <x:c r="B70" s="29" t="n">
        <x:v>7.533161</x:v>
      </x:c>
      <x:c r="C70" s="25" t="str">
        <x:v>十亿元</x:v>
      </x:c>
      <x:c r="D70" s="25" t="str">
        <x:v>S2</x:v>
      </x:c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5" t="str">
        <x:v>标的评估价值</x:v>
      </x:c>
      <x:c r="B71" s="29" t="n">
        <x:v>10.9981919</x:v>
      </x:c>
      <x:c r="C71" s="25" t="str">
        <x:v>十亿元</x:v>
      </x:c>
      <x:c r="D71" s="25" t="str">
        <x:v>S2</x:v>
      </x:c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5" t="str">
        <x:v>最终交易对价</x:v>
      </x:c>
      <x:c r="B72" s="29" t="n">
        <x:v>11.1491919</x:v>
      </x:c>
      <x:c r="C72" s="25" t="str">
        <x:v>十亿元</x:v>
      </x:c>
      <x:c r="D72" s="25" t="str">
        <x:v>S2</x:v>
      </x:c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5" t="str">
        <x:v>现金对价</x:v>
      </x:c>
      <x:c r="B73" s="29" t="n">
        <x:v>1.560886866</x:v>
      </x:c>
      <x:c r="C73" s="25" t="str">
        <x:v>十亿元</x:v>
      </x:c>
      <x:c r="D73" s="25" t="str">
        <x:v>S2</x:v>
      </x:c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5" t="str">
        <x:v>股份对价</x:v>
      </x:c>
      <x:c r="B74" s="29" t="n">
        <x:v>9.588305034</x:v>
      </x:c>
      <x:c r="C74" s="25" t="str">
        <x:v>十亿元</x:v>
      </x:c>
      <x:c r="D74" s="25" t="str">
        <x:v>S2</x:v>
      </x:c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5" t="str">
        <x:v>资产购买发行股数</x:v>
      </x:c>
      <x:c r="B75" s="29" t="n">
        <x:v>0.711826654</x:v>
      </x:c>
      <x:c r="C75" s="25" t="str">
        <x:v>十亿股</x:v>
      </x:c>
      <x:c r="D75" s="25" t="str">
        <x:v>S2/S3</x:v>
      </x:c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5" t="str">
        <x:v>资产购买发行价</x:v>
      </x:c>
      <x:c r="B76" s="29" t="n">
        <x:v>13.47</x:v>
      </x:c>
      <x:c r="C76" s="25" t="str">
        <x:v>元/股</x:v>
      </x:c>
      <x:c r="D76" s="25" t="str">
        <x:v>S3</x:v>
      </x:c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5" t="str">
        <x:v>配套融资发行股数</x:v>
      </x:c>
      <x:c r="B77" s="29" t="n">
        <x:v>0.173076921</x:v>
      </x:c>
      <x:c r="C77" s="25" t="str">
        <x:v>十亿股</x:v>
      </x:c>
      <x:c r="D77" s="25" t="str">
        <x:v>S3</x:v>
      </x:c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5" t="str">
        <x:v>配套融资发行价</x:v>
      </x:c>
      <x:c r="B78" s="29" t="n">
        <x:v>26</x:v>
      </x:c>
      <x:c r="C78" s="25" t="str">
        <x:v>元/股</x:v>
      </x:c>
      <x:c r="D78" s="25" t="str">
        <x:v>S3</x:v>
      </x:c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5" t="str">
        <x:v>配套融资总额</x:v>
      </x:c>
      <x:c r="B79" s="29" t="n">
        <x:v>4.499999946</x:v>
      </x:c>
      <x:c r="C79" s="25" t="str">
        <x:v>十亿元</x:v>
      </x:c>
      <x:c r="D79" s="25" t="str">
        <x:v>S3</x:v>
      </x:c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5" t="str">
        <x:v>配套融资净额</x:v>
      </x:c>
      <x:c r="B80" s="29" t="n">
        <x:v>4.457025346</x:v>
      </x:c>
      <x:c r="C80" s="25" t="str">
        <x:v>十亿元</x:v>
      </x:c>
      <x:c r="D80" s="25" t="str">
        <x:v>S3</x:v>
      </x:c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5" t="str">
        <x:v>重组前总股本</x:v>
      </x:c>
      <x:c r="B81" s="29" t="n">
        <x:v>2.241573493</x:v>
      </x:c>
      <x:c r="C81" s="25" t="str">
        <x:v>十亿股</x:v>
      </x:c>
      <x:c r="D81" s="25" t="str">
        <x:v>S1</x:v>
      </x:c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5" t="str">
        <x:v>重组后总股本</x:v>
      </x:c>
      <x:c r="B82" s="29" t="n">
        <x:v>3.126477068</x:v>
      </x:c>
      <x:c r="C82" s="25" t="str">
        <x:v>十亿股</x:v>
      </x:c>
      <x:c r="D82" s="25" t="str">
        <x:v>S2/S3</x:v>
      </x:c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12" t="str">
        <x:v>决定性来源</x:v>
      </x:c>
      <x:c r="B85" s="13" t="str">
        <x:v>决定性来源</x:v>
      </x:c>
      <x:c r="C85" s="13" t="str">
        <x:v>决定性来源</x:v>
      </x:c>
      <x:c r="D85" s="13" t="str">
        <x:v>决定性来源</x:v>
      </x:c>
      <x:c r="E85" s="13" t="str">
        <x:v>决定性来源</x:v>
      </x:c>
      <x:c r="F85" s="13" t="str">
        <x:v>决定性来源</x:v>
      </x:c>
      <x:c r="G85" s="13" t="str">
        <x:v>决定性来源</x:v>
      </x:c>
      <x:c r="H85" s="14" t="str">
        <x:v>决定性来源</x:v>
      </x:c>
      <x:c r="I85" s="2"/>
      <x:c r="J85" s="2"/>
      <x:c r="K85" s="2"/>
      <x:c r="L85" s="2"/>
      <x:c r="M85" s="2"/>
    </x:row>
    <x:row r="86">
      <x:c r="A86" s="21" t="str">
        <x:v>来源ID</x:v>
      </x:c>
      <x:c r="B86" s="22" t="str">
        <x:v>资料</x:v>
      </x:c>
      <x:c r="C86" s="22" t="str">
        <x:v>发布方</x:v>
      </x:c>
      <x:c r="D86" s="22" t="str">
        <x:v>发布日期</x:v>
      </x:c>
      <x:c r="E86" s="22" t="str">
        <x:v>报告期间</x:v>
      </x:c>
      <x:c r="F86" s="22" t="str">
        <x:v>定位</x:v>
      </x:c>
      <x:c r="G86" s="22" t="str">
        <x:v>链接</x:v>
      </x:c>
      <x:c r="H86" s="23" t="str">
        <x:v>备注</x:v>
      </x:c>
      <x:c r="I86" s="2"/>
      <x:c r="J86" s="2"/>
      <x:c r="K86" s="2"/>
      <x:c r="L86" s="2"/>
      <x:c r="M86" s="2"/>
    </x:row>
    <x:row r="87" ht="42" customHeight="1">
      <x:c r="A87" s="25" t="str">
        <x:v>S1</x:v>
      </x:c>
      <x:c r="B87" s="25" t="str">
        <x:v>2025年年度报告</x:v>
      </x:c>
      <x:c r="C87" s="25" t="str">
        <x:v>电投能源/巨潮资讯</x:v>
      </x:c>
      <x:c r="D87" s="26" t="d">
        <x:v>2026-04-15T00:00:00.000Z</x:v>
      </x:c>
      <x:c r="E87" s="25" t="str">
        <x:v>2025年度</x:v>
      </x:c>
      <x:c r="F87" s="25" t="str">
        <x:v>第9-10、17-18、99-100、228-235页</x:v>
      </x:c>
      <x:c r="G87" s="37" t="str">
        <x:v>https://static.cninfo.com.cn/finalpage/2026-04-15/1225102909.PDF</x:v>
      </x:c>
      <x:c r="H87" s="37" t="str">
        <x:v>历史财务、业务、分红、债务</x:v>
      </x:c>
      <x:c r="I87" s="2"/>
      <x:c r="J87" s="2"/>
      <x:c r="K87" s="2"/>
      <x:c r="L87" s="2"/>
      <x:c r="M87" s="2"/>
    </x:row>
    <x:row r="88" ht="42" customHeight="1">
      <x:c r="A88" s="25" t="str">
        <x:v>S2</x:v>
      </x:c>
      <x:c r="B88" s="25" t="str">
        <x:v>2026年半年度报告</x:v>
      </x:c>
      <x:c r="C88" s="25" t="str">
        <x:v>电投能源/深交所</x:v>
      </x:c>
      <x:c r="D88" s="26" t="d">
        <x:v>2026-08-26T00:00:00.000Z</x:v>
      </x:c>
      <x:c r="E88" s="25" t="str">
        <x:v>2026H1</x:v>
      </x:c>
      <x:c r="F88" s="25" t="str">
        <x:v>第11、14-22、33-36、59-60、78-83、152-160页</x:v>
      </x:c>
      <x:c r="G88" s="37" t="str">
        <x:v>https://disc.static.szse.cn/disc/disk03/finalpage/2026-08-26/b513b0ea-6f21-4af7-9be1-972eadc96733.PDF</x:v>
      </x:c>
      <x:c r="H88" s="37" t="str">
        <x:v>重述口径、分部、重组、风险</x:v>
      </x:c>
      <x:c r="I88" s="2"/>
      <x:c r="J88" s="2"/>
      <x:c r="K88" s="2"/>
      <x:c r="L88" s="2"/>
      <x:c r="M88" s="2"/>
    </x:row>
    <x:row r="89" ht="42" customHeight="1">
      <x:c r="A89" s="25" t="str">
        <x:v>S3</x:v>
      </x:c>
      <x:c r="B89" s="25" t="str">
        <x:v>发行情况报告书</x:v>
      </x:c>
      <x:c r="C89" s="25" t="str">
        <x:v>电投能源/深交所</x:v>
      </x:c>
      <x:c r="D89" s="26" t="d">
        <x:v>2026-07-02T00:00:00.000Z</x:v>
      </x:c>
      <x:c r="E89" s="25" t="str">
        <x:v>2026年重组配套融资</x:v>
      </x:c>
      <x:c r="F89" s="25" t="str">
        <x:v>第9-10、20-23页</x:v>
      </x:c>
      <x:c r="G89" s="37" t="str">
        <x:v>https://disc.static.szse.cn/download/disc/disk03/finalpage/2026-07-02/e09c1c00-4394-4541-bde6-246f77ed5f64.PDF</x:v>
      </x:c>
      <x:c r="H89" s="37" t="str">
        <x:v>发行价、股数、募集资金</x:v>
      </x:c>
      <x:c r="I89" s="2"/>
      <x:c r="J89" s="2"/>
      <x:c r="K89" s="2"/>
      <x:c r="L89" s="2"/>
      <x:c r="M89" s="2"/>
    </x:row>
    <x:row r="90" ht="42" customHeight="1">
      <x:c r="A90" s="25" t="str">
        <x:v>S4</x:v>
      </x:c>
      <x:c r="B90" s="25" t="str">
        <x:v>2025年度利润分配公告</x:v>
      </x:c>
      <x:c r="C90" s="25" t="str">
        <x:v>电投能源/深交所</x:v>
      </x:c>
      <x:c r="D90" s="26" t="d">
        <x:v>2026-05-12T00:00:00.000Z</x:v>
      </x:c>
      <x:c r="E90" s="25" t="str">
        <x:v>2025年度</x:v>
      </x:c>
      <x:c r="F90" s="25" t="str">
        <x:v>第2-4页</x:v>
      </x:c>
      <x:c r="G90" s="37" t="str">
        <x:v>https://disc.static.szse.cn/disc/disk03/finalpage/2026-05-12/12879578-2d5e-4cb6-9fe5-8cc8e6ea1b1f.PDF</x:v>
      </x:c>
      <x:c r="H90" s="37" t="str">
        <x:v>年度DPS与分红基数</x:v>
      </x:c>
      <x:c r="I90" s="2"/>
      <x:c r="J90" s="2"/>
      <x:c r="K90" s="2"/>
      <x:c r="L90" s="2"/>
      <x:c r="M90" s="2"/>
    </x:row>
    <x:row r="91" ht="42" customHeight="1">
      <x:c r="A91" s="25" t="str">
        <x:v>S5</x:v>
      </x:c>
      <x:c r="B91" s="25" t="str">
        <x:v>2023年年度报告</x:v>
      </x:c>
      <x:c r="C91" s="25" t="str">
        <x:v>电投能源/深交所</x:v>
      </x:c>
      <x:c r="D91" s="26" t="d">
        <x:v>2024-07-06T00:00:00.000Z</x:v>
      </x:c>
      <x:c r="E91" s="25" t="str">
        <x:v>2021-2023</x:v>
      </x:c>
      <x:c r="F91" s="25" t="str">
        <x:v>第8-9、29-30、213页附近</x:v>
      </x:c>
      <x:c r="G91" s="37" t="str">
        <x:v>https://disc.static.szse.cn/disc/disk03/finalpage/2024-07-06/d3604e91-2d71-48cd-9f38-adb93dc85829.PDF</x:v>
      </x:c>
      <x:c r="H91" s="37" t="str">
        <x:v>2021-2023历史口径</x:v>
      </x:c>
      <x:c r="I91" s="2"/>
      <x:c r="J91" s="2"/>
      <x:c r="K91" s="2"/>
      <x:c r="L91" s="2"/>
      <x:c r="M91" s="2"/>
    </x:row>
    <x:row r="92" ht="42" customHeight="1">
      <x:c r="A92" s="25" t="str">
        <x:v>S6</x:v>
      </x:c>
      <x:c r="B92" s="25" t="str">
        <x:v>2022年年度报告镜像</x:v>
      </x:c>
      <x:c r="C92" s="25" t="str">
        <x:v>雪球公开镜像</x:v>
      </x:c>
      <x:c r="D92" s="26" t="d">
        <x:v>2023-04-25T00:00:00.000Z</x:v>
      </x:c>
      <x:c r="E92" s="25" t="str">
        <x:v>2021-2022</x:v>
      </x:c>
      <x:c r="F92" s="25" t="str">
        <x:v>现金流量表</x:v>
      </x:c>
      <x:c r="G92" s="37" t="str">
        <x:v>https://stockn.xueqiu.com/SZ002128/20230425632456.pdf</x:v>
      </x:c>
      <x:c r="H92" s="37" t="str">
        <x:v>仅补充2021资本开支；关键值与后续年报交叉核对</x:v>
      </x:c>
      <x:c r="I92" s="2"/>
      <x:c r="J92" s="2"/>
      <x:c r="K92" s="2"/>
      <x:c r="L92" s="2"/>
      <x:c r="M92" s="2"/>
    </x:row>
    <x:row r="93" ht="42" customHeight="1">
      <x:c r="A93" s="25" t="str">
        <x:v>S7</x:v>
      </x:c>
      <x:c r="B93" s="25" t="str">
        <x:v>002128行情页</x:v>
      </x:c>
      <x:c r="C93" s="25" t="str">
        <x:v>Yahoo股市</x:v>
      </x:c>
      <x:c r="D93" s="26" t="d">
        <x:v>2026-10-20T00:00:00.000Z</x:v>
      </x:c>
      <x:c r="E93" s="25" t="str">
        <x:v>2026-10-20收盘</x:v>
      </x:c>
      <x:c r="F93" s="25" t="str">
        <x:v>行情摘要</x:v>
      </x:c>
      <x:c r="G93" s="37" t="str">
        <x:v>https://tw.stock.yahoo.com/quote/002128.SZ</x:v>
      </x:c>
      <x:c r="H93" s="37" t="str">
        <x:v>27.96元；第三方行情，非公司披露</x:v>
      </x:c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</x:sheetData>
  <x:mergeCells>
    <x:mergeCell ref="A2:M2"/>
    <x:mergeCell ref="A3:M3"/>
    <x:mergeCell ref="A5:D5"/>
    <x:mergeCell ref="A32:M32"/>
    <x:mergeCell ref="A43:G43"/>
    <x:mergeCell ref="A51:D51"/>
    <x:mergeCell ref="A68:D68"/>
    <x:mergeCell ref="A85:H85"/>
  </x:mergeCells>
  <x:pageMargins left="0.7" right="0.7" top="0.75" bottom="0.75" header="0.3" footer="0.3"/>
</x:worksheet>
</file>