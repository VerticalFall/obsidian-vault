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5625c0053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c0d92d97f3864cd2"/>
    <x:sheet xmlns:r="http://schemas.openxmlformats.org/officeDocument/2006/relationships" name="量化评分" sheetId="2" r:id="Rc7b1246bc51e414e"/>
    <x:sheet xmlns:r="http://schemas.openxmlformats.org/officeDocument/2006/relationships" name="ETF映射" sheetId="3" r:id="R67362609851942a7"/>
    <x:sheet xmlns:r="http://schemas.openxmlformats.org/officeDocument/2006/relationships" name="数据来源" sheetId="4" r:id="Rbd3f98856a09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&quot; / 100&quot;"/>
    <x:numFmt numFmtId="201" formatCode="0.0"/>
    <x:numFmt numFmtId="202" formatCode=";;;"/>
    <x:numFmt numFmtId="203" formatCode="0.00"/>
    <x:numFmt numFmtId="204" formatCode="0%"/>
    <x:numFmt numFmtId="205" formatCode="@"/>
    <x:numFmt numFmtId="206" formatCode="0.00&quot;%&quot;"/>
    <x:numFmt numFmtId="207" formatCode="0.0000"/>
    <x:numFmt numFmtId="208" formatCode="0.0%"/>
    <x:numFmt numFmtId="209" formatCode="0.0&quot;%&quot;"/>
  </x:numFmts>
  <x:fonts count="15">
    <x:font>
      <x:sz val="11"/>
      <x:name val="Carlito"/>
    </x:font>
    <x:font>
      <x:b/>
      <x:sz val="20"/>
      <x:color rgb="FF16324F"/>
      <x:name val="Arial"/>
    </x:font>
    <x:font>
      <x:sz val="10"/>
      <x:color rgb="FF667085"/>
      <x:name val="Arial"/>
    </x:font>
    <x:font>
      <x:b/>
      <x:sz val="9"/>
      <x:color rgb="FF475467"/>
      <x:name val="Arial"/>
    </x:font>
    <x:font>
      <x:b/>
      <x:sz val="15"/>
      <x:color rgb="FF16324F"/>
      <x:name val="Arial"/>
    </x:font>
    <x:font>
      <x:b/>
      <x:sz val="10"/>
      <x:color rgb="FFFFFFFF"/>
      <x:name val="Arial"/>
    </x:font>
    <x:font>
      <x:sz val="9"/>
      <x:color rgb="FF101828"/>
      <x:name val="Arial"/>
    </x:font>
    <x:font>
      <x:b/>
      <x:sz val="11"/>
      <x:color rgb="FFFFFFFF"/>
      <x:name val="Arial"/>
    </x:font>
    <x:font>
      <x:sz val="10"/>
      <x:color rgb="FF101828"/>
      <x:name val="Arial"/>
    </x:font>
    <x:font>
      <x:sz val="11"/>
      <x:color rgb="FFFFFFFF"/>
      <x:name val="Carlito"/>
    </x:font>
    <x:font>
      <x:sz val="11"/>
      <x:name val="Arial"/>
    </x:font>
    <x:font>
      <x:sz val="11"/>
      <x:color rgb="FFFFFFFF"/>
      <x:name val="Arial"/>
    </x:font>
    <x:font>
      <x:sz val="10"/>
      <x:color rgb="FF0563C1"/>
      <x:name val="Arial"/>
    </x:font>
    <x:font>
      <x:sz val="9"/>
      <x:color rgb="FF0563C1"/>
      <x:name val="Arial"/>
    </x:font>
    <x:font>
      <x:b/>
      <x:sz val="9"/>
      <x:color rgb="FF101828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FDECEC"/>
      </x:patternFill>
    </x:fill>
    <x:fill>
      <x:patternFill patternType="solid">
        <x:fgColor rgb="FFEAF2F8"/>
      </x:patternFill>
    </x:fill>
    <x:fill>
      <x:patternFill patternType="solid">
        <x:fgColor rgb="FFE8F5E9"/>
      </x:patternFill>
    </x:fill>
    <x:fill>
      <x:patternFill patternType="solid">
        <x:fgColor rgb="FFFFF4CC"/>
      </x:patternFill>
    </x:fill>
    <x:fill>
      <x:patternFill patternType="solid">
        <x:fgColor rgb="FF16324F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EEF6FF"/>
      </x:patternFill>
    </x:fill>
    <x:fill>
      <x:patternFill patternType="solid">
        <x:fgColor rgb="FFF4F9FF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EEF4FA"/>
      </x:patternFill>
    </x:fill>
    <x:fill>
      <x:patternFill patternType="solid">
        <x:fgColor rgb="FFF2F8F4"/>
      </x:patternFill>
    </x:fill>
    <x:fill>
      <x:patternFill patternType="solid">
        <x:fgColor rgb="FFFFF8E6"/>
      </x:patternFill>
    </x:fill>
  </x:fills>
  <x:borders count="2">
    <x:border>
      <x:left/>
      <x:right/>
      <x:top/>
      <x:bottom/>
      <x:diagonal/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  <x:diagonal/>
    </x:border>
  </x:borders>
  <x:cellStyleXfs count="1">
    <x:xf numFmtId="0" fontId="0" fillId="0" borderId="0"/>
  </x:cellStyleXfs>
  <x:cellXfs count="1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201" fontId="6" fillId="0" borderId="1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left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203" fontId="6" fillId="0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horizont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204" fontId="12" fillId="10" borderId="1" xfId="0" applyNumberFormat="1" applyFont="1" applyFill="1" applyBorder="1" applyAlignment="1">
      <x:alignment horizontal="center" vertical="center" wrapText="1"/>
    </x:xf>
    <x:xf numFmtId="204" fontId="8" fillId="0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6" fillId="1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205" fontId="6" fillId="0" borderId="1" xfId="0" applyNumberFormat="1" applyFont="1" applyFill="1" applyBorder="1" applyAlignment="1">
      <x:alignment horizontal="center" vertical="center" wrapText="1"/>
    </x:xf>
    <x:xf numFmtId="205" fontId="6" fillId="13" borderId="1" xfId="0" applyNumberFormat="1" applyFont="1" applyFill="1" applyBorder="1" applyAlignment="1">
      <x:alignment horizontal="center" vertical="center" wrapText="1"/>
    </x:xf>
    <x:xf numFmtId="0" fontId="6" fillId="13" borderId="1" xfId="0" applyNumberFormat="1" applyFont="1" applyFill="1" applyBorder="1" applyAlignment="1">
      <x:alignment horizontal="left" vertical="center" wrapText="1"/>
    </x:xf>
    <x:xf numFmtId="205" fontId="6" fillId="12" borderId="1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205" fontId="6" fillId="3" borderId="1" xfId="0" applyNumberFormat="1" applyFont="1" applyFill="1" applyBorder="1" applyAlignment="1">
      <x:alignment horizontal="center" vertical="center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205" fontId="14" fillId="3" borderId="1" xfId="0" applyNumberFormat="1" applyFont="1" applyFill="1" applyBorder="1" applyAlignment="1">
      <x:alignment horizontal="center" vertical="center" wrapText="1"/>
    </x:xf>
    <x:xf numFmtId="206" fontId="6" fillId="0" borderId="1" xfId="0" applyNumberFormat="1" applyFont="1" applyFill="1" applyBorder="1" applyAlignment="1">
      <x:alignment horizontal="center" vertical="center" wrapText="1"/>
    </x:xf>
    <x:xf numFmtId="207" fontId="6" fillId="0" borderId="1" xfId="0" applyNumberFormat="1" applyFont="1" applyFill="1" applyBorder="1" applyAlignment="1">
      <x:alignment horizontal="center" vertical="center" wrapText="1"/>
    </x:xf>
    <x:xf numFmtId="208" fontId="6" fillId="0" borderId="1" xfId="0" applyNumberFormat="1" applyFont="1" applyFill="1" applyBorder="1" applyAlignment="1">
      <x:alignment horizontal="center" vertical="center" wrapText="1"/>
    </x:xf>
    <x:xf numFmtId="209" fontId="6" fillId="0" borderId="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 applyAlignment="1">
      <x:alignment horizontal="center" vertical="center" wrapText="1"/>
    </x:xf>
    <x:xf numFmtId="0" fontId="14" fillId="14" borderId="1" xfId="0" applyNumberFormat="1" applyFont="1" applyFill="1" applyBorder="1" applyAlignment="1">
      <x:alignment horizontal="center" vertical="center" wrapText="1"/>
    </x:xf>
    <x:xf numFmtId="206" fontId="6" fillId="14" borderId="1" xfId="0" applyNumberFormat="1" applyFont="1" applyFill="1" applyBorder="1" applyAlignment="1">
      <x:alignment horizontal="center" vertical="center" wrapText="1"/>
    </x:xf>
    <x:xf numFmtId="0" fontId="6" fillId="14" borderId="1" xfId="0" applyNumberFormat="1" applyFont="1" applyFill="1" applyBorder="1" applyAlignment="1">
      <x:alignment horizontal="center" vertical="center" wrapText="1"/>
    </x:xf>
    <x:xf numFmtId="0" fontId="6" fillId="14" borderId="1" xfId="0" applyNumberFormat="1" applyFont="1" applyFill="1" applyBorder="1" applyAlignment="1">
      <x:alignment horizontal="left" vertical="center" wrapText="1"/>
    </x:xf>
    <x:xf numFmtId="207" fontId="6" fillId="14" borderId="1" xfId="0" applyNumberFormat="1" applyFont="1" applyFill="1" applyBorder="1" applyAlignment="1">
      <x:alignment horizontal="center" vertical="center" wrapText="1"/>
    </x:xf>
    <x:xf numFmtId="208" fontId="6" fillId="14" borderId="1" xfId="0" applyNumberFormat="1" applyFont="1" applyFill="1" applyBorder="1" applyAlignment="1">
      <x:alignment horizontal="center" vertic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209" fontId="6" fillId="15" borderId="1" xfId="0" applyNumberFormat="1" applyFont="1" applyFill="1" applyBorder="1" applyAlignment="1">
      <x:alignment horizontal="center" vertical="center" wrapText="1"/>
    </x:xf>
    <x:xf numFmtId="0" fontId="6" fillId="15" borderId="1" xfId="0" applyNumberFormat="1" applyFont="1" applyFill="1" applyBorder="1" applyAlignment="1">
      <x:alignment horizontal="center" vertical="center" wrapText="1"/>
    </x:xf>
    <x:xf numFmtId="0" fontId="6" fillId="15" borderId="1" xfId="0" applyNumberFormat="1" applyFont="1" applyFill="1" applyBorder="1" applyAlignment="1">
      <x:alignment horizontal="left" vertical="center" wrapText="1"/>
    </x:xf>
    <x:xf numFmtId="0" fontId="14" fillId="16" borderId="1" xfId="0" applyNumberFormat="1" applyFont="1" applyFill="1" applyBorder="1" applyAlignment="1">
      <x:alignment horizontal="center" vertical="center" wrapText="1"/>
    </x:xf>
    <x:xf numFmtId="209" fontId="6" fillId="16" borderId="1" xfId="0" applyNumberFormat="1" applyFont="1" applyFill="1" applyBorder="1" applyAlignment="1">
      <x:alignment horizontal="center" vertical="center" wrapText="1"/>
    </x:xf>
    <x:xf numFmtId="0" fontId="6" fillId="16" borderId="1" xfId="0" applyNumberFormat="1" applyFont="1" applyFill="1" applyBorder="1" applyAlignment="1">
      <x:alignment horizontal="center" vertical="center" wrapText="1"/>
    </x:xf>
    <x:xf numFmtId="0" fontId="6" fillId="16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8" fillId="1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7A4E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b1e4199f6438a" /><Relationship Type="http://schemas.openxmlformats.org/officeDocument/2006/relationships/theme" Target="/xl/theme/theme1.xml" Id="R686558e797704f51" /><Relationship Type="http://schemas.openxmlformats.org/officeDocument/2006/relationships/sharedStrings" Target="/xl/sharedStrings.xml" Id="Re9e4d1090c2f4557" /><Relationship Type="http://schemas.openxmlformats.org/officeDocument/2006/relationships/worksheet" Target="/xl/worksheets/sheet1.xml" Id="Rc0d92d97f3864cd2" /><Relationship Type="http://schemas.openxmlformats.org/officeDocument/2006/relationships/worksheet" Target="/xl/worksheets/sheet2.xml" Id="Rc7b1246bc51e414e" /><Relationship Type="http://schemas.openxmlformats.org/officeDocument/2006/relationships/worksheet" Target="/xl/worksheets/sheet3.xml" Id="R67362609851942a7" /><Relationship Type="http://schemas.openxmlformats.org/officeDocument/2006/relationships/worksheet" Target="/xl/worksheets/sheet4.xml" Id="Rbd3f98856a0946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53bcf4654f4239" /><Relationship Type="http://schemas.openxmlformats.org/officeDocument/2006/relationships/chart" Target="/xl/drawings/charts/chart2.xml" Id="Re5ee24d505b140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综合得分 Top 20（分数越高越适配本情景）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综合分</c:v>
          </c:tx>
          <c:spPr>
            <a:solidFill xmlns:a="http://schemas.openxmlformats.org/drawingml/2006/main">
              <a:srgbClr val="0F766E"/>
            </a:solidFill>
          </c:spPr>
          <c:invertIfNegative val="0"/>
          <c:cat>
            <c:strRef>
              <c:f>'仪表盘'!$I$10:$I$30</c:f>
              <c:strCache>
                <c:ptCount val="0"/>
              </c:strCache>
            </c:strRef>
          </c:cat>
          <c:val>
            <c:numRef>
              <c:f>'仪表盘'!$J$10:$J$30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科技与创新药得分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综合分</c:v>
          </c:tx>
          <c:spPr>
            <a:solidFill xmlns:a="http://schemas.openxmlformats.org/drawingml/2006/main">
              <a:srgbClr val="1F4E78"/>
            </a:solidFill>
          </c:spPr>
          <c:invertIfNegative val="0"/>
          <c:cat>
            <c:strRef>
              <c:f>'仪表盘'!$A$43:$A$49</c:f>
              <c:strCache>
                <c:ptCount val="0"/>
              </c:strCache>
            </c:strRef>
          </c:cat>
          <c:val>
            <c:numRef>
              <c:f>'仪表盘'!$B$43:$B$49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3bcf4654f4239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ee24d505b140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ctorScoreTable" displayName="SectorScoreTable" ref="A8:N32" headerRowCount="1" totalsRowCount="0" totalsRowShown="0">
  <x:autoFilter ref="A8:N32"/>
  <x:tableColumns count="14">
    <x:tableColumn id="1" name="板块 / 风格"/>
    <x:tableColumn id="2" name="类型"/>
    <x:tableColumn id="3" name="美国加息抗性"/>
    <x:tableColumn id="4" name="中国宽松受益"/>
    <x:tableColumn id="5" name="人民币升值受益"/>
    <x:tableColumn id="6" name="盈利兑现"/>
    <x:tableColumn id="7" name="现金流/估值"/>
    <x:tableColumn id="8" name="制裁安全"/>
    <x:tableColumn id="9" name="ETF可执行性"/>
    <x:tableColumn id="10" name="综合分"/>
    <x:tableColumn id="11" name="核心证据 / 逻辑"/>
    <x:tableColumn id="12" name="排名"/>
    <x:tableColumn id="13" name="结论"/>
    <x:tableColumn id="14" name="最大风险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ETFMapTable" displayName="ETFMapTable" ref="A5:H34" headerRowCount="1" totalsRowCount="0" totalsRowShown="0">
  <x:autoFilter ref="A5:H34"/>
  <x:tableColumns count="8">
    <x:tableColumn id="1" name="对应分类"/>
    <x:tableColumn id="2" name="代码"/>
    <x:tableColumn id="3" name="市场"/>
    <x:tableColumn id="4" name="场内简称 / 产品"/>
    <x:tableColumn id="5" name="覆盖方向"/>
    <x:tableColumn id="6" name="适用逻辑"/>
    <x:tableColumn id="7" name="执行提醒"/>
    <x:tableColumn id="8" name="官方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SourceEvidenceTable" displayName="SourceEvidenceTable" ref="A5:G26" headerRowCount="1" totalsRowCount="0" totalsRowShown="0">
  <x:autoFilter ref="A5:G26"/>
  <x:tableColumns count="7">
    <x:tableColumn id="1" name="主题"/>
    <x:tableColumn id="2" name="起点/数值1"/>
    <x:tableColumn id="3" name="终点/数值2"/>
    <x:tableColumn id="4" name="变化/结论"/>
    <x:tableColumn id="5" name="日期/口径"/>
    <x:tableColumn id="6" name="客观事实"/>
    <x:tableColumn id="7" name="来源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64e8f471b447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fc19eb50d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dfda74741d44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c34b4f44e451a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10" hidden="0" customWidth="1"/>
    <x:col min="4" max="4" width="14" hidden="0" customWidth="1"/>
    <x:col min="5" max="5" width="10" hidden="0" customWidth="1"/>
    <x:col min="6" max="6" width="37" hidden="0" customWidth="1"/>
    <x:col min="7" max="7" width="28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3" t="str">
        <x:v>中美政策背离下的板块机会评分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</x:row>
    <x:row r="2" ht="26" customHeight="1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</x:row>
    <x:row r="3" ht="22" customHeight="1">
      <x:c r="A3" s="7" t="str">
        <x:v>截至 2026-10-26｜情景：美国加息 + 中国稳息/降息 + 人民币温和升值｜评分是相对机会排序，不是未来收益率承诺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1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</x:row>
    <x:row r="5" ht="22" customHeight="1">
      <x:c r="A5" s="12" t="str">
        <x:v>美国政策利率</x:v>
      </x:c>
      <x:c r="B5" s="12"/>
      <x:c r="C5" s="12"/>
      <x:c r="D5" s="22" t="str">
        <x:v>中国LPR（1年 / 5年以上）</x:v>
      </x:c>
      <x:c r="E5" s="22"/>
      <x:c r="F5" s="22"/>
      <x:c r="G5" s="32" t="str">
        <x:v>人民币相对美元升值</x:v>
      </x:c>
      <x:c r="H5" s="32"/>
      <x:c r="I5" s="32"/>
      <x:c r="J5" s="42" t="str">
        <x:v>当前综合排名第1</x:v>
      </x:c>
      <x:c r="K5" s="42"/>
      <x:c r="L5" s="42"/>
      <x:c r="M5" s="42" t="str">
        <x:v>第1名综合得分</x:v>
      </x:c>
      <x:c r="N5" s="42"/>
      <x:c r="O5" s="42"/>
    </x:row>
    <x:row r="6" ht="28" customHeight="1">
      <x:c r="A6" s="17" t="str">
        <x:v>3.75%–4.00%</x:v>
      </x:c>
      <x:c r="B6" s="17"/>
      <x:c r="C6" s="17"/>
      <x:c r="D6" s="27" t="str">
        <x:v>3.0% / 3.5%</x:v>
      </x:c>
      <x:c r="E6" s="27"/>
      <x:c r="F6" s="27"/>
      <x:c r="G6" s="37" t="str">
        <x:v>约0.9%
（9/3 → 10/23）</x:v>
      </x:c>
      <x:c r="H6" s="37"/>
      <x:c r="I6" s="37"/>
      <x:c r="J6" s="47" t="str">
        <x:f>INDEX('量化评分'!$A$9:$A$32,MATCH(1,'量化评分'!$L$9:$L$32,0))</x:f>
        <x:v>自由现金流</x:v>
      </x:c>
      <x:c r="K6" s="47"/>
      <x:c r="L6" s="47"/>
      <x:c r="M6" s="48" t="n">
        <x:f>INDEX('量化评分'!$J$9:$J$32,MATCH(1,'量化评分'!$L$9:$L$32,0))</x:f>
        <x:v>80.5</x:v>
      </x:c>
      <x:c r="N6" s="47"/>
      <x:c r="O6" s="47"/>
    </x:row>
    <x:row r="7" ht="28" customHeight="1">
      <x:c r="A7" s="17"/>
      <x:c r="B7" s="17"/>
      <x:c r="C7" s="17"/>
      <x:c r="D7" s="27"/>
      <x:c r="E7" s="27"/>
      <x:c r="F7" s="27"/>
      <x:c r="G7" s="37"/>
      <x:c r="H7" s="37"/>
      <x:c r="I7" s="37"/>
      <x:c r="J7" s="47"/>
      <x:c r="K7" s="47"/>
      <x:c r="L7" s="47"/>
      <x:c r="M7" s="47"/>
      <x:c r="N7" s="47"/>
      <x:c r="O7" s="47"/>
    </x:row>
    <x:row r="8" ht="21" customHeight="1">
      <x:c r="A8" s="82"/>
      <x:c r="B8" s="82"/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</x:row>
    <x:row r="9" ht="32" customHeight="1">
      <x:c r="A9" s="54" t="str">
        <x:v>排名</x:v>
      </x:c>
      <x:c r="B9" s="54" t="str">
        <x:v>板块 / 风格</x:v>
      </x:c>
      <x:c r="C9" s="54" t="str">
        <x:v>综合分</x:v>
      </x:c>
      <x:c r="D9" s="54" t="str">
        <x:v>结论</x:v>
      </x:c>
      <x:c r="E9" s="54" t="str">
        <x:v>制裁安全</x:v>
      </x:c>
      <x:c r="F9" s="54" t="str">
        <x:v>核心逻辑</x:v>
      </x:c>
      <x:c r="G9" s="54" t="str">
        <x:v>最大风险</x:v>
      </x:c>
      <x:c r="H9" s="82"/>
      <x:c r="I9" s="82" t="str">
        <x:v>图表标签</x:v>
      </x:c>
      <x:c r="J9" s="82" t="str">
        <x:v>综合分</x:v>
      </x:c>
      <x:c r="K9" s="82"/>
      <x:c r="L9" s="82"/>
      <x:c r="M9" s="82"/>
      <x:c r="N9" s="82"/>
      <x:c r="O9" s="82"/>
    </x:row>
    <x:row r="10" ht="38" customHeight="1">
      <x:c r="A10" s="59" t="n">
        <x:v>1</x:v>
      </x:c>
      <x:c r="B10" s="59" t="str">
        <x:f>INDEX('量化评分'!$A$9:$A$32,MATCH($A10,'量化评分'!$L$9:$L$32,0))</x:f>
        <x:v>自由现金流</x:v>
      </x:c>
      <x:c r="C10" s="60" t="n">
        <x:f>INDEX('量化评分'!$J$9:$J$32,MATCH($A10,'量化评分'!$L$9:$L$32,0))</x:f>
        <x:v>80.5</x:v>
      </x:c>
      <x:c r="D10" s="59" t="str">
        <x:f>INDEX('量化评分'!$M$9:$M$32,MATCH($A10,'量化评分'!$L$9:$L$32,0))</x:f>
        <x:v>优先观察</x:v>
      </x:c>
      <x:c r="E10" s="59" t="n">
        <x:f>INDEX('量化评分'!$H$9:$H$32,MATCH($A10,'量化评分'!$L$9:$L$32,0))</x:f>
        <x:v>8</x:v>
      </x:c>
      <x:c r="F10" s="58" t="str">
        <x:f>INDEX('量化评分'!$K$9:$K$32,MATCH($A10,'量化评分'!$L$9:$L$32,0))</x:f>
        <x:v>低再融资依赖、现金回报清晰；国内宽松降低机会成本</x:v>
      </x:c>
      <x:c r="G10" s="58" t="str">
        <x:f>INDEX('量化评分'!$N$9:$N$32,MATCH($A10,'量化评分'!$L$9:$L$32,0))</x:f>
        <x:v>风格拥挤、周期股权重偏高</x:v>
      </x:c>
      <x:c r="H10" s="82"/>
      <x:c r="I10" s="82" t="str">
        <x:f>IF(B10="电信运营/通信服务","电信服务",IF(B10="资源上游（煤炭/油气/有色矿）","资源上游",IF(B10="有色冶炼/基础化工","有色/化工",IF(B10="公用事业/电力","公用事业",IF(B10="医疗/医药","医疗医药",B10)))))</x:f>
        <x:v>自由现金流</x:v>
      </x:c>
      <x:c r="J10" s="82" t="n">
        <x:f>C10</x:f>
        <x:v>80.5</x:v>
      </x:c>
      <x:c r="K10" s="82"/>
      <x:c r="L10" s="82"/>
      <x:c r="M10" s="82"/>
      <x:c r="N10" s="82"/>
      <x:c r="O10" s="82"/>
    </x:row>
    <x:row r="11" ht="38" customHeight="1">
      <x:c r="A11" s="59" t="n">
        <x:v>2</x:v>
      </x:c>
      <x:c r="B11" s="59" t="str">
        <x:f>INDEX('量化评分'!$A$9:$A$32,MATCH($A11,'量化评分'!$L$9:$L$32,0))</x:f>
        <x:v>红利低波</x:v>
      </x:c>
      <x:c r="C11" s="60" t="n">
        <x:f>INDEX('量化评分'!$J$9:$J$32,MATCH($A11,'量化评分'!$L$9:$L$32,0))</x:f>
        <x:v>78.5</x:v>
      </x:c>
      <x:c r="D11" s="59" t="str">
        <x:f>INDEX('量化评分'!$M$9:$M$32,MATCH($A11,'量化评分'!$L$9:$L$32,0))</x:f>
        <x:v>优先观察</x:v>
      </x:c>
      <x:c r="E11" s="59" t="n">
        <x:f>INDEX('量化评分'!$H$9:$H$32,MATCH($A11,'量化评分'!$L$9:$L$32,0))</x:f>
        <x:v>9</x:v>
      </x:c>
      <x:c r="F11" s="58" t="str">
        <x:f>INDEX('量化评分'!$K$9:$K$32,MATCH($A11,'量化评分'!$L$9:$L$32,0))</x:f>
        <x:v>高股息与低波动降低贴现率冲击，适合做组合底仓</x:v>
      </x:c>
      <x:c r="G11" s="58" t="str">
        <x:f>INDEX('量化评分'!$N$9:$N$32,MATCH($A11,'量化评分'!$L$9:$L$32,0))</x:f>
        <x:v>高股息行业集中、商品价格回落</x:v>
      </x:c>
      <x:c r="H11" s="82"/>
      <x:c r="I11" s="82" t="str">
        <x:f>IF(B11="电信运营/通信服务","电信服务",IF(B11="资源上游（煤炭/油气/有色矿）","资源上游",IF(B11="有色冶炼/基础化工","有色/化工",IF(B11="公用事业/电力","公用事业",IF(B11="医疗/医药","医疗医药",B11)))))</x:f>
        <x:v>红利低波</x:v>
      </x:c>
      <x:c r="J11" s="82" t="n">
        <x:f>C11</x:f>
        <x:v>78.5</x:v>
      </x:c>
      <x:c r="K11" s="82"/>
      <x:c r="L11" s="82"/>
      <x:c r="M11" s="82"/>
      <x:c r="N11" s="82"/>
      <x:c r="O11" s="82"/>
    </x:row>
    <x:row r="12" ht="38" customHeight="1">
      <x:c r="A12" s="59" t="n">
        <x:v>3</x:v>
      </x:c>
      <x:c r="B12" s="59" t="str">
        <x:f>INDEX('量化评分'!$A$9:$A$32,MATCH($A12,'量化评分'!$L$9:$L$32,0))</x:f>
        <x:v>电信运营/通信服务</x:v>
      </x:c>
      <x:c r="C12" s="60" t="n">
        <x:f>INDEX('量化评分'!$J$9:$J$32,MATCH($A12,'量化评分'!$L$9:$L$32,0))</x:f>
        <x:v>77</x:v>
      </x:c>
      <x:c r="D12" s="59" t="str">
        <x:f>INDEX('量化评分'!$M$9:$M$32,MATCH($A12,'量化评分'!$L$9:$L$32,0))</x:f>
        <x:v>优先观察</x:v>
      </x:c>
      <x:c r="E12" s="59" t="n">
        <x:f>INDEX('量化评分'!$H$9:$H$32,MATCH($A12,'量化评分'!$L$9:$L$32,0))</x:f>
        <x:v>7</x:v>
      </x:c>
      <x:c r="F12" s="58" t="str">
        <x:f>INDEX('量化评分'!$K$9:$K$32,MATCH($A12,'量化评分'!$L$9:$L$32,0))</x:f>
        <x:v>国内现金流稳定；信息/软件服务增长，升值利进口设备成本</x:v>
      </x:c>
      <x:c r="G12" s="58" t="str">
        <x:f>INDEX('量化评分'!$N$9:$N$32,MATCH($A12,'量化评分'!$L$9:$L$32,0))</x:f>
        <x:v>资本开支上升、监管定价</x:v>
      </x:c>
      <x:c r="H12" s="82"/>
      <x:c r="I12" s="82" t="str">
        <x:f>IF(B12="电信运营/通信服务","电信服务",IF(B12="资源上游（煤炭/油气/有色矿）","资源上游",IF(B12="有色冶炼/基础化工","有色/化工",IF(B12="公用事业/电力","公用事业",IF(B12="医疗/医药","医疗医药",B12)))))</x:f>
        <x:v>电信服务</x:v>
      </x:c>
      <x:c r="J12" s="82" t="n">
        <x:f>C12</x:f>
        <x:v>77</x:v>
      </x:c>
      <x:c r="K12" s="82"/>
      <x:c r="L12" s="82"/>
      <x:c r="M12" s="82"/>
      <x:c r="N12" s="82"/>
      <x:c r="O12" s="82"/>
    </x:row>
    <x:row r="13" ht="38" customHeight="1">
      <x:c r="A13" s="59" t="n">
        <x:v>4</x:v>
      </x:c>
      <x:c r="B13" s="59" t="str">
        <x:f>INDEX('量化评分'!$A$9:$A$32,MATCH($A13,'量化评分'!$L$9:$L$32,0))</x:f>
        <x:v>中证红利</x:v>
      </x:c>
      <x:c r="C13" s="60" t="n">
        <x:f>INDEX('量化评分'!$J$9:$J$32,MATCH($A13,'量化评分'!$L$9:$L$32,0))</x:f>
        <x:v>76.5</x:v>
      </x:c>
      <x:c r="D13" s="59" t="str">
        <x:f>INDEX('量化评分'!$M$9:$M$32,MATCH($A13,'量化评分'!$L$9:$L$32,0))</x:f>
        <x:v>优先观察</x:v>
      </x:c>
      <x:c r="E13" s="59" t="n">
        <x:f>INDEX('量化评分'!$H$9:$H$32,MATCH($A13,'量化评分'!$L$9:$L$32,0))</x:f>
        <x:v>9</x:v>
      </x:c>
      <x:c r="F13" s="58" t="str">
        <x:f>INDEX('量化评分'!$K$9:$K$32,MATCH($A13,'量化评分'!$L$9:$L$32,0))</x:f>
        <x:v>高股息与持续分红提供现金回报，但没有低波动筛选</x:v>
      </x:c>
      <x:c r="G13" s="58" t="str">
        <x:f>INDEX('量化评分'!$N$9:$N$32,MATCH($A13,'量化评分'!$L$9:$L$32,0))</x:f>
        <x:v>行业集中与周期暴露高于红利低波</x:v>
      </x:c>
      <x:c r="H13" s="82"/>
      <x:c r="I13" s="82" t="str">
        <x:f>IF(B13="电信运营/通信服务","电信服务",IF(B13="资源上游（煤炭/油气/有色矿）","资源上游",IF(B13="有色冶炼/基础化工","有色/化工",IF(B13="公用事业/电力","公用事业",IF(B13="医疗/医药","医疗医药",B13)))))</x:f>
        <x:v>中证红利</x:v>
      </x:c>
      <x:c r="J13" s="82" t="n">
        <x:f>C13</x:f>
        <x:v>76.5</x:v>
      </x:c>
      <x:c r="K13" s="82"/>
      <x:c r="L13" s="82"/>
      <x:c r="M13" s="82"/>
      <x:c r="N13" s="82"/>
      <x:c r="O13" s="82"/>
    </x:row>
    <x:row r="14" ht="38" customHeight="1">
      <x:c r="A14" s="59" t="n">
        <x:v>5</x:v>
      </x:c>
      <x:c r="B14" s="59" t="str">
        <x:f>INDEX('量化评分'!$A$9:$A$32,MATCH($A14,'量化评分'!$L$9:$L$32,0))</x:f>
        <x:v>央企红利</x:v>
      </x:c>
      <x:c r="C14" s="60" t="n">
        <x:f>INDEX('量化评分'!$J$9:$J$32,MATCH($A14,'量化评分'!$L$9:$L$32,0))</x:f>
        <x:v>75</x:v>
      </x:c>
      <x:c r="D14" s="59" t="str">
        <x:f>INDEX('量化评分'!$M$9:$M$32,MATCH($A14,'量化评分'!$L$9:$L$32,0))</x:f>
        <x:v>优先观察</x:v>
      </x:c>
      <x:c r="E14" s="59" t="n">
        <x:f>INDEX('量化评分'!$H$9:$H$32,MATCH($A14,'量化评分'!$L$9:$L$32,0))</x:f>
        <x:v>8</x:v>
      </x:c>
      <x:c r="F14" s="58" t="str">
        <x:f>INDEX('量化评分'!$K$9:$K$32,MATCH($A14,'量化评分'!$L$9:$L$32,0))</x:f>
        <x:v>分红与现金流稳定，政策宽松提升高股息资产相对吸引力</x:v>
      </x:c>
      <x:c r="G14" s="58" t="str">
        <x:f>INDEX('量化评分'!$N$9:$N$32,MATCH($A14,'量化评分'!$L$9:$L$32,0))</x:f>
        <x:v>金融与周期行业集中</x:v>
      </x:c>
      <x:c r="H14" s="82"/>
      <x:c r="I14" s="82" t="str">
        <x:f>IF(B14="电信运营/通信服务","电信服务",IF(B14="资源上游（煤炭/油气/有色矿）","资源上游",IF(B14="有色冶炼/基础化工","有色/化工",IF(B14="公用事业/电力","公用事业",IF(B14="医疗/医药","医疗医药",B14)))))</x:f>
        <x:v>央企红利</x:v>
      </x:c>
      <x:c r="J14" s="82" t="n">
        <x:f>C14</x:f>
        <x:v>75</x:v>
      </x:c>
      <x:c r="K14" s="82"/>
      <x:c r="L14" s="82"/>
      <x:c r="M14" s="82"/>
      <x:c r="N14" s="82"/>
      <x:c r="O14" s="82"/>
    </x:row>
    <x:row r="15" ht="38" customHeight="1">
      <x:c r="A15" s="59" t="n">
        <x:v>6</x:v>
      </x:c>
      <x:c r="B15" s="59" t="str">
        <x:f>INDEX('量化评分'!$A$9:$A$32,MATCH($A15,'量化评分'!$L$9:$L$32,0))</x:f>
        <x:v>资源上游（煤炭/油气/有色矿）</x:v>
      </x:c>
      <x:c r="C15" s="60" t="n">
        <x:f>INDEX('量化评分'!$J$9:$J$32,MATCH($A15,'量化评分'!$L$9:$L$32,0))</x:f>
        <x:v>71.5</x:v>
      </x:c>
      <x:c r="D15" s="59" t="str">
        <x:f>INDEX('量化评分'!$M$9:$M$32,MATCH($A15,'量化评分'!$L$9:$L$32,0))</x:f>
        <x:v>可配置</x:v>
      </x:c>
      <x:c r="E15" s="59" t="n">
        <x:f>INDEX('量化评分'!$H$9:$H$32,MATCH($A15,'量化评分'!$L$9:$L$32,0))</x:f>
        <x:v>9</x:v>
      </x:c>
      <x:c r="F15" s="58" t="str">
        <x:f>INDEX('量化评分'!$K$9:$K$32,MATCH($A15,'量化评分'!$L$9:$L$32,0))</x:f>
        <x:v>采矿利润+35.1%；煤炭+51.6%、有色矿+71.8%，盈利兑现较强</x:v>
      </x:c>
      <x:c r="G15" s="58" t="str">
        <x:f>INDEX('量化评分'!$N$9:$N$32,MATCH($A15,'量化评分'!$L$9:$L$32,0))</x:f>
        <x:v>全球需求回落、人民币升值压商品折算</x:v>
      </x:c>
      <x:c r="H15" s="82"/>
      <x:c r="I15" s="82" t="str">
        <x:f>IF(B15="电信运营/通信服务","电信服务",IF(B15="资源上游（煤炭/油气/有色矿）","资源上游",IF(B15="有色冶炼/基础化工","有色/化工",IF(B15="公用事业/电力","公用事业",IF(B15="医疗/医药","医疗医药",B15)))))</x:f>
        <x:v>资源上游</x:v>
      </x:c>
      <x:c r="J15" s="82" t="n">
        <x:f>C15</x:f>
        <x:v>71.5</x:v>
      </x:c>
      <x:c r="K15" s="82"/>
      <x:c r="L15" s="82"/>
      <x:c r="M15" s="82"/>
      <x:c r="N15" s="82"/>
      <x:c r="O15" s="82"/>
    </x:row>
    <x:row r="16" ht="38" customHeight="1">
      <x:c r="A16" s="59" t="n">
        <x:v>7</x:v>
      </x:c>
      <x:c r="B16" s="59" t="str">
        <x:f>INDEX('量化评分'!$A$9:$A$32,MATCH($A16,'量化评分'!$L$9:$L$32,0))</x:f>
        <x:v>必选消费</x:v>
      </x:c>
      <x:c r="C16" s="60" t="n">
        <x:f>INDEX('量化评分'!$J$9:$J$32,MATCH($A16,'量化评分'!$L$9:$L$32,0))</x:f>
        <x:v>69.5</x:v>
      </x:c>
      <x:c r="D16" s="59" t="str">
        <x:f>INDEX('量化评分'!$M$9:$M$32,MATCH($A16,'量化评分'!$L$9:$L$32,0))</x:f>
        <x:v>可配置</x:v>
      </x:c>
      <x:c r="E16" s="59" t="n">
        <x:f>INDEX('量化评分'!$H$9:$H$32,MATCH($A16,'量化评分'!$L$9:$L$32,0))</x:f>
        <x:v>9</x:v>
      </x:c>
      <x:c r="F16" s="58" t="str">
        <x:f>INDEX('量化评分'!$K$9:$K$32,MATCH($A16,'量化评分'!$L$9:$L$32,0))</x:f>
        <x:v>内需属性与进口成本改善提供防御，制裁暴露低</x:v>
      </x:c>
      <x:c r="G16" s="58" t="str">
        <x:f>INDEX('量化评分'!$N$9:$N$32,MATCH($A16,'量化评分'!$L$9:$L$32,0))</x:f>
        <x:v>食品链利润分化、需求复苏偏慢</x:v>
      </x:c>
      <x:c r="H16" s="82"/>
      <x:c r="I16" s="82" t="str">
        <x:f>IF(B16="电信运营/通信服务","电信服务",IF(B16="资源上游（煤炭/油气/有色矿）","资源上游",IF(B16="有色冶炼/基础化工","有色/化工",IF(B16="公用事业/电力","公用事业",IF(B16="医疗/医药","医疗医药",B16)))))</x:f>
        <x:v>必选消费</x:v>
      </x:c>
      <x:c r="J16" s="82" t="n">
        <x:f>C16</x:f>
        <x:v>69.5</x:v>
      </x:c>
      <x:c r="K16" s="82"/>
      <x:c r="L16" s="82"/>
      <x:c r="M16" s="82"/>
      <x:c r="N16" s="82"/>
      <x:c r="O16" s="82"/>
    </x:row>
    <x:row r="17" ht="38" customHeight="1">
      <x:c r="A17" s="59" t="n">
        <x:v>8</x:v>
      </x:c>
      <x:c r="B17" s="59" t="str">
        <x:f>INDEX('量化评分'!$A$9:$A$32,MATCH($A17,'量化评分'!$L$9:$L$32,0))</x:f>
        <x:v>公用事业/电力</x:v>
      </x:c>
      <x:c r="C17" s="60" t="n">
        <x:f>INDEX('量化评分'!$J$9:$J$32,MATCH($A17,'量化评分'!$L$9:$L$32,0))</x:f>
        <x:v>69</x:v>
      </x:c>
      <x:c r="D17" s="59" t="str">
        <x:f>INDEX('量化评分'!$M$9:$M$32,MATCH($A17,'量化评分'!$L$9:$L$32,0))</x:f>
        <x:v>可配置</x:v>
      </x:c>
      <x:c r="E17" s="59" t="n">
        <x:f>INDEX('量化评分'!$H$9:$H$32,MATCH($A17,'量化评分'!$L$9:$L$32,0))</x:f>
        <x:v>9</x:v>
      </x:c>
      <x:c r="F17" s="58" t="str">
        <x:f>INDEX('量化评分'!$K$9:$K$32,MATCH($A17,'量化评分'!$L$9:$L$32,0))</x:f>
        <x:v>降息降低资本成本，人民币升值缓解部分进口能源压力</x:v>
      </x:c>
      <x:c r="G17" s="58" t="str">
        <x:f>INDEX('量化评分'!$N$9:$N$32,MATCH($A17,'量化评分'!$L$9:$L$32,0))</x:f>
        <x:v>电力行业利润同比-15.1%，电价/煤价机制</x:v>
      </x:c>
      <x:c r="H17" s="82"/>
      <x:c r="I17" s="82" t="str">
        <x:f>IF(B17="电信运营/通信服务","电信服务",IF(B17="资源上游（煤炭/油气/有色矿）","资源上游",IF(B17="有色冶炼/基础化工","有色/化工",IF(B17="公用事业/电力","公用事业",IF(B17="医疗/医药","医疗医药",B17)))))</x:f>
        <x:v>公用事业</x:v>
      </x:c>
      <x:c r="J17" s="82" t="n">
        <x:f>C17</x:f>
        <x:v>69</x:v>
      </x:c>
      <x:c r="K17" s="82"/>
      <x:c r="L17" s="82"/>
      <x:c r="M17" s="82"/>
      <x:c r="N17" s="82"/>
      <x:c r="O17" s="82"/>
    </x:row>
    <x:row r="18" ht="38" customHeight="1">
      <x:c r="A18" s="59" t="n">
        <x:v>9</x:v>
      </x:c>
      <x:c r="B18" s="59" t="str">
        <x:f>INDEX('量化评分'!$A$9:$A$32,MATCH($A18,'量化评分'!$L$9:$L$32,0))</x:f>
        <x:v>有色冶炼/基础化工</x:v>
      </x:c>
      <x:c r="C18" s="60" t="n">
        <x:f>INDEX('量化评分'!$J$9:$J$32,MATCH($A18,'量化评分'!$L$9:$L$32,0))</x:f>
        <x:v>68.5</x:v>
      </x:c>
      <x:c r="D18" s="59" t="str">
        <x:f>INDEX('量化评分'!$M$9:$M$32,MATCH($A18,'量化评分'!$L$9:$L$32,0))</x:f>
        <x:v>可配置</x:v>
      </x:c>
      <x:c r="E18" s="59" t="n">
        <x:f>INDEX('量化评分'!$H$9:$H$32,MATCH($A18,'量化评分'!$L$9:$L$32,0))</x:f>
        <x:v>8</x:v>
      </x:c>
      <x:c r="F18" s="58" t="str">
        <x:f>INDEX('量化评分'!$K$9:$K$32,MATCH($A18,'量化评分'!$L$9:$L$32,0))</x:f>
        <x:v>有色冶炼利润+82.9%、化工+51.0%，当前景气验证较强</x:v>
      </x:c>
      <x:c r="G18" s="58" t="str">
        <x:f>INDEX('量化评分'!$N$9:$N$32,MATCH($A18,'量化评分'!$L$9:$L$32,0))</x:f>
        <x:v>高周期、供给扩张、商品价格波动</x:v>
      </x:c>
      <x:c r="H18" s="82"/>
      <x:c r="I18" s="82" t="str">
        <x:f>IF(B18="电信运营/通信服务","电信服务",IF(B18="资源上游（煤炭/油气/有色矿）","资源上游",IF(B18="有色冶炼/基础化工","有色/化工",IF(B18="公用事业/电力","公用事业",IF(B18="医疗/医药","医疗医药",B18)))))</x:f>
        <x:v>有色/化工</x:v>
      </x:c>
      <x:c r="J18" s="82" t="n">
        <x:f>C18</x:f>
        <x:v>68.5</x:v>
      </x:c>
      <x:c r="K18" s="82"/>
      <x:c r="L18" s="82"/>
      <x:c r="M18" s="82"/>
      <x:c r="N18" s="82"/>
      <x:c r="O18" s="82"/>
    </x:row>
    <x:row r="19" ht="38" customHeight="1">
      <x:c r="A19" s="59" t="n">
        <x:v>10</x:v>
      </x:c>
      <x:c r="B19" s="59" t="str">
        <x:f>INDEX('量化评分'!$A$9:$A$32,MATCH($A19,'量化评分'!$L$9:$L$32,0))</x:f>
        <x:v>券商</x:v>
      </x:c>
      <x:c r="C19" s="60" t="n">
        <x:f>INDEX('量化评分'!$J$9:$J$32,MATCH($A19,'量化评分'!$L$9:$L$32,0))</x:f>
        <x:v>68</x:v>
      </x:c>
      <x:c r="D19" s="59" t="str">
        <x:f>INDEX('量化评分'!$M$9:$M$32,MATCH($A19,'量化评分'!$L$9:$L$32,0))</x:f>
        <x:v>可配置</x:v>
      </x:c>
      <x:c r="E19" s="59" t="n">
        <x:f>INDEX('量化评分'!$H$9:$H$32,MATCH($A19,'量化评分'!$L$9:$L$32,0))</x:f>
        <x:v>9</x:v>
      </x:c>
      <x:c r="F19" s="58" t="str">
        <x:f>INDEX('量化评分'!$K$9:$K$32,MATCH($A19,'量化评分'!$L$9:$L$32,0))</x:f>
        <x:v>国内宽松与成交活跃度改善时弹性较大</x:v>
      </x:c>
      <x:c r="G19" s="58" t="str">
        <x:f>INDEX('量化评分'!$N$9:$N$32,MATCH($A19,'量化评分'!$L$9:$L$32,0))</x:f>
        <x:v>高Beta、市场成交与监管敏感</x:v>
      </x:c>
      <x:c r="H19" s="82"/>
      <x:c r="I19" s="82" t="str">
        <x:f>IF(B19="电信运营/通信服务","电信服务",IF(B19="资源上游（煤炭/油气/有色矿）","资源上游",IF(B19="有色冶炼/基础化工","有色/化工",IF(B19="公用事业/电力","公用事业",IF(B19="医疗/医药","医疗医药",B19)))))</x:f>
        <x:v>券商</x:v>
      </x:c>
      <x:c r="J19" s="82" t="n">
        <x:f>C19</x:f>
        <x:v>68</x:v>
      </x:c>
      <x:c r="K19" s="82"/>
      <x:c r="L19" s="82"/>
      <x:c r="M19" s="82"/>
      <x:c r="N19" s="82"/>
      <x:c r="O19" s="82"/>
    </x:row>
    <x:row r="20" ht="38" customHeight="1">
      <x:c r="A20" s="59" t="n">
        <x:v>11</x:v>
      </x:c>
      <x:c r="B20" s="59" t="str">
        <x:f>INDEX('量化评分'!$A$9:$A$32,MATCH($A20,'量化评分'!$L$9:$L$32,0))</x:f>
        <x:v>医疗/医药</x:v>
      </x:c>
      <x:c r="C20" s="60" t="n">
        <x:f>INDEX('量化评分'!$J$9:$J$32,MATCH($A20,'量化评分'!$L$9:$L$32,0))</x:f>
        <x:v>66.5</x:v>
      </x:c>
      <x:c r="D20" s="59" t="str">
        <x:f>INDEX('量化评分'!$M$9:$M$32,MATCH($A20,'量化评分'!$L$9:$L$32,0))</x:f>
        <x:v>战术/选择性</x:v>
      </x:c>
      <x:c r="E20" s="59" t="n">
        <x:f>INDEX('量化评分'!$H$9:$H$32,MATCH($A20,'量化评分'!$L$9:$L$32,0))</x:f>
        <x:v>6</x:v>
      </x:c>
      <x:c r="F20" s="58" t="str">
        <x:f>INDEX('量化评分'!$K$9:$K$32,MATCH($A20,'量化评分'!$L$9:$L$32,0))</x:f>
        <x:v>防御与进口成本受益；医药制造利润当前仅+3.9%</x:v>
      </x:c>
      <x:c r="G20" s="58" t="str">
        <x:f>INDEX('量化评分'!$N$9:$N$32,MATCH($A20,'量化评分'!$L$9:$L$32,0))</x:f>
        <x:v>集采、创新药出海与生物科技规则</x:v>
      </x:c>
      <x:c r="H20" s="82"/>
      <x:c r="I20" s="82" t="str">
        <x:f>IF(B20="电信运营/通信服务","电信服务",IF(B20="资源上游（煤炭/油气/有色矿）","资源上游",IF(B20="有色冶炼/基础化工","有色/化工",IF(B20="公用事业/电力","公用事业",IF(B20="医疗/医药","医疗医药",B20)))))</x:f>
        <x:v>医疗医药</x:v>
      </x:c>
      <x:c r="J20" s="82" t="n">
        <x:f>C20</x:f>
        <x:v>66.5</x:v>
      </x:c>
      <x:c r="K20" s="82"/>
      <x:c r="L20" s="82"/>
      <x:c r="M20" s="82"/>
      <x:c r="N20" s="82"/>
      <x:c r="O20" s="82"/>
    </x:row>
    <x:row r="21" ht="38" customHeight="1">
      <x:c r="A21" s="59" t="n">
        <x:v>12</x:v>
      </x:c>
      <x:c r="B21" s="59" t="str">
        <x:f>INDEX('量化评分'!$A$9:$A$32,MATCH($A21,'量化评分'!$L$9:$L$32,0))</x:f>
        <x:v>银行</x:v>
      </x:c>
      <x:c r="C21" s="60" t="n">
        <x:f>INDEX('量化评分'!$J$9:$J$32,MATCH($A21,'量化评分'!$L$9:$L$32,0))</x:f>
        <x:v>66</x:v>
      </x:c>
      <x:c r="D21" s="59" t="str">
        <x:f>INDEX('量化评分'!$M$9:$M$32,MATCH($A21,'量化评分'!$L$9:$L$32,0))</x:f>
        <x:v>战术/选择性</x:v>
      </x:c>
      <x:c r="E21" s="59" t="n">
        <x:f>INDEX('量化评分'!$H$9:$H$32,MATCH($A21,'量化评分'!$L$9:$L$32,0))</x:f>
        <x:v>9</x:v>
      </x:c>
      <x:c r="F21" s="58" t="str">
        <x:f>INDEX('量化评分'!$K$9:$K$32,MATCH($A21,'量化评分'!$L$9:$L$32,0))</x:f>
        <x:v>低估值与股息有支撑，但不是中国降息的纯受益者</x:v>
      </x:c>
      <x:c r="G21" s="58" t="str">
        <x:f>INDEX('量化评分'!$N$9:$N$32,MATCH($A21,'量化评分'!$L$9:$L$32,0))</x:f>
        <x:v>净息差下行、信用成本</x:v>
      </x:c>
      <x:c r="H21" s="82"/>
      <x:c r="I21" s="82" t="str">
        <x:f>IF(B21="电信运营/通信服务","电信服务",IF(B21="资源上游（煤炭/油气/有色矿）","资源上游",IF(B21="有色冶炼/基础化工","有色/化工",IF(B21="公用事业/电力","公用事业",IF(B21="医疗/医药","医疗医药",B21)))))</x:f>
        <x:v>银行</x:v>
      </x:c>
      <x:c r="J21" s="82" t="n">
        <x:f>C21</x:f>
        <x:v>66</x:v>
      </x:c>
      <x:c r="K21" s="82"/>
      <x:c r="L21" s="82"/>
      <x:c r="M21" s="82"/>
      <x:c r="N21" s="82"/>
      <x:c r="O21" s="82"/>
    </x:row>
    <x:row r="22" ht="38" customHeight="1">
      <x:c r="A22" s="59" t="n">
        <x:v>13</x:v>
      </x:c>
      <x:c r="B22" s="59" t="str">
        <x:f>INDEX('量化评分'!$A$9:$A$32,MATCH($A22,'量化评分'!$L$9:$L$32,0))</x:f>
        <x:v>国内软件/信息服务</x:v>
      </x:c>
      <x:c r="C22" s="60" t="n">
        <x:f>INDEX('量化评分'!$J$9:$J$32,MATCH($A22,'量化评分'!$L$9:$L$32,0))</x:f>
        <x:v>65</x:v>
      </x:c>
      <x:c r="D22" s="59" t="str">
        <x:f>INDEX('量化评分'!$M$9:$M$32,MATCH($A22,'量化评分'!$L$9:$L$32,0))</x:f>
        <x:v>战术/选择性</x:v>
      </x:c>
      <x:c r="E22" s="59" t="n">
        <x:f>INDEX('量化评分'!$H$9:$H$32,MATCH($A22,'量化评分'!$L$9:$L$32,0))</x:f>
        <x:v>4</x:v>
      </x:c>
      <x:c r="F22" s="58" t="str">
        <x:f>INDEX('量化评分'!$K$9:$K$32,MATCH($A22,'量化评分'!$L$9:$L$32,0))</x:f>
        <x:v>信息传输/软件服务增长约10.4%，宽松利估值与订单</x:v>
      </x:c>
      <x:c r="G22" s="58" t="str">
        <x:f>INDEX('量化评分'!$N$9:$N$32,MATCH($A22,'量化评分'!$L$9:$L$32,0))</x:f>
        <x:v>高估值、AI与技术制裁、订单确认</x:v>
      </x:c>
      <x:c r="H22" s="82"/>
      <x:c r="I22" s="82" t="str">
        <x:f>IF(B22="电信运营/通信服务","电信服务",IF(B22="资源上游（煤炭/油气/有色矿）","资源上游",IF(B22="有色冶炼/基础化工","有色/化工",IF(B22="公用事业/电力","公用事业",IF(B22="医疗/医药","医疗医药",B22)))))</x:f>
        <x:v>国内软件/信息服务</x:v>
      </x:c>
      <x:c r="J22" s="82" t="n">
        <x:f>C22</x:f>
        <x:v>65</x:v>
      </x:c>
      <x:c r="K22" s="82"/>
      <x:c r="L22" s="82"/>
      <x:c r="M22" s="82"/>
      <x:c r="N22" s="82"/>
      <x:c r="O22" s="82"/>
    </x:row>
    <x:row r="23" ht="38" customHeight="1">
      <x:c r="A23" s="59" t="n">
        <x:v>14</x:v>
      </x:c>
      <x:c r="B23" s="59" t="str">
        <x:f>INDEX('量化评分'!$A$9:$A$32,MATCH($A23,'量化评分'!$L$9:$L$32,0))</x:f>
        <x:v>科技宽基</x:v>
      </x:c>
      <x:c r="C23" s="60" t="n">
        <x:f>INDEX('量化评分'!$J$9:$J$32,MATCH($A23,'量化评分'!$L$9:$L$32,0))</x:f>
        <x:v>63</x:v>
      </x:c>
      <x:c r="D23" s="59" t="str">
        <x:f>INDEX('量化评分'!$M$9:$M$32,MATCH($A23,'量化评分'!$L$9:$L$32,0))</x:f>
        <x:v>战术/选择性</x:v>
      </x:c>
      <x:c r="E23" s="59" t="n">
        <x:f>INDEX('量化评分'!$H$9:$H$32,MATCH($A23,'量化评分'!$L$9:$L$32,0))</x:f>
        <x:v>4</x:v>
      </x:c>
      <x:c r="F23" s="58" t="str">
        <x:f>INDEX('量化评分'!$K$9:$K$32,MATCH($A23,'量化评分'!$L$9:$L$32,0))</x:f>
        <x:v>电子利润高增与软件服务增长提供盈利支撑，宽基分散单一赛道风险</x:v>
      </x:c>
      <x:c r="G23" s="58" t="str">
        <x:f>INDEX('量化评分'!$N$9:$N$32,MATCH($A23,'量化评分'!$L$9:$L$32,0))</x:f>
        <x:v>美国加息压估值、成分集中及技术限制</x:v>
      </x:c>
      <x:c r="H23" s="82"/>
      <x:c r="I23" s="82" t="str">
        <x:f>IF(B23="电信运营/通信服务","电信服务",IF(B23="资源上游（煤炭/油气/有色矿）","资源上游",IF(B23="有色冶炼/基础化工","有色/化工",IF(B23="公用事业/电力","公用事业",IF(B23="医疗/医药","医疗医药",B23)))))</x:f>
        <x:v>科技宽基</x:v>
      </x:c>
      <x:c r="J23" s="82" t="n">
        <x:f>C23</x:f>
        <x:v>63</x:v>
      </x:c>
      <x:c r="K23" s="82"/>
      <x:c r="L23" s="82"/>
      <x:c r="M23" s="82"/>
      <x:c r="N23" s="82"/>
      <x:c r="O23" s="82"/>
    </x:row>
    <x:row r="24" ht="38" customHeight="1">
      <x:c r="A24" s="59" t="n">
        <x:v>15</x:v>
      </x:c>
      <x:c r="B24" s="59" t="str">
        <x:f>INDEX('量化评分'!$A$9:$A$32,MATCH($A24,'量化评分'!$L$9:$L$32,0))</x:f>
        <x:v>保险</x:v>
      </x:c>
      <x:c r="C24" s="60" t="n">
        <x:f>INDEX('量化评分'!$J$9:$J$32,MATCH($A24,'量化评分'!$L$9:$L$32,0))</x:f>
        <x:v>62.5</x:v>
      </x:c>
      <x:c r="D24" s="59" t="str">
        <x:f>INDEX('量化评分'!$M$9:$M$32,MATCH($A24,'量化评分'!$L$9:$L$32,0))</x:f>
        <x:v>战术/选择性</x:v>
      </x:c>
      <x:c r="E24" s="59" t="n">
        <x:f>INDEX('量化评分'!$H$9:$H$32,MATCH($A24,'量化评分'!$L$9:$L$32,0))</x:f>
        <x:v>9</x:v>
      </x:c>
      <x:c r="F24" s="58" t="str">
        <x:f>INDEX('量化评分'!$K$9:$K$32,MATCH($A24,'量化评分'!$L$9:$L$32,0))</x:f>
        <x:v>人民币资产与低估值支撑，负债端改善时有修复弹性</x:v>
      </x:c>
      <x:c r="G24" s="58" t="str">
        <x:f>INDEX('量化评分'!$N$9:$N$32,MATCH($A24,'量化评分'!$L$9:$L$32,0))</x:f>
        <x:v>长端利率下行压再投资收益</x:v>
      </x:c>
      <x:c r="H24" s="82"/>
      <x:c r="I24" s="82" t="str">
        <x:f>IF(B24="电信运营/通信服务","电信服务",IF(B24="资源上游（煤炭/油气/有色矿）","资源上游",IF(B24="有色冶炼/基础化工","有色/化工",IF(B24="公用事业/电力","公用事业",IF(B24="医疗/医药","医疗医药",B24)))))</x:f>
        <x:v>保险</x:v>
      </x:c>
      <x:c r="J24" s="82" t="n">
        <x:f>C24</x:f>
        <x:v>62.5</x:v>
      </x:c>
      <x:c r="K24" s="82"/>
      <x:c r="L24" s="82"/>
      <x:c r="M24" s="82"/>
      <x:c r="N24" s="82"/>
      <x:c r="O24" s="82"/>
    </x:row>
    <x:row r="25" ht="38" customHeight="1">
      <x:c r="A25" s="59" t="n">
        <x:v>16</x:v>
      </x:c>
      <x:c r="B25" s="59" t="str">
        <x:f>INDEX('量化评分'!$A$9:$A$32,MATCH($A25,'量化评分'!$L$9:$L$32,0))</x:f>
        <x:v>交通运输/航空</x:v>
      </x:c>
      <x:c r="C25" s="60" t="n">
        <x:f>INDEX('量化评分'!$J$9:$J$32,MATCH($A25,'量化评分'!$L$9:$L$32,0))</x:f>
        <x:v>61</x:v>
      </x:c>
      <x:c r="D25" s="59" t="str">
        <x:f>INDEX('量化评分'!$M$9:$M$32,MATCH($A25,'量化评分'!$L$9:$L$32,0))</x:f>
        <x:v>战术/选择性</x:v>
      </x:c>
      <x:c r="E25" s="59" t="n">
        <x:f>INDEX('量化评分'!$H$9:$H$32,MATCH($A25,'量化评分'!$L$9:$L$32,0))</x:f>
        <x:v>9</x:v>
      </x:c>
      <x:c r="F25" s="58" t="str">
        <x:f>INDEX('量化评分'!$K$9:$K$32,MATCH($A25,'量化评分'!$L$9:$L$32,0))</x:f>
        <x:v>人民币升值利美元负债、租赁和油料成本，国内宽松降财务费</x:v>
      </x:c>
      <x:c r="G25" s="58" t="str">
        <x:f>INDEX('量化评分'!$N$9:$N$32,MATCH($A25,'量化评分'!$L$9:$L$32,0))</x:f>
        <x:v>高杠杆、出行需求与油价波动</x:v>
      </x:c>
      <x:c r="H25" s="82"/>
      <x:c r="I25" s="82" t="str">
        <x:f>IF(B25="电信运营/通信服务","电信服务",IF(B25="资源上游（煤炭/油气/有色矿）","资源上游",IF(B25="有色冶炼/基础化工","有色/化工",IF(B25="公用事业/电力","公用事业",IF(B25="医疗/医药","医疗医药",B25)))))</x:f>
        <x:v>交通运输/航空</x:v>
      </x:c>
      <x:c r="J25" s="82" t="n">
        <x:f>C25</x:f>
        <x:v>61</x:v>
      </x:c>
      <x:c r="K25" s="82"/>
      <x:c r="L25" s="82"/>
      <x:c r="M25" s="82"/>
      <x:c r="N25" s="82"/>
      <x:c r="O25" s="82"/>
    </x:row>
    <x:row r="26" ht="38" customHeight="1">
      <x:c r="A26" s="59" t="n">
        <x:v>17</x:v>
      </x:c>
      <x:c r="B26" s="59" t="str">
        <x:f>INDEX('量化评分'!$A$9:$A$32,MATCH($A26,'量化评分'!$L$9:$L$32,0))</x:f>
        <x:v>电子/半导体</x:v>
      </x:c>
      <x:c r="C26" s="60" t="n">
        <x:f>INDEX('量化评分'!$J$9:$J$32,MATCH($A26,'量化评分'!$L$9:$L$32,0))</x:f>
        <x:v>59</x:v>
      </x:c>
      <x:c r="D26" s="59" t="str">
        <x:f>INDEX('量化评分'!$M$9:$M$32,MATCH($A26,'量化评分'!$L$9:$L$32,0))</x:f>
        <x:v>战术/选择性</x:v>
      </x:c>
      <x:c r="E26" s="59" t="n">
        <x:f>INDEX('量化评分'!$H$9:$H$32,MATCH($A26,'量化评分'!$L$9:$L$32,0))</x:f>
        <x:v>2</x:v>
      </x:c>
      <x:c r="F26" s="58" t="str">
        <x:f>INDEX('量化评分'!$K$9:$K$32,MATCH($A26,'量化评分'!$L$9:$L$32,0))</x:f>
        <x:v>电子设备制造利润+109.9%，当前盈利增速最强</x:v>
      </x:c>
      <x:c r="G26" s="58" t="str">
        <x:f>INDEX('量化评分'!$N$9:$N$32,MATCH($A26,'量化评分'!$L$9:$L$32,0))</x:f>
        <x:v>出口管制、制裁、估值和半导体周期</x:v>
      </x:c>
      <x:c r="H26" s="82"/>
      <x:c r="I26" s="82" t="str">
        <x:f>IF(B26="电信运营/通信服务","电信服务",IF(B26="资源上游（煤炭/油气/有色矿）","资源上游",IF(B26="有色冶炼/基础化工","有色/化工",IF(B26="公用事业/电力","公用事业",IF(B26="医疗/医药","医疗医药",B26)))))</x:f>
        <x:v>电子/半导体</x:v>
      </x:c>
      <x:c r="J26" s="82" t="n">
        <x:f>C26</x:f>
        <x:v>59</x:v>
      </x:c>
      <x:c r="K26" s="82"/>
      <x:c r="L26" s="82"/>
      <x:c r="M26" s="82"/>
      <x:c r="N26" s="82"/>
      <x:c r="O26" s="82"/>
    </x:row>
    <x:row r="27" ht="38" customHeight="1">
      <x:c r="A27" s="59" t="n">
        <x:v>18</x:v>
      </x:c>
      <x:c r="B27" s="59" t="str">
        <x:f>INDEX('量化评分'!$A$9:$A$32,MATCH($A27,'量化评分'!$L$9:$L$32,0))</x:f>
        <x:v>人工智能/算力</x:v>
      </x:c>
      <x:c r="C27" s="60" t="n">
        <x:f>INDEX('量化评分'!$J$9:$J$32,MATCH($A27,'量化评分'!$L$9:$L$32,0))</x:f>
        <x:v>58.5</x:v>
      </x:c>
      <x:c r="D27" s="59" t="str">
        <x:f>INDEX('量化评分'!$M$9:$M$32,MATCH($A27,'量化评分'!$L$9:$L$32,0))</x:f>
        <x:v>战术/选择性</x:v>
      </x:c>
      <x:c r="E27" s="59" t="n">
        <x:f>INDEX('量化评分'!$H$9:$H$32,MATCH($A27,'量化评分'!$L$9:$L$32,0))</x:f>
        <x:v>3</x:v>
      </x:c>
      <x:c r="F27" s="58" t="str">
        <x:f>INDEX('量化评分'!$K$9:$K$32,MATCH($A27,'量化评分'!$L$9:$L$32,0))</x:f>
        <x:v>电子高景气与国内宽松支持投入，但估值久期和敏感技术属性较强</x:v>
      </x:c>
      <x:c r="G27" s="58" t="str">
        <x:f>INDEX('量化评分'!$N$9:$N$32,MATCH($A27,'量化评分'!$L$9:$L$32,0))</x:f>
        <x:v>美国加息、AI/高性能计算限制、估值拥挤</x:v>
      </x:c>
      <x:c r="H27" s="82"/>
      <x:c r="I27" s="82" t="str">
        <x:f>IF(B27="电信运营/通信服务","电信服务",IF(B27="资源上游（煤炭/油气/有色矿）","资源上游",IF(B27="有色冶炼/基础化工","有色/化工",IF(B27="公用事业/电力","公用事业",IF(B27="医疗/医药","医疗医药",B27)))))</x:f>
        <x:v>人工智能/算力</x:v>
      </x:c>
      <x:c r="J27" s="82" t="n">
        <x:f>C27</x:f>
        <x:v>58.5</x:v>
      </x:c>
      <x:c r="K27" s="82"/>
      <x:c r="L27" s="82"/>
      <x:c r="M27" s="82"/>
      <x:c r="N27" s="82"/>
      <x:c r="O27" s="82"/>
    </x:row>
    <x:row r="28" ht="38" customHeight="1">
      <x:c r="A28" s="59" t="n">
        <x:v>19</x:v>
      </x:c>
      <x:c r="B28" s="59" t="str">
        <x:f>INDEX('量化评分'!$A$9:$A$32,MATCH($A28,'量化评分'!$L$9:$L$32,0))</x:f>
        <x:v>机器人/自动化</x:v>
      </x:c>
      <x:c r="C28" s="60" t="n">
        <x:f>INDEX('量化评分'!$J$9:$J$32,MATCH($A28,'量化评分'!$L$9:$L$32,0))</x:f>
        <x:v>58</x:v>
      </x:c>
      <x:c r="D28" s="59" t="str">
        <x:f>INDEX('量化评分'!$M$9:$M$32,MATCH($A28,'量化评分'!$L$9:$L$32,0))</x:f>
        <x:v>战术/选择性</x:v>
      </x:c>
      <x:c r="E28" s="59" t="n">
        <x:f>INDEX('量化评分'!$H$9:$H$32,MATCH($A28,'量化评分'!$L$9:$L$32,0))</x:f>
        <x:v>6</x:v>
      </x:c>
      <x:c r="F28" s="58" t="str">
        <x:f>INDEX('量化评分'!$K$9:$K$32,MATCH($A28,'量化评分'!$L$9:$L$32,0))</x:f>
        <x:v>中国宽松与设备更新有利需求，专用设备生产较强但利润同比-2.1%</x:v>
      </x:c>
      <x:c r="G28" s="58" t="str">
        <x:f>INDEX('量化评分'!$N$9:$N$32,MATCH($A28,'量化评分'!$L$9:$L$32,0))</x:f>
        <x:v>订单转利润偏慢、估值与制造业资本开支波动</x:v>
      </x:c>
      <x:c r="H28" s="82"/>
      <x:c r="I28" s="82" t="str">
        <x:f>IF(B28="电信运营/通信服务","电信服务",IF(B28="资源上游（煤炭/油气/有色矿）","资源上游",IF(B28="有色冶炼/基础化工","有色/化工",IF(B28="公用事业/电力","公用事业",IF(B28="医疗/医药","医疗医药",B28)))))</x:f>
        <x:v>机器人/自动化</x:v>
      </x:c>
      <x:c r="J28" s="82" t="n">
        <x:f>C28</x:f>
        <x:v>58</x:v>
      </x:c>
      <x:c r="K28" s="82"/>
      <x:c r="L28" s="82"/>
      <x:c r="M28" s="82"/>
      <x:c r="N28" s="82"/>
      <x:c r="O28" s="82"/>
    </x:row>
    <x:row r="29" ht="38" customHeight="1">
      <x:c r="A29" s="59" t="n">
        <x:v>20</x:v>
      </x:c>
      <x:c r="B29" s="59" t="str">
        <x:f>INDEX('量化评分'!$A$9:$A$32,MATCH($A29,'量化评分'!$L$9:$L$32,0))</x:f>
        <x:v>创新药</x:v>
      </x:c>
      <x:c r="C29" s="60" t="n">
        <x:f>INDEX('量化评分'!$J$9:$J$32,MATCH($A29,'量化评分'!$L$9:$L$32,0))</x:f>
        <x:v>57</x:v>
      </x:c>
      <x:c r="D29" s="59" t="str">
        <x:f>INDEX('量化评分'!$M$9:$M$32,MATCH($A29,'量化评分'!$L$9:$L$32,0))</x:f>
        <x:v>低优先/对照</x:v>
      </x:c>
      <x:c r="E29" s="59" t="n">
        <x:f>INDEX('量化评分'!$H$9:$H$32,MATCH($A29,'量化评分'!$L$9:$L$32,0))</x:f>
        <x:v>4</x:v>
      </x:c>
      <x:c r="F29" s="58" t="str">
        <x:f>INDEX('量化评分'!$K$9:$K$32,MATCH($A29,'量化评分'!$L$9:$L$32,0))</x:f>
        <x:v>融资成本下降与进口研发成本改善有利，但医药制造利润仅+3.9%</x:v>
      </x:c>
      <x:c r="G29" s="58" t="str">
        <x:f>INDEX('量化评分'!$N$9:$N$32,MATCH($A29,'量化评分'!$L$9:$L$32,0))</x:f>
        <x:v>美国加息压久期估值、生物科技规则与研发失败</x:v>
      </x:c>
      <x:c r="H29" s="82"/>
      <x:c r="I29" s="82" t="str">
        <x:f>IF(B29="电信运营/通信服务","电信服务",IF(B29="资源上游（煤炭/油气/有色矿）","资源上游",IF(B29="有色冶炼/基础化工","有色/化工",IF(B29="公用事业/电力","公用事业",IF(B29="医疗/医药","医疗医药",B29)))))</x:f>
        <x:v>创新药</x:v>
      </x:c>
      <x:c r="J29" s="82" t="n">
        <x:f>C29</x:f>
        <x:v>57</x:v>
      </x:c>
      <x:c r="K29" s="82"/>
      <x:c r="L29" s="82"/>
      <x:c r="M29" s="82"/>
      <x:c r="N29" s="82"/>
      <x:c r="O29" s="82"/>
    </x:row>
    <x:row r="30" ht="10" customHeight="1">
      <x:c r="A30" s="82"/>
      <x:c r="B30" s="82"/>
      <x:c r="C30" s="82"/>
      <x:c r="D30" s="82"/>
      <x:c r="E30" s="82"/>
      <x:c r="F30" s="82"/>
      <x:c r="G30" s="82"/>
      <x:c r="H30" s="82"/>
      <x:c r="I30" s="82" t="str"/>
      <x:c r="J30" s="82" t="n">
        <x:v>0</x:v>
      </x:c>
      <x:c r="K30" s="82"/>
      <x:c r="L30" s="82"/>
      <x:c r="M30" s="82"/>
      <x:c r="N30" s="82"/>
      <x:c r="O30" s="82"/>
    </x:row>
    <x:row r="31" ht="12" customHeight="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  <x:c r="K31" s="82"/>
      <x:c r="L31" s="82"/>
      <x:c r="M31" s="82"/>
      <x:c r="N31" s="82"/>
      <x:c r="O31" s="82"/>
    </x:row>
    <x:row r="32" ht="24" customHeight="1">
      <x:c r="A32" s="63" t="str">
        <x:v>排序结论：什么更可能获得较好的风险调整后收益</x:v>
      </x:c>
      <x:c r="B32" s="63"/>
      <x:c r="C32" s="63"/>
      <x:c r="D32" s="63"/>
      <x:c r="E32" s="63"/>
      <x:c r="F32" s="63"/>
      <x:c r="G32" s="63"/>
      <x:c r="H32" s="63"/>
      <x:c r="I32" s="72" t="str">
        <x:v>读表规则</x:v>
      </x:c>
      <x:c r="J32" s="72"/>
      <x:c r="K32" s="72"/>
      <x:c r="L32" s="72"/>
      <x:c r="M32" s="72"/>
      <x:c r="N32" s="72"/>
      <x:c r="O32" s="72"/>
    </x:row>
    <x:row r="33" ht="24" customHeight="1">
      <x:c r="A33" s="68" t="str">
        <x:v>1）首选不是单一行业，而是自由现金流、红利低波、中证红利、央企红利这类‘自我造血 + 低再融资依赖’的风格；
2）电信运营/通信服务兼具国内现金流、政策宽松和人民币升值的适配度；
3）资源上游、有色和化工有利润兑现，但人民币升值与全球需求回落会削弱顺风；
4）科技主题分化：科技宽基、软件相对均衡；半导体/AI弹性高但制裁风险重；机器人和创新药的盈利兑现仍需观察；
5）标普500场内ETF在此情景同时承受美国贴现率、人民币升值和QDII溢价三重约束，更适合作为对照或分散工具。</x:v>
      </x:c>
      <x:c r="B33" s="68"/>
      <x:c r="C33" s="68"/>
      <x:c r="D33" s="68"/>
      <x:c r="E33" s="68"/>
      <x:c r="F33" s="68"/>
      <x:c r="G33" s="68"/>
      <x:c r="H33" s="68"/>
      <x:c r="I33" s="76" t="str">
        <x:v>≥75：优先观察；68–74.9：可配置；58–67.9：战术/选择性；&lt;58：低优先或仅作对照。
蓝色字体是可调整输入；综合分会随权重和分项评分联动。
交易前仍需检查ETF实时溢价、成交额、跟踪误差和申购限制。</x:v>
      </x:c>
      <x:c r="J33" s="76"/>
      <x:c r="K33" s="76"/>
      <x:c r="L33" s="76"/>
      <x:c r="M33" s="76"/>
      <x:c r="N33" s="76"/>
      <x:c r="O33" s="76"/>
    </x:row>
    <x:row r="34" ht="24" customHeight="1">
      <x:c r="A34" s="68"/>
      <x:c r="B34" s="68"/>
      <x:c r="C34" s="68"/>
      <x:c r="D34" s="68"/>
      <x:c r="E34" s="68"/>
      <x:c r="F34" s="68"/>
      <x:c r="G34" s="68"/>
      <x:c r="H34" s="68"/>
      <x:c r="I34" s="76"/>
      <x:c r="J34" s="76"/>
      <x:c r="K34" s="76"/>
      <x:c r="L34" s="76"/>
      <x:c r="M34" s="76"/>
      <x:c r="N34" s="76"/>
      <x:c r="O34" s="76"/>
    </x:row>
    <x:row r="35" ht="24" customHeight="1">
      <x:c r="A35" s="68"/>
      <x:c r="B35" s="68"/>
      <x:c r="C35" s="68"/>
      <x:c r="D35" s="68"/>
      <x:c r="E35" s="68"/>
      <x:c r="F35" s="68"/>
      <x:c r="G35" s="68"/>
      <x:c r="H35" s="68"/>
      <x:c r="I35" s="76"/>
      <x:c r="J35" s="76"/>
      <x:c r="K35" s="76"/>
      <x:c r="L35" s="76"/>
      <x:c r="M35" s="76"/>
      <x:c r="N35" s="76"/>
      <x:c r="O35" s="76"/>
    </x:row>
    <x:row r="36" ht="24" customHeight="1">
      <x:c r="A36" s="68"/>
      <x:c r="B36" s="68"/>
      <x:c r="C36" s="68"/>
      <x:c r="D36" s="68"/>
      <x:c r="E36" s="68"/>
      <x:c r="F36" s="68"/>
      <x:c r="G36" s="68"/>
      <x:c r="H36" s="68"/>
      <x:c r="I36" s="76"/>
      <x:c r="J36" s="76"/>
      <x:c r="K36" s="76"/>
      <x:c r="L36" s="76"/>
      <x:c r="M36" s="76"/>
      <x:c r="N36" s="76"/>
      <x:c r="O36" s="76"/>
    </x:row>
    <x:row r="37" ht="24" customHeight="1">
      <x:c r="A37" s="68"/>
      <x:c r="B37" s="68"/>
      <x:c r="C37" s="68"/>
      <x:c r="D37" s="68"/>
      <x:c r="E37" s="68"/>
      <x:c r="F37" s="68"/>
      <x:c r="G37" s="68"/>
      <x:c r="H37" s="68"/>
      <x:c r="I37" s="76"/>
      <x:c r="J37" s="76"/>
      <x:c r="K37" s="76"/>
      <x:c r="L37" s="76"/>
      <x:c r="M37" s="76"/>
      <x:c r="N37" s="76"/>
      <x:c r="O37" s="76"/>
    </x:row>
    <x:row r="38" ht="24" customHeight="1">
      <x:c r="A38" s="68"/>
      <x:c r="B38" s="68"/>
      <x:c r="C38" s="68"/>
      <x:c r="D38" s="68"/>
      <x:c r="E38" s="68"/>
      <x:c r="F38" s="68"/>
      <x:c r="G38" s="68"/>
      <x:c r="H38" s="68"/>
      <x:c r="I38" s="76"/>
      <x:c r="J38" s="76"/>
      <x:c r="K38" s="76"/>
      <x:c r="L38" s="76"/>
      <x:c r="M38" s="76"/>
      <x:c r="N38" s="76"/>
      <x:c r="O38" s="76"/>
    </x:row>
    <x:row r="39" ht="24" customHeight="1">
      <x:c r="A39" s="68"/>
      <x:c r="B39" s="68"/>
      <x:c r="C39" s="68"/>
      <x:c r="D39" s="68"/>
      <x:c r="E39" s="68"/>
      <x:c r="F39" s="68"/>
      <x:c r="G39" s="68"/>
      <x:c r="H39" s="68"/>
      <x:c r="I39" s="76"/>
      <x:c r="J39" s="76"/>
      <x:c r="K39" s="76"/>
      <x:c r="L39" s="76"/>
      <x:c r="M39" s="76"/>
      <x:c r="N39" s="76"/>
      <x:c r="O39" s="76"/>
    </x:row>
    <x:row r="40" ht="12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  <x:c r="K40" s="82"/>
      <x:c r="L40" s="82"/>
      <x:c r="M40" s="82"/>
      <x:c r="N40" s="82"/>
      <x:c r="O40" s="82"/>
    </x:row>
    <x:row r="41" ht="24" customHeight="1">
      <x:c r="A41" s="63" t="str">
        <x:v>科技与创新药专项对照</x:v>
      </x:c>
      <x:c r="B41" s="63"/>
      <x:c r="C41" s="63"/>
      <x:c r="D41" s="63"/>
      <x:c r="E41" s="63"/>
      <x:c r="F41" s="63"/>
      <x:c r="G41" s="63"/>
      <x:c r="H41" s="82"/>
      <x:c r="I41" s="82"/>
      <x:c r="J41" s="82"/>
      <x:c r="K41" s="82"/>
      <x:c r="L41" s="82"/>
      <x:c r="M41" s="82"/>
      <x:c r="N41" s="82"/>
      <x:c r="O41" s="82"/>
    </x:row>
    <x:row r="42" ht="32" customHeight="1">
      <x:c r="A42" s="54" t="str">
        <x:v>主题</x:v>
      </x:c>
      <x:c r="B42" s="54" t="str">
        <x:v>综合分</x:v>
      </x:c>
      <x:c r="C42" s="54" t="str">
        <x:v>总排名</x:v>
      </x:c>
      <x:c r="D42" s="54" t="str">
        <x:v>美国加息抗性</x:v>
      </x:c>
      <x:c r="E42" s="54" t="str">
        <x:v>中国宽松受益</x:v>
      </x:c>
      <x:c r="F42" s="54" t="str">
        <x:v>制裁安全</x:v>
      </x:c>
      <x:c r="G42" s="54" t="str">
        <x:v>定位</x:v>
      </x:c>
      <x:c r="H42" s="82"/>
      <x:c r="I42" s="82"/>
      <x:c r="J42" s="82"/>
      <x:c r="K42" s="82"/>
      <x:c r="L42" s="82"/>
      <x:c r="M42" s="82"/>
      <x:c r="N42" s="82"/>
      <x:c r="O42" s="82"/>
    </x:row>
    <x:row r="43" ht="34" customHeight="1">
      <x:c r="A43" s="59" t="str">
        <x:v>国内软件/信息服务</x:v>
      </x:c>
      <x:c r="B43" s="60" t="n">
        <x:f>INDEX('量化评分'!$J$9:$J$32,MATCH($A43,'量化评分'!$A$9:$A$32,0))</x:f>
        <x:v>65</x:v>
      </x:c>
      <x:c r="C43" s="59" t="n">
        <x:f>INDEX('量化评分'!$L$9:$L$32,MATCH($A43,'量化评分'!$A$9:$A$32,0))</x:f>
        <x:v>13</x:v>
      </x:c>
      <x:c r="D43" s="59" t="n">
        <x:f>INDEX('量化评分'!$C$9:$C$32,MATCH($A43,'量化评分'!$A$9:$A$32,0))</x:f>
        <x:v>5</x:v>
      </x:c>
      <x:c r="E43" s="59" t="n">
        <x:f>INDEX('量化评分'!$D$9:$D$32,MATCH($A43,'量化评分'!$A$9:$A$32,0))</x:f>
        <x:v>8</x:v>
      </x:c>
      <x:c r="F43" s="59" t="n">
        <x:f>INDEX('量化评分'!$H$9:$H$32,MATCH($A43,'量化评分'!$A$9:$A$32,0))</x:f>
        <x:v>4</x:v>
      </x:c>
      <x:c r="G43" s="59" t="str">
        <x:f>INDEX('量化评分'!$M$9:$M$32,MATCH($A43,'量化评分'!$A$9:$A$32,0))</x:f>
        <x:v>战术/选择性</x:v>
      </x:c>
      <x:c r="H43" s="82"/>
      <x:c r="I43" s="82"/>
      <x:c r="J43" s="82"/>
      <x:c r="K43" s="82"/>
      <x:c r="L43" s="82"/>
      <x:c r="M43" s="82"/>
      <x:c r="N43" s="82"/>
      <x:c r="O43" s="82"/>
    </x:row>
    <x:row r="44" ht="34" customHeight="1">
      <x:c r="A44" s="59" t="str">
        <x:v>科技宽基</x:v>
      </x:c>
      <x:c r="B44" s="60" t="n">
        <x:f>INDEX('量化评分'!$J$9:$J$32,MATCH($A44,'量化评分'!$A$9:$A$32,0))</x:f>
        <x:v>63</x:v>
      </x:c>
      <x:c r="C44" s="59" t="n">
        <x:f>INDEX('量化评分'!$L$9:$L$32,MATCH($A44,'量化评分'!$A$9:$A$32,0))</x:f>
        <x:v>14</x:v>
      </x:c>
      <x:c r="D44" s="59" t="n">
        <x:f>INDEX('量化评分'!$C$9:$C$32,MATCH($A44,'量化评分'!$A$9:$A$32,0))</x:f>
        <x:v>4</x:v>
      </x:c>
      <x:c r="E44" s="59" t="n">
        <x:f>INDEX('量化评分'!$D$9:$D$32,MATCH($A44,'量化评分'!$A$9:$A$32,0))</x:f>
        <x:v>8</x:v>
      </x:c>
      <x:c r="F44" s="59" t="n">
        <x:f>INDEX('量化评分'!$H$9:$H$32,MATCH($A44,'量化评分'!$A$9:$A$32,0))</x:f>
        <x:v>4</x:v>
      </x:c>
      <x:c r="G44" s="59" t="str">
        <x:f>INDEX('量化评分'!$M$9:$M$32,MATCH($A44,'量化评分'!$A$9:$A$32,0))</x:f>
        <x:v>战术/选择性</x:v>
      </x:c>
      <x:c r="H44" s="82"/>
      <x:c r="I44" s="82"/>
      <x:c r="J44" s="82"/>
      <x:c r="K44" s="82"/>
      <x:c r="L44" s="82"/>
      <x:c r="M44" s="82"/>
      <x:c r="N44" s="82"/>
      <x:c r="O44" s="82"/>
    </x:row>
    <x:row r="45" ht="34" customHeight="1">
      <x:c r="A45" s="59" t="str">
        <x:v>电子/半导体</x:v>
      </x:c>
      <x:c r="B45" s="60" t="n">
        <x:f>INDEX('量化评分'!$J$9:$J$32,MATCH($A45,'量化评分'!$A$9:$A$32,0))</x:f>
        <x:v>59</x:v>
      </x:c>
      <x:c r="C45" s="59" t="n">
        <x:f>INDEX('量化评分'!$L$9:$L$32,MATCH($A45,'量化评分'!$A$9:$A$32,0))</x:f>
        <x:v>17</x:v>
      </x:c>
      <x:c r="D45" s="59" t="n">
        <x:f>INDEX('量化评分'!$C$9:$C$32,MATCH($A45,'量化评分'!$A$9:$A$32,0))</x:f>
        <x:v>3</x:v>
      </x:c>
      <x:c r="E45" s="59" t="n">
        <x:f>INDEX('量化评分'!$D$9:$D$32,MATCH($A45,'量化评分'!$A$9:$A$32,0))</x:f>
        <x:v>8</x:v>
      </x:c>
      <x:c r="F45" s="59" t="n">
        <x:f>INDEX('量化评分'!$H$9:$H$32,MATCH($A45,'量化评分'!$A$9:$A$32,0))</x:f>
        <x:v>2</x:v>
      </x:c>
      <x:c r="G45" s="59" t="str">
        <x:f>INDEX('量化评分'!$M$9:$M$32,MATCH($A45,'量化评分'!$A$9:$A$32,0))</x:f>
        <x:v>战术/选择性</x:v>
      </x:c>
      <x:c r="H45" s="82"/>
      <x:c r="I45" s="82"/>
      <x:c r="J45" s="82"/>
      <x:c r="K45" s="82"/>
      <x:c r="L45" s="82"/>
      <x:c r="M45" s="82"/>
      <x:c r="N45" s="82"/>
      <x:c r="O45" s="82"/>
    </x:row>
    <x:row r="46" ht="34" customHeight="1">
      <x:c r="A46" s="59" t="str">
        <x:v>人工智能/算力</x:v>
      </x:c>
      <x:c r="B46" s="60" t="n">
        <x:f>INDEX('量化评分'!$J$9:$J$32,MATCH($A46,'量化评分'!$A$9:$A$32,0))</x:f>
        <x:v>58.5</x:v>
      </x:c>
      <x:c r="C46" s="59" t="n">
        <x:f>INDEX('量化评分'!$L$9:$L$32,MATCH($A46,'量化评分'!$A$9:$A$32,0))</x:f>
        <x:v>18</x:v>
      </x:c>
      <x:c r="D46" s="59" t="n">
        <x:f>INDEX('量化评分'!$C$9:$C$32,MATCH($A46,'量化评分'!$A$9:$A$32,0))</x:f>
        <x:v>3</x:v>
      </x:c>
      <x:c r="E46" s="59" t="n">
        <x:f>INDEX('量化评分'!$D$9:$D$32,MATCH($A46,'量化评分'!$A$9:$A$32,0))</x:f>
        <x:v>9</x:v>
      </x:c>
      <x:c r="F46" s="59" t="n">
        <x:f>INDEX('量化评分'!$H$9:$H$32,MATCH($A46,'量化评分'!$A$9:$A$32,0))</x:f>
        <x:v>3</x:v>
      </x:c>
      <x:c r="G46" s="59" t="str">
        <x:f>INDEX('量化评分'!$M$9:$M$32,MATCH($A46,'量化评分'!$A$9:$A$32,0))</x:f>
        <x:v>战术/选择性</x:v>
      </x:c>
      <x:c r="H46" s="82"/>
      <x:c r="I46" s="82"/>
      <x:c r="J46" s="82"/>
      <x:c r="K46" s="82"/>
      <x:c r="L46" s="82"/>
      <x:c r="M46" s="82"/>
      <x:c r="N46" s="82"/>
      <x:c r="O46" s="82"/>
    </x:row>
    <x:row r="47" ht="34" customHeight="1">
      <x:c r="A47" s="59" t="str">
        <x:v>机器人/自动化</x:v>
      </x:c>
      <x:c r="B47" s="60" t="n">
        <x:f>INDEX('量化评分'!$J$9:$J$32,MATCH($A47,'量化评分'!$A$9:$A$32,0))</x:f>
        <x:v>58</x:v>
      </x:c>
      <x:c r="C47" s="59" t="n">
        <x:f>INDEX('量化评分'!$L$9:$L$32,MATCH($A47,'量化评分'!$A$9:$A$32,0))</x:f>
        <x:v>19</x:v>
      </x:c>
      <x:c r="D47" s="59" t="n">
        <x:f>INDEX('量化评分'!$C$9:$C$32,MATCH($A47,'量化评分'!$A$9:$A$32,0))</x:f>
        <x:v>5</x:v>
      </x:c>
      <x:c r="E47" s="59" t="n">
        <x:f>INDEX('量化评分'!$D$9:$D$32,MATCH($A47,'量化评分'!$A$9:$A$32,0))</x:f>
        <x:v>8</x:v>
      </x:c>
      <x:c r="F47" s="59" t="n">
        <x:f>INDEX('量化评分'!$H$9:$H$32,MATCH($A47,'量化评分'!$A$9:$A$32,0))</x:f>
        <x:v>6</x:v>
      </x:c>
      <x:c r="G47" s="59" t="str">
        <x:f>INDEX('量化评分'!$M$9:$M$32,MATCH($A47,'量化评分'!$A$9:$A$32,0))</x:f>
        <x:v>战术/选择性</x:v>
      </x:c>
      <x:c r="H47" s="82"/>
      <x:c r="I47" s="82"/>
      <x:c r="J47" s="82"/>
      <x:c r="K47" s="82"/>
      <x:c r="L47" s="82"/>
      <x:c r="M47" s="82"/>
      <x:c r="N47" s="82"/>
      <x:c r="O47" s="82"/>
    </x:row>
    <x:row r="48" ht="34" customHeight="1">
      <x:c r="A48" s="59" t="str">
        <x:v>创新药</x:v>
      </x:c>
      <x:c r="B48" s="60" t="n">
        <x:f>INDEX('量化评分'!$J$9:$J$32,MATCH($A48,'量化评分'!$A$9:$A$32,0))</x:f>
        <x:v>57</x:v>
      </x:c>
      <x:c r="C48" s="59" t="n">
        <x:f>INDEX('量化评分'!$L$9:$L$32,MATCH($A48,'量化评分'!$A$9:$A$32,0))</x:f>
        <x:v>20</x:v>
      </x:c>
      <x:c r="D48" s="59" t="n">
        <x:f>INDEX('量化评分'!$C$9:$C$32,MATCH($A48,'量化评分'!$A$9:$A$32,0))</x:f>
        <x:v>4</x:v>
      </x:c>
      <x:c r="E48" s="59" t="n">
        <x:f>INDEX('量化评分'!$D$9:$D$32,MATCH($A48,'量化评分'!$A$9:$A$32,0))</x:f>
        <x:v>8</x:v>
      </x:c>
      <x:c r="F48" s="59" t="n">
        <x:f>INDEX('量化评分'!$H$9:$H$32,MATCH($A48,'量化评分'!$A$9:$A$32,0))</x:f>
        <x:v>4</x:v>
      </x:c>
      <x:c r="G48" s="59" t="str">
        <x:f>INDEX('量化评分'!$M$9:$M$32,MATCH($A48,'量化评分'!$A$9:$A$32,0))</x:f>
        <x:v>低优先/对照</x:v>
      </x:c>
      <x:c r="H48" s="82"/>
      <x:c r="I48" s="82"/>
      <x:c r="J48" s="82"/>
      <x:c r="K48" s="82"/>
      <x:c r="L48" s="82"/>
      <x:c r="M48" s="82"/>
      <x:c r="N48" s="82"/>
      <x:c r="O48" s="82"/>
    </x:row>
    <x:row r="49" ht="10" customHeight="1">
      <x:c r="A49" s="83" t="str"/>
      <x:c r="B49" s="84" t="n">
        <x:v>0</x:v>
      </x:c>
      <x:c r="C49" s="82"/>
      <x:c r="D49" s="82"/>
      <x:c r="E49" s="82"/>
      <x:c r="F49" s="82"/>
      <x:c r="G49" s="82"/>
      <x:c r="H49" s="82"/>
      <x:c r="I49" s="82"/>
      <x:c r="J49" s="82"/>
      <x:c r="K49" s="82"/>
      <x:c r="L49" s="82"/>
      <x:c r="M49" s="82"/>
      <x:c r="N49" s="82"/>
      <x:c r="O49" s="82"/>
    </x:row>
    <x:row r="50" ht="24" customHeight="1">
      <x:c r="A50" s="72" t="str">
        <x:v>组合提示</x:v>
      </x:c>
      <x:c r="B50" s="72"/>
      <x:c r="C50" s="72"/>
      <x:c r="D50" s="72"/>
      <x:c r="E50" s="72"/>
      <x:c r="F50" s="72"/>
      <x:c r="G50" s="72"/>
      <x:c r="H50" s="82"/>
      <x:c r="I50" s="82"/>
      <x:c r="J50" s="82"/>
      <x:c r="K50" s="82"/>
      <x:c r="L50" s="82"/>
      <x:c r="M50" s="82"/>
      <x:c r="N50" s="82"/>
      <x:c r="O50" s="82"/>
    </x:row>
    <x:row r="51" ht="28" customHeight="1">
      <x:c r="A51" s="80" t="str">
        <x:v>科技宽基、AI/算力、机器人、半导体和软件可能明显重叠；创新药与医疗/医药也可能重叠。多只主题ETF同时持有，不等于分散。</x:v>
      </x:c>
      <x:c r="B51" s="80"/>
      <x:c r="C51" s="80"/>
      <x:c r="D51" s="80"/>
      <x:c r="E51" s="80"/>
      <x:c r="F51" s="80"/>
      <x:c r="G51" s="80"/>
      <x:c r="H51" s="82"/>
      <x:c r="I51" s="82"/>
      <x:c r="J51" s="82"/>
      <x:c r="K51" s="82"/>
      <x:c r="L51" s="82"/>
      <x:c r="M51" s="82"/>
      <x:c r="N51" s="82"/>
      <x:c r="O51" s="82"/>
    </x:row>
    <x:row r="52" ht="28" customHeight="1">
      <x:c r="A52" s="80"/>
      <x:c r="B52" s="80"/>
      <x:c r="C52" s="80"/>
      <x:c r="D52" s="80"/>
      <x:c r="E52" s="80"/>
      <x:c r="F52" s="80"/>
      <x:c r="G52" s="80"/>
      <x:c r="H52" s="82"/>
      <x:c r="I52" s="82"/>
      <x:c r="J52" s="82"/>
      <x:c r="K52" s="82"/>
      <x:c r="L52" s="82"/>
      <x:c r="M52" s="82"/>
      <x:c r="N52" s="82"/>
      <x:c r="O52" s="82"/>
    </x:row>
    <x:row r="53" ht="12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  <x:c r="K53" s="82"/>
      <x:c r="L53" s="82"/>
      <x:c r="M53" s="82"/>
      <x:c r="N53" s="82"/>
      <x:c r="O53" s="82"/>
    </x:row>
    <x:row r="54" ht="24" customHeight="1">
      <x:c r="A54" s="63" t="str">
        <x:v>科技主题情景因子相关性（非历史收益相关性）</x:v>
      </x:c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</x:row>
    <x:row r="55" ht="32" customHeight="1">
      <x:c r="A55" s="54" t="str">
        <x:v>主题</x:v>
      </x:c>
      <x:c r="B55" s="54" t="str">
        <x:v>软件</x:v>
      </x:c>
      <x:c r="C55" s="54" t="str">
        <x:v>科技宽基</x:v>
      </x:c>
      <x:c r="D55" s="54" t="str">
        <x:v>半导体</x:v>
      </x:c>
      <x:c r="E55" s="54" t="str">
        <x:v>AI/算力</x:v>
      </x:c>
      <x:c r="F55" s="54" t="str">
        <x:v>机器人</x:v>
      </x:c>
      <x:c r="G55" s="54" t="str">
        <x:v>创新药</x:v>
      </x:c>
      <x:c r="H55" s="82"/>
      <x:c r="I55" s="72" t="str">
        <x:v>如何解读</x:v>
      </x:c>
      <x:c r="J55" s="72"/>
      <x:c r="K55" s="72"/>
      <x:c r="L55" s="72"/>
      <x:c r="M55" s="72"/>
      <x:c r="N55" s="72"/>
      <x:c r="O55" s="72"/>
    </x:row>
    <x:row r="56" ht="34" customHeight="1">
      <x:c r="A56" s="59" t="str">
        <x:v>软件</x:v>
      </x:c>
      <x:c r="B56" s="81" t="n">
        <x:f>CORREL('量化评分'!$C$21:$I$21,'量化评分'!$C$21:$I$21)</x:f>
        <x:v>1</x:v>
      </x:c>
      <x:c r="C56" s="81" t="n">
        <x:f>CORREL('量化评分'!$C$21:$I$21,'量化评分'!$C$22:$I$22)</x:f>
        <x:v>0.9387724464926023</x:v>
      </x:c>
      <x:c r="D56" s="81" t="n">
        <x:f>CORREL('量化评分'!$C$21:$I$21,'量化评分'!$C$25:$I$25)</x:f>
        <x:v>0.9438798074485388</x:v>
      </x:c>
      <x:c r="E56" s="81" t="n">
        <x:f>CORREL('量化评分'!$C$21:$I$21,'量化评分'!$C$26:$I$26)</x:f>
        <x:v>0.9275578884164783</x:v>
      </x:c>
      <x:c r="F56" s="81" t="n">
        <x:f>CORREL('量化评分'!$C$21:$I$21,'量化评分'!$C$27:$I$27)</x:f>
        <x:v>0.5393598899705935</x:v>
      </x:c>
      <x:c r="G56" s="81" t="n">
        <x:f>CORREL('量化评分'!$C$21:$I$21,'量化评分'!$C$28:$I$28)</x:f>
        <x:v>0.8410366563608612</x:v>
      </x:c>
      <x:c r="H56" s="82"/>
      <x:c r="I56" s="80" t="str">
        <x:v>用六个主题各自的七项评分作为情景暴露向量，并用CORREL计算。越接近1，说明在‘美国加息、中国宽松、人民币升值’情景下的受益和受损路径越相似。它不是历史收益相关性，也不等同于ETF成分股重合率。</x:v>
      </x:c>
      <x:c r="J56" s="80"/>
      <x:c r="K56" s="80"/>
      <x:c r="L56" s="80"/>
      <x:c r="M56" s="80"/>
      <x:c r="N56" s="80"/>
      <x:c r="O56" s="80"/>
    </x:row>
    <x:row r="57" ht="34" customHeight="1">
      <x:c r="A57" s="59" t="str">
        <x:v>科技宽基</x:v>
      </x:c>
      <x:c r="B57" s="81" t="n">
        <x:f>CORREL('量化评分'!$C$22:$I$22,'量化评分'!$C$21:$I$21)</x:f>
        <x:v>0.9387724464926023</x:v>
      </x:c>
      <x:c r="C57" s="81" t="n">
        <x:f>CORREL('量化评分'!$C$22:$I$22,'量化评分'!$C$22:$I$22)</x:f>
        <x:v>0.9999999999999998</x:v>
      </x:c>
      <x:c r="D57" s="81" t="n">
        <x:f>CORREL('量化评分'!$C$22:$I$22,'量化评分'!$C$25:$I$25)</x:f>
        <x:v>0.9805806756909201</x:v>
      </x:c>
      <x:c r="E57" s="81" t="n">
        <x:f>CORREL('量化评分'!$C$22:$I$22,'量化评分'!$C$26:$I$26)</x:f>
        <x:v>0.9858615911592644</x:v>
      </x:c>
      <x:c r="F57" s="81" t="n">
        <x:f>CORREL('量化评分'!$C$22:$I$22,'量化评分'!$C$27:$I$27)</x:f>
        <x:v>0.686406472983644</x:v>
      </x:c>
      <x:c r="G57" s="81" t="n">
        <x:f>CORREL('量化评分'!$C$22:$I$22,'量化评分'!$C$28:$I$28)</x:f>
        <x:v>0.8274819220750063</x:v>
      </x:c>
      <x:c r="H57" s="82"/>
      <x:c r="I57" s="80"/>
      <x:c r="J57" s="80"/>
      <x:c r="K57" s="80"/>
      <x:c r="L57" s="80"/>
      <x:c r="M57" s="80"/>
      <x:c r="N57" s="80"/>
      <x:c r="O57" s="80"/>
    </x:row>
    <x:row r="58" ht="34" customHeight="1">
      <x:c r="A58" s="59" t="str">
        <x:v>半导体</x:v>
      </x:c>
      <x:c r="B58" s="81" t="n">
        <x:f>CORREL('量化评分'!$C$25:$I$25,'量化评分'!$C$21:$I$21)</x:f>
        <x:v>0.9438798074485388</x:v>
      </x:c>
      <x:c r="C58" s="81" t="n">
        <x:f>CORREL('量化评分'!$C$25:$I$25,'量化评分'!$C$22:$I$22)</x:f>
        <x:v>0.9805806756909202</x:v>
      </x:c>
      <x:c r="D58" s="81" t="n">
        <x:f>CORREL('量化评分'!$C$25:$I$25,'量化评分'!$C$25:$I$25)</x:f>
        <x:v>1</x:v>
      </x:c>
      <x:c r="E58" s="81" t="n">
        <x:f>CORREL('量化评分'!$C$25:$I$25,'量化评分'!$C$26:$I$26)</x:f>
        <x:v>0.9638094061735293</x:v>
      </x:c>
      <x:c r="F58" s="81" t="n">
        <x:f>CORREL('量化评分'!$C$25:$I$25,'量化评分'!$C$27:$I$27)</x:f>
        <x:v>0.5714285714285714</x:v>
      </x:c>
      <x:c r="G58" s="81" t="n">
        <x:f>CORREL('量化评分'!$C$25:$I$25,'量化评分'!$C$28:$I$28)</x:f>
        <x:v>0.7337993857053429</x:v>
      </x:c>
      <x:c r="H58" s="82"/>
      <x:c r="I58" s="80"/>
      <x:c r="J58" s="80"/>
      <x:c r="K58" s="80"/>
      <x:c r="L58" s="80"/>
      <x:c r="M58" s="80"/>
      <x:c r="N58" s="80"/>
      <x:c r="O58" s="80"/>
    </x:row>
    <x:row r="59" ht="34" customHeight="1">
      <x:c r="A59" s="59" t="str">
        <x:v>AI/算力</x:v>
      </x:c>
      <x:c r="B59" s="81" t="n">
        <x:f>CORREL('量化评分'!$C$26:$I$26,'量化评分'!$C$21:$I$21)</x:f>
        <x:v>0.9275578884164782</x:v>
      </x:c>
      <x:c r="C59" s="81" t="n">
        <x:f>CORREL('量化评分'!$C$26:$I$26,'量化评分'!$C$22:$I$22)</x:f>
        <x:v>0.9858615911592643</x:v>
      </x:c>
      <x:c r="D59" s="81" t="n">
        <x:f>CORREL('量化评分'!$C$26:$I$26,'量化评分'!$C$25:$I$25)</x:f>
        <x:v>0.9638094061735292</x:v>
      </x:c>
      <x:c r="E59" s="81" t="n">
        <x:f>CORREL('量化评分'!$C$26:$I$26,'量化评分'!$C$26:$I$26)</x:f>
        <x:v>0.9999999999999999</x:v>
      </x:c>
      <x:c r="F59" s="81" t="n">
        <x:f>CORREL('量化评分'!$C$26:$I$26,'量化评分'!$C$27:$I$27)</x:f>
        <x:v>0.7559289460184544</x:v>
      </x:c>
      <x:c r="G59" s="81" t="n">
        <x:f>CORREL('量化评分'!$C$26:$I$26,'量化评分'!$C$28:$I$28)</x:f>
        <x:v>0.8320502943378437</x:v>
      </x:c>
      <x:c r="H59" s="82"/>
      <x:c r="I59" s="80"/>
      <x:c r="J59" s="80"/>
      <x:c r="K59" s="80"/>
      <x:c r="L59" s="80"/>
      <x:c r="M59" s="80"/>
      <x:c r="N59" s="80"/>
      <x:c r="O59" s="80"/>
    </x:row>
    <x:row r="60" ht="34" customHeight="1">
      <x:c r="A60" s="59" t="str">
        <x:v>机器人</x:v>
      </x:c>
      <x:c r="B60" s="81" t="n">
        <x:f>CORREL('量化评分'!$C$27:$I$27,'量化评分'!$C$21:$I$21)</x:f>
        <x:v>0.5393598899705936</x:v>
      </x:c>
      <x:c r="C60" s="81" t="n">
        <x:f>CORREL('量化评分'!$C$27:$I$27,'量化评分'!$C$22:$I$22)</x:f>
        <x:v>0.6864064729836441</x:v>
      </x:c>
      <x:c r="D60" s="81" t="n">
        <x:f>CORREL('量化评分'!$C$27:$I$27,'量化评分'!$C$25:$I$25)</x:f>
        <x:v>0.5714285714285714</x:v>
      </x:c>
      <x:c r="E60" s="81" t="n">
        <x:f>CORREL('量化评分'!$C$27:$I$27,'量化评分'!$C$26:$I$26)</x:f>
        <x:v>0.7559289460184543</x:v>
      </x:c>
      <x:c r="F60" s="81" t="n">
        <x:f>CORREL('量化评分'!$C$27:$I$27,'量化评分'!$C$27:$I$27)</x:f>
        <x:v>1</x:v>
      </x:c>
      <x:c r="G60" s="81" t="n">
        <x:f>CORREL('量化评分'!$C$27:$I$27,'量化评分'!$C$28:$I$28)</x:f>
        <x:v>0.7862136275414388</x:v>
      </x:c>
      <x:c r="H60" s="82"/>
      <x:c r="I60" s="80"/>
      <x:c r="J60" s="80"/>
      <x:c r="K60" s="80"/>
      <x:c r="L60" s="80"/>
      <x:c r="M60" s="80"/>
      <x:c r="N60" s="80"/>
      <x:c r="O60" s="80"/>
    </x:row>
    <x:row r="61" ht="34" customHeight="1">
      <x:c r="A61" s="59" t="str">
        <x:v>创新药</x:v>
      </x:c>
      <x:c r="B61" s="81" t="n">
        <x:f>CORREL('量化评分'!$C$28:$I$28,'量化评分'!$C$21:$I$21)</x:f>
        <x:v>0.8410366563608612</x:v>
      </x:c>
      <x:c r="C61" s="81" t="n">
        <x:f>CORREL('量化评分'!$C$28:$I$28,'量化评分'!$C$22:$I$22)</x:f>
        <x:v>0.8274819220750063</x:v>
      </x:c>
      <x:c r="D61" s="81" t="n">
        <x:f>CORREL('量化评分'!$C$28:$I$28,'量化评分'!$C$25:$I$25)</x:f>
        <x:v>0.7337993857053429</x:v>
      </x:c>
      <x:c r="E61" s="81" t="n">
        <x:f>CORREL('量化评分'!$C$28:$I$28,'量化评分'!$C$26:$I$26)</x:f>
        <x:v>0.8320502943378436</x:v>
      </x:c>
      <x:c r="F61" s="81" t="n">
        <x:f>CORREL('量化评分'!$C$28:$I$28,'量化评分'!$C$27:$I$27)</x:f>
        <x:v>0.7862136275414386</x:v>
      </x:c>
      <x:c r="G61" s="81" t="n">
        <x:f>CORREL('量化评分'!$C$28:$I$28,'量化评分'!$C$28:$I$28)</x:f>
        <x:v>1</x:v>
      </x:c>
      <x:c r="H61" s="82"/>
      <x:c r="I61" s="80"/>
      <x:c r="J61" s="80"/>
      <x:c r="K61" s="80"/>
      <x:c r="L61" s="80"/>
      <x:c r="M61" s="80"/>
      <x:c r="N61" s="80"/>
      <x:c r="O61" s="80"/>
    </x:row>
  </x:sheetData>
  <x:mergeCells>
    <x:mergeCell ref="A1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32:H32"/>
    <x:mergeCell ref="A33:H39"/>
    <x:mergeCell ref="I32:O32"/>
    <x:mergeCell ref="I33:O39"/>
    <x:mergeCell ref="A41:G41"/>
    <x:mergeCell ref="A50:G50"/>
    <x:mergeCell ref="A51:G52"/>
    <x:mergeCell ref="A54:O54"/>
    <x:mergeCell ref="I55:O55"/>
    <x:mergeCell ref="I56:O61"/>
  </x:mergeCells>
  <x:conditionalFormatting sqref="C10:C29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5234089c-0f95-4146-b657-db6490aea772</x14:id>
        </x:ext>
      </x:extLst>
    </x:cfRule>
  </x:conditionalFormatting>
  <x:conditionalFormatting sqref="E10:E29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3:B48">
    <x:cfRule type="dataBar" priority="3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49ba423a-c343-4df7-87b1-67103d7560b5</x14:id>
        </x:ext>
      </x:extLst>
    </x:cfRule>
  </x:conditionalFormatting>
  <x:conditionalFormatting sqref="F43:F48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G43:G48">
    <x:cfRule type="containsText" dxfId="0" priority="5" operator="containsText" text="低优先"/>
  </x:conditionalFormatting>
  <x:conditionalFormatting sqref="B56:G61">
    <x:cfRule type="colorScale" priority="6">
      <x:colorScale>
        <x:cfvo type="num" val="-1"/>
        <x:cfvo type="num" val="0"/>
        <x:cfvo type="num" val="1"/>
        <x:color rgb="FFF8696B"/>
        <x:color rgb="FFFFF4CC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5f64e8f471b4479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5234089c-0f95-4146-b657-db6490aea772">
            <x14:dataBar gradient="1">
              <x14:cfvo type="min"/>
              <x14:cfvo type="max"/>
              <x14:fillColor rgb="FF0F766E"/>
            </x14:dataBar>
          </x14:cfRule>
          <xm:sqref>C10:C29</xm:sqref>
        </x14:conditionalFormatting>
        <x14:conditionalFormatting>
          <x14:cfRule type="dataBar" priority="3" id="49ba423a-c343-4df7-87b1-67103d7560b5">
            <x14:dataBar gradient="1">
              <x14:cfvo type="min"/>
              <x14:cfvo type="max"/>
              <x14:fillColor rgb="FF0F766E"/>
            </x14:dataBar>
          </x14:cfRule>
          <xm:sqref>B43:B48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0" hidden="0" customWidth="1"/>
    <x:col min="11" max="11" width="42" hidden="0" customWidth="1"/>
    <x:col min="12" max="12" width="8" hidden="0" customWidth="1"/>
    <x:col min="13" max="13" width="15" hidden="0" customWidth="1"/>
    <x:col min="14" max="14" width="32" hidden="0" customWidth="1"/>
  </x:cols>
  <x:sheetData>
    <x:row r="1" ht="26" customHeight="1">
      <x:c r="A1" s="3" t="str">
        <x:v>量化评分模型（蓝字可调整）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</x:row>
    <x:row r="2" ht="26" customHeight="1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23" customHeight="1">
      <x:c r="A3" s="7" t="str">
        <x:v>0–10分：5=中性；10=最有利。权重与分项评分均可改，仪表盘排名会随Excel重算更新。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 ht="34" customHeight="1">
      <x:c r="A4" s="54" t="str">
        <x:v>评分因子</x:v>
      </x:c>
      <x:c r="B4" s="54" t="str">
        <x:v>说明</x:v>
      </x:c>
      <x:c r="C4" s="54" t="str">
        <x:v>美国加息抗性</x:v>
      </x:c>
      <x:c r="D4" s="54" t="str">
        <x:v>中国宽松受益</x:v>
      </x:c>
      <x:c r="E4" s="54" t="str">
        <x:v>人民币升值受益</x:v>
      </x:c>
      <x:c r="F4" s="54" t="str">
        <x:v>盈利兑现</x:v>
      </x:c>
      <x:c r="G4" s="54" t="str">
        <x:v>现金流/估值</x:v>
      </x:c>
      <x:c r="H4" s="54" t="str">
        <x:v>制裁安全</x:v>
      </x:c>
      <x:c r="I4" s="54" t="str">
        <x:v>ETF可执行性</x:v>
      </x:c>
      <x:c r="J4" s="54" t="str">
        <x:v>权重合计</x:v>
      </x:c>
      <x:c r="K4" s="54" t="str">
        <x:v>检查</x:v>
      </x:c>
      <x:c r="L4" s="86" t="str">
        <x:v>方法说明</x:v>
      </x:c>
      <x:c r="M4" s="86"/>
      <x:c r="N4" s="86"/>
    </x:row>
    <x:row r="5" ht="34" customHeight="1">
      <x:c r="A5" s="91" t="str">
        <x:v>当前权重</x:v>
      </x:c>
      <x:c r="B5" s="91" t="str">
        <x:v>合计应为100%</x:v>
      </x:c>
      <x:c r="C5" s="100" t="n">
        <x:v>0.15</x:v>
      </x:c>
      <x:c r="D5" s="100" t="n">
        <x:v>0.15</x:v>
      </x:c>
      <x:c r="E5" s="100" t="n">
        <x:v>0.15</x:v>
      </x:c>
      <x:c r="F5" s="100" t="n">
        <x:v>0.2</x:v>
      </x:c>
      <x:c r="G5" s="100" t="n">
        <x:v>0.15</x:v>
      </x:c>
      <x:c r="H5" s="100" t="n">
        <x:v>0.15</x:v>
      </x:c>
      <x:c r="I5" s="100" t="n">
        <x:v>0.05</x:v>
      </x:c>
      <x:c r="J5" s="101" t="n">
        <x:f>SUM(C5:I5)</x:f>
        <x:v>1</x:v>
      </x:c>
      <x:c r="K5" s="91" t="str">
        <x:f>IF(ABS(J5-1)&lt;0.0001,"通过","请调整至100%")</x:f>
        <x:v>通过</x:v>
      </x:c>
      <x:c r="L5" s="97" t="str">
        <x:v>综合分 = SUMPRODUCT(分项评分, 权重) × 10</x:v>
      </x:c>
      <x:c r="M5" s="97"/>
      <x:c r="N5" s="97"/>
    </x:row>
    <x:row r="6">
      <x:c r="A6" s="82"/>
      <x:c r="B6" s="82"/>
      <x:c r="C6" s="82"/>
      <x:c r="D6" s="82"/>
      <x:c r="E6" s="82"/>
      <x:c r="F6" s="82"/>
      <x:c r="G6" s="82"/>
      <x:c r="H6" s="82"/>
      <x:c r="I6" s="82"/>
      <x:c r="J6" s="82"/>
      <x:c r="K6" s="82"/>
      <x:c r="L6" s="82"/>
      <x:c r="M6" s="82"/>
      <x:c r="N6" s="82"/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</x:row>
    <x:row r="8" ht="40" customHeight="1">
      <x:c r="A8" s="54" t="str">
        <x:v>板块 / 风格</x:v>
      </x:c>
      <x:c r="B8" s="54" t="str">
        <x:v>类型</x:v>
      </x:c>
      <x:c r="C8" s="54" t="str">
        <x:v>美国加息抗性</x:v>
      </x:c>
      <x:c r="D8" s="54" t="str">
        <x:v>中国宽松受益</x:v>
      </x:c>
      <x:c r="E8" s="54" t="str">
        <x:v>人民币升值受益</x:v>
      </x:c>
      <x:c r="F8" s="54" t="str">
        <x:v>盈利兑现</x:v>
      </x:c>
      <x:c r="G8" s="54" t="str">
        <x:v>现金流/估值</x:v>
      </x:c>
      <x:c r="H8" s="54" t="str">
        <x:v>制裁安全</x:v>
      </x:c>
      <x:c r="I8" s="54" t="str">
        <x:v>ETF可执行性</x:v>
      </x:c>
      <x:c r="J8" s="54" t="str">
        <x:v>综合分</x:v>
      </x:c>
      <x:c r="K8" s="54" t="str">
        <x:v>核心证据 / 逻辑</x:v>
      </x:c>
      <x:c r="L8" s="54" t="str">
        <x:v>排名</x:v>
      </x:c>
      <x:c r="M8" s="54" t="str">
        <x:v>结论</x:v>
      </x:c>
      <x:c r="N8" s="54" t="str">
        <x:v>最大风险</x:v>
      </x:c>
    </x:row>
    <x:row r="9" ht="46" customHeight="1">
      <x:c r="A9" s="105" t="str">
        <x:v>自由现金流</x:v>
      </x:c>
      <x:c r="B9" s="105" t="str">
        <x:v>风格策略</x:v>
      </x:c>
      <x:c r="C9" s="104" t="n">
        <x:v>8</x:v>
      </x:c>
      <x:c r="D9" s="104" t="n">
        <x:v>8</x:v>
      </x:c>
      <x:c r="E9" s="104" t="n">
        <x:v>7</x:v>
      </x:c>
      <x:c r="F9" s="104" t="n">
        <x:v>8</x:v>
      </x:c>
      <x:c r="G9" s="104" t="n">
        <x:v>9</x:v>
      </x:c>
      <x:c r="H9" s="104" t="n">
        <x:v>8</x:v>
      </x:c>
      <x:c r="I9" s="104" t="n">
        <x:v>9</x:v>
      </x:c>
      <x:c r="J9" s="60" t="n">
        <x:f>ROUND(SUMPRODUCT(C9:I9,$C$5:$I$5)*10,1)</x:f>
        <x:v>80.5</x:v>
      </x:c>
      <x:c r="K9" s="105" t="str">
        <x:v>低再融资依赖、现金回报清晰；国内宽松降低机会成本</x:v>
      </x:c>
      <x:c r="L9" s="105" t="n">
        <x:f>COUNTIF($J$9:$J$32,"&gt;"&amp;J9)+COUNTIF($J$9:J9,J9)</x:f>
        <x:v>1</x:v>
      </x:c>
      <x:c r="M9" s="105" t="str">
        <x:f>IF(J9&gt;=75,"优先观察",IF(J9&gt;=68,"可配置",IF(J9&gt;=58,"战术/选择性","低优先/对照")))</x:f>
        <x:v>优先观察</x:v>
      </x:c>
      <x:c r="N9" s="105" t="str">
        <x:v>风格拥挤、周期股权重偏高</x:v>
      </x:c>
    </x:row>
    <x:row r="10" ht="46" customHeight="1">
      <x:c r="A10" s="106" t="str">
        <x:v>红利低波</x:v>
      </x:c>
      <x:c r="B10" s="106" t="str">
        <x:v>风格策略</x:v>
      </x:c>
      <x:c r="C10" s="104" t="n">
        <x:v>8</x:v>
      </x:c>
      <x:c r="D10" s="104" t="n">
        <x:v>7</x:v>
      </x:c>
      <x:c r="E10" s="104" t="n">
        <x:v>7</x:v>
      </x:c>
      <x:c r="F10" s="104" t="n">
        <x:v>7</x:v>
      </x:c>
      <x:c r="G10" s="104" t="n">
        <x:v>9</x:v>
      </x:c>
      <x:c r="H10" s="104" t="n">
        <x:v>9</x:v>
      </x:c>
      <x:c r="I10" s="104" t="n">
        <x:v>9</x:v>
      </x:c>
      <x:c r="J10" s="60" t="n">
        <x:f>ROUND(SUMPRODUCT(C10:I10,$C$5:$I$5)*10,1)</x:f>
        <x:v>78.5</x:v>
      </x:c>
      <x:c r="K10" s="106" t="str">
        <x:v>高股息与低波动降低贴现率冲击，适合做组合底仓</x:v>
      </x:c>
      <x:c r="L10" s="106" t="n">
        <x:f>COUNTIF($J$9:$J$32,"&gt;"&amp;J10)+COUNTIF($J$9:J10,J10)</x:f>
        <x:v>2</x:v>
      </x:c>
      <x:c r="M10" s="106" t="str">
        <x:f>IF(J10&gt;=75,"优先观察",IF(J10&gt;=68,"可配置",IF(J10&gt;=58,"战术/选择性","低优先/对照")))</x:f>
        <x:v>优先观察</x:v>
      </x:c>
      <x:c r="N10" s="106" t="str">
        <x:v>高股息行业集中、商品价格回落</x:v>
      </x:c>
    </x:row>
    <x:row r="11" ht="46" customHeight="1">
      <x:c r="A11" s="105" t="str">
        <x:v>电信运营/通信服务</x:v>
      </x:c>
      <x:c r="B11" s="105" t="str">
        <x:v>行业</x:v>
      </x:c>
      <x:c r="C11" s="104" t="n">
        <x:v>8</x:v>
      </x:c>
      <x:c r="D11" s="104" t="n">
        <x:v>7</x:v>
      </x:c>
      <x:c r="E11" s="104" t="n">
        <x:v>8</x:v>
      </x:c>
      <x:c r="F11" s="104" t="n">
        <x:v>8</x:v>
      </x:c>
      <x:c r="G11" s="104" t="n">
        <x:v>8</x:v>
      </x:c>
      <x:c r="H11" s="104" t="n">
        <x:v>7</x:v>
      </x:c>
      <x:c r="I11" s="104" t="n">
        <x:v>8</x:v>
      </x:c>
      <x:c r="J11" s="60" t="n">
        <x:f>ROUND(SUMPRODUCT(C11:I11,$C$5:$I$5)*10,1)</x:f>
        <x:v>77</x:v>
      </x:c>
      <x:c r="K11" s="105" t="str">
        <x:v>国内现金流稳定；信息/软件服务增长，升值利进口设备成本</x:v>
      </x:c>
      <x:c r="L11" s="105" t="n">
        <x:f>COUNTIF($J$9:$J$32,"&gt;"&amp;J11)+COUNTIF($J$9:J11,J11)</x:f>
        <x:v>3</x:v>
      </x:c>
      <x:c r="M11" s="105" t="str">
        <x:f>IF(J11&gt;=75,"优先观察",IF(J11&gt;=68,"可配置",IF(J11&gt;=58,"战术/选择性","低优先/对照")))</x:f>
        <x:v>优先观察</x:v>
      </x:c>
      <x:c r="N11" s="105" t="str">
        <x:v>资本开支上升、监管定价</x:v>
      </x:c>
    </x:row>
    <x:row r="12" ht="46" customHeight="1">
      <x:c r="A12" s="106" t="str">
        <x:v>中证红利</x:v>
      </x:c>
      <x:c r="B12" s="106" t="str">
        <x:v>风格策略</x:v>
      </x:c>
      <x:c r="C12" s="104" t="n">
        <x:v>7</x:v>
      </x:c>
      <x:c r="D12" s="104" t="n">
        <x:v>7</x:v>
      </x:c>
      <x:c r="E12" s="104" t="n">
        <x:v>7</x:v>
      </x:c>
      <x:c r="F12" s="104" t="n">
        <x:v>7</x:v>
      </x:c>
      <x:c r="G12" s="104" t="n">
        <x:v>9</x:v>
      </x:c>
      <x:c r="H12" s="104" t="n">
        <x:v>9</x:v>
      </x:c>
      <x:c r="I12" s="104" t="n">
        <x:v>8</x:v>
      </x:c>
      <x:c r="J12" s="60" t="n">
        <x:f>ROUND(SUMPRODUCT(C12:I12,$C$5:$I$5)*10,1)</x:f>
        <x:v>76.5</x:v>
      </x:c>
      <x:c r="K12" s="106" t="str">
        <x:v>高股息与持续分红提供现金回报，但没有低波动筛选</x:v>
      </x:c>
      <x:c r="L12" s="106" t="n">
        <x:f>COUNTIF($J$9:$J$32,"&gt;"&amp;J12)+COUNTIF($J$9:J12,J12)</x:f>
        <x:v>4</x:v>
      </x:c>
      <x:c r="M12" s="106" t="str">
        <x:f>IF(J12&gt;=75,"优先观察",IF(J12&gt;=68,"可配置",IF(J12&gt;=58,"战术/选择性","低优先/对照")))</x:f>
        <x:v>优先观察</x:v>
      </x:c>
      <x:c r="N12" s="106" t="str">
        <x:v>行业集中与周期暴露高于红利低波</x:v>
      </x:c>
    </x:row>
    <x:row r="13" ht="46" customHeight="1">
      <x:c r="A13" s="105" t="str">
        <x:v>央企红利</x:v>
      </x:c>
      <x:c r="B13" s="105" t="str">
        <x:v>风格策略</x:v>
      </x:c>
      <x:c r="C13" s="104" t="n">
        <x:v>8</x:v>
      </x:c>
      <x:c r="D13" s="104" t="n">
        <x:v>7</x:v>
      </x:c>
      <x:c r="E13" s="104" t="n">
        <x:v>7</x:v>
      </x:c>
      <x:c r="F13" s="104" t="n">
        <x:v>7</x:v>
      </x:c>
      <x:c r="G13" s="104" t="n">
        <x:v>8</x:v>
      </x:c>
      <x:c r="H13" s="104" t="n">
        <x:v>8</x:v>
      </x:c>
      <x:c r="I13" s="104" t="n">
        <x:v>8</x:v>
      </x:c>
      <x:c r="J13" s="60" t="n">
        <x:f>ROUND(SUMPRODUCT(C13:I13,$C$5:$I$5)*10,1)</x:f>
        <x:v>75</x:v>
      </x:c>
      <x:c r="K13" s="105" t="str">
        <x:v>分红与现金流稳定，政策宽松提升高股息资产相对吸引力</x:v>
      </x:c>
      <x:c r="L13" s="105" t="n">
        <x:f>COUNTIF($J$9:$J$32,"&gt;"&amp;J13)+COUNTIF($J$9:J13,J13)</x:f>
        <x:v>5</x:v>
      </x:c>
      <x:c r="M13" s="105" t="str">
        <x:f>IF(J13&gt;=75,"优先观察",IF(J13&gt;=68,"可配置",IF(J13&gt;=58,"战术/选择性","低优先/对照")))</x:f>
        <x:v>优先观察</x:v>
      </x:c>
      <x:c r="N13" s="105" t="str">
        <x:v>金融与周期行业集中</x:v>
      </x:c>
    </x:row>
    <x:row r="14" ht="46" customHeight="1">
      <x:c r="A14" s="106" t="str">
        <x:v>资源上游（煤炭/油气/有色矿）</x:v>
      </x:c>
      <x:c r="B14" s="106" t="str">
        <x:v>行业</x:v>
      </x:c>
      <x:c r="C14" s="104" t="n">
        <x:v>7</x:v>
      </x:c>
      <x:c r="D14" s="104" t="n">
        <x:v>6</x:v>
      </x:c>
      <x:c r="E14" s="104" t="n">
        <x:v>3</x:v>
      </x:c>
      <x:c r="F14" s="104" t="n">
        <x:v>9</x:v>
      </x:c>
      <x:c r="G14" s="104" t="n">
        <x:v>8</x:v>
      </x:c>
      <x:c r="H14" s="104" t="n">
        <x:v>9</x:v>
      </x:c>
      <x:c r="I14" s="104" t="n">
        <x:v>8</x:v>
      </x:c>
      <x:c r="J14" s="60" t="n">
        <x:f>ROUND(SUMPRODUCT(C14:I14,$C$5:$I$5)*10,1)</x:f>
        <x:v>71.5</x:v>
      </x:c>
      <x:c r="K14" s="106" t="str">
        <x:v>采矿利润+35.1%；煤炭+51.6%、有色矿+71.8%，盈利兑现较强</x:v>
      </x:c>
      <x:c r="L14" s="106" t="n">
        <x:f>COUNTIF($J$9:$J$32,"&gt;"&amp;J14)+COUNTIF($J$9:J14,J14)</x:f>
        <x:v>6</x:v>
      </x:c>
      <x:c r="M14" s="106" t="str">
        <x:f>IF(J14&gt;=75,"优先观察",IF(J14&gt;=68,"可配置",IF(J14&gt;=58,"战术/选择性","低优先/对照")))</x:f>
        <x:v>可配置</x:v>
      </x:c>
      <x:c r="N14" s="106" t="str">
        <x:v>全球需求回落、人民币升值压商品折算</x:v>
      </x:c>
    </x:row>
    <x:row r="15" ht="46" customHeight="1">
      <x:c r="A15" s="105" t="str">
        <x:v>必选消费</x:v>
      </x:c>
      <x:c r="B15" s="105" t="str">
        <x:v>行业</x:v>
      </x:c>
      <x:c r="C15" s="104" t="n">
        <x:v>8</x:v>
      </x:c>
      <x:c r="D15" s="104" t="n">
        <x:v>6</x:v>
      </x:c>
      <x:c r="E15" s="104" t="n">
        <x:v>8</x:v>
      </x:c>
      <x:c r="F15" s="104" t="n">
        <x:v>4</x:v>
      </x:c>
      <x:c r="G15" s="104" t="n">
        <x:v>7</x:v>
      </x:c>
      <x:c r="H15" s="104" t="n">
        <x:v>9</x:v>
      </x:c>
      <x:c r="I15" s="104" t="n">
        <x:v>9</x:v>
      </x:c>
      <x:c r="J15" s="60" t="n">
        <x:f>ROUND(SUMPRODUCT(C15:I15,$C$5:$I$5)*10,1)</x:f>
        <x:v>69.5</x:v>
      </x:c>
      <x:c r="K15" s="105" t="str">
        <x:v>内需属性与进口成本改善提供防御，制裁暴露低</x:v>
      </x:c>
      <x:c r="L15" s="105" t="n">
        <x:f>COUNTIF($J$9:$J$32,"&gt;"&amp;J15)+COUNTIF($J$9:J15,J15)</x:f>
        <x:v>7</x:v>
      </x:c>
      <x:c r="M15" s="105" t="str">
        <x:f>IF(J15&gt;=75,"优先观察",IF(J15&gt;=68,"可配置",IF(J15&gt;=58,"战术/选择性","低优先/对照")))</x:f>
        <x:v>可配置</x:v>
      </x:c>
      <x:c r="N15" s="105" t="str">
        <x:v>食品链利润分化、需求复苏偏慢</x:v>
      </x:c>
    </x:row>
    <x:row r="16" ht="46" customHeight="1">
      <x:c r="A16" s="106" t="str">
        <x:v>公用事业/电力</x:v>
      </x:c>
      <x:c r="B16" s="106" t="str">
        <x:v>行业</x:v>
      </x:c>
      <x:c r="C16" s="104" t="n">
        <x:v>8</x:v>
      </x:c>
      <x:c r="D16" s="104" t="n">
        <x:v>8</x:v>
      </x:c>
      <x:c r="E16" s="104" t="n">
        <x:v>8</x:v>
      </x:c>
      <x:c r="F16" s="104" t="n">
        <x:v>3</x:v>
      </x:c>
      <x:c r="G16" s="104" t="n">
        <x:v>6</x:v>
      </x:c>
      <x:c r="H16" s="104" t="n">
        <x:v>9</x:v>
      </x:c>
      <x:c r="I16" s="104" t="n">
        <x:v>9</x:v>
      </x:c>
      <x:c r="J16" s="60" t="n">
        <x:f>ROUND(SUMPRODUCT(C16:I16,$C$5:$I$5)*10,1)</x:f>
        <x:v>69</x:v>
      </x:c>
      <x:c r="K16" s="106" t="str">
        <x:v>降息降低资本成本，人民币升值缓解部分进口能源压力</x:v>
      </x:c>
      <x:c r="L16" s="106" t="n">
        <x:f>COUNTIF($J$9:$J$32,"&gt;"&amp;J16)+COUNTIF($J$9:J16,J16)</x:f>
        <x:v>8</x:v>
      </x:c>
      <x:c r="M16" s="106" t="str">
        <x:f>IF(J16&gt;=75,"优先观察",IF(J16&gt;=68,"可配置",IF(J16&gt;=58,"战术/选择性","低优先/对照")))</x:f>
        <x:v>可配置</x:v>
      </x:c>
      <x:c r="N16" s="106" t="str">
        <x:v>电力行业利润同比-15.1%，电价/煤价机制</x:v>
      </x:c>
    </x:row>
    <x:row r="17" ht="46" customHeight="1">
      <x:c r="A17" s="105" t="str">
        <x:v>有色冶炼/基础化工</x:v>
      </x:c>
      <x:c r="B17" s="105" t="str">
        <x:v>行业</x:v>
      </x:c>
      <x:c r="C17" s="104" t="n">
        <x:v>6</x:v>
      </x:c>
      <x:c r="D17" s="104" t="n">
        <x:v>6</x:v>
      </x:c>
      <x:c r="E17" s="104" t="n">
        <x:v>5</x:v>
      </x:c>
      <x:c r="F17" s="104" t="n">
        <x:v>9</x:v>
      </x:c>
      <x:c r="G17" s="104" t="n">
        <x:v>6</x:v>
      </x:c>
      <x:c r="H17" s="104" t="n">
        <x:v>8</x:v>
      </x:c>
      <x:c r="I17" s="104" t="n">
        <x:v>8</x:v>
      </x:c>
      <x:c r="J17" s="60" t="n">
        <x:f>ROUND(SUMPRODUCT(C17:I17,$C$5:$I$5)*10,1)</x:f>
        <x:v>68.5</x:v>
      </x:c>
      <x:c r="K17" s="105" t="str">
        <x:v>有色冶炼利润+82.9%、化工+51.0%，当前景气验证较强</x:v>
      </x:c>
      <x:c r="L17" s="105" t="n">
        <x:f>COUNTIF($J$9:$J$32,"&gt;"&amp;J17)+COUNTIF($J$9:J17,J17)</x:f>
        <x:v>9</x:v>
      </x:c>
      <x:c r="M17" s="105" t="str">
        <x:f>IF(J17&gt;=75,"优先观察",IF(J17&gt;=68,"可配置",IF(J17&gt;=58,"战术/选择性","低优先/对照")))</x:f>
        <x:v>可配置</x:v>
      </x:c>
      <x:c r="N17" s="105" t="str">
        <x:v>高周期、供给扩张、商品价格波动</x:v>
      </x:c>
    </x:row>
    <x:row r="18" ht="46" customHeight="1">
      <x:c r="A18" s="106" t="str">
        <x:v>券商</x:v>
      </x:c>
      <x:c r="B18" s="106" t="str">
        <x:v>行业</x:v>
      </x:c>
      <x:c r="C18" s="104" t="n">
        <x:v>4</x:v>
      </x:c>
      <x:c r="D18" s="104" t="n">
        <x:v>9</x:v>
      </x:c>
      <x:c r="E18" s="104" t="n">
        <x:v>7</x:v>
      </x:c>
      <x:c r="F18" s="104" t="n">
        <x:v>7</x:v>
      </x:c>
      <x:c r="G18" s="104" t="n">
        <x:v>4</x:v>
      </x:c>
      <x:c r="H18" s="104" t="n">
        <x:v>9</x:v>
      </x:c>
      <x:c r="I18" s="104" t="n">
        <x:v>9</x:v>
      </x:c>
      <x:c r="J18" s="60" t="n">
        <x:f>ROUND(SUMPRODUCT(C18:I18,$C$5:$I$5)*10,1)</x:f>
        <x:v>68</x:v>
      </x:c>
      <x:c r="K18" s="106" t="str">
        <x:v>国内宽松与成交活跃度改善时弹性较大</x:v>
      </x:c>
      <x:c r="L18" s="106" t="n">
        <x:f>COUNTIF($J$9:$J$32,"&gt;"&amp;J18)+COUNTIF($J$9:J18,J18)</x:f>
        <x:v>10</x:v>
      </x:c>
      <x:c r="M18" s="106" t="str">
        <x:f>IF(J18&gt;=75,"优先观察",IF(J18&gt;=68,"可配置",IF(J18&gt;=58,"战术/选择性","低优先/对照")))</x:f>
        <x:v>可配置</x:v>
      </x:c>
      <x:c r="N18" s="106" t="str">
        <x:v>高Beta、市场成交与监管敏感</x:v>
      </x:c>
    </x:row>
    <x:row r="19" ht="46" customHeight="1">
      <x:c r="A19" s="105" t="str">
        <x:v>医疗/医药</x:v>
      </x:c>
      <x:c r="B19" s="105" t="str">
        <x:v>行业</x:v>
      </x:c>
      <x:c r="C19" s="104" t="n">
        <x:v>8</x:v>
      </x:c>
      <x:c r="D19" s="104" t="n">
        <x:v>7</x:v>
      </x:c>
      <x:c r="E19" s="104" t="n">
        <x:v>8</x:v>
      </x:c>
      <x:c r="F19" s="104" t="n">
        <x:v>5</x:v>
      </x:c>
      <x:c r="G19" s="104" t="n">
        <x:v>6</x:v>
      </x:c>
      <x:c r="H19" s="104" t="n">
        <x:v>6</x:v>
      </x:c>
      <x:c r="I19" s="104" t="n">
        <x:v>8</x:v>
      </x:c>
      <x:c r="J19" s="60" t="n">
        <x:f>ROUND(SUMPRODUCT(C19:I19,$C$5:$I$5)*10,1)</x:f>
        <x:v>66.5</x:v>
      </x:c>
      <x:c r="K19" s="105" t="str">
        <x:v>防御与进口成本受益；医药制造利润当前仅+3.9%</x:v>
      </x:c>
      <x:c r="L19" s="105" t="n">
        <x:f>COUNTIF($J$9:$J$32,"&gt;"&amp;J19)+COUNTIF($J$9:J19,J19)</x:f>
        <x:v>11</x:v>
      </x:c>
      <x:c r="M19" s="105" t="str">
        <x:f>IF(J19&gt;=75,"优先观察",IF(J19&gt;=68,"可配置",IF(J19&gt;=58,"战术/选择性","低优先/对照")))</x:f>
        <x:v>战术/选择性</x:v>
      </x:c>
      <x:c r="N19" s="105" t="str">
        <x:v>集采、创新药出海与生物科技规则</x:v>
      </x:c>
    </x:row>
    <x:row r="20" ht="46" customHeight="1">
      <x:c r="A20" s="106" t="str">
        <x:v>银行</x:v>
      </x:c>
      <x:c r="B20" s="106" t="str">
        <x:v>行业</x:v>
      </x:c>
      <x:c r="C20" s="104" t="n">
        <x:v>7</x:v>
      </x:c>
      <x:c r="D20" s="104" t="n">
        <x:v>3</x:v>
      </x:c>
      <x:c r="E20" s="104" t="n">
        <x:v>7</x:v>
      </x:c>
      <x:c r="F20" s="104" t="n">
        <x:v>5</x:v>
      </x:c>
      <x:c r="G20" s="104" t="n">
        <x:v>8</x:v>
      </x:c>
      <x:c r="H20" s="104" t="n">
        <x:v>9</x:v>
      </x:c>
      <x:c r="I20" s="104" t="n">
        <x:v>10</x:v>
      </x:c>
      <x:c r="J20" s="60" t="n">
        <x:f>ROUND(SUMPRODUCT(C20:I20,$C$5:$I$5)*10,1)</x:f>
        <x:v>66</x:v>
      </x:c>
      <x:c r="K20" s="106" t="str">
        <x:v>低估值与股息有支撑，但不是中国降息的纯受益者</x:v>
      </x:c>
      <x:c r="L20" s="106" t="n">
        <x:f>COUNTIF($J$9:$J$32,"&gt;"&amp;J20)+COUNTIF($J$9:J20,J20)</x:f>
        <x:v>12</x:v>
      </x:c>
      <x:c r="M20" s="106" t="str">
        <x:f>IF(J20&gt;=75,"优先观察",IF(J20&gt;=68,"可配置",IF(J20&gt;=58,"战术/选择性","低优先/对照")))</x:f>
        <x:v>战术/选择性</x:v>
      </x:c>
      <x:c r="N20" s="106" t="str">
        <x:v>净息差下行、信用成本</x:v>
      </x:c>
    </x:row>
    <x:row r="21" ht="46" customHeight="1">
      <x:c r="A21" s="105" t="str">
        <x:v>国内软件/信息服务</x:v>
      </x:c>
      <x:c r="B21" s="105" t="str">
        <x:v>行业</x:v>
      </x:c>
      <x:c r="C21" s="104" t="n">
        <x:v>5</x:v>
      </x:c>
      <x:c r="D21" s="104" t="n">
        <x:v>8</x:v>
      </x:c>
      <x:c r="E21" s="104" t="n">
        <x:v>7</x:v>
      </x:c>
      <x:c r="F21" s="104" t="n">
        <x:v>8</x:v>
      </x:c>
      <x:c r="G21" s="104" t="n">
        <x:v>6</x:v>
      </x:c>
      <x:c r="H21" s="104" t="n">
        <x:v>4</x:v>
      </x:c>
      <x:c r="I21" s="104" t="n">
        <x:v>8</x:v>
      </x:c>
      <x:c r="J21" s="60" t="n">
        <x:f>ROUND(SUMPRODUCT(C21:I21,$C$5:$I$5)*10,1)</x:f>
        <x:v>65</x:v>
      </x:c>
      <x:c r="K21" s="105" t="str">
        <x:v>信息传输/软件服务增长约10.4%，宽松利估值与订单</x:v>
      </x:c>
      <x:c r="L21" s="105" t="n">
        <x:f>COUNTIF($J$9:$J$32,"&gt;"&amp;J21)+COUNTIF($J$9:J21,J21)</x:f>
        <x:v>13</x:v>
      </x:c>
      <x:c r="M21" s="105" t="str">
        <x:f>IF(J21&gt;=75,"优先观察",IF(J21&gt;=68,"可配置",IF(J21&gt;=58,"战术/选择性","低优先/对照")))</x:f>
        <x:v>战术/选择性</x:v>
      </x:c>
      <x:c r="N21" s="105" t="str">
        <x:v>高估值、AI与技术制裁、订单确认</x:v>
      </x:c>
    </x:row>
    <x:row r="22" ht="46" customHeight="1">
      <x:c r="A22" s="106" t="str">
        <x:v>科技宽基</x:v>
      </x:c>
      <x:c r="B22" s="106" t="str">
        <x:v>行业主题</x:v>
      </x:c>
      <x:c r="C22" s="104" t="n">
        <x:v>4</x:v>
      </x:c>
      <x:c r="D22" s="104" t="n">
        <x:v>8</x:v>
      </x:c>
      <x:c r="E22" s="104" t="n">
        <x:v>6</x:v>
      </x:c>
      <x:c r="F22" s="104" t="n">
        <x:v>9</x:v>
      </x:c>
      <x:c r="G22" s="104" t="n">
        <x:v>5</x:v>
      </x:c>
      <x:c r="H22" s="104" t="n">
        <x:v>4</x:v>
      </x:c>
      <x:c r="I22" s="104" t="n">
        <x:v>9</x:v>
      </x:c>
      <x:c r="J22" s="60" t="n">
        <x:f>ROUND(SUMPRODUCT(C22:I22,$C$5:$I$5)*10,1)</x:f>
        <x:v>63</x:v>
      </x:c>
      <x:c r="K22" s="106" t="str">
        <x:v>电子利润高增与软件服务增长提供盈利支撑，宽基分散单一赛道风险</x:v>
      </x:c>
      <x:c r="L22" s="106" t="n">
        <x:f>COUNTIF($J$9:$J$32,"&gt;"&amp;J22)+COUNTIF($J$9:J22,J22)</x:f>
        <x:v>14</x:v>
      </x:c>
      <x:c r="M22" s="106" t="str">
        <x:f>IF(J22&gt;=75,"优先观察",IF(J22&gt;=68,"可配置",IF(J22&gt;=58,"战术/选择性","低优先/对照")))</x:f>
        <x:v>战术/选择性</x:v>
      </x:c>
      <x:c r="N22" s="106" t="str">
        <x:v>美国加息压估值、成分集中及技术限制</x:v>
      </x:c>
    </x:row>
    <x:row r="23" ht="46" customHeight="1">
      <x:c r="A23" s="105" t="str">
        <x:v>保险</x:v>
      </x:c>
      <x:c r="B23" s="105" t="str">
        <x:v>行业</x:v>
      </x:c>
      <x:c r="C23" s="104" t="n">
        <x:v>5</x:v>
      </x:c>
      <x:c r="D23" s="104" t="n">
        <x:v>4</x:v>
      </x:c>
      <x:c r="E23" s="104" t="n">
        <x:v>7</x:v>
      </x:c>
      <x:c r="F23" s="104" t="n">
        <x:v>6</x:v>
      </x:c>
      <x:c r="G23" s="104" t="n">
        <x:v>6</x:v>
      </x:c>
      <x:c r="H23" s="104" t="n">
        <x:v>9</x:v>
      </x:c>
      <x:c r="I23" s="104" t="n">
        <x:v>8</x:v>
      </x:c>
      <x:c r="J23" s="60" t="n">
        <x:f>ROUND(SUMPRODUCT(C23:I23,$C$5:$I$5)*10,1)</x:f>
        <x:v>62.5</x:v>
      </x:c>
      <x:c r="K23" s="105" t="str">
        <x:v>人民币资产与低估值支撑，负债端改善时有修复弹性</x:v>
      </x:c>
      <x:c r="L23" s="105" t="n">
        <x:f>COUNTIF($J$9:$J$32,"&gt;"&amp;J23)+COUNTIF($J$9:J23,J23)</x:f>
        <x:v>15</x:v>
      </x:c>
      <x:c r="M23" s="105" t="str">
        <x:f>IF(J23&gt;=75,"优先观察",IF(J23&gt;=68,"可配置",IF(J23&gt;=58,"战术/选择性","低优先/对照")))</x:f>
        <x:v>战术/选择性</x:v>
      </x:c>
      <x:c r="N23" s="105" t="str">
        <x:v>长端利率下行压再投资收益</x:v>
      </x:c>
    </x:row>
    <x:row r="24" ht="46" customHeight="1">
      <x:c r="A24" s="106" t="str">
        <x:v>交通运输/航空</x:v>
      </x:c>
      <x:c r="B24" s="106" t="str">
        <x:v>行业</x:v>
      </x:c>
      <x:c r="C24" s="104" t="n">
        <x:v>4</x:v>
      </x:c>
      <x:c r="D24" s="104" t="n">
        <x:v>7</x:v>
      </x:c>
      <x:c r="E24" s="104" t="n">
        <x:v>9</x:v>
      </x:c>
      <x:c r="F24" s="104" t="n">
        <x:v>5</x:v>
      </x:c>
      <x:c r="G24" s="104" t="n">
        <x:v>3</x:v>
      </x:c>
      <x:c r="H24" s="104" t="n">
        <x:v>9</x:v>
      </x:c>
      <x:c r="I24" s="104" t="n">
        <x:v>6</x:v>
      </x:c>
      <x:c r="J24" s="60" t="n">
        <x:f>ROUND(SUMPRODUCT(C24:I24,$C$5:$I$5)*10,1)</x:f>
        <x:v>61</x:v>
      </x:c>
      <x:c r="K24" s="106" t="str">
        <x:v>人民币升值利美元负债、租赁和油料成本，国内宽松降财务费</x:v>
      </x:c>
      <x:c r="L24" s="106" t="n">
        <x:f>COUNTIF($J$9:$J$32,"&gt;"&amp;J24)+COUNTIF($J$9:J24,J24)</x:f>
        <x:v>16</x:v>
      </x:c>
      <x:c r="M24" s="106" t="str">
        <x:f>IF(J24&gt;=75,"优先观察",IF(J24&gt;=68,"可配置",IF(J24&gt;=58,"战术/选择性","低优先/对照")))</x:f>
        <x:v>战术/选择性</x:v>
      </x:c>
      <x:c r="N24" s="106" t="str">
        <x:v>高杠杆、出行需求与油价波动</x:v>
      </x:c>
    </x:row>
    <x:row r="25" ht="46" customHeight="1">
      <x:c r="A25" s="105" t="str">
        <x:v>电子/半导体</x:v>
      </x:c>
      <x:c r="B25" s="105" t="str">
        <x:v>行业</x:v>
      </x:c>
      <x:c r="C25" s="104" t="n">
        <x:v>3</x:v>
      </x:c>
      <x:c r="D25" s="104" t="n">
        <x:v>8</x:v>
      </x:c>
      <x:c r="E25" s="104" t="n">
        <x:v>5</x:v>
      </x:c>
      <x:c r="F25" s="104" t="n">
        <x:v>10</x:v>
      </x:c>
      <x:c r="G25" s="104" t="n">
        <x:v>5</x:v>
      </x:c>
      <x:c r="H25" s="104" t="n">
        <x:v>2</x:v>
      </x:c>
      <x:c r="I25" s="104" t="n">
        <x:v>9</x:v>
      </x:c>
      <x:c r="J25" s="60" t="n">
        <x:f>ROUND(SUMPRODUCT(C25:I25,$C$5:$I$5)*10,1)</x:f>
        <x:v>59</x:v>
      </x:c>
      <x:c r="K25" s="105" t="str">
        <x:v>电子设备制造利润+109.9%，当前盈利增速最强</x:v>
      </x:c>
      <x:c r="L25" s="105" t="n">
        <x:f>COUNTIF($J$9:$J$32,"&gt;"&amp;J25)+COUNTIF($J$9:J25,J25)</x:f>
        <x:v>17</x:v>
      </x:c>
      <x:c r="M25" s="105" t="str">
        <x:f>IF(J25&gt;=75,"优先观察",IF(J25&gt;=68,"可配置",IF(J25&gt;=58,"战术/选择性","低优先/对照")))</x:f>
        <x:v>战术/选择性</x:v>
      </x:c>
      <x:c r="N25" s="105" t="str">
        <x:v>出口管制、制裁、估值和半导体周期</x:v>
      </x:c>
    </x:row>
    <x:row r="26" ht="46" customHeight="1">
      <x:c r="A26" s="106" t="str">
        <x:v>人工智能/算力</x:v>
      </x:c>
      <x:c r="B26" s="106" t="str">
        <x:v>行业主题</x:v>
      </x:c>
      <x:c r="C26" s="104" t="n">
        <x:v>3</x:v>
      </x:c>
      <x:c r="D26" s="104" t="n">
        <x:v>9</x:v>
      </x:c>
      <x:c r="E26" s="104" t="n">
        <x:v>5</x:v>
      </x:c>
      <x:c r="F26" s="104" t="n">
        <x:v>9</x:v>
      </x:c>
      <x:c r="G26" s="104" t="n">
        <x:v>4</x:v>
      </x:c>
      <x:c r="H26" s="104" t="n">
        <x:v>3</x:v>
      </x:c>
      <x:c r="I26" s="104" t="n">
        <x:v>9</x:v>
      </x:c>
      <x:c r="J26" s="60" t="n">
        <x:f>ROUND(SUMPRODUCT(C26:I26,$C$5:$I$5)*10,1)</x:f>
        <x:v>58.5</x:v>
      </x:c>
      <x:c r="K26" s="106" t="str">
        <x:v>电子高景气与国内宽松支持投入，但估值久期和敏感技术属性较强</x:v>
      </x:c>
      <x:c r="L26" s="106" t="n">
        <x:f>COUNTIF($J$9:$J$32,"&gt;"&amp;J26)+COUNTIF($J$9:J26,J26)</x:f>
        <x:v>18</x:v>
      </x:c>
      <x:c r="M26" s="106" t="str">
        <x:f>IF(J26&gt;=75,"优先观察",IF(J26&gt;=68,"可配置",IF(J26&gt;=58,"战术/选择性","低优先/对照")))</x:f>
        <x:v>战术/选择性</x:v>
      </x:c>
      <x:c r="N26" s="106" t="str">
        <x:v>美国加息、AI/高性能计算限制、估值拥挤</x:v>
      </x:c>
    </x:row>
    <x:row r="27" ht="46" customHeight="1">
      <x:c r="A27" s="105" t="str">
        <x:v>机器人/自动化</x:v>
      </x:c>
      <x:c r="B27" s="105" t="str">
        <x:v>行业主题</x:v>
      </x:c>
      <x:c r="C27" s="104" t="n">
        <x:v>5</x:v>
      </x:c>
      <x:c r="D27" s="104" t="n">
        <x:v>8</x:v>
      </x:c>
      <x:c r="E27" s="104" t="n">
        <x:v>5</x:v>
      </x:c>
      <x:c r="F27" s="104" t="n">
        <x:v>6</x:v>
      </x:c>
      <x:c r="G27" s="104" t="n">
        <x:v>4</x:v>
      </x:c>
      <x:c r="H27" s="104" t="n">
        <x:v>6</x:v>
      </x:c>
      <x:c r="I27" s="104" t="n">
        <x:v>8</x:v>
      </x:c>
      <x:c r="J27" s="60" t="n">
        <x:f>ROUND(SUMPRODUCT(C27:I27,$C$5:$I$5)*10,1)</x:f>
        <x:v>58</x:v>
      </x:c>
      <x:c r="K27" s="105" t="str">
        <x:v>中国宽松与设备更新有利需求，专用设备生产较强但利润同比-2.1%</x:v>
      </x:c>
      <x:c r="L27" s="105" t="n">
        <x:f>COUNTIF($J$9:$J$32,"&gt;"&amp;J27)+COUNTIF($J$9:J27,J27)</x:f>
        <x:v>19</x:v>
      </x:c>
      <x:c r="M27" s="105" t="str">
        <x:f>IF(J27&gt;=75,"优先观察",IF(J27&gt;=68,"可配置",IF(J27&gt;=58,"战术/选择性","低优先/对照")))</x:f>
        <x:v>战术/选择性</x:v>
      </x:c>
      <x:c r="N27" s="105" t="str">
        <x:v>订单转利润偏慢、估值与制造业资本开支波动</x:v>
      </x:c>
    </x:row>
    <x:row r="28" ht="46" customHeight="1">
      <x:c r="A28" s="106" t="str">
        <x:v>创新药</x:v>
      </x:c>
      <x:c r="B28" s="106" t="str">
        <x:v>行业主题</x:v>
      </x:c>
      <x:c r="C28" s="104" t="n">
        <x:v>4</x:v>
      </x:c>
      <x:c r="D28" s="104" t="n">
        <x:v>8</x:v>
      </x:c>
      <x:c r="E28" s="104" t="n">
        <x:v>7</x:v>
      </x:c>
      <x:c r="F28" s="104" t="n">
        <x:v>6</x:v>
      </x:c>
      <x:c r="G28" s="104" t="n">
        <x:v>4</x:v>
      </x:c>
      <x:c r="H28" s="104" t="n">
        <x:v>4</x:v>
      </x:c>
      <x:c r="I28" s="104" t="n">
        <x:v>9</x:v>
      </x:c>
      <x:c r="J28" s="60" t="n">
        <x:f>ROUND(SUMPRODUCT(C28:I28,$C$5:$I$5)*10,1)</x:f>
        <x:v>57</x:v>
      </x:c>
      <x:c r="K28" s="106" t="str">
        <x:v>融资成本下降与进口研发成本改善有利，但医药制造利润仅+3.9%</x:v>
      </x:c>
      <x:c r="L28" s="106" t="n">
        <x:f>COUNTIF($J$9:$J$32,"&gt;"&amp;J28)+COUNTIF($J$9:J28,J28)</x:f>
        <x:v>20</x:v>
      </x:c>
      <x:c r="M28" s="106" t="str">
        <x:f>IF(J28&gt;=75,"优先观察",IF(J28&gt;=68,"可配置",IF(J28&gt;=58,"战术/选择性","低优先/对照")))</x:f>
        <x:v>低优先/对照</x:v>
      </x:c>
      <x:c r="N28" s="106" t="str">
        <x:v>美国加息压久期估值、生物科技规则与研发失败</x:v>
      </x:c>
    </x:row>
    <x:row r="29" ht="46" customHeight="1">
      <x:c r="A29" s="105" t="str">
        <x:v>可选消费/汽车家电</x:v>
      </x:c>
      <x:c r="B29" s="105" t="str">
        <x:v>行业</x:v>
      </x:c>
      <x:c r="C29" s="104" t="n">
        <x:v>5</x:v>
      </x:c>
      <x:c r="D29" s="104" t="n">
        <x:v>7</x:v>
      </x:c>
      <x:c r="E29" s="104" t="n">
        <x:v>6</x:v>
      </x:c>
      <x:c r="F29" s="104" t="n">
        <x:v>3</x:v>
      </x:c>
      <x:c r="G29" s="104" t="n">
        <x:v>5</x:v>
      </x:c>
      <x:c r="H29" s="104" t="n">
        <x:v>7</x:v>
      </x:c>
      <x:c r="I29" s="104" t="n">
        <x:v>9</x:v>
      </x:c>
      <x:c r="J29" s="60" t="n">
        <x:f>ROUND(SUMPRODUCT(C29:I29,$C$5:$I$5)*10,1)</x:f>
        <x:v>55.5</x:v>
      </x:c>
      <x:c r="K29" s="105" t="str">
        <x:v>宽松和汇率改善有帮助，但行业价格竞争仍强</x:v>
      </x:c>
      <x:c r="L29" s="105" t="n">
        <x:f>COUNTIF($J$9:$J$32,"&gt;"&amp;J29)+COUNTIF($J$9:J29,J29)</x:f>
        <x:v>21</x:v>
      </x:c>
      <x:c r="M29" s="105" t="str">
        <x:f>IF(J29&gt;=75,"优先观察",IF(J29&gt;=68,"可配置",IF(J29&gt;=58,"战术/选择性","低优先/对照")))</x:f>
        <x:v>低优先/对照</x:v>
      </x:c>
      <x:c r="N29" s="105" t="str">
        <x:v>汽车制造利润-16.0%、价格战</x:v>
      </x:c>
    </x:row>
    <x:row r="30" ht="46" customHeight="1">
      <x:c r="A30" s="106" t="str">
        <x:v>黄金ETF</x:v>
      </x:c>
      <x:c r="B30" s="106" t="str">
        <x:v>跨资产对照</x:v>
      </x:c>
      <x:c r="C30" s="104" t="n">
        <x:v>2</x:v>
      </x:c>
      <x:c r="D30" s="104" t="n">
        <x:v>5</x:v>
      </x:c>
      <x:c r="E30" s="104" t="n">
        <x:v>2</x:v>
      </x:c>
      <x:c r="F30" s="104" t="n">
        <x:v>5</x:v>
      </x:c>
      <x:c r="G30" s="104" t="n">
        <x:v>5</x:v>
      </x:c>
      <x:c r="H30" s="104" t="n">
        <x:v>10</x:v>
      </x:c>
      <x:c r="I30" s="104" t="n">
        <x:v>9</x:v>
      </x:c>
      <x:c r="J30" s="60" t="n">
        <x:f>ROUND(SUMPRODUCT(C30:I30,$C$5:$I$5)*10,1)</x:f>
        <x:v>50.5</x:v>
      </x:c>
      <x:c r="K30" s="106" t="str">
        <x:v>可做尾部风险保险，但并非本情景下的主收益资产</x:v>
      </x:c>
      <x:c r="L30" s="106" t="n">
        <x:f>COUNTIF($J$9:$J$32,"&gt;"&amp;J30)+COUNTIF($J$9:J30,J30)</x:f>
        <x:v>22</x:v>
      </x:c>
      <x:c r="M30" s="106" t="str">
        <x:f>IF(J30&gt;=75,"优先观察",IF(J30&gt;=68,"可配置",IF(J30&gt;=58,"战术/选择性","低优先/对照")))</x:f>
        <x:v>低优先/对照</x:v>
      </x:c>
      <x:c r="N30" s="106" t="str">
        <x:v>美国10年实际利率2.76%与人民币升值双重压制</x:v>
      </x:c>
    </x:row>
    <x:row r="31" ht="46" customHeight="1">
      <x:c r="A31" s="105" t="str">
        <x:v>地产/建材/钢铁</x:v>
      </x:c>
      <x:c r="B31" s="105" t="str">
        <x:v>行业</x:v>
      </x:c>
      <x:c r="C31" s="104" t="n">
        <x:v>4</x:v>
      </x:c>
      <x:c r="D31" s="104" t="n">
        <x:v>8</x:v>
      </x:c>
      <x:c r="E31" s="104" t="n">
        <x:v>6</x:v>
      </x:c>
      <x:c r="F31" s="104" t="n">
        <x:v>1</x:v>
      </x:c>
      <x:c r="G31" s="104" t="n">
        <x:v>2</x:v>
      </x:c>
      <x:c r="H31" s="104" t="n">
        <x:v>9</x:v>
      </x:c>
      <x:c r="I31" s="104" t="n">
        <x:v>9</x:v>
      </x:c>
      <x:c r="J31" s="60" t="n">
        <x:f>ROUND(SUMPRODUCT(C31:I31,$C$5:$I$5)*10,1)</x:f>
        <x:v>50</x:v>
      </x:c>
      <x:c r="K31" s="105" t="str">
        <x:v>国内宽松提供政策托底，但利润与资产负债表仍弱</x:v>
      </x:c>
      <x:c r="L31" s="105" t="n">
        <x:f>COUNTIF($J$9:$J$32,"&gt;"&amp;J31)+COUNTIF($J$9:J31,J31)</x:f>
        <x:v>23</x:v>
      </x:c>
      <x:c r="M31" s="105" t="str">
        <x:f>IF(J31&gt;=75,"优先观察",IF(J31&gt;=68,"可配置",IF(J31&gt;=58,"战术/选择性","低优先/对照")))</x:f>
        <x:v>低优先/对照</x:v>
      </x:c>
      <x:c r="N31" s="105" t="str">
        <x:v>建材-46.7%、钢铁-62.4%，修复传导慢</x:v>
      </x:c>
    </x:row>
    <x:row r="32" ht="46" customHeight="1">
      <x:c r="A32" s="106" t="str">
        <x:v>标普500场内ETF</x:v>
      </x:c>
      <x:c r="B32" s="106" t="str">
        <x:v>海外对照</x:v>
      </x:c>
      <x:c r="C32" s="104" t="n">
        <x:v>3</x:v>
      </x:c>
      <x:c r="D32" s="104" t="n">
        <x:v>1</x:v>
      </x:c>
      <x:c r="E32" s="104" t="n">
        <x:v>1</x:v>
      </x:c>
      <x:c r="F32" s="104" t="n">
        <x:v>7</x:v>
      </x:c>
      <x:c r="G32" s="104" t="n">
        <x:v>6</x:v>
      </x:c>
      <x:c r="H32" s="104" t="n">
        <x:v>10</x:v>
      </x:c>
      <x:c r="I32" s="104" t="n">
        <x:v>6</x:v>
      </x:c>
      <x:c r="J32" s="60" t="n">
        <x:f>ROUND(SUMPRODUCT(C32:I32,$C$5:$I$5)*10,1)</x:f>
        <x:v>48.5</x:v>
      </x:c>
      <x:c r="K32" s="106" t="str">
        <x:v>美国盈利仍有韧性，但不是该情景的自然对冲</x:v>
      </x:c>
      <x:c r="L32" s="106" t="n">
        <x:f>COUNTIF($J$9:$J$32,"&gt;"&amp;J32)+COUNTIF($J$9:J32,J32)</x:f>
        <x:v>24</x:v>
      </x:c>
      <x:c r="M32" s="106" t="str">
        <x:f>IF(J32&gt;=75,"优先观察",IF(J32&gt;=68,"可配置",IF(J32&gt;=58,"战术/选择性","低优先/对照")))</x:f>
        <x:v>低优先/对照</x:v>
      </x:c>
      <x:c r="N32" s="106" t="str">
        <x:v>美国加息、人民币升值、科技集中和QDII溢价</x:v>
      </x:c>
    </x:row>
  </x:sheetData>
  <x:mergeCells>
    <x:mergeCell ref="A1:N2"/>
    <x:mergeCell ref="A3:N3"/>
    <x:mergeCell ref="L4:N4"/>
    <x:mergeCell ref="L5:N5"/>
  </x:mergeCells>
  <x:conditionalFormatting sqref="J5:J5">
    <x:cfRule type="cellIs" dxfId="1" priority="1" operator="notEqual">
      <x:formula>1</x:formula>
    </x:cfRule>
  </x:conditionalFormatting>
  <x:conditionalFormatting sqref="C9:I3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9:J32">
    <x:cfRule type="dataBar" priority="3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2768f8a2-9d34-4e53-8ed9-d91500c669a0</x14:id>
        </x:ext>
      </x:extLst>
    </x:cfRule>
  </x:conditionalFormatting>
  <x:conditionalFormatting sqref="L9:L32">
    <x:cfRule type="colorScale" priority="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H9:H32">
    <x:cfRule type="cellIs" dxfId="2" priority="5" operator="lessThan">
      <x:formula>5</x:formula>
    </x:cfRule>
  </x:conditionalFormatting>
  <x:conditionalFormatting sqref="M9:M32">
    <x:cfRule type="containsText" dxfId="3" priority="6" operator="containsText" text="优先观察"/>
    <x:cfRule type="containsText" dxfId="4" priority="7" operator="containsText" text="低优先"/>
  </x:conditionalFormatting>
  <x:dataValidations count="2">
    <x:dataValidation type="decimal" operator="between" sqref="C5:I5">
      <x:formula1>0</x:formula1>
      <x:formula2>1</x:formula2>
    </x:dataValidation>
    <x:dataValidation type="whole" operator="between" sqref="C9:I32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7efc19eb50d41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2768f8a2-9d34-4e53-8ed9-d91500c669a0">
            <x14:dataBar gradient="1">
              <x14:cfvo type="min"/>
              <x14:cfvo type="max"/>
              <x14:fillColor rgb="FF1F4E78"/>
            </x14:dataBar>
          </x14:cfRule>
          <xm:sqref>J9:J32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7B61A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25" hidden="0" customWidth="1"/>
    <x:col min="5" max="5" width="28" hidden="0" customWidth="1"/>
    <x:col min="6" max="6" width="28" hidden="0" customWidth="1"/>
    <x:col min="7" max="7" width="34" hidden="0" customWidth="1"/>
    <x:col min="8" max="8" width="58" hidden="0" customWidth="1"/>
  </x:cols>
  <x:sheetData>
    <x:row r="1" ht="26" customHeight="1">
      <x:c r="A1" s="3" t="str">
        <x:v>场内ETF实施映射</x:v>
      </x:c>
      <x:c r="B1" s="82"/>
      <x:c r="C1" s="82"/>
      <x:c r="D1" s="82"/>
      <x:c r="E1" s="82"/>
      <x:c r="F1" s="82"/>
      <x:c r="G1" s="82"/>
      <x:c r="H1" s="82"/>
    </x:row>
    <x:row r="2" ht="26" customHeight="1">
      <x:c r="A2" s="82"/>
      <x:c r="B2" s="82"/>
      <x:c r="C2" s="82"/>
      <x:c r="D2" s="82"/>
      <x:c r="E2" s="82"/>
      <x:c r="F2" s="82"/>
      <x:c r="G2" s="82"/>
      <x:c r="H2" s="82"/>
    </x:row>
    <x:row r="3" ht="28" customHeight="1">
      <x:c r="A3" s="7" t="str">
        <x:v>仅列宽基/行业/策略ETF示例，不等于推荐。交易前核验实时溢价、成交额、跟踪误差、申赎限制和最新存续状态。</x:v>
      </x:c>
      <x:c r="B3" s="82"/>
      <x:c r="C3" s="82"/>
      <x:c r="D3" s="82"/>
      <x:c r="E3" s="82"/>
      <x:c r="F3" s="82"/>
      <x:c r="G3" s="82"/>
      <x:c r="H3" s="82"/>
    </x:row>
    <x:row r="4">
      <x:c r="A4" s="82"/>
      <x:c r="B4" s="82"/>
      <x:c r="C4" s="82"/>
      <x:c r="D4" s="82"/>
      <x:c r="E4" s="82"/>
      <x:c r="F4" s="82"/>
      <x:c r="G4" s="82"/>
      <x:c r="H4" s="82"/>
    </x:row>
    <x:row r="5" ht="36" customHeight="1">
      <x:c r="A5" s="54" t="str">
        <x:v>对应分类</x:v>
      </x:c>
      <x:c r="B5" s="54" t="str">
        <x:v>代码</x:v>
      </x:c>
      <x:c r="C5" s="54" t="str">
        <x:v>市场</x:v>
      </x:c>
      <x:c r="D5" s="54" t="str">
        <x:v>场内简称 / 产品</x:v>
      </x:c>
      <x:c r="E5" s="54" t="str">
        <x:v>覆盖方向</x:v>
      </x:c>
      <x:c r="F5" s="54" t="str">
        <x:v>适用逻辑</x:v>
      </x:c>
      <x:c r="G5" s="54" t="str">
        <x:v>执行提醒</x:v>
      </x:c>
      <x:c r="H5" s="54" t="str">
        <x:v>官方来源</x:v>
      </x:c>
    </x:row>
    <x:row r="6" ht="44" customHeight="1">
      <x:c r="A6" s="106" t="str">
        <x:v>自由现金流</x:v>
      </x:c>
      <x:c r="B6" s="109" t="str">
        <x:v>159201</x:v>
      </x:c>
      <x:c r="C6" s="106" t="str">
        <x:v>深交所</x:v>
      </x:c>
      <x:c r="D6" s="106" t="str">
        <x:v>自由现金流ETF</x:v>
      </x:c>
      <x:c r="E6" s="106" t="str">
        <x:v>国证自由现金流策略</x:v>
      </x:c>
      <x:c r="F6" s="106" t="str">
        <x:v>核心底仓候选</x:v>
      </x:c>
      <x:c r="G6" s="106" t="str">
        <x:v>检查风格拥挤与行业权重</x:v>
      </x:c>
      <x:c r="H6" s="110" t="str">
        <x:v>https://investor.szse.cn/fund/dynamic/t20250224_611985.html</x:v>
      </x:c>
    </x:row>
    <x:row r="7" ht="44" customHeight="1">
      <x:c r="A7" s="105" t="str">
        <x:v>红利低波</x:v>
      </x:c>
      <x:c r="B7" s="111" t="str">
        <x:v>515100</x:v>
      </x:c>
      <x:c r="C7" s="105" t="str">
        <x:v>上交所</x:v>
      </x:c>
      <x:c r="D7" s="105" t="str">
        <x:v>红利低波100ETF景顺</x:v>
      </x:c>
      <x:c r="E7" s="105" t="str">
        <x:v>中证红利低波动100</x:v>
      </x:c>
      <x:c r="F7" s="105" t="str">
        <x:v>核心底仓候选</x:v>
      </x:c>
      <x:c r="G7" s="105" t="str">
        <x:v>高股息并非无波动</x:v>
      </x:c>
      <x:c r="H7" s="112" t="str">
        <x:v>https://www.sse.com.cn/disclosure/fund/announcement/c/new/2026-04-22/515100_20260422_LGQA.pdf</x:v>
      </x:c>
    </x:row>
    <x:row r="8" ht="44" customHeight="1">
      <x:c r="A8" s="106" t="str">
        <x:v>中证红利</x:v>
      </x:c>
      <x:c r="B8" s="109" t="str">
        <x:v>515080</x:v>
      </x:c>
      <x:c r="C8" s="106" t="str">
        <x:v>上交所</x:v>
      </x:c>
      <x:c r="D8" s="106" t="str">
        <x:v>中证红利ETF招商</x:v>
      </x:c>
      <x:c r="E8" s="106" t="str">
        <x:v>中证红利指数</x:v>
      </x:c>
      <x:c r="F8" s="106" t="str">
        <x:v>高股息底仓候选</x:v>
      </x:c>
      <x:c r="G8" s="106" t="str">
        <x:v>没有低波筛选，周期暴露更高</x:v>
      </x:c>
      <x:c r="H8" s="110" t="str">
        <x:v>https://www.sse.com.cn/disclosure/fund/announcement/c/new/2026-03-24/515080_20260324_TG47.pdf</x:v>
      </x:c>
    </x:row>
    <x:row r="9" ht="44" customHeight="1">
      <x:c r="A9" s="105" t="str">
        <x:v>电信运营/通信服务</x:v>
      </x:c>
      <x:c r="B9" s="111" t="str">
        <x:v>563010</x:v>
      </x:c>
      <x:c r="C9" s="105" t="str">
        <x:v>上交所</x:v>
      </x:c>
      <x:c r="D9" s="105" t="str">
        <x:v>电信ETF</x:v>
      </x:c>
      <x:c r="E9" s="105" t="str">
        <x:v>电信运营、增值服务、设备与数据中心</x:v>
      </x:c>
      <x:c r="F9" s="105" t="str">
        <x:v>更接近国内现金流逻辑</x:v>
      </x:c>
      <x:c r="G9" s="105" t="str">
        <x:v>包含设备股，并非纯运营商</x:v>
      </x:c>
      <x:c r="H9" s="112" t="str">
        <x:v>https://etf.sse.com.cn/fundtrends/c/5723621.shtml</x:v>
      </x:c>
    </x:row>
    <x:row r="10" ht="44" customHeight="1">
      <x:c r="A10" s="106" t="str">
        <x:v>央企红利</x:v>
      </x:c>
      <x:c r="B10" s="109" t="str">
        <x:v>561580</x:v>
      </x:c>
      <x:c r="C10" s="106" t="str">
        <x:v>上交所</x:v>
      </x:c>
      <x:c r="D10" s="106" t="str">
        <x:v>央企红利ETF华泰柏瑞</x:v>
      </x:c>
      <x:c r="E10" s="106" t="str">
        <x:v>中证中央企业红利</x:v>
      </x:c>
      <x:c r="F10" s="106" t="str">
        <x:v>分红与央企现金流</x:v>
      </x:c>
      <x:c r="G10" s="106" t="str">
        <x:v>行业集中度需核验</x:v>
      </x:c>
      <x:c r="H10" s="110" t="str">
        <x:v>https://www.sse.com.cn/assortment/fund/list/etfinfo/basic/index.shtml?FUNDID=561580</x:v>
      </x:c>
    </x:row>
    <x:row r="11" ht="44" customHeight="1">
      <x:c r="A11" s="105" t="str">
        <x:v>资源上游</x:v>
      </x:c>
      <x:c r="B11" s="111" t="str">
        <x:v>515220</x:v>
      </x:c>
      <x:c r="C11" s="105" t="str">
        <x:v>上交所</x:v>
      </x:c>
      <x:c r="D11" s="105" t="str">
        <x:v>煤炭ETF国泰</x:v>
      </x:c>
      <x:c r="E11" s="105" t="str">
        <x:v>中证煤炭</x:v>
      </x:c>
      <x:c r="F11" s="105" t="str">
        <x:v>利润兑现与高现金流</x:v>
      </x:c>
      <x:c r="G11" s="105" t="str">
        <x:v>商品价与人民币升值风险</x:v>
      </x:c>
      <x:c r="H11" s="112" t="str">
        <x:v>https://www.sse.com.cn/disclosure/fund/etflist/detail.shtml?fundid=515220</x:v>
      </x:c>
    </x:row>
    <x:row r="12" ht="44" customHeight="1">
      <x:c r="A12" s="106" t="str">
        <x:v>资源上游</x:v>
      </x:c>
      <x:c r="B12" s="109" t="str">
        <x:v>561360</x:v>
      </x:c>
      <x:c r="C12" s="106" t="str">
        <x:v>上交所</x:v>
      </x:c>
      <x:c r="D12" s="106" t="str">
        <x:v>石油ETF</x:v>
      </x:c>
      <x:c r="E12" s="106" t="str">
        <x:v>油气产业</x:v>
      </x:c>
      <x:c r="F12" s="106" t="str">
        <x:v>上游现金流对照</x:v>
      </x:c>
      <x:c r="G12" s="106" t="str">
        <x:v>油价与全球需求敏感</x:v>
      </x:c>
      <x:c r="H12" s="110" t="str">
        <x:v>https://www.sse.com.cn/lawandrules/sselawsrules2025/trade/specific/margin/c/c_20260710_10825136.shtml</x:v>
      </x:c>
    </x:row>
    <x:row r="13" ht="44" customHeight="1">
      <x:c r="A13" s="105" t="str">
        <x:v>有色冶炼</x:v>
      </x:c>
      <x:c r="B13" s="111" t="str">
        <x:v>512400</x:v>
      </x:c>
      <x:c r="C13" s="105" t="str">
        <x:v>上交所</x:v>
      </x:c>
      <x:c r="D13" s="105" t="str">
        <x:v>有色ETF</x:v>
      </x:c>
      <x:c r="E13" s="105" t="str">
        <x:v>申万有色金属</x:v>
      </x:c>
      <x:c r="F13" s="105" t="str">
        <x:v>利润高增板块</x:v>
      </x:c>
      <x:c r="G13" s="105" t="str">
        <x:v>铜铝金等权重差异</x:v>
      </x:c>
      <x:c r="H13" s="112" t="str">
        <x:v>https://www.sse.com.cn/lawandrules/sselawsrules2025/trade/specific/margin/c/c_20261016_10834885.shtml</x:v>
      </x:c>
    </x:row>
    <x:row r="14" ht="44" customHeight="1">
      <x:c r="A14" s="106" t="str">
        <x:v>基础化工</x:v>
      </x:c>
      <x:c r="B14" s="109" t="str">
        <x:v>516020</x:v>
      </x:c>
      <x:c r="C14" s="106" t="str">
        <x:v>上交所</x:v>
      </x:c>
      <x:c r="D14" s="106" t="str">
        <x:v>化工ETF</x:v>
      </x:c>
      <x:c r="E14" s="106" t="str">
        <x:v>化工行业</x:v>
      </x:c>
      <x:c r="F14" s="106" t="str">
        <x:v>利润高增板块</x:v>
      </x:c>
      <x:c r="G14" s="106" t="str">
        <x:v>供给扩张和周期风险</x:v>
      </x:c>
      <x:c r="H14" s="110" t="str">
        <x:v>https://www.sse.com.cn/lawandrules/sselawsrules2025/trade/specific/margin/c/c_20260710_10825136.shtml</x:v>
      </x:c>
    </x:row>
    <x:row r="15" ht="44" customHeight="1">
      <x:c r="A15" s="105" t="str">
        <x:v>必选消费</x:v>
      </x:c>
      <x:c r="B15" s="111" t="str">
        <x:v>512600</x:v>
      </x:c>
      <x:c r="C15" s="105" t="str">
        <x:v>上交所</x:v>
      </x:c>
      <x:c r="D15" s="105" t="str">
        <x:v>必选消费ETF</x:v>
      </x:c>
      <x:c r="E15" s="105" t="str">
        <x:v>食品与主要消费</x:v>
      </x:c>
      <x:c r="F15" s="105" t="str">
        <x:v>低制裁、内需防御</x:v>
      </x:c>
      <x:c r="G15" s="105" t="str">
        <x:v>食品链盈利当前分化</x:v>
      </x:c>
      <x:c r="H15" s="112" t="str">
        <x:v>https://www.sse.com.cn/lawandrules/sselawsrules2025/trade/specific/margin/c/c_20261016_10834885.shtml</x:v>
      </x:c>
    </x:row>
    <x:row r="16" ht="44" customHeight="1">
      <x:c r="A16" s="106" t="str">
        <x:v>公用事业/电力</x:v>
      </x:c>
      <x:c r="B16" s="109" t="str">
        <x:v>561560</x:v>
      </x:c>
      <x:c r="C16" s="106" t="str">
        <x:v>上交所</x:v>
      </x:c>
      <x:c r="D16" s="106" t="str">
        <x:v>电力ETF</x:v>
      </x:c>
      <x:c r="E16" s="106" t="str">
        <x:v>电力产业</x:v>
      </x:c>
      <x:c r="F16" s="106" t="str">
        <x:v>降息与人民币升值受益</x:v>
      </x:c>
      <x:c r="G16" s="106" t="str">
        <x:v>当前盈利仍偏弱</x:v>
      </x:c>
      <x:c r="H16" s="110" t="str">
        <x:v>https://www.sse.com.cn/lawandrules/sselawsrules2025/trade/specific/margin/c/c_20260710_10825136.shtml</x:v>
      </x:c>
    </x:row>
    <x:row r="17" ht="44" customHeight="1">
      <x:c r="A17" s="105" t="str">
        <x:v>券商</x:v>
      </x:c>
      <x:c r="B17" s="111" t="str">
        <x:v>512880</x:v>
      </x:c>
      <x:c r="C17" s="105" t="str">
        <x:v>上交所</x:v>
      </x:c>
      <x:c r="D17" s="105" t="str">
        <x:v>证券ETF国泰</x:v>
      </x:c>
      <x:c r="E17" s="105" t="str">
        <x:v>证券公司</x:v>
      </x:c>
      <x:c r="F17" s="105" t="str">
        <x:v>宽松与风险偏好弹性</x:v>
      </x:c>
      <x:c r="G17" s="105" t="str">
        <x:v>高Beta、成交敏感</x:v>
      </x:c>
      <x:c r="H17" s="112" t="str">
        <x:v>https://www.sse.com.cn/disclosure/fund/announcement/c/new/2026-03-19/513020_20260319_ON6N.pdf</x:v>
      </x:c>
    </x:row>
    <x:row r="18" ht="44" customHeight="1">
      <x:c r="A18" s="106" t="str">
        <x:v>医疗/医药</x:v>
      </x:c>
      <x:c r="B18" s="109" t="str">
        <x:v>512170</x:v>
      </x:c>
      <x:c r="C18" s="106" t="str">
        <x:v>上交所</x:v>
      </x:c>
      <x:c r="D18" s="106" t="str">
        <x:v>医疗ETF</x:v>
      </x:c>
      <x:c r="E18" s="106" t="str">
        <x:v>中证医疗</x:v>
      </x:c>
      <x:c r="F18" s="106" t="str">
        <x:v>防御与进口成本改善</x:v>
      </x:c>
      <x:c r="G18" s="106" t="str">
        <x:v>集采与创新药规则</x:v>
      </x:c>
      <x:c r="H18" s="110" t="str">
        <x:v>https://www.sse.com.cn/disclosure/announcement/general/jjzssgg/c/c_20260129_10807347.shtml</x:v>
      </x:c>
    </x:row>
    <x:row r="19" ht="44" customHeight="1">
      <x:c r="A19" s="115" t="str">
        <x:v>创新药</x:v>
      </x:c>
      <x:c r="B19" s="116" t="str">
        <x:v>515120</x:v>
      </x:c>
      <x:c r="C19" s="115" t="str">
        <x:v>上交所</x:v>
      </x:c>
      <x:c r="D19" s="115" t="str">
        <x:v>创新药ETF</x:v>
      </x:c>
      <x:c r="E19" s="113" t="str">
        <x:v>中证创新药产业</x:v>
      </x:c>
      <x:c r="F19" s="113" t="str">
        <x:v>宽松与研发成本改善的高弹性对照</x:v>
      </x:c>
      <x:c r="G19" s="113" t="str">
        <x:v>研发失败、生物科技规则与高估值</x:v>
      </x:c>
      <x:c r="H19" s="112" t="str">
        <x:v>https://etf.sse.com.cn/fundtrends/c/5294007.shtml</x:v>
      </x:c>
    </x:row>
    <x:row r="20" ht="44" customHeight="1">
      <x:c r="A20" s="106" t="str">
        <x:v>银行</x:v>
      </x:c>
      <x:c r="B20" s="109" t="str">
        <x:v>515290</x:v>
      </x:c>
      <x:c r="C20" s="106" t="str">
        <x:v>上交所</x:v>
      </x:c>
      <x:c r="D20" s="106" t="str">
        <x:v>银行ETF天弘</x:v>
      </x:c>
      <x:c r="E20" s="106" t="str">
        <x:v>中证银行</x:v>
      </x:c>
      <x:c r="F20" s="106" t="str">
        <x:v>估值与股息支撑</x:v>
      </x:c>
      <x:c r="G20" s="106" t="str">
        <x:v>降息压净息差</x:v>
      </x:c>
      <x:c r="H20" s="110" t="str">
        <x:v>https://etf.sse.com.cn/fundtrends/c/5289478.shtml</x:v>
      </x:c>
    </x:row>
    <x:row r="21" ht="44" customHeight="1">
      <x:c r="A21" s="115" t="str">
        <x:v>科技宽基</x:v>
      </x:c>
      <x:c r="B21" s="116" t="str">
        <x:v>515000</x:v>
      </x:c>
      <x:c r="C21" s="115" t="str">
        <x:v>上交所</x:v>
      </x:c>
      <x:c r="D21" s="115" t="str">
        <x:v>科技ETF</x:v>
      </x:c>
      <x:c r="E21" s="113" t="str">
        <x:v>中证科技龙头</x:v>
      </x:c>
      <x:c r="F21" s="113" t="str">
        <x:v>分散单一科技赛道风险</x:v>
      </x:c>
      <x:c r="G21" s="113" t="str">
        <x:v>仍有估值、集中度与制裁暴露</x:v>
      </x:c>
      <x:c r="H21" s="112" t="str">
        <x:v>https://www.sse.com.cn/disclosure/fund/announcement/c/new/2024-07-19/515000_20240719_GKYF.pdf</x:v>
      </x:c>
    </x:row>
    <x:row r="22" ht="44" customHeight="1">
      <x:c r="A22" s="106" t="str">
        <x:v>国内软件/信息服务</x:v>
      </x:c>
      <x:c r="B22" s="109" t="str">
        <x:v>515230</x:v>
      </x:c>
      <x:c r="C22" s="106" t="str">
        <x:v>上交所</x:v>
      </x:c>
      <x:c r="D22" s="106" t="str">
        <x:v>软件ETF国泰</x:v>
      </x:c>
      <x:c r="E22" s="106" t="str">
        <x:v>软件行业</x:v>
      </x:c>
      <x:c r="F22" s="106" t="str">
        <x:v>服务业增长与宽松</x:v>
      </x:c>
      <x:c r="G22" s="106" t="str">
        <x:v>AI/技术制裁与估值</x:v>
      </x:c>
      <x:c r="H22" s="110" t="str">
        <x:v>https://www.sse.com.cn/disclosure/fund/announcement/c/new/2026-03-19/513020_20260319_ON6N.pdf</x:v>
      </x:c>
    </x:row>
    <x:row r="23" ht="44" customHeight="1">
      <x:c r="A23" s="115" t="str">
        <x:v>人工智能/算力</x:v>
      </x:c>
      <x:c r="B23" s="116" t="str">
        <x:v>515070</x:v>
      </x:c>
      <x:c r="C23" s="115" t="str">
        <x:v>上交所</x:v>
      </x:c>
      <x:c r="D23" s="115" t="str">
        <x:v>人工智能AI ETF</x:v>
      </x:c>
      <x:c r="E23" s="113" t="str">
        <x:v>中证人工智能主题</x:v>
      </x:c>
      <x:c r="F23" s="113" t="str">
        <x:v>盈利弹性与国内投入</x:v>
      </x:c>
      <x:c r="G23" s="113" t="str">
        <x:v>美国加息、AI/高性能计算限制与估值</x:v>
      </x:c>
      <x:c r="H23" s="112" t="str">
        <x:v>https://www.sse.com.cn/disclosure/fund/announcement/c/new/2025-05-30/515070_20250530_J16K.pdf</x:v>
      </x:c>
    </x:row>
    <x:row r="24" ht="44" customHeight="1">
      <x:c r="A24" s="115" t="str">
        <x:v>机器人/自动化</x:v>
      </x:c>
      <x:c r="B24" s="116" t="str">
        <x:v>562500</x:v>
      </x:c>
      <x:c r="C24" s="115" t="str">
        <x:v>上交所</x:v>
      </x:c>
      <x:c r="D24" s="115" t="str">
        <x:v>机器人ETF</x:v>
      </x:c>
      <x:c r="E24" s="113" t="str">
        <x:v>中证机器人</x:v>
      </x:c>
      <x:c r="F24" s="113" t="str">
        <x:v>设备更新与自动化主题</x:v>
      </x:c>
      <x:c r="G24" s="113" t="str">
        <x:v>利润兑现偏慢、资本开支与估值波动</x:v>
      </x:c>
      <x:c r="H24" s="110" t="str">
        <x:v>https://www.sse.com.cn/disclosure/announcement/listing/c/c_20211228_5670015.shtml</x:v>
      </x:c>
    </x:row>
    <x:row r="25" ht="44" customHeight="1">
      <x:c r="A25" s="105" t="str">
        <x:v>电子</x:v>
      </x:c>
      <x:c r="B25" s="111" t="str">
        <x:v>515260</x:v>
      </x:c>
      <x:c r="C25" s="105" t="str">
        <x:v>上交所</x:v>
      </x:c>
      <x:c r="D25" s="105" t="str">
        <x:v>电子ETF</x:v>
      </x:c>
      <x:c r="E25" s="105" t="str">
        <x:v>电子产业</x:v>
      </x:c>
      <x:c r="F25" s="105" t="str">
        <x:v>当前利润增速强</x:v>
      </x:c>
      <x:c r="G25" s="105" t="str">
        <x:v>高景气不等于低风险</x:v>
      </x:c>
      <x:c r="H25" s="112" t="str">
        <x:v>https://www.sse.com.cn/lawandrules/sselawsrules2025/trade/specific/margin/c/c_20261016_10834885.shtml</x:v>
      </x:c>
    </x:row>
    <x:row r="26" ht="44" customHeight="1">
      <x:c r="A26" s="106" t="str">
        <x:v>半导体</x:v>
      </x:c>
      <x:c r="B26" s="109" t="str">
        <x:v>512760</x:v>
      </x:c>
      <x:c r="C26" s="106" t="str">
        <x:v>上交所</x:v>
      </x:c>
      <x:c r="D26" s="106" t="str">
        <x:v>芯片ETF国泰</x:v>
      </x:c>
      <x:c r="E26" s="106" t="str">
        <x:v>半导体芯片</x:v>
      </x:c>
      <x:c r="F26" s="106" t="str">
        <x:v>高弹性战术仓</x:v>
      </x:c>
      <x:c r="G26" s="106" t="str">
        <x:v>制裁与出口管制风险最高</x:v>
      </x:c>
      <x:c r="H26" s="110" t="str">
        <x:v>https://www.sse.com.cn/disclosure/fund/announcement/c/new/2026-03-19/513020_20260319_ON6N.pdf</x:v>
      </x:c>
    </x:row>
    <x:row r="27" ht="44" customHeight="1">
      <x:c r="A27" s="105" t="str">
        <x:v>交通运输/航空</x:v>
      </x:c>
      <x:c r="B27" s="111" t="str">
        <x:v>159666</x:v>
      </x:c>
      <x:c r="C27" s="105" t="str">
        <x:v>深交所</x:v>
      </x:c>
      <x:c r="D27" s="105" t="str">
        <x:v>交通运输ETF</x:v>
      </x:c>
      <x:c r="E27" s="105" t="str">
        <x:v>内地运输主题</x:v>
      </x:c>
      <x:c r="F27" s="105" t="str">
        <x:v>汇率与融资成本受益</x:v>
      </x:c>
      <x:c r="G27" s="105" t="str">
        <x:v>交易前核验最新规模与流动性</x:v>
      </x:c>
      <x:c r="H27" s="112" t="str">
        <x:v>https://docs.static.szse.cn/www/market/periodical/year/W020240814360443176703.pdf</x:v>
      </x:c>
    </x:row>
    <x:row r="28" ht="44" customHeight="1">
      <x:c r="A28" s="106" t="str">
        <x:v>黄金</x:v>
      </x:c>
      <x:c r="B28" s="109" t="str">
        <x:v>518880</x:v>
      </x:c>
      <x:c r="C28" s="106" t="str">
        <x:v>上交所</x:v>
      </x:c>
      <x:c r="D28" s="106" t="str">
        <x:v>黄金ETF</x:v>
      </x:c>
      <x:c r="E28" s="106" t="str">
        <x:v>黄金现货</x:v>
      </x:c>
      <x:c r="F28" s="106" t="str">
        <x:v>仅做尾部风险对冲</x:v>
      </x:c>
      <x:c r="G28" s="106" t="str">
        <x:v>本情景受实际利率与人民币升值压制</x:v>
      </x:c>
      <x:c r="H28" s="110" t="str">
        <x:v>https://www.sse.com.cn/lawandrules/sselawsrules2025/trade/specific/margin/c/c_20260710_10825136.shtml</x:v>
      </x:c>
    </x:row>
    <x:row r="29" ht="44" customHeight="1">
      <x:c r="A29" s="105" t="str">
        <x:v>地产</x:v>
      </x:c>
      <x:c r="B29" s="111" t="str">
        <x:v>512200</x:v>
      </x:c>
      <x:c r="C29" s="105" t="str">
        <x:v>上交所</x:v>
      </x:c>
      <x:c r="D29" s="105" t="str">
        <x:v>地产ETF</x:v>
      </x:c>
      <x:c r="E29" s="105" t="str">
        <x:v>房地产</x:v>
      </x:c>
      <x:c r="F29" s="105" t="str">
        <x:v>政策宽松对照</x:v>
      </x:c>
      <x:c r="G29" s="105" t="str">
        <x:v>基本面修复慢</x:v>
      </x:c>
      <x:c r="H29" s="112" t="str">
        <x:v>https://www.sse.com.cn/lawandrules/sselawsrules2025/trade/specific/margin/c/c_20261016_10834885.shtml</x:v>
      </x:c>
    </x:row>
    <x:row r="30" ht="44" customHeight="1">
      <x:c r="A30" s="106" t="str">
        <x:v>钢铁</x:v>
      </x:c>
      <x:c r="B30" s="109" t="str">
        <x:v>515210</x:v>
      </x:c>
      <x:c r="C30" s="106" t="str">
        <x:v>上交所</x:v>
      </x:c>
      <x:c r="D30" s="106" t="str">
        <x:v>钢铁ETF国泰</x:v>
      </x:c>
      <x:c r="E30" s="106" t="str">
        <x:v>钢铁行业</x:v>
      </x:c>
      <x:c r="F30" s="106" t="str">
        <x:v>周期低位对照</x:v>
      </x:c>
      <x:c r="G30" s="106" t="str">
        <x:v>利润同比大幅下滑</x:v>
      </x:c>
      <x:c r="H30" s="110" t="str">
        <x:v>https://www.sse.com.cn/disclosure/fund/announcement/c/new/2026-03-19/513020_20260319_ON6N.pdf</x:v>
      </x:c>
    </x:row>
    <x:row r="31" ht="44" customHeight="1">
      <x:c r="A31" s="105" t="str">
        <x:v>标普500</x:v>
      </x:c>
      <x:c r="B31" s="111" t="str">
        <x:v>513500</x:v>
      </x:c>
      <x:c r="C31" s="105" t="str">
        <x:v>上交所</x:v>
      </x:c>
      <x:c r="D31" s="105" t="str">
        <x:v>标普500ETF博时</x:v>
      </x:c>
      <x:c r="E31" s="105" t="str">
        <x:v>S&amp;P 500（QDII）</x:v>
      </x:c>
      <x:c r="F31" s="105" t="str">
        <x:v>海外对照</x:v>
      </x:c>
      <x:c r="G31" s="105" t="str">
        <x:v>检查实时溢价与人民币汇兑</x:v>
      </x:c>
      <x:c r="H31" s="112" t="str">
        <x:v>https://www.sse.com.cn/disclosure/fund/etflist/detail.shtml?fundid=513500</x:v>
      </x:c>
    </x:row>
    <x:row r="32" ht="44" customHeight="1">
      <x:c r="A32" s="106" t="str">
        <x:v>标普500</x:v>
      </x:c>
      <x:c r="B32" s="109" t="str">
        <x:v>513650</x:v>
      </x:c>
      <x:c r="C32" s="106" t="str">
        <x:v>上交所</x:v>
      </x:c>
      <x:c r="D32" s="106" t="str">
        <x:v>标普500ETF南方</x:v>
      </x:c>
      <x:c r="E32" s="106" t="str">
        <x:v>S&amp;P 500（QDII）</x:v>
      </x:c>
      <x:c r="F32" s="106" t="str">
        <x:v>海外对照</x:v>
      </x:c>
      <x:c r="G32" s="106" t="str">
        <x:v>检查实时溢价与人民币汇兑</x:v>
      </x:c>
      <x:c r="H32" s="110" t="str">
        <x:v>https://www.sse.com.cn/home/search/?webswd=513650</x:v>
      </x:c>
    </x:row>
    <x:row r="33" ht="44" customHeight="1">
      <x:c r="A33" s="105" t="str">
        <x:v>标普500</x:v>
      </x:c>
      <x:c r="B33" s="111" t="str">
        <x:v>159612</x:v>
      </x:c>
      <x:c r="C33" s="105" t="str">
        <x:v>深交所</x:v>
      </x:c>
      <x:c r="D33" s="105" t="str">
        <x:v>标普500ETF国泰</x:v>
      </x:c>
      <x:c r="E33" s="105" t="str">
        <x:v>S&amp;P 500（QDII）</x:v>
      </x:c>
      <x:c r="F33" s="105" t="str">
        <x:v>海外对照</x:v>
      </x:c>
      <x:c r="G33" s="105" t="str">
        <x:v>历史多次出现溢价风险提示</x:v>
      </x:c>
      <x:c r="H33" s="112" t="str">
        <x:v>https://disc.static.szse.cn/disc/disk03/finalpage/2026-07-27/a8432303-29c0-4ebf-9dbb-0d17016e1043.PDF</x:v>
      </x:c>
    </x:row>
    <x:row r="34" ht="44" customHeight="1">
      <x:c r="A34" s="106" t="str">
        <x:v>标普500</x:v>
      </x:c>
      <x:c r="B34" s="109" t="str">
        <x:v>159655</x:v>
      </x:c>
      <x:c r="C34" s="106" t="str">
        <x:v>深交所</x:v>
      </x:c>
      <x:c r="D34" s="106" t="str">
        <x:v>标普500ETF华夏</x:v>
      </x:c>
      <x:c r="E34" s="106" t="str">
        <x:v>S&amp;P 500（QDII）</x:v>
      </x:c>
      <x:c r="F34" s="106" t="str">
        <x:v>海外对照</x:v>
      </x:c>
      <x:c r="G34" s="106" t="str">
        <x:v>2026-09曾出现明显溢价提示</x:v>
      </x:c>
      <x:c r="H34" s="110" t="str">
        <x:v>https://disc.static.szse.cn/disc/disk03/finalpage/2026-09-12/e58bcb8e-b4f4-4acf-bcd3-f676e4b15f2a.PDF</x:v>
      </x:c>
    </x:row>
  </x:sheetData>
  <x:mergeCells>
    <x:mergeCell ref="A1:H2"/>
    <x:mergeCell ref="A3:H3"/>
  </x:mergeCells>
  <x:conditionalFormatting sqref="A6:A34">
    <x:cfRule type="containsText" dxfId="5" priority="1" operator="containsText" text="标普500"/>
  </x:conditionalFormatting>
  <x:pageMargins left="0.7" right="0.7" top="0.75" bottom="0.75" header="0.3" footer="0.3"/>
  <x:tableParts count="1">
    <x:tablePart xmlns:r="http://schemas.openxmlformats.org/officeDocument/2006/relationships" r:id="R21dfda74741d440c"/>
  </x:tableParts>
</x:worksheet>
</file>

<file path=xl/worksheets/sheet4.xml><?xml version="1.0" encoding="utf-8"?>
<x:worksheet xmlns:x="http://schemas.openxmlformats.org/spreadsheetml/2006/main">
  <x:sheetPr>
    <x:tabColor rgb="FFB5470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25" hidden="0" customWidth="1"/>
    <x:col min="5" max="5" width="24" hidden="0" customWidth="1"/>
    <x:col min="6" max="6" width="48" hidden="0" customWidth="1"/>
    <x:col min="7" max="7" width="65" hidden="0" customWidth="1"/>
  </x:cols>
  <x:sheetData>
    <x:row r="1" ht="26" customHeight="1">
      <x:c r="A1" s="3" t="str">
        <x:v>数据来源、前置条件与方法限制</x:v>
      </x:c>
      <x:c r="B1" s="82"/>
      <x:c r="C1" s="82"/>
      <x:c r="D1" s="82"/>
      <x:c r="E1" s="82"/>
      <x:c r="F1" s="82"/>
      <x:c r="G1" s="82"/>
    </x:row>
    <x:row r="2" ht="26" customHeight="1">
      <x:c r="A2" s="82"/>
      <x:c r="B2" s="82"/>
      <x:c r="C2" s="82"/>
      <x:c r="D2" s="82"/>
      <x:c r="E2" s="82"/>
      <x:c r="F2" s="82"/>
      <x:c r="G2" s="82"/>
    </x:row>
    <x:row r="3" ht="25" customHeight="1">
      <x:c r="A3" s="7" t="str">
        <x:v>所有日期均为可获得的最新官方口径附近；评分包含研究判断，底层事实与观点在本页分开列示。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 ht="36" customHeight="1">
      <x:c r="A5" s="54" t="str">
        <x:v>主题</x:v>
      </x:c>
      <x:c r="B5" s="54" t="str">
        <x:v>起点/数值1</x:v>
      </x:c>
      <x:c r="C5" s="54" t="str">
        <x:v>终点/数值2</x:v>
      </x:c>
      <x:c r="D5" s="54" t="str">
        <x:v>变化/结论</x:v>
      </x:c>
      <x:c r="E5" s="54" t="str">
        <x:v>日期/口径</x:v>
      </x:c>
      <x:c r="F5" s="54" t="str">
        <x:v>客观事实</x:v>
      </x:c>
      <x:c r="G5" s="54" t="str">
        <x:v>来源</x:v>
      </x:c>
    </x:row>
    <x:row r="6" ht="42" customHeight="1">
      <x:c r="A6" s="122" t="str">
        <x:v>美国政策利率</x:v>
      </x:c>
      <x:c r="B6" s="123" t="n">
        <x:v>3.75</x:v>
      </x:c>
      <x:c r="C6" s="123" t="n">
        <x:v>4</x:v>
      </x:c>
      <x:c r="D6" s="124" t="str">
        <x:v>+25bp后区间</x:v>
      </x:c>
      <x:c r="E6" s="124" t="str">
        <x:v>2026-09-16</x:v>
      </x:c>
      <x:c r="F6" s="125" t="str">
        <x:v>美联储把目标区间提高至3.75%–4.00%</x:v>
      </x:c>
      <x:c r="G6" s="125" t="str">
        <x:v>https://www.federalreserve.gov/newsevents/pressreleases/monetary20260916a.htm</x:v>
      </x:c>
    </x:row>
    <x:row r="7" ht="42" customHeight="1">
      <x:c r="A7" s="122" t="str">
        <x:v>中国LPR</x:v>
      </x:c>
      <x:c r="B7" s="123" t="n">
        <x:v>3</x:v>
      </x:c>
      <x:c r="C7" s="123" t="n">
        <x:v>3.5</x:v>
      </x:c>
      <x:c r="D7" s="124" t="str">
        <x:v>1年 / 5年以上</x:v>
      </x:c>
      <x:c r="E7" s="124" t="str">
        <x:v>2026-10-20</x:v>
      </x:c>
      <x:c r="F7" s="125" t="str">
        <x:v>1年期3.0%，5年期以上3.5%</x:v>
      </x:c>
      <x:c r="G7" s="125" t="str">
        <x:v>https://www.chinamoney.com.cn/chinese/rdgz/20261020/3433485.html</x:v>
      </x:c>
    </x:row>
    <x:row r="8" ht="42" customHeight="1">
      <x:c r="A8" s="122" t="str">
        <x:v>USD/CNY中间价</x:v>
      </x:c>
      <x:c r="B8" s="126" t="n">
        <x:v>6.7807</x:v>
      </x:c>
      <x:c r="C8" s="126" t="n">
        <x:v>6.718</x:v>
      </x:c>
      <x:c r="D8" s="127" t="n">
        <x:f>B8/C8-1</x:f>
        <x:v>0.00933313486156595</x:v>
      </x:c>
      <x:c r="E8" s="124" t="str">
        <x:v>2026-09-03 → 2026-10-23</x:v>
      </x:c>
      <x:c r="F8" s="125" t="str">
        <x:v>美元兑人民币中间价下行，人民币相对美元升值</x:v>
      </x:c>
      <x:c r="G8" s="125" t="str">
        <x:v>https://www.safe.gov.cn/AppStructured/hlw/RMBQuery.do</x:v>
      </x:c>
    </x:row>
    <x:row r="9" ht="42" customHeight="1">
      <x:c r="A9" s="122" t="str">
        <x:v>CFETS人民币指数</x:v>
      </x:c>
      <x:c r="B9" s="126" t="n">
        <x:v>101.49</x:v>
      </x:c>
      <x:c r="C9" s="126" t="n">
        <x:v>103.7</x:v>
      </x:c>
      <x:c r="D9" s="127" t="n">
        <x:f>C9/B9-1</x:f>
        <x:v>0.021775544388609847</x:v>
      </x:c>
      <x:c r="E9" s="124" t="str">
        <x:v>2026-09-11 → 2026-10-16</x:v>
      </x:c>
      <x:c r="F9" s="125" t="str">
        <x:v>人民币对一篮子货币也在升值</x:v>
      </x:c>
      <x:c r="G9" s="125" t="str">
        <x:v>https://www.chinamoney.com.cn/chinese/index.html</x:v>
      </x:c>
    </x:row>
    <x:row r="10" ht="42" customHeight="1">
      <x:c r="A10" s="122" t="str">
        <x:v>美国10年实际利率</x:v>
      </x:c>
      <x:c r="B10" s="123" t="n">
        <x:v>2.76</x:v>
      </x:c>
      <x:c r="C10" s="124"/>
      <x:c r="D10" s="124" t="str">
        <x:v>高实际利率</x:v>
      </x:c>
      <x:c r="E10" s="124" t="str">
        <x:v>2026-10-21</x:v>
      </x:c>
      <x:c r="F10" s="125" t="str">
        <x:v>实际利率2.76%，对黄金和高估值久期资产不利</x:v>
      </x:c>
      <x:c r="G10" s="125" t="str">
        <x:v>https://fred.stlouisfed.org/graph/?graph_id=1005246</x:v>
      </x:c>
    </x:row>
    <x:row r="11" ht="42" customHeight="1">
      <x:c r="A11" s="122" t="str">
        <x:v>美国10年盈亏平衡通胀</x:v>
      </x:c>
      <x:c r="B11" s="123" t="n">
        <x:v>2.32</x:v>
      </x:c>
      <x:c r="C11" s="124"/>
      <x:c r="D11" s="124" t="str">
        <x:v>通胀预期约2.32%</x:v>
      </x:c>
      <x:c r="E11" s="124" t="str">
        <x:v>2026-10-22</x:v>
      </x:c>
      <x:c r="F11" s="125" t="str">
        <x:v>没有显示极端失控的长期通胀预期</x:v>
      </x:c>
      <x:c r="G11" s="125" t="str">
        <x:v>https://fred.stlouisfed.org/graph/?g=uoiJ</x:v>
      </x:c>
    </x:row>
    <x:row r="12" ht="42" customHeight="1">
      <x:c r="A12" s="128" t="str">
        <x:v>规上工业利润</x:v>
      </x:c>
      <x:c r="B12" s="129" t="n">
        <x:v>15.7</x:v>
      </x:c>
      <x:c r="C12" s="129"/>
      <x:c r="D12" s="130" t="str">
        <x:v>同比+15.7%</x:v>
      </x:c>
      <x:c r="E12" s="130" t="str">
        <x:v>2026年1–8月</x:v>
      </x:c>
      <x:c r="F12" s="131" t="str">
        <x:v>工业利润总体改善</x:v>
      </x:c>
      <x:c r="G12" s="131" t="str">
        <x:v>https://www.stats.gov.cn/zwfwck/sjfb/202609/t20260928_1965425.html</x:v>
      </x:c>
    </x:row>
    <x:row r="13" ht="42" customHeight="1">
      <x:c r="A13" s="128" t="str">
        <x:v>采矿业利润</x:v>
      </x:c>
      <x:c r="B13" s="129" t="n">
        <x:v>35.1</x:v>
      </x:c>
      <x:c r="C13" s="129"/>
      <x:c r="D13" s="130" t="str">
        <x:v>同比+35.1%</x:v>
      </x:c>
      <x:c r="E13" s="130" t="str">
        <x:v>2026年1–8月</x:v>
      </x:c>
      <x:c r="F13" s="131" t="str">
        <x:v>上游盈利较强</x:v>
      </x:c>
      <x:c r="G13" s="131" t="str">
        <x:v>https://www.stats.gov.cn/zwfwck/sjfb/202609/t20260928_1965425.html</x:v>
      </x:c>
    </x:row>
    <x:row r="14" ht="42" customHeight="1">
      <x:c r="A14" s="128" t="str">
        <x:v>电子设备制造利润</x:v>
      </x:c>
      <x:c r="B14" s="129" t="n">
        <x:v>109.9</x:v>
      </x:c>
      <x:c r="C14" s="129"/>
      <x:c r="D14" s="130" t="str">
        <x:v>同比+109.9%</x:v>
      </x:c>
      <x:c r="E14" s="130" t="str">
        <x:v>2026年1–8月</x:v>
      </x:c>
      <x:c r="F14" s="131" t="str">
        <x:v>当前盈利增速最强，但制裁暴露也高</x:v>
      </x:c>
      <x:c r="G14" s="131" t="str">
        <x:v>https://www.stats.gov.cn/zwfwck/sjfb/202609/t20260928_1965425.html</x:v>
      </x:c>
    </x:row>
    <x:row r="15" ht="42" customHeight="1">
      <x:c r="A15" s="128" t="str">
        <x:v>专用设备制造利润</x:v>
      </x:c>
      <x:c r="B15" s="129" t="n">
        <x:v>-2.1</x:v>
      </x:c>
      <x:c r="C15" s="129"/>
      <x:c r="D15" s="130" t="str">
        <x:v>同比-2.1%</x:v>
      </x:c>
      <x:c r="E15" s="130" t="str">
        <x:v>2026年1–8月</x:v>
      </x:c>
      <x:c r="F15" s="131" t="str">
        <x:v>机器人和自动化主题的生产增长尚未完全转化为利润</x:v>
      </x:c>
      <x:c r="G15" s="131" t="str">
        <x:v>https://www.stats.gov.cn/zwfwck/sjfb/202609/t20260928_1965425.html</x:v>
      </x:c>
    </x:row>
    <x:row r="16" ht="42" customHeight="1">
      <x:c r="A16" s="128" t="str">
        <x:v>医药制造利润</x:v>
      </x:c>
      <x:c r="B16" s="129" t="n">
        <x:v>3.9</x:v>
      </x:c>
      <x:c r="C16" s="129"/>
      <x:c r="D16" s="130" t="str">
        <x:v>同比+3.9%</x:v>
      </x:c>
      <x:c r="E16" s="130" t="str">
        <x:v>2026年1–8月</x:v>
      </x:c>
      <x:c r="F16" s="131" t="str">
        <x:v>创新药主题存在弹性，但行业层面盈利兑现仍偏温和</x:v>
      </x:c>
      <x:c r="G16" s="131" t="str">
        <x:v>https://www.stats.gov.cn/zwfwck/sjfb/202609/t20260928_1965425.html</x:v>
      </x:c>
    </x:row>
    <x:row r="17" ht="42" customHeight="1">
      <x:c r="A17" s="128" t="str">
        <x:v>有色冶炼利润</x:v>
      </x:c>
      <x:c r="B17" s="129" t="n">
        <x:v>82.9</x:v>
      </x:c>
      <x:c r="C17" s="129"/>
      <x:c r="D17" s="130" t="str">
        <x:v>同比+82.9%</x:v>
      </x:c>
      <x:c r="E17" s="130" t="str">
        <x:v>2026年1–8月</x:v>
      </x:c>
      <x:c r="F17" s="131" t="str">
        <x:v>景气兑现强</x:v>
      </x:c>
      <x:c r="G17" s="131" t="str">
        <x:v>https://www.stats.gov.cn/zwfwck/sjfb/202609/t20260928_1965425.html</x:v>
      </x:c>
    </x:row>
    <x:row r="18" ht="42" customHeight="1">
      <x:c r="A18" s="128" t="str">
        <x:v>煤炭 / 化工利润</x:v>
      </x:c>
      <x:c r="B18" s="129" t="n">
        <x:v>51.6</x:v>
      </x:c>
      <x:c r="C18" s="129" t="n">
        <x:v>51</x:v>
      </x:c>
      <x:c r="D18" s="130" t="str">
        <x:v>同比+51.6% / +51.0%</x:v>
      </x:c>
      <x:c r="E18" s="130" t="str">
        <x:v>2026年1–8月</x:v>
      </x:c>
      <x:c r="F18" s="131" t="str">
        <x:v>资源与基础化工盈利较强</x:v>
      </x:c>
      <x:c r="G18" s="131" t="str">
        <x:v>https://www.stats.gov.cn/zwfwck/sjfb/202609/t20260928_1965425.html</x:v>
      </x:c>
    </x:row>
    <x:row r="19" ht="42" customHeight="1">
      <x:c r="A19" s="128" t="str">
        <x:v>电力 / 汽车利润</x:v>
      </x:c>
      <x:c r="B19" s="129" t="n">
        <x:v>-15.1</x:v>
      </x:c>
      <x:c r="C19" s="129" t="n">
        <x:v>-16</x:v>
      </x:c>
      <x:c r="D19" s="130" t="str">
        <x:v>同比-15.1% / -16.0%</x:v>
      </x:c>
      <x:c r="E19" s="130" t="str">
        <x:v>2026年1–8月</x:v>
      </x:c>
      <x:c r="F19" s="131" t="str">
        <x:v>理论受益不等于当期盈利已兑现</x:v>
      </x:c>
      <x:c r="G19" s="131" t="str">
        <x:v>https://www.stats.gov.cn/zwfwck/sjfb/202609/t20260928_1965425.html</x:v>
      </x:c>
    </x:row>
    <x:row r="20" ht="42" customHeight="1">
      <x:c r="A20" s="128" t="str">
        <x:v>建材 / 钢铁利润</x:v>
      </x:c>
      <x:c r="B20" s="129" t="n">
        <x:v>-46.7</x:v>
      </x:c>
      <x:c r="C20" s="129" t="n">
        <x:v>-62.4</x:v>
      </x:c>
      <x:c r="D20" s="130" t="str">
        <x:v>同比-46.7% / -62.4%</x:v>
      </x:c>
      <x:c r="E20" s="130" t="str">
        <x:v>2026年1–8月</x:v>
      </x:c>
      <x:c r="F20" s="131" t="str">
        <x:v>地产链旧账仍重</x:v>
      </x:c>
      <x:c r="G20" s="131" t="str">
        <x:v>https://www.stats.gov.cn/zwfwck/sjfb/202609/t20260928_1965425.html</x:v>
      </x:c>
    </x:row>
    <x:row r="21" ht="42" customHeight="1">
      <x:c r="A21" s="128" t="str">
        <x:v>信息传输/软件服务</x:v>
      </x:c>
      <x:c r="B21" s="129" t="n">
        <x:v>10.4</x:v>
      </x:c>
      <x:c r="C21" s="129"/>
      <x:c r="D21" s="130" t="str">
        <x:v>营业收入约+10.4%</x:v>
      </x:c>
      <x:c r="E21" s="130" t="str">
        <x:v>2026年1–8月</x:v>
      </x:c>
      <x:c r="F21" s="131" t="str">
        <x:v>服务业中的数字相关板块保持较快增长</x:v>
      </x:c>
      <x:c r="G21" s="131" t="str">
        <x:v>https://www.stats.gov.cn/sj/zxfb/202610/t20261019_1965618.html</x:v>
      </x:c>
    </x:row>
    <x:row r="22" ht="42" customHeight="1">
      <x:c r="A22" s="132" t="str">
        <x:v>S&amp;P 500集中度</x:v>
      </x:c>
      <x:c r="B22" s="133" t="n">
        <x:v>37.9</x:v>
      </x:c>
      <x:c r="C22" s="133" t="n">
        <x:v>37.8</x:v>
      </x:c>
      <x:c r="D22" s="134" t="str">
        <x:v>IT权重 / 前10大权重</x:v>
      </x:c>
      <x:c r="E22" s="134" t="str">
        <x:v>2026-08-31</x:v>
      </x:c>
      <x:c r="F22" s="135" t="str">
        <x:v>科技权重37.9%，前十大权重37.8%</x:v>
      </x:c>
      <x:c r="G22" s="135" t="str">
        <x:v>https://www.spglobal.com/spdji/en/indices/equity/sp-500/</x:v>
      </x:c>
    </x:row>
    <x:row r="23" ht="42" customHeight="1">
      <x:c r="A23" s="132" t="str">
        <x:v>中证红利指数规则</x:v>
      </x:c>
      <x:c r="B23" s="133" t="str">
        <x:v>100只</x:v>
      </x:c>
      <x:c r="C23" s="133"/>
      <x:c r="D23" s="134" t="str">
        <x:v>高股息、稳定分红</x:v>
      </x:c>
      <x:c r="E23" s="134" t="str">
        <x:v>2023-12版</x:v>
      </x:c>
      <x:c r="F23" s="135" t="str">
        <x:v>选取100只高股息、稳定分红且具备规模和流动性的证券，不设低波筛选</x:v>
      </x:c>
      <x:c r="G23" s="135" t="str">
        <x:v>https://oss-ch.csindex.com.cn/static/html/csindex/public/uploads/indices/detail/files/zh_CN/20231208175433-000922_Index_Methodology_cn.pdf</x:v>
      </x:c>
    </x:row>
    <x:row r="24" ht="42" customHeight="1">
      <x:c r="A24" s="132" t="str">
        <x:v>红利低波100规则</x:v>
      </x:c>
      <x:c r="B24" s="133" t="str">
        <x:v>100只</x:v>
      </x:c>
      <x:c r="C24" s="133"/>
      <x:c r="D24" s="134" t="str">
        <x:v>高股息 + 低波动</x:v>
      </x:c>
      <x:c r="E24" s="134" t="str">
        <x:v>2023-12版</x:v>
      </x:c>
      <x:c r="F24" s="135" t="str">
        <x:v>选取100只连续分红、高股息且低波动的证券，并按股息率/波动率加权</x:v>
      </x:c>
      <x:c r="G24" s="135" t="str">
        <x:v>https://oss-ch.csindex.com.cn/static/html/csindex/public/uploads/indices/detail/files/zh_CN/20231208180204-930955_Index_Methodology_cn.pdf</x:v>
      </x:c>
    </x:row>
    <x:row r="25" ht="42" customHeight="1">
      <x:c r="A25" s="132" t="str">
        <x:v>美国对外投资规则</x:v>
      </x:c>
      <x:c r="B25" s="133"/>
      <x:c r="C25" s="133"/>
      <x:c r="D25" s="134" t="str">
        <x:v>敏感科技范围扩展</x:v>
      </x:c>
      <x:c r="E25" s="134" t="str">
        <x:v>2026-10-22拟议规则</x:v>
      </x:c>
      <x:c r="F25" s="135" t="str">
        <x:v>半导体、AI、量子、高性能计算、超高声速及生物科技风险提高</x:v>
      </x:c>
      <x:c r="G25" s="135" t="str">
        <x:v>https://home.treasury.gov/news/press-releases/sb0667</x:v>
      </x:c>
    </x:row>
    <x:row r="26" ht="42" customHeight="1">
      <x:c r="A26" s="132" t="str">
        <x:v>ETF可交易性</x:v>
      </x:c>
      <x:c r="B26" s="133"/>
      <x:c r="C26" s="133"/>
      <x:c r="D26" s="134" t="str">
        <x:v>场内可买，但需核验溢价</x:v>
      </x:c>
      <x:c r="E26" s="134" t="str">
        <x:v>持续更新</x:v>
      </x:c>
      <x:c r="F26" s="135" t="str">
        <x:v>跨境ETF可能出现价格明显高于IOPV的风险</x:v>
      </x:c>
      <x:c r="G26" s="135" t="str">
        <x:v>https://disc.static.szse.cn/disc/disk03/finalpage/2026-09-12/e58bcb8e-b4f4-4acf-bcd3-f676e4b15f2a.PDF</x:v>
      </x:c>
    </x:row>
    <x:row r="27">
      <x:c r="A27" s="82"/>
      <x:c r="B27" s="82"/>
      <x:c r="C27" s="82"/>
      <x:c r="D27" s="82"/>
      <x:c r="E27" s="82"/>
      <x:c r="F27" s="82"/>
      <x:c r="G27" s="82"/>
    </x:row>
    <x:row r="28" ht="24" customHeight="1">
      <x:c r="A28" s="63" t="str">
        <x:v>评分方法与限制</x:v>
      </x:c>
      <x:c r="B28" s="63"/>
      <x:c r="C28" s="63"/>
      <x:c r="D28" s="63"/>
      <x:c r="E28" s="63"/>
      <x:c r="F28" s="63"/>
      <x:c r="G28" s="63"/>
    </x:row>
    <x:row r="29" ht="34" customHeight="1">
      <x:c r="A29" s="136" t="str">
        <x:v>1. 客观事实：利率、汇率、行业利润、指数集中度和规则范围来自上表官方数据。</x:v>
      </x:c>
      <x:c r="B29" s="136"/>
      <x:c r="C29" s="136"/>
      <x:c r="D29" s="136"/>
      <x:c r="E29" s="136"/>
      <x:c r="F29" s="136"/>
      <x:c r="G29" s="136"/>
    </x:row>
    <x:row r="30" ht="34" customHeight="1">
      <x:c r="A30" s="141" t="str">
        <x:v>2. 作者观点：0–10分是把事实映射到本情景的研究判断；5代表中性，不是历史回测收益，也不是目标涨幅。</x:v>
      </x:c>
      <x:c r="B30" s="141"/>
      <x:c r="C30" s="141"/>
      <x:c r="D30" s="141"/>
      <x:c r="E30" s="141"/>
      <x:c r="F30" s="141"/>
      <x:c r="G30" s="141"/>
    </x:row>
    <x:row r="31" ht="34" customHeight="1">
      <x:c r="A31" s="136" t="str">
        <x:v>3. 模型边界：没有纳入实时估值分位、资金流和ETF盘中溢价，因为这些数据会快速变化；交易前必须二次核验。</x:v>
      </x:c>
      <x:c r="B31" s="136"/>
      <x:c r="C31" s="136"/>
      <x:c r="D31" s="136"/>
      <x:c r="E31" s="136"/>
      <x:c r="F31" s="136"/>
      <x:c r="G31" s="136"/>
    </x:row>
    <x:row r="32" ht="34" customHeight="1">
      <x:c r="A32" s="141" t="str">
        <x:v>4. 制裁处理：对半导体、AI、量子、生物科技等高敏感领域下调安全分；宽基和单只股票仍可能有个体暴露。</x:v>
      </x:c>
      <x:c r="B32" s="141"/>
      <x:c r="C32" s="141"/>
      <x:c r="D32" s="141"/>
      <x:c r="E32" s="141"/>
      <x:c r="F32" s="141"/>
      <x:c r="G32" s="141"/>
    </x:row>
    <x:row r="33" ht="34" customHeight="1">
      <x:c r="A33" s="136" t="str">
        <x:v>5. 主题重叠：科技宽基、AI/算力、机器人、半导体和软件可能重复持仓；创新药与医疗/医药也可能重叠，不能把主题ETF简单相加视为分散。</x:v>
      </x:c>
      <x:c r="B33" s="136"/>
      <x:c r="C33" s="136"/>
      <x:c r="D33" s="136"/>
      <x:c r="E33" s="136"/>
      <x:c r="F33" s="136"/>
      <x:c r="G33" s="136"/>
    </x:row>
    <x:row r="34" ht="34" customHeight="1">
      <x:c r="A34" s="141" t="str">
        <x:v>6. 使用方式：在“量化评分”页修改蓝色权重或分项评分，Excel会重算综合分、排名和仪表盘。</x:v>
      </x:c>
      <x:c r="B34" s="141"/>
      <x:c r="C34" s="141"/>
      <x:c r="D34" s="141"/>
      <x:c r="E34" s="141"/>
      <x:c r="F34" s="141"/>
      <x:c r="G34" s="141"/>
    </x:row>
    <x:row r="35" ht="34" customHeight="1">
      <x:c r="A35" s="136" t="str">
        <x:v>7. 本文件是板块研究框架，不构成投资建议；优先考虑分散、仓位上限与再平衡规则。</x:v>
      </x:c>
      <x:c r="B35" s="136"/>
      <x:c r="C35" s="136"/>
      <x:c r="D35" s="136"/>
      <x:c r="E35" s="136"/>
      <x:c r="F35" s="136"/>
      <x:c r="G35" s="136"/>
    </x:row>
  </x:sheetData>
  <x:mergeCells>
    <x:mergeCell ref="A1:G2"/>
    <x:mergeCell ref="A3:G3"/>
    <x:mergeCell ref="A28:G28"/>
    <x:mergeCell ref="A29:G29"/>
    <x:mergeCell ref="A30:G30"/>
    <x:mergeCell ref="A31:G31"/>
    <x:mergeCell ref="A32:G32"/>
    <x:mergeCell ref="A33:G33"/>
    <x:mergeCell ref="A34:G34"/>
    <x:mergeCell ref="A35:G35"/>
  </x:mergeCells>
  <x:pageMargins left="0.7" right="0.7" top="0.75" bottom="0.75" header="0.3" footer="0.3"/>
  <x:tableParts count="1">
    <x:tablePart xmlns:r="http://schemas.openxmlformats.org/officeDocument/2006/relationships" r:id="R1acc34b4f44e451a"/>
  </x:tableParts>
</x:worksheet>
</file>