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AAPL-2026-10-29\"/>
    </mc:Choice>
  </mc:AlternateContent>
  <xr:revisionPtr revIDLastSave="0" documentId="13_ncr:1_{E13F5699-C9AD-45D5-9050-4556CEB65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FCFF桥" sheetId="3" r:id="rId3"/>
    <sheet name="DCF" sheetId="4" r:id="rId4"/>
    <sheet name="敏感性" sheetId="5" r:id="rId5"/>
    <sheet name="来源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4" l="1"/>
  <c r="K67" i="4"/>
  <c r="J67" i="4"/>
  <c r="I67" i="4"/>
  <c r="H67" i="4"/>
  <c r="G67" i="4"/>
  <c r="F67" i="4"/>
  <c r="E67" i="4"/>
  <c r="D67" i="4"/>
  <c r="C67" i="4"/>
  <c r="B67" i="4"/>
  <c r="B66" i="4"/>
  <c r="B53" i="4"/>
  <c r="K45" i="4"/>
  <c r="J45" i="4"/>
  <c r="I45" i="4"/>
  <c r="H45" i="4"/>
  <c r="G45" i="4"/>
  <c r="F45" i="4"/>
  <c r="E45" i="4"/>
  <c r="D45" i="4"/>
  <c r="C45" i="4"/>
  <c r="B45" i="4"/>
  <c r="B44" i="4"/>
  <c r="B46" i="4" s="1"/>
  <c r="B31" i="4"/>
  <c r="K23" i="4"/>
  <c r="J23" i="4"/>
  <c r="I23" i="4"/>
  <c r="H23" i="4"/>
  <c r="G23" i="4"/>
  <c r="F23" i="4"/>
  <c r="E23" i="4"/>
  <c r="D23" i="4"/>
  <c r="C23" i="4"/>
  <c r="B23" i="4"/>
  <c r="B22" i="4"/>
  <c r="B8" i="3"/>
  <c r="B9" i="3" s="1"/>
  <c r="B14" i="3" s="1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G13" i="2"/>
  <c r="F13" i="2"/>
  <c r="E13" i="2"/>
  <c r="D13" i="2"/>
  <c r="C13" i="2"/>
  <c r="B13" i="2"/>
  <c r="H12" i="2"/>
  <c r="G12" i="2"/>
  <c r="F12" i="2"/>
  <c r="E12" i="2"/>
  <c r="D12" i="2"/>
  <c r="C12" i="2"/>
  <c r="D31" i="1"/>
  <c r="C31" i="1"/>
  <c r="D30" i="1"/>
  <c r="C30" i="1"/>
  <c r="D29" i="1"/>
  <c r="C29" i="1"/>
  <c r="B21" i="1"/>
  <c r="B20" i="1"/>
  <c r="B25" i="1" s="1"/>
  <c r="B19" i="1"/>
  <c r="B12" i="1"/>
  <c r="C82" i="4" l="1"/>
  <c r="B68" i="4"/>
  <c r="C66" i="4"/>
  <c r="C60" i="4"/>
  <c r="C44" i="4"/>
  <c r="C38" i="4"/>
  <c r="B24" i="4"/>
  <c r="C22" i="4"/>
  <c r="G17" i="2"/>
  <c r="G16" i="2"/>
  <c r="F17" i="2"/>
  <c r="F16" i="2"/>
  <c r="E17" i="2"/>
  <c r="E16" i="2"/>
  <c r="D17" i="2"/>
  <c r="D16" i="2"/>
  <c r="C17" i="2"/>
  <c r="C16" i="2"/>
  <c r="B17" i="2"/>
  <c r="B16" i="2"/>
  <c r="B14" i="1"/>
  <c r="B23" i="1" s="1"/>
  <c r="B22" i="1"/>
  <c r="D66" i="4" l="1"/>
  <c r="C68" i="4"/>
  <c r="D82" i="4"/>
  <c r="D44" i="4"/>
  <c r="D60" i="4"/>
  <c r="C46" i="4"/>
  <c r="C24" i="4"/>
  <c r="D38" i="4"/>
  <c r="D22" i="4"/>
  <c r="E66" i="4" l="1"/>
  <c r="D68" i="4"/>
  <c r="E82" i="4"/>
  <c r="E44" i="4"/>
  <c r="E60" i="4"/>
  <c r="D46" i="4"/>
  <c r="E22" i="4"/>
  <c r="D24" i="4"/>
  <c r="E38" i="4"/>
  <c r="F66" i="4" l="1"/>
  <c r="E68" i="4"/>
  <c r="F82" i="4"/>
  <c r="F44" i="4"/>
  <c r="F60" i="4"/>
  <c r="E46" i="4"/>
  <c r="F22" i="4"/>
  <c r="E24" i="4"/>
  <c r="F38" i="4"/>
  <c r="G66" i="4" l="1"/>
  <c r="F68" i="4"/>
  <c r="G82" i="4"/>
  <c r="G44" i="4"/>
  <c r="G60" i="4"/>
  <c r="F46" i="4"/>
  <c r="F24" i="4"/>
  <c r="G38" i="4"/>
  <c r="G22" i="4"/>
  <c r="H66" i="4" l="1"/>
  <c r="G68" i="4"/>
  <c r="H82" i="4"/>
  <c r="H44" i="4"/>
  <c r="H60" i="4"/>
  <c r="G46" i="4"/>
  <c r="H22" i="4"/>
  <c r="G24" i="4"/>
  <c r="H38" i="4"/>
  <c r="I66" i="4" l="1"/>
  <c r="H68" i="4"/>
  <c r="I82" i="4"/>
  <c r="I44" i="4"/>
  <c r="I60" i="4"/>
  <c r="H46" i="4"/>
  <c r="I22" i="4"/>
  <c r="H24" i="4"/>
  <c r="I38" i="4"/>
  <c r="J66" i="4" l="1"/>
  <c r="I68" i="4"/>
  <c r="J82" i="4"/>
  <c r="J44" i="4"/>
  <c r="J60" i="4"/>
  <c r="I46" i="4"/>
  <c r="I24" i="4"/>
  <c r="J38" i="4"/>
  <c r="J22" i="4"/>
  <c r="K66" i="4" l="1"/>
  <c r="J68" i="4"/>
  <c r="K82" i="4"/>
  <c r="K44" i="4"/>
  <c r="K60" i="4"/>
  <c r="J46" i="4"/>
  <c r="K22" i="4"/>
  <c r="J24" i="4"/>
  <c r="K38" i="4"/>
  <c r="K68" i="4" l="1"/>
  <c r="B70" i="4" s="1"/>
  <c r="B71" i="4"/>
  <c r="B72" i="4" s="1"/>
  <c r="B49" i="4"/>
  <c r="B50" i="4" s="1"/>
  <c r="K46" i="4"/>
  <c r="B48" i="4" s="1"/>
  <c r="K24" i="4"/>
  <c r="B26" i="4" s="1"/>
  <c r="B27" i="4"/>
  <c r="B28" i="4" s="1"/>
  <c r="B29" i="4" l="1"/>
  <c r="L38" i="4"/>
  <c r="B30" i="4"/>
  <c r="B73" i="4"/>
  <c r="B74" i="4" s="1"/>
  <c r="L82" i="4"/>
  <c r="B51" i="4"/>
  <c r="B52" i="4" s="1"/>
  <c r="L60" i="4"/>
  <c r="B60" i="4" l="1"/>
  <c r="B58" i="4" s="1"/>
  <c r="B54" i="4"/>
  <c r="B55" i="4" s="1"/>
  <c r="B57" i="4" s="1"/>
  <c r="B56" i="4"/>
  <c r="B32" i="4"/>
  <c r="B33" i="4" s="1"/>
  <c r="B38" i="4"/>
  <c r="B36" i="4" s="1"/>
  <c r="B76" i="4"/>
  <c r="B77" i="4" s="1"/>
  <c r="B82" i="4"/>
  <c r="B80" i="4" s="1"/>
  <c r="B35" i="4" l="1"/>
  <c r="B34" i="4"/>
  <c r="B79" i="4"/>
  <c r="B78" i="4"/>
</calcChain>
</file>

<file path=xl/sharedStrings.xml><?xml version="1.0" encoding="utf-8"?>
<sst xmlns="http://schemas.openxmlformats.org/spreadsheetml/2006/main" count="256" uniqueCount="200">
  <si>
    <t>苹果公司（AAPL）巴菲特框架估值</t>
  </si>
  <si>
    <t>研究日 2026-10-29｜价格日 2026-10-28 收盘｜币种：美元｜最新财报：FY2026 Q3（2026-06-27）</t>
  </si>
  <si>
    <t>FY2026 Q4 尚未发布（预定 2026-11-02）；FY2026 全年为一致预期，不是实际值。</t>
  </si>
  <si>
    <t>一句话结论</t>
  </si>
  <si>
    <t>好生意，但 5 万亿美元的价格没有安全边际；结论：观察，不追高。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</si>
  <si>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</si>
  <si>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</si>
  <si>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</si>
  <si>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</si>
  <si>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</si>
  <si>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</si>
  <si>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</si>
  <si>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2026-07-17 披露</t>
  </si>
  <si>
    <t>市值（十亿美元）</t>
  </si>
  <si>
    <t>价格 × 股数</t>
  </si>
  <si>
    <t>净现金（十亿美元）</t>
  </si>
  <si>
    <t>现金及证券 − 总债务</t>
  </si>
  <si>
    <t>企业价值（十亿美元）</t>
  </si>
  <si>
    <t>市值 − 净现金</t>
  </si>
  <si>
    <t>TTM 收入</t>
  </si>
  <si>
    <t>FY2025 + 9M FY2026 − 9M FY2025</t>
  </si>
  <si>
    <t>TTM 净利润</t>
  </si>
  <si>
    <t>同上</t>
  </si>
  <si>
    <t>TTM EPS（美元）</t>
  </si>
  <si>
    <t>稀释</t>
  </si>
  <si>
    <t>正常化 FCFF</t>
  </si>
  <si>
    <t>见“FCFF桥”</t>
  </si>
  <si>
    <t>P/E（TTM）</t>
  </si>
  <si>
    <t>现价 / TTM EPS</t>
  </si>
  <si>
    <t>P/E（FY2026E）</t>
  </si>
  <si>
    <t>一致预期 EPS 8.84</t>
  </si>
  <si>
    <t>P/E（FY2027E）</t>
  </si>
  <si>
    <t>一致预期 EPS 9.56</t>
  </si>
  <si>
    <t>FCF 收益率</t>
  </si>
  <si>
    <t>正常化 FCFF / 市值</t>
  </si>
  <si>
    <t>EV/FCFF</t>
  </si>
  <si>
    <t>企业价值 / 正常化 FCFF</t>
  </si>
  <si>
    <t>10 年期美债</t>
  </si>
  <si>
    <t>2026-10-28</t>
  </si>
  <si>
    <t>盈利收益率 − 10Y</t>
  </si>
  <si>
    <t>远期盈利收益率减无风险利率</t>
  </si>
  <si>
    <t>三情景 DCF（FCFF，WACC 折现，加净现金）</t>
  </si>
  <si>
    <t>情景</t>
  </si>
  <si>
    <t>每股价值（美元）</t>
  </si>
  <si>
    <t>较现价</t>
  </si>
  <si>
    <t>安全边际（1−现价/价值）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</si>
  <si>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</si>
  <si>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</si>
  <si>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</si>
  <si>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</si>
  <si>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</si>
  <si>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</si>
  <si>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</si>
  <si>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基准价值约 177 美元，较现价低 48%；乐观情景 260 美元，仍较现价低 24%。</t>
  </si>
  <si>
    <t>• 当前价格隐含未来 10 年 FCFF 年增约 14.9%，或 WACC 降至约 6.5%。</t>
  </si>
  <si>
    <t>• 若要求 20% 安全边际：基准情景观察价约 142 美元；乐观情景约 208 美元。</t>
  </si>
  <si>
    <t>• 现价 343.83 美元高于两者。结论是“观察”，不是“卖出”指令。</t>
  </si>
  <si>
    <t>• 这不是投资建议；估值对 WACC、终值增长和正常化 FCFF 高度敏感。</t>
  </si>
  <si>
    <t>苹果五年财务与现金流（十亿美元，除每股数据）</t>
  </si>
  <si>
    <t>FY2021–FY2025 来自 10-K；TTM = FY2025 + 9M FY2026 − 9M FY2025；FY2026E 为一致预期/正常化估计。</t>
  </si>
  <si>
    <t>FY2021</t>
  </si>
  <si>
    <t>FY2022</t>
  </si>
  <si>
    <t>FY2023</t>
  </si>
  <si>
    <t>FY2024</t>
  </si>
  <si>
    <t>FY2025</t>
  </si>
  <si>
    <t>TTM</t>
  </si>
  <si>
    <t>FY2026E</t>
  </si>
  <si>
    <t>收入</t>
  </si>
  <si>
    <t>营业利润</t>
  </si>
  <si>
    <t>净利润</t>
  </si>
  <si>
    <t>经营现金流</t>
  </si>
  <si>
    <t>资本开支</t>
  </si>
  <si>
    <t>稀释 EPS（美元）</t>
  </si>
  <si>
    <t>稀释股数（十亿股）</t>
  </si>
  <si>
    <t>收入增速</t>
  </si>
  <si>
    <t>TTM 对 FY2025；FY2026E 对 FY2025</t>
  </si>
  <si>
    <t>营业利润率</t>
  </si>
  <si>
    <t>净利率</t>
  </si>
  <si>
    <t>自由现金流（CFO−Capex）</t>
  </si>
  <si>
    <t>FCF 利润率</t>
  </si>
  <si>
    <t>FCF / 净利润</t>
  </si>
  <si>
    <t>要点：FY2025 FCF 仅 98.8B，受约 25B 营运资金拖累；TTM FCF 136.7B 又受营运资金同比改善和关税退款推动。正常化 FCFF 取 128B。</t>
  </si>
  <si>
    <t>来源：SEC EDGAR Apple CIK 0000320193；FY2025 10-K（2025-10-31）；FY2026 Q3 10-Q（2026-07-31）；FY2026E 收入/EPS 为 Yahoo Finance/StockAnalysis 一致预期（2026-10-28）。</t>
  </si>
  <si>
    <t>正常化 FCFF 桥（TTM，十亿美元）</t>
  </si>
  <si>
    <t>从 EBIT 出发，避免把股权激励和一次性营运资金/关税退款当成可持续现金流。</t>
  </si>
  <si>
    <t>说明</t>
  </si>
  <si>
    <t>EBIT（TTM）</t>
  </si>
  <si>
    <t>税前利润（TTM）</t>
  </si>
  <si>
    <t>含少量非经营净收益</t>
  </si>
  <si>
    <t>所得税（TTM）</t>
  </si>
  <si>
    <t>10-Q 累计口径</t>
  </si>
  <si>
    <t>有效税率</t>
  </si>
  <si>
    <t>所得税 / 税前利润</t>
  </si>
  <si>
    <t>NOPAT</t>
  </si>
  <si>
    <t>EBIT × (1−税率)</t>
  </si>
  <si>
    <t>加：折旧摊销</t>
  </si>
  <si>
    <t>减：资本开支</t>
  </si>
  <si>
    <t>减：正常化营运资金增加</t>
  </si>
  <si>
    <t>按收入增长约 5% 的温和假设</t>
  </si>
  <si>
    <t>减：一次性关税退款（税后）</t>
  </si>
  <si>
    <t>Q3 FY2026 约 2pp 毛利率的一次性影响</t>
  </si>
  <si>
    <t>DCF 使用值取整 128.0</t>
  </si>
  <si>
    <t>对照：TTM CFO 146.724；TTM FCF（CFO−Capex）136.683；FY2025 FCF 98.767；FY2025 营运资金拖累约 25.178。</t>
  </si>
  <si>
    <t>结论：报表 FCF 的波动主要来自营运资金和一次性项目，不是生意变差或变好；用 128B 作为正常化起点更接近可持续水平。</t>
  </si>
  <si>
    <t>三情景 DCF（FCFF / WACC）</t>
  </si>
  <si>
    <t>黄色单元格为假设，可修改；其余为公式。终值 = 第10年FCFF × (1+g) / (WACC−g)，再折回估值日。</t>
  </si>
  <si>
    <t>参数</t>
  </si>
  <si>
    <t>值</t>
  </si>
  <si>
    <t>正常化 FCFF（十亿美元）</t>
  </si>
  <si>
    <t>来自 FCFF桥</t>
  </si>
  <si>
    <t>2026-06-27</t>
  </si>
  <si>
    <t>股数（十亿股）</t>
  </si>
  <si>
    <t>2026-07-17</t>
  </si>
  <si>
    <t>现价（美元）</t>
  </si>
  <si>
    <t>预测期（年）</t>
  </si>
  <si>
    <t>10 年明确预测</t>
  </si>
  <si>
    <t>前段年数</t>
  </si>
  <si>
    <t>前 5 年用 g1</t>
  </si>
  <si>
    <t>终值增长</t>
  </si>
  <si>
    <t>基准 3.0%</t>
  </si>
  <si>
    <t>WACC</t>
  </si>
  <si>
    <t>前段增速 g1</t>
  </si>
  <si>
    <t>后段增速 g2</t>
  </si>
  <si>
    <t>终值增长 g</t>
  </si>
  <si>
    <t>悲观情景</t>
  </si>
  <si>
    <t>年份</t>
  </si>
  <si>
    <t>FCFF</t>
  </si>
  <si>
    <t>折现因子</t>
  </si>
  <si>
    <t>现值</t>
  </si>
  <si>
    <t>合计现值</t>
  </si>
  <si>
    <t>第10年 FCFF</t>
  </si>
  <si>
    <t>终值</t>
  </si>
  <si>
    <t>终值现值</t>
  </si>
  <si>
    <t>企业价值</t>
  </si>
  <si>
    <t>加：净现金</t>
  </si>
  <si>
    <t>股权价值</t>
  </si>
  <si>
    <t>安全边际</t>
  </si>
  <si>
    <t>10年 IRR</t>
  </si>
  <si>
    <t>现金流（用于IRR）</t>
  </si>
  <si>
    <t>基准情景</t>
  </si>
  <si>
    <t>乐观情景</t>
  </si>
  <si>
    <t>说明：Excel 公式在打开时重算；本报告结论数值由 Python 模型独立计算，未依赖 Excel 重算。终值占比：悲观约45%、基准约55%、乐观约64%。</t>
  </si>
  <si>
    <t>敏感性与反推 DCF</t>
  </si>
  <si>
    <t>每股价值（美元）；g2 = g1 − 2pp；终值增长 3%；FCFF0 = 128B。</t>
  </si>
  <si>
    <t>g1 \ WACC</t>
  </si>
  <si>
    <t>反推 DCF：现价隐含的 10 年 FCFF 年增速（终值 3%）</t>
  </si>
  <si>
    <t>隐含 g</t>
  </si>
  <si>
    <t>基准路径（7%/5%/3%）下，使现值等于当前企业价值的 WACC = 6.48%。</t>
  </si>
  <si>
    <t>决定性来源与日期</t>
  </si>
  <si>
    <t>关键值优先回原始财报；第三方数据只作价格、预期和交叉检查。</t>
  </si>
  <si>
    <t>数据/结论</t>
  </si>
  <si>
    <t>来源</t>
  </si>
  <si>
    <t>日期/期间</t>
  </si>
  <si>
    <t>链接/备注</t>
  </si>
  <si>
    <t>FY2021–FY2025 财务</t>
  </si>
  <si>
    <t>SEC EDGAR, Apple Form 10-K (FY2025)</t>
  </si>
  <si>
    <t>2025-10-31</t>
  </si>
  <si>
    <t>https://www.sec.gov/Archives/edgar/data/320193/000032019325000079/0000320193-25-000079-index.htm</t>
  </si>
  <si>
    <t>FY2026 Q3 财务/资产负债表</t>
  </si>
  <si>
    <t>SEC EDGAR, Apple Form 10-Q</t>
  </si>
  <si>
    <t>2026-07-31</t>
  </si>
  <si>
    <t>https://www.sec.gov/Archives/edgar/data/320193/000032019326000020/aapl-20260627.htm</t>
  </si>
  <si>
    <t>XBRL 原始值</t>
  </si>
  <si>
    <t>SEC companyfacts API, CIK 0000320193</t>
  </si>
  <si>
    <t>截至 2026-06-27</t>
  </si>
  <si>
    <t>https://data.sec.gov/api/xbrl/companyfacts/CIK0000320193.json</t>
  </si>
  <si>
    <t>Q3 FY2026 业绩/指引</t>
  </si>
  <si>
    <t>Apple Newsroom 中文稿</t>
  </si>
  <si>
    <t>2026-07-30</t>
  </si>
  <si>
    <t>https://www.apple.com.cn/newsroom/2026/07/apple-reports-third-quarter-results/</t>
  </si>
  <si>
    <t>Q4 财报日期</t>
  </si>
  <si>
    <t>9to5Mac</t>
  </si>
  <si>
    <t>2026-10-06</t>
  </si>
  <si>
    <t>https://9to5mac.com/2026/10/06/apple-sets-q4-2026-earnings-release-for-november-2/</t>
  </si>
  <si>
    <t>Q4 指引/内存成本</t>
  </si>
  <si>
    <t>Pepperstone Q4 FY2026 preview</t>
  </si>
  <si>
    <t>2026-10</t>
  </si>
  <si>
    <t>https://pepperstone.com/en-ae/insights/market-analysis/equities/apple-q4-2026-earnings-preview-rising-memory-costs-test-margins-can-premium-products-support-the-share-price</t>
  </si>
  <si>
    <t>价格/一致预期/目标价</t>
  </si>
  <si>
    <t>Yahoo Finance; StockAnalysis</t>
  </si>
  <si>
    <t>https://finance.yahoo.com/quote/AAPL/ ; https://stockanalysis.com/stocks/aapl/forecast/</t>
  </si>
  <si>
    <t>YCharts / CNBC</t>
  </si>
  <si>
    <t>https://ycharts.com/indicators/10_year_treasury_rate</t>
  </si>
  <si>
    <t>Beta</t>
  </si>
  <si>
    <t>Yahoo Finance 1.07; Morningstar 1.02</t>
  </si>
  <si>
    <t>取 1.05 作为中间值</t>
  </si>
  <si>
    <t>管理层交接</t>
  </si>
  <si>
    <t>Xinhua/CGTN</t>
  </si>
  <si>
    <t>2026-09-02</t>
  </si>
  <si>
    <t>http://english.news.cn/northamerica/20260902/e52e10456e1244318e93bb784baafc87/c.html</t>
  </si>
  <si>
    <t>iPhone Duo/高盛目标价</t>
  </si>
  <si>
    <t>Investing.com; 财联社</t>
  </si>
  <si>
    <t>https://www.investing.com/news/stock-market-news/analysts-split-on-apple-after-foldable-iphone-duo-debut-4895660</t>
  </si>
  <si>
    <t>AI/反垄断风险</t>
  </si>
  <si>
    <t>PYMNTS/Bona Law</t>
  </si>
  <si>
    <t>2026</t>
  </si>
  <si>
    <t>https://www.pymnts.com/cpi-posts/apples-gemini-siri-deal-is-the-next-microsoft-antitrust-case-not-the-next-app-store-fight/</t>
  </si>
  <si>
    <t>历史估值/记录高位</t>
  </si>
  <si>
    <t>Yahoo Finance; FinanceCharts; GuruFocus</t>
  </si>
  <si>
    <t>https://finance.yahoo.com/markets/stocks/articles/apple-hits-highest-valuation-level-194516959.html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</si>
</sst>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1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2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  <border>
      <left/>
      <right/>
      <top style="thin">
        <color rgb="FFD8D2C4"/>
      </top>
      <bottom style="thin">
        <color rgb="FFD8D2C4"/>
      </bottom>
      <diagonal/>
    </border>
    <border>
      <left/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right" vertical="center"/>
    </xf>
    <xf numFmtId="177" fontId="6" fillId="4" borderId="1" xfId="0" applyNumberFormat="1" applyFont="1" applyFill="1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right" vertical="center"/>
    </xf>
    <xf numFmtId="180" fontId="6" fillId="4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每股价值：三情景 vs 现价（美元）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结论!$B$28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结论!$A$29:$A$32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结论!$B$29:$B$32</c:f>
              <c:numCache>
                <c:formatCode>\$#,##0.00</c:formatCode>
                <c:ptCount val="4"/>
                <c:pt idx="0">
                  <c:v>117.37</c:v>
                </c:pt>
                <c:pt idx="1">
                  <c:v>177.32</c:v>
                </c:pt>
                <c:pt idx="2">
                  <c:v>260.11</c:v>
                </c:pt>
                <c:pt idx="3">
                  <c:v>343.83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C-42C3-90B6-960271C82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现价隐含的10年FCFF增速 vs WACC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敏感性!$B$13</c:f>
              <c:strCache>
                <c:ptCount val="1"/>
                <c:pt idx="0">
                  <c:v>隐含 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敏感性!$A$14:$A$20</c:f>
              <c:numCache>
                <c:formatCode>0.0%</c:formatCode>
                <c:ptCount val="7"/>
                <c:pt idx="0">
                  <c:v>0.08</c:v>
                </c:pt>
                <c:pt idx="1">
                  <c:v>8.5000000000000006E-2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9.6000000000000002E-2</c:v>
                </c:pt>
                <c:pt idx="5">
                  <c:v>0.1</c:v>
                </c:pt>
                <c:pt idx="6">
                  <c:v>0.105</c:v>
                </c:pt>
              </c:numCache>
            </c:numRef>
          </c:cat>
          <c:val>
            <c:numRef>
              <c:f>敏感性!$B$14:$B$20</c:f>
              <c:numCache>
                <c:formatCode>0.0%</c:formatCode>
                <c:ptCount val="7"/>
                <c:pt idx="0">
                  <c:v>0.10829999999999999</c:v>
                </c:pt>
                <c:pt idx="1">
                  <c:v>0.12189999999999999</c:v>
                </c:pt>
                <c:pt idx="2">
                  <c:v>0.1348</c:v>
                </c:pt>
                <c:pt idx="3">
                  <c:v>0.14699999999999999</c:v>
                </c:pt>
                <c:pt idx="4">
                  <c:v>0.14940000000000001</c:v>
                </c:pt>
                <c:pt idx="5">
                  <c:v>0.1588</c:v>
                </c:pt>
                <c:pt idx="6">
                  <c:v>0.1701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B9-4B57-9B7F-807E0AF0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WACC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隐含 g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workbookViewId="0"/>
  </sheetViews>
  <sheetFormatPr defaultRowHeight="14.4"/>
  <cols>
    <col min="1" max="1" width="24" customWidth="1"/>
    <col min="2" max="2" width="18" customWidth="1"/>
    <col min="3" max="3" width="20" customWidth="1"/>
    <col min="4" max="4" width="22" customWidth="1"/>
    <col min="5" max="5" width="14" customWidth="1"/>
  </cols>
  <sheetData>
    <row r="1" spans="1:5" ht="23.4">
      <c r="A1" s="1" t="s">
        <v>0</v>
      </c>
    </row>
    <row r="2" spans="1:5" ht="15.6">
      <c r="A2" s="2" t="s">
        <v>1</v>
      </c>
    </row>
    <row r="3" spans="1:5" ht="15.6">
      <c r="A3" s="2" t="s">
        <v>2</v>
      </c>
    </row>
    <row r="5" spans="1:5" ht="16.2">
      <c r="A5" s="3" t="s">
        <v>3</v>
      </c>
      <c r="B5" s="4"/>
      <c r="C5" s="4"/>
      <c r="D5" s="4"/>
      <c r="E5" s="4"/>
    </row>
    <row r="6" spans="1:5" ht="31.95" customHeight="1">
      <c r="A6" s="33" t="s">
        <v>4</v>
      </c>
      <c r="B6" s="32"/>
      <c r="C6" s="32"/>
      <c r="D6" s="32"/>
      <c r="E6" s="32"/>
    </row>
    <row r="8" spans="1:5" ht="16.2">
      <c r="A8" s="3" t="s">
        <v>5</v>
      </c>
      <c r="B8" s="4"/>
      <c r="C8" s="4"/>
      <c r="D8" s="4"/>
      <c r="E8" s="4"/>
    </row>
    <row r="9" spans="1:5">
      <c r="A9" s="5" t="s">
        <v>6</v>
      </c>
      <c r="B9" s="5" t="s">
        <v>7</v>
      </c>
      <c r="C9" s="5" t="s">
        <v>8</v>
      </c>
    </row>
    <row r="10" spans="1:5">
      <c r="A10" s="6" t="s">
        <v>9</v>
      </c>
      <c r="B10" s="7">
        <v>343.83</v>
      </c>
      <c r="C10" s="6" t="s">
        <v>10</v>
      </c>
    </row>
    <row r="11" spans="1:5">
      <c r="A11" s="6" t="s">
        <v>11</v>
      </c>
      <c r="B11" s="8">
        <v>14.59418</v>
      </c>
      <c r="C11" s="6" t="s">
        <v>12</v>
      </c>
    </row>
    <row r="12" spans="1:5">
      <c r="A12" s="6" t="s">
        <v>13</v>
      </c>
      <c r="B12" s="9">
        <f>B10*B11</f>
        <v>5017.9169093999999</v>
      </c>
      <c r="C12" s="6" t="s">
        <v>14</v>
      </c>
    </row>
    <row r="13" spans="1:5">
      <c r="A13" s="6" t="s">
        <v>15</v>
      </c>
      <c r="B13" s="10">
        <v>62.173000000000002</v>
      </c>
      <c r="C13" s="6" t="s">
        <v>16</v>
      </c>
    </row>
    <row r="14" spans="1:5">
      <c r="A14" s="6" t="s">
        <v>17</v>
      </c>
      <c r="B14" s="9">
        <f>B12-B13</f>
        <v>4955.7439094000001</v>
      </c>
      <c r="C14" s="6" t="s">
        <v>18</v>
      </c>
    </row>
    <row r="15" spans="1:5">
      <c r="A15" s="6" t="s">
        <v>19</v>
      </c>
      <c r="B15" s="10">
        <v>466.82299999999998</v>
      </c>
      <c r="C15" s="6" t="s">
        <v>20</v>
      </c>
    </row>
    <row r="16" spans="1:5">
      <c r="A16" s="6" t="s">
        <v>21</v>
      </c>
      <c r="B16" s="10">
        <v>128.93</v>
      </c>
      <c r="C16" s="6" t="s">
        <v>22</v>
      </c>
    </row>
    <row r="17" spans="1:5">
      <c r="A17" s="6" t="s">
        <v>23</v>
      </c>
      <c r="B17" s="11">
        <v>8.7200000000000006</v>
      </c>
      <c r="C17" s="6" t="s">
        <v>24</v>
      </c>
    </row>
    <row r="18" spans="1:5">
      <c r="A18" s="6" t="s">
        <v>25</v>
      </c>
      <c r="B18" s="10">
        <v>128</v>
      </c>
      <c r="C18" s="6" t="s">
        <v>26</v>
      </c>
    </row>
    <row r="19" spans="1:5">
      <c r="A19" s="6" t="s">
        <v>27</v>
      </c>
      <c r="B19" s="12">
        <f>B10/B17</f>
        <v>39.430045871559628</v>
      </c>
      <c r="C19" s="6" t="s">
        <v>28</v>
      </c>
    </row>
    <row r="20" spans="1:5">
      <c r="A20" s="6" t="s">
        <v>29</v>
      </c>
      <c r="B20" s="12">
        <f>B10/8.84</f>
        <v>38.894796380090497</v>
      </c>
      <c r="C20" s="6" t="s">
        <v>30</v>
      </c>
    </row>
    <row r="21" spans="1:5">
      <c r="A21" s="6" t="s">
        <v>31</v>
      </c>
      <c r="B21" s="12">
        <f>B10/9.56</f>
        <v>35.965481171548113</v>
      </c>
      <c r="C21" s="6" t="s">
        <v>32</v>
      </c>
    </row>
    <row r="22" spans="1:5">
      <c r="A22" s="6" t="s">
        <v>33</v>
      </c>
      <c r="B22" s="13">
        <f>B18/B12</f>
        <v>2.5508592970166413E-2</v>
      </c>
      <c r="C22" s="6" t="s">
        <v>34</v>
      </c>
    </row>
    <row r="23" spans="1:5">
      <c r="A23" s="6" t="s">
        <v>35</v>
      </c>
      <c r="B23" s="12">
        <f>B14/B18</f>
        <v>38.716749292187501</v>
      </c>
      <c r="C23" s="6" t="s">
        <v>36</v>
      </c>
    </row>
    <row r="24" spans="1:5">
      <c r="A24" s="6" t="s">
        <v>37</v>
      </c>
      <c r="B24" s="14">
        <v>5.0299999999999997E-2</v>
      </c>
      <c r="C24" s="6" t="s">
        <v>38</v>
      </c>
    </row>
    <row r="25" spans="1:5">
      <c r="A25" s="6" t="s">
        <v>39</v>
      </c>
      <c r="B25" s="13">
        <f>1/B20-B24</f>
        <v>-2.458961987028473E-2</v>
      </c>
      <c r="C25" s="6" t="s">
        <v>40</v>
      </c>
    </row>
    <row r="27" spans="1:5" ht="16.2">
      <c r="A27" s="3" t="s">
        <v>41</v>
      </c>
      <c r="B27" s="4"/>
      <c r="C27" s="4"/>
      <c r="D27" s="4"/>
      <c r="E27" s="4"/>
    </row>
    <row r="28" spans="1:5">
      <c r="A28" s="5" t="s">
        <v>42</v>
      </c>
      <c r="B28" s="5" t="s">
        <v>43</v>
      </c>
      <c r="C28" s="5" t="s">
        <v>44</v>
      </c>
      <c r="D28" s="5" t="s">
        <v>45</v>
      </c>
      <c r="E28" s="5" t="s">
        <v>46</v>
      </c>
    </row>
    <row r="29" spans="1:5">
      <c r="A29" s="6" t="s">
        <v>47</v>
      </c>
      <c r="B29" s="7">
        <v>117.37</v>
      </c>
      <c r="C29" s="15">
        <f>B29/$B$10-1</f>
        <v>-0.65863944391123519</v>
      </c>
      <c r="D29" s="15">
        <f>1-$B$10/B29</f>
        <v>-1.929453863849365</v>
      </c>
      <c r="E29" s="14">
        <v>5.1900000000000002E-2</v>
      </c>
    </row>
    <row r="30" spans="1:5">
      <c r="A30" s="16" t="s">
        <v>48</v>
      </c>
      <c r="B30" s="17">
        <v>177.32</v>
      </c>
      <c r="C30" s="15">
        <f>B30/$B$10-1</f>
        <v>-0.48428002210394672</v>
      </c>
      <c r="D30" s="15">
        <f>1-$B$10/B30</f>
        <v>-0.93903676968193106</v>
      </c>
      <c r="E30" s="14">
        <v>6.4799999999999996E-2</v>
      </c>
    </row>
    <row r="31" spans="1:5">
      <c r="A31" s="6" t="s">
        <v>49</v>
      </c>
      <c r="B31" s="7">
        <v>260.11</v>
      </c>
      <c r="C31" s="15">
        <f>B31/$B$10-1</f>
        <v>-0.24349242358142098</v>
      </c>
      <c r="D31" s="15">
        <f>1-$B$10/B31</f>
        <v>-0.3218638268424896</v>
      </c>
      <c r="E31" s="14">
        <v>7.5999999999999998E-2</v>
      </c>
    </row>
    <row r="32" spans="1:5">
      <c r="A32" s="18" t="s">
        <v>50</v>
      </c>
      <c r="B32" s="19">
        <v>343.83</v>
      </c>
      <c r="C32" s="15">
        <v>0</v>
      </c>
      <c r="D32" s="15">
        <v>0</v>
      </c>
      <c r="E32" s="20" t="s">
        <v>51</v>
      </c>
    </row>
    <row r="34" spans="1:5" ht="16.2">
      <c r="A34" s="3" t="s">
        <v>52</v>
      </c>
      <c r="B34" s="4"/>
      <c r="C34" s="4"/>
      <c r="D34" s="4"/>
      <c r="E34" s="4"/>
    </row>
    <row r="35" spans="1:5" ht="22.05" customHeight="1">
      <c r="A35" s="31" t="s">
        <v>53</v>
      </c>
      <c r="B35" s="32"/>
      <c r="C35" s="32"/>
      <c r="D35" s="32"/>
      <c r="E35" s="32"/>
    </row>
    <row r="36" spans="1:5" ht="22.05" customHeight="1">
      <c r="A36" s="31" t="s">
        <v>54</v>
      </c>
      <c r="B36" s="32"/>
      <c r="C36" s="32"/>
      <c r="D36" s="32"/>
      <c r="E36" s="32"/>
    </row>
    <row r="37" spans="1:5" ht="22.05" customHeight="1">
      <c r="A37" s="31" t="s">
        <v>55</v>
      </c>
      <c r="B37" s="32"/>
      <c r="C37" s="32"/>
      <c r="D37" s="32"/>
      <c r="E37" s="32"/>
    </row>
    <row r="38" spans="1:5" ht="22.05" customHeight="1">
      <c r="A38" s="31" t="s">
        <v>56</v>
      </c>
      <c r="B38" s="32"/>
      <c r="C38" s="32"/>
      <c r="D38" s="32"/>
      <c r="E38" s="32"/>
    </row>
    <row r="39" spans="1:5" ht="22.05" customHeight="1">
      <c r="A39" s="31" t="s">
        <v>57</v>
      </c>
      <c r="B39" s="32"/>
      <c r="C39" s="32"/>
      <c r="D39" s="32"/>
      <c r="E39" s="32"/>
    </row>
  </sheetData>
  <mergeCells count="6">
    <mergeCell ref="A6:E6"/>
    <mergeCell ref="A39:E39"/>
    <mergeCell ref="A35:E35"/>
    <mergeCell ref="A38:E38"/>
    <mergeCell ref="A37:E37"/>
    <mergeCell ref="A36:E36"/>
  </mergeCells>
  <phoneticPr fontId="10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showGridLines="0" workbookViewId="0"/>
  </sheetViews>
  <sheetFormatPr defaultRowHeight="14.4"/>
  <cols>
    <col min="1" max="1" width="26" customWidth="1"/>
    <col min="2" max="6" width="12" customWidth="1"/>
    <col min="7" max="8" width="13" customWidth="1"/>
    <col min="9" max="9" width="30" customWidth="1"/>
  </cols>
  <sheetData>
    <row r="1" spans="1:9" ht="23.4">
      <c r="A1" s="1" t="s">
        <v>58</v>
      </c>
    </row>
    <row r="2" spans="1:9" ht="15.6">
      <c r="A2" s="2" t="s">
        <v>59</v>
      </c>
    </row>
    <row r="4" spans="1:9">
      <c r="A4" s="5" t="s">
        <v>6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8</v>
      </c>
    </row>
    <row r="5" spans="1:9">
      <c r="A5" s="16" t="s">
        <v>67</v>
      </c>
      <c r="B5" s="10">
        <v>365.81700000000001</v>
      </c>
      <c r="C5" s="10">
        <v>394.32799999999997</v>
      </c>
      <c r="D5" s="10">
        <v>383.28500000000003</v>
      </c>
      <c r="E5" s="10">
        <v>391.03500000000003</v>
      </c>
      <c r="F5" s="10">
        <v>416.161</v>
      </c>
      <c r="G5" s="10">
        <v>466.82299999999998</v>
      </c>
      <c r="H5" s="10">
        <v>477.85</v>
      </c>
    </row>
    <row r="6" spans="1:9">
      <c r="A6" s="16" t="s">
        <v>68</v>
      </c>
      <c r="B6" s="10">
        <v>108.949</v>
      </c>
      <c r="C6" s="10">
        <v>119.437</v>
      </c>
      <c r="D6" s="10">
        <v>114.301</v>
      </c>
      <c r="E6" s="10">
        <v>123.21599999999999</v>
      </c>
      <c r="F6" s="10">
        <v>133.05000000000001</v>
      </c>
      <c r="G6" s="10">
        <v>154.85900000000001</v>
      </c>
      <c r="H6" s="10"/>
    </row>
    <row r="7" spans="1:9">
      <c r="A7" s="16" t="s">
        <v>69</v>
      </c>
      <c r="B7" s="10">
        <v>94.68</v>
      </c>
      <c r="C7" s="10">
        <v>99.802999999999997</v>
      </c>
      <c r="D7" s="10">
        <v>96.995000000000005</v>
      </c>
      <c r="E7" s="10">
        <v>93.736000000000004</v>
      </c>
      <c r="F7" s="10">
        <v>112.01</v>
      </c>
      <c r="G7" s="10">
        <v>128.93</v>
      </c>
      <c r="H7" s="10">
        <v>129.1</v>
      </c>
    </row>
    <row r="8" spans="1:9">
      <c r="A8" s="16" t="s">
        <v>70</v>
      </c>
      <c r="B8" s="10">
        <v>104.038</v>
      </c>
      <c r="C8" s="10">
        <v>122.151</v>
      </c>
      <c r="D8" s="10">
        <v>110.54300000000001</v>
      </c>
      <c r="E8" s="10">
        <v>118.254</v>
      </c>
      <c r="F8" s="10">
        <v>111.482</v>
      </c>
      <c r="G8" s="10">
        <v>146.72399999999999</v>
      </c>
      <c r="H8" s="10"/>
    </row>
    <row r="9" spans="1:9">
      <c r="A9" s="16" t="s">
        <v>71</v>
      </c>
      <c r="B9" s="10">
        <v>11.085000000000001</v>
      </c>
      <c r="C9" s="10">
        <v>10.708</v>
      </c>
      <c r="D9" s="10">
        <v>10.959</v>
      </c>
      <c r="E9" s="10">
        <v>9.4469999999999992</v>
      </c>
      <c r="F9" s="10">
        <v>12.715</v>
      </c>
      <c r="G9" s="10">
        <v>10.041</v>
      </c>
      <c r="H9" s="10"/>
    </row>
    <row r="10" spans="1:9">
      <c r="A10" s="16" t="s">
        <v>72</v>
      </c>
      <c r="B10" s="11">
        <v>5.61</v>
      </c>
      <c r="C10" s="11">
        <v>6.11</v>
      </c>
      <c r="D10" s="11">
        <v>6.13</v>
      </c>
      <c r="E10" s="11">
        <v>6.08</v>
      </c>
      <c r="F10" s="11">
        <v>7.46</v>
      </c>
      <c r="G10" s="11">
        <v>8.7200000000000006</v>
      </c>
      <c r="H10" s="11">
        <v>8.84</v>
      </c>
    </row>
    <row r="11" spans="1:9">
      <c r="A11" s="16" t="s">
        <v>73</v>
      </c>
      <c r="B11" s="8">
        <v>16.864999999999998</v>
      </c>
      <c r="C11" s="8">
        <v>16.326000000000001</v>
      </c>
      <c r="D11" s="8">
        <v>15.813000000000001</v>
      </c>
      <c r="E11" s="8">
        <v>15.407999999999999</v>
      </c>
      <c r="F11" s="8">
        <v>15.005000000000001</v>
      </c>
      <c r="G11" s="8">
        <v>14.715</v>
      </c>
      <c r="H11" s="8">
        <v>14.593999999999999</v>
      </c>
    </row>
    <row r="12" spans="1:9">
      <c r="A12" s="16" t="s">
        <v>74</v>
      </c>
      <c r="C12" s="15">
        <f>C5/B5-1</f>
        <v>7.7937876041845877E-2</v>
      </c>
      <c r="D12" s="15">
        <f>D5/C5-1</f>
        <v>-2.8004605303199259E-2</v>
      </c>
      <c r="E12" s="15">
        <f>E5/D5-1</f>
        <v>2.021994077514111E-2</v>
      </c>
      <c r="F12" s="15">
        <f>F5/E5-1</f>
        <v>6.4255117828327268E-2</v>
      </c>
      <c r="G12" s="15">
        <f>G5/F5-1</f>
        <v>0.12173653946429375</v>
      </c>
      <c r="H12" s="15">
        <f>H5/F5-1</f>
        <v>0.14823349617095305</v>
      </c>
      <c r="I12" s="6" t="s">
        <v>75</v>
      </c>
    </row>
    <row r="13" spans="1:9">
      <c r="A13" s="16" t="s">
        <v>76</v>
      </c>
      <c r="B13" s="15">
        <f t="shared" ref="B13:G13" si="0">B6/B5</f>
        <v>0.29782377527561593</v>
      </c>
      <c r="C13" s="15">
        <f t="shared" si="0"/>
        <v>0.302887443955286</v>
      </c>
      <c r="D13" s="15">
        <f t="shared" si="0"/>
        <v>0.29821412265024722</v>
      </c>
      <c r="E13" s="15">
        <f t="shared" si="0"/>
        <v>0.31510222870075566</v>
      </c>
      <c r="F13" s="15">
        <f t="shared" si="0"/>
        <v>0.31970799762591884</v>
      </c>
      <c r="G13" s="15">
        <f t="shared" si="0"/>
        <v>0.33172958487478127</v>
      </c>
    </row>
    <row r="14" spans="1:9">
      <c r="A14" s="16" t="s">
        <v>77</v>
      </c>
      <c r="B14" s="15">
        <f t="shared" ref="B14:H14" si="1">B7/B5</f>
        <v>0.25881793355694244</v>
      </c>
      <c r="C14" s="15">
        <f t="shared" si="1"/>
        <v>0.25309640705199732</v>
      </c>
      <c r="D14" s="15">
        <f t="shared" si="1"/>
        <v>0.25306234264320282</v>
      </c>
      <c r="E14" s="15">
        <f t="shared" si="1"/>
        <v>0.23971255769943867</v>
      </c>
      <c r="F14" s="15">
        <f t="shared" si="1"/>
        <v>0.26915064121818238</v>
      </c>
      <c r="G14" s="15">
        <f t="shared" si="1"/>
        <v>0.27618604910212224</v>
      </c>
      <c r="H14" s="15">
        <f t="shared" si="1"/>
        <v>0.27016846290676988</v>
      </c>
    </row>
    <row r="15" spans="1:9">
      <c r="A15" s="16" t="s">
        <v>78</v>
      </c>
      <c r="B15" s="10">
        <f t="shared" ref="B15:G15" si="2">B8-B9</f>
        <v>92.953000000000003</v>
      </c>
      <c r="C15" s="10">
        <f t="shared" si="2"/>
        <v>111.443</v>
      </c>
      <c r="D15" s="10">
        <f t="shared" si="2"/>
        <v>99.584000000000003</v>
      </c>
      <c r="E15" s="10">
        <f t="shared" si="2"/>
        <v>108.807</v>
      </c>
      <c r="F15" s="10">
        <f t="shared" si="2"/>
        <v>98.766999999999996</v>
      </c>
      <c r="G15" s="10">
        <f t="shared" si="2"/>
        <v>136.68299999999999</v>
      </c>
    </row>
    <row r="16" spans="1:9">
      <c r="A16" s="16" t="s">
        <v>79</v>
      </c>
      <c r="B16" s="15">
        <f t="shared" ref="B16:G16" si="3">B15/B5</f>
        <v>0.25409699385211731</v>
      </c>
      <c r="C16" s="15">
        <f t="shared" si="3"/>
        <v>0.28261498042238947</v>
      </c>
      <c r="D16" s="15">
        <f t="shared" si="3"/>
        <v>0.25981710737440805</v>
      </c>
      <c r="E16" s="15">
        <f t="shared" si="3"/>
        <v>0.27825386474356512</v>
      </c>
      <c r="F16" s="15">
        <f t="shared" si="3"/>
        <v>0.23732882225869315</v>
      </c>
      <c r="G16" s="15">
        <f t="shared" si="3"/>
        <v>0.29279405684809873</v>
      </c>
    </row>
    <row r="17" spans="1:9">
      <c r="A17" s="16" t="s">
        <v>80</v>
      </c>
      <c r="B17" s="11">
        <f t="shared" ref="B17:G17" si="4">B15/B7</f>
        <v>0.9817596113223489</v>
      </c>
      <c r="C17" s="11">
        <f t="shared" si="4"/>
        <v>1.1166297606284381</v>
      </c>
      <c r="D17" s="11">
        <f t="shared" si="4"/>
        <v>1.0266920975308005</v>
      </c>
      <c r="E17" s="11">
        <f t="shared" si="4"/>
        <v>1.1607813433472731</v>
      </c>
      <c r="F17" s="11">
        <f t="shared" si="4"/>
        <v>0.88176948486742246</v>
      </c>
      <c r="G17" s="11">
        <f t="shared" si="4"/>
        <v>1.0601334057240361</v>
      </c>
    </row>
    <row r="19" spans="1:9" ht="30" customHeight="1">
      <c r="A19" s="34" t="s">
        <v>81</v>
      </c>
      <c r="B19" s="32"/>
      <c r="C19" s="32"/>
      <c r="D19" s="32"/>
      <c r="E19" s="32"/>
      <c r="F19" s="32"/>
      <c r="G19" s="32"/>
      <c r="H19" s="32"/>
      <c r="I19" s="32"/>
    </row>
    <row r="20" spans="1:9" ht="15.6">
      <c r="A20" s="2" t="s">
        <v>82</v>
      </c>
    </row>
  </sheetData>
  <mergeCells count="1">
    <mergeCell ref="A19:I19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52" customWidth="1"/>
  </cols>
  <sheetData>
    <row r="1" spans="1:3" ht="23.4">
      <c r="A1" s="1" t="s">
        <v>83</v>
      </c>
    </row>
    <row r="2" spans="1:3" ht="15.6">
      <c r="A2" s="2" t="s">
        <v>84</v>
      </c>
    </row>
    <row r="4" spans="1:3">
      <c r="A4" s="5" t="s">
        <v>6</v>
      </c>
      <c r="B4" s="5" t="s">
        <v>7</v>
      </c>
      <c r="C4" s="5" t="s">
        <v>85</v>
      </c>
    </row>
    <row r="5" spans="1:3">
      <c r="A5" s="6" t="s">
        <v>86</v>
      </c>
      <c r="B5" s="10">
        <v>154.85900000000001</v>
      </c>
      <c r="C5" s="6" t="s">
        <v>68</v>
      </c>
    </row>
    <row r="6" spans="1:3">
      <c r="A6" s="6" t="s">
        <v>87</v>
      </c>
      <c r="B6" s="10">
        <v>155.90600000000001</v>
      </c>
      <c r="C6" s="6" t="s">
        <v>88</v>
      </c>
    </row>
    <row r="7" spans="1:3">
      <c r="A7" s="6" t="s">
        <v>89</v>
      </c>
      <c r="B7" s="10">
        <v>26.975999999999999</v>
      </c>
      <c r="C7" s="6" t="s">
        <v>90</v>
      </c>
    </row>
    <row r="8" spans="1:3">
      <c r="A8" s="6" t="s">
        <v>91</v>
      </c>
      <c r="B8" s="15">
        <f>B7/B6</f>
        <v>0.17302733698510639</v>
      </c>
      <c r="C8" s="6" t="s">
        <v>92</v>
      </c>
    </row>
    <row r="9" spans="1:3">
      <c r="A9" s="16" t="s">
        <v>93</v>
      </c>
      <c r="B9" s="10">
        <f>B5*(1-B8)</f>
        <v>128.06415962182342</v>
      </c>
      <c r="C9" s="6" t="s">
        <v>94</v>
      </c>
    </row>
    <row r="10" spans="1:3">
      <c r="A10" s="6" t="s">
        <v>95</v>
      </c>
      <c r="B10" s="10">
        <v>13.1</v>
      </c>
      <c r="C10" s="6" t="s">
        <v>65</v>
      </c>
    </row>
    <row r="11" spans="1:3">
      <c r="A11" s="6" t="s">
        <v>96</v>
      </c>
      <c r="B11" s="10">
        <v>10.041</v>
      </c>
      <c r="C11" s="6" t="s">
        <v>65</v>
      </c>
    </row>
    <row r="12" spans="1:3">
      <c r="A12" s="6" t="s">
        <v>97</v>
      </c>
      <c r="B12" s="10">
        <v>2</v>
      </c>
      <c r="C12" s="6" t="s">
        <v>98</v>
      </c>
    </row>
    <row r="13" spans="1:3">
      <c r="A13" s="6" t="s">
        <v>99</v>
      </c>
      <c r="B13" s="10">
        <v>1.81</v>
      </c>
      <c r="C13" s="6" t="s">
        <v>100</v>
      </c>
    </row>
    <row r="14" spans="1:3">
      <c r="A14" s="16" t="s">
        <v>25</v>
      </c>
      <c r="B14" s="9">
        <f>B9+B10-B11-B12-B13</f>
        <v>127.31315962182342</v>
      </c>
      <c r="C14" s="6" t="s">
        <v>101</v>
      </c>
    </row>
    <row r="16" spans="1:3" ht="30" customHeight="1">
      <c r="A16" s="34" t="s">
        <v>102</v>
      </c>
      <c r="B16" s="32"/>
      <c r="C16" s="32"/>
    </row>
    <row r="17" spans="1:1" ht="15.6">
      <c r="A17" s="2" t="s">
        <v>103</v>
      </c>
    </row>
  </sheetData>
  <mergeCells count="1">
    <mergeCell ref="A16:C16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"/>
  <sheetViews>
    <sheetView showGridLines="0" workbookViewId="0"/>
  </sheetViews>
  <sheetFormatPr defaultRowHeight="14.4"/>
  <cols>
    <col min="1" max="1" width="24" customWidth="1"/>
    <col min="2" max="11" width="14" customWidth="1"/>
  </cols>
  <sheetData>
    <row r="1" spans="1:5" ht="23.4">
      <c r="A1" s="1" t="s">
        <v>104</v>
      </c>
    </row>
    <row r="2" spans="1:5" ht="15.6">
      <c r="A2" s="2" t="s">
        <v>105</v>
      </c>
    </row>
    <row r="4" spans="1:5">
      <c r="A4" s="5" t="s">
        <v>106</v>
      </c>
      <c r="B4" s="5" t="s">
        <v>107</v>
      </c>
      <c r="C4" s="5" t="s">
        <v>85</v>
      </c>
    </row>
    <row r="5" spans="1:5">
      <c r="A5" s="6" t="s">
        <v>108</v>
      </c>
      <c r="B5" s="21">
        <v>128</v>
      </c>
      <c r="C5" s="35" t="s">
        <v>109</v>
      </c>
      <c r="D5" s="36"/>
      <c r="E5" s="37"/>
    </row>
    <row r="6" spans="1:5">
      <c r="A6" s="6" t="s">
        <v>15</v>
      </c>
      <c r="B6" s="21">
        <v>62.173000000000002</v>
      </c>
      <c r="C6" s="35" t="s">
        <v>110</v>
      </c>
      <c r="D6" s="36"/>
      <c r="E6" s="37"/>
    </row>
    <row r="7" spans="1:5">
      <c r="A7" s="6" t="s">
        <v>111</v>
      </c>
      <c r="B7" s="22">
        <v>14.59418</v>
      </c>
      <c r="C7" s="35" t="s">
        <v>112</v>
      </c>
      <c r="D7" s="36"/>
      <c r="E7" s="37"/>
    </row>
    <row r="8" spans="1:5">
      <c r="A8" s="6" t="s">
        <v>113</v>
      </c>
      <c r="B8" s="23">
        <v>343.83</v>
      </c>
      <c r="C8" s="35" t="s">
        <v>38</v>
      </c>
      <c r="D8" s="36"/>
      <c r="E8" s="37"/>
    </row>
    <row r="9" spans="1:5">
      <c r="A9" s="6" t="s">
        <v>114</v>
      </c>
      <c r="B9" s="21">
        <v>10</v>
      </c>
      <c r="C9" s="35" t="s">
        <v>115</v>
      </c>
      <c r="D9" s="36"/>
      <c r="E9" s="37"/>
    </row>
    <row r="10" spans="1:5">
      <c r="A10" s="6" t="s">
        <v>116</v>
      </c>
      <c r="B10" s="21">
        <v>5</v>
      </c>
      <c r="C10" s="35" t="s">
        <v>117</v>
      </c>
      <c r="D10" s="36"/>
      <c r="E10" s="37"/>
    </row>
    <row r="11" spans="1:5">
      <c r="A11" s="6" t="s">
        <v>118</v>
      </c>
      <c r="B11" s="24">
        <v>0.03</v>
      </c>
      <c r="C11" s="35" t="s">
        <v>119</v>
      </c>
      <c r="D11" s="36"/>
      <c r="E11" s="37"/>
    </row>
    <row r="13" spans="1:5">
      <c r="A13" s="5" t="s">
        <v>42</v>
      </c>
      <c r="B13" s="5" t="s">
        <v>120</v>
      </c>
      <c r="C13" s="5" t="s">
        <v>121</v>
      </c>
      <c r="D13" s="5" t="s">
        <v>122</v>
      </c>
      <c r="E13" s="5" t="s">
        <v>123</v>
      </c>
    </row>
    <row r="14" spans="1:5">
      <c r="A14" s="6" t="s">
        <v>47</v>
      </c>
      <c r="B14" s="24">
        <v>0.105</v>
      </c>
      <c r="C14" s="24">
        <v>0.03</v>
      </c>
      <c r="D14" s="24">
        <v>0.02</v>
      </c>
      <c r="E14" s="24">
        <v>2.5000000000000001E-2</v>
      </c>
    </row>
    <row r="15" spans="1:5">
      <c r="A15" s="16" t="s">
        <v>48</v>
      </c>
      <c r="B15" s="24">
        <v>9.6000000000000002E-2</v>
      </c>
      <c r="C15" s="24">
        <v>7.0000000000000007E-2</v>
      </c>
      <c r="D15" s="24">
        <v>0.05</v>
      </c>
      <c r="E15" s="24">
        <v>0.03</v>
      </c>
    </row>
    <row r="16" spans="1:5">
      <c r="A16" s="6" t="s">
        <v>49</v>
      </c>
      <c r="B16" s="24">
        <v>8.7999999999999995E-2</v>
      </c>
      <c r="C16" s="24">
        <v>0.1</v>
      </c>
      <c r="D16" s="24">
        <v>7.0000000000000007E-2</v>
      </c>
      <c r="E16" s="24">
        <v>3.5000000000000003E-2</v>
      </c>
    </row>
    <row r="20" spans="1:11" ht="23.4">
      <c r="A20" s="1" t="s">
        <v>124</v>
      </c>
    </row>
    <row r="21" spans="1:11">
      <c r="A21" s="16" t="s">
        <v>125</v>
      </c>
      <c r="B21" s="25">
        <v>1</v>
      </c>
      <c r="C21" s="25">
        <v>2</v>
      </c>
      <c r="D21" s="25">
        <v>3</v>
      </c>
      <c r="E21" s="25">
        <v>4</v>
      </c>
      <c r="F21" s="25">
        <v>5</v>
      </c>
      <c r="G21" s="25">
        <v>6</v>
      </c>
      <c r="H21" s="25">
        <v>7</v>
      </c>
      <c r="I21" s="25">
        <v>8</v>
      </c>
      <c r="J21" s="25">
        <v>9</v>
      </c>
      <c r="K21" s="25">
        <v>10</v>
      </c>
    </row>
    <row r="22" spans="1:11">
      <c r="A22" s="16" t="s">
        <v>126</v>
      </c>
      <c r="B22" s="10">
        <f>$B$5*(1+$C$14)</f>
        <v>131.84</v>
      </c>
      <c r="C22" s="10">
        <f>B22*(1+$C$14)</f>
        <v>135.79519999999999</v>
      </c>
      <c r="D22" s="10">
        <f>C22*(1+$C$14)</f>
        <v>139.869056</v>
      </c>
      <c r="E22" s="10">
        <f>D22*(1+$C$14)</f>
        <v>144.06512768000002</v>
      </c>
      <c r="F22" s="10">
        <f>E22*(1+$C$14)</f>
        <v>148.38708151040001</v>
      </c>
      <c r="G22" s="10">
        <f>F22*(1+$D$14)</f>
        <v>151.354823140608</v>
      </c>
      <c r="H22" s="10">
        <f>G22*(1+$D$14)</f>
        <v>154.38191960342016</v>
      </c>
      <c r="I22" s="10">
        <f>H22*(1+$D$14)</f>
        <v>157.46955799548857</v>
      </c>
      <c r="J22" s="10">
        <f>I22*(1+$D$14)</f>
        <v>160.61894915539835</v>
      </c>
      <c r="K22" s="10">
        <f>J22*(1+$D$14)</f>
        <v>163.83132813850634</v>
      </c>
    </row>
    <row r="23" spans="1:11">
      <c r="A23" s="6" t="s">
        <v>127</v>
      </c>
      <c r="B23" s="8">
        <f t="shared" ref="B23:K23" si="0">1/(1+$B$14)^B21</f>
        <v>0.90497737556561086</v>
      </c>
      <c r="C23" s="8">
        <f t="shared" si="0"/>
        <v>0.81898405028562071</v>
      </c>
      <c r="D23" s="8">
        <f t="shared" si="0"/>
        <v>0.74116203645757528</v>
      </c>
      <c r="E23" s="8">
        <f t="shared" si="0"/>
        <v>0.67073487462224002</v>
      </c>
      <c r="F23" s="8">
        <f t="shared" si="0"/>
        <v>0.60699988653596382</v>
      </c>
      <c r="G23" s="8">
        <f t="shared" si="0"/>
        <v>0.54932116428594002</v>
      </c>
      <c r="H23" s="8">
        <f t="shared" si="0"/>
        <v>0.49712322559813582</v>
      </c>
      <c r="I23" s="8">
        <f t="shared" si="0"/>
        <v>0.44988527203451206</v>
      </c>
      <c r="J23" s="8">
        <f t="shared" si="0"/>
        <v>0.40713599279141366</v>
      </c>
      <c r="K23" s="8">
        <f t="shared" si="0"/>
        <v>0.36844886225467294</v>
      </c>
    </row>
    <row r="24" spans="1:11">
      <c r="A24" s="16" t="s">
        <v>128</v>
      </c>
      <c r="B24" s="10">
        <f t="shared" ref="B24:K24" si="1">B22*B23</f>
        <v>119.31221719457014</v>
      </c>
      <c r="C24" s="10">
        <f t="shared" si="1"/>
        <v>111.21410290534591</v>
      </c>
      <c r="D24" s="10">
        <f t="shared" si="1"/>
        <v>103.66563438235863</v>
      </c>
      <c r="E24" s="10">
        <f t="shared" si="1"/>
        <v>96.629505351881818</v>
      </c>
      <c r="F24" s="10">
        <f t="shared" si="1"/>
        <v>90.070941640215622</v>
      </c>
      <c r="G24" s="10">
        <f t="shared" si="1"/>
        <v>83.14240766789132</v>
      </c>
      <c r="H24" s="10">
        <f t="shared" si="1"/>
        <v>76.746837847284311</v>
      </c>
      <c r="I24" s="10">
        <f t="shared" si="1"/>
        <v>70.843234935954754</v>
      </c>
      <c r="J24" s="10">
        <f t="shared" si="1"/>
        <v>65.393755325496699</v>
      </c>
      <c r="K24" s="10">
        <f t="shared" si="1"/>
        <v>60.363466454304643</v>
      </c>
    </row>
    <row r="26" spans="1:11">
      <c r="A26" s="16" t="s">
        <v>129</v>
      </c>
      <c r="B26" s="10">
        <f>SUM(B24:K24)</f>
        <v>877.38210370530396</v>
      </c>
    </row>
    <row r="27" spans="1:11">
      <c r="A27" s="6" t="s">
        <v>130</v>
      </c>
      <c r="B27" s="10">
        <f>K22</f>
        <v>163.83132813850634</v>
      </c>
    </row>
    <row r="28" spans="1:11">
      <c r="A28" s="6" t="s">
        <v>131</v>
      </c>
      <c r="B28" s="10">
        <f>B27*(1+$E$14)/($B$14-$E$14)</f>
        <v>2099.0888917746124</v>
      </c>
    </row>
    <row r="29" spans="1:11">
      <c r="A29" s="6" t="s">
        <v>132</v>
      </c>
      <c r="B29" s="10">
        <f>B28/(1+$B$14)^$B$9</f>
        <v>773.40691394577823</v>
      </c>
    </row>
    <row r="30" spans="1:11">
      <c r="A30" s="16" t="s">
        <v>133</v>
      </c>
      <c r="B30" s="10">
        <f>B26+B29</f>
        <v>1650.7890176510823</v>
      </c>
    </row>
    <row r="31" spans="1:11">
      <c r="A31" s="6" t="s">
        <v>134</v>
      </c>
      <c r="B31" s="10">
        <f>$B$6</f>
        <v>62.173000000000002</v>
      </c>
    </row>
    <row r="32" spans="1:11">
      <c r="A32" s="16" t="s">
        <v>135</v>
      </c>
      <c r="B32" s="10">
        <f>B30+B31</f>
        <v>1712.9620176510823</v>
      </c>
    </row>
    <row r="33" spans="1:12">
      <c r="A33" s="16" t="s">
        <v>43</v>
      </c>
      <c r="B33" s="7">
        <f>B32/$B$7</f>
        <v>117.37295398926712</v>
      </c>
    </row>
    <row r="34" spans="1:12">
      <c r="A34" s="6" t="s">
        <v>44</v>
      </c>
      <c r="B34" s="15">
        <f>B33/$B$8-1</f>
        <v>-0.6586308524873713</v>
      </c>
    </row>
    <row r="35" spans="1:12">
      <c r="A35" s="6" t="s">
        <v>136</v>
      </c>
      <c r="B35" s="15">
        <f>1-$B$8/B33</f>
        <v>-1.929380136683283</v>
      </c>
    </row>
    <row r="36" spans="1:12">
      <c r="A36" s="16" t="s">
        <v>137</v>
      </c>
      <c r="B36" s="14">
        <f>IRR(B38:L38)</f>
        <v>0.10499999999999243</v>
      </c>
    </row>
    <row r="37" spans="1:12">
      <c r="A37" s="6" t="s">
        <v>138</v>
      </c>
    </row>
    <row r="38" spans="1:12">
      <c r="B38" s="10">
        <f>-B30</f>
        <v>-1650.7890176510823</v>
      </c>
      <c r="C38" s="10">
        <f t="shared" ref="C38:K38" si="2">B22</f>
        <v>131.84</v>
      </c>
      <c r="D38" s="10">
        <f t="shared" si="2"/>
        <v>135.79519999999999</v>
      </c>
      <c r="E38" s="10">
        <f t="shared" si="2"/>
        <v>139.869056</v>
      </c>
      <c r="F38" s="10">
        <f t="shared" si="2"/>
        <v>144.06512768000002</v>
      </c>
      <c r="G38" s="10">
        <f t="shared" si="2"/>
        <v>148.38708151040001</v>
      </c>
      <c r="H38" s="10">
        <f t="shared" si="2"/>
        <v>151.354823140608</v>
      </c>
      <c r="I38" s="10">
        <f t="shared" si="2"/>
        <v>154.38191960342016</v>
      </c>
      <c r="J38" s="10">
        <f t="shared" si="2"/>
        <v>157.46955799548857</v>
      </c>
      <c r="K38" s="10">
        <f t="shared" si="2"/>
        <v>160.61894915539835</v>
      </c>
      <c r="L38" s="10">
        <f>K22+B28</f>
        <v>2262.9202199131187</v>
      </c>
    </row>
    <row r="42" spans="1:12" ht="23.4">
      <c r="A42" s="1" t="s">
        <v>139</v>
      </c>
    </row>
    <row r="43" spans="1:12">
      <c r="A43" s="16" t="s">
        <v>125</v>
      </c>
      <c r="B43" s="25">
        <v>1</v>
      </c>
      <c r="C43" s="25">
        <v>2</v>
      </c>
      <c r="D43" s="25">
        <v>3</v>
      </c>
      <c r="E43" s="25">
        <v>4</v>
      </c>
      <c r="F43" s="25">
        <v>5</v>
      </c>
      <c r="G43" s="25">
        <v>6</v>
      </c>
      <c r="H43" s="25">
        <v>7</v>
      </c>
      <c r="I43" s="25">
        <v>8</v>
      </c>
      <c r="J43" s="25">
        <v>9</v>
      </c>
      <c r="K43" s="25">
        <v>10</v>
      </c>
    </row>
    <row r="44" spans="1:12">
      <c r="A44" s="16" t="s">
        <v>126</v>
      </c>
      <c r="B44" s="10">
        <f>$B$5*(1+$C$15)</f>
        <v>136.96</v>
      </c>
      <c r="C44" s="10">
        <f>B44*(1+$C$15)</f>
        <v>146.5472</v>
      </c>
      <c r="D44" s="10">
        <f>C44*(1+$C$15)</f>
        <v>156.80550400000001</v>
      </c>
      <c r="E44" s="10">
        <f>D44*(1+$C$15)</f>
        <v>167.78188928000003</v>
      </c>
      <c r="F44" s="10">
        <f>E44*(1+$C$15)</f>
        <v>179.52662152960005</v>
      </c>
      <c r="G44" s="10">
        <f>F44*(1+$D$15)</f>
        <v>188.50295260608007</v>
      </c>
      <c r="H44" s="10">
        <f>G44*(1+$D$15)</f>
        <v>197.9281002363841</v>
      </c>
      <c r="I44" s="10">
        <f>H44*(1+$D$15)</f>
        <v>207.82450524820331</v>
      </c>
      <c r="J44" s="10">
        <f>I44*(1+$D$15)</f>
        <v>218.2157305106135</v>
      </c>
      <c r="K44" s="10">
        <f>J44*(1+$D$15)</f>
        <v>229.12651703614418</v>
      </c>
    </row>
    <row r="45" spans="1:12">
      <c r="A45" s="6" t="s">
        <v>127</v>
      </c>
      <c r="B45" s="8">
        <f t="shared" ref="B45:K45" si="3">1/(1+$B$15)^B43</f>
        <v>0.91240875912408748</v>
      </c>
      <c r="C45" s="8">
        <f t="shared" si="3"/>
        <v>0.83248974372635709</v>
      </c>
      <c r="D45" s="8">
        <f t="shared" si="3"/>
        <v>0.75957093405689513</v>
      </c>
      <c r="E45" s="8">
        <f t="shared" si="3"/>
        <v>0.69303917340957566</v>
      </c>
      <c r="F45" s="8">
        <f t="shared" si="3"/>
        <v>0.6323350122350142</v>
      </c>
      <c r="G45" s="8">
        <f t="shared" si="3"/>
        <v>0.57694800386406409</v>
      </c>
      <c r="H45" s="8">
        <f t="shared" si="3"/>
        <v>0.52641241228473001</v>
      </c>
      <c r="I45" s="8">
        <f t="shared" si="3"/>
        <v>0.48030329588022797</v>
      </c>
      <c r="J45" s="8">
        <f t="shared" si="3"/>
        <v>0.43823293419728826</v>
      </c>
      <c r="K45" s="8">
        <f t="shared" si="3"/>
        <v>0.39984756769825563</v>
      </c>
    </row>
    <row r="46" spans="1:12">
      <c r="A46" s="16" t="s">
        <v>128</v>
      </c>
      <c r="B46" s="10">
        <f t="shared" ref="B46:K46" si="4">B44*B45</f>
        <v>124.96350364963503</v>
      </c>
      <c r="C46" s="10">
        <f t="shared" si="4"/>
        <v>121.99904097181521</v>
      </c>
      <c r="D46" s="10">
        <f t="shared" si="4"/>
        <v>119.10490313854221</v>
      </c>
      <c r="E46" s="10">
        <f t="shared" si="4"/>
        <v>116.27942185970817</v>
      </c>
      <c r="F46" s="10">
        <f t="shared" si="4"/>
        <v>113.52096842143041</v>
      </c>
      <c r="G46" s="10">
        <f t="shared" si="4"/>
        <v>108.75640222856018</v>
      </c>
      <c r="H46" s="10">
        <f t="shared" si="4"/>
        <v>104.1918087043688</v>
      </c>
      <c r="I46" s="10">
        <f t="shared" si="4"/>
        <v>99.818794835389781</v>
      </c>
      <c r="J46" s="10">
        <f t="shared" si="4"/>
        <v>95.629319869670866</v>
      </c>
      <c r="K46" s="10">
        <f t="shared" si="4"/>
        <v>91.615680532075189</v>
      </c>
    </row>
    <row r="48" spans="1:12">
      <c r="A48" s="16" t="s">
        <v>129</v>
      </c>
      <c r="B48" s="10">
        <f>SUM(B46:K46)</f>
        <v>1095.8798442111959</v>
      </c>
    </row>
    <row r="49" spans="1:12">
      <c r="A49" s="6" t="s">
        <v>130</v>
      </c>
      <c r="B49" s="10">
        <f>K44</f>
        <v>229.12651703614418</v>
      </c>
    </row>
    <row r="50" spans="1:12">
      <c r="A50" s="6" t="s">
        <v>131</v>
      </c>
      <c r="B50" s="10">
        <f>B49*(1+$E$15)/($B$15-$E$15)</f>
        <v>3575.7623113216437</v>
      </c>
    </row>
    <row r="51" spans="1:12">
      <c r="A51" s="6" t="s">
        <v>132</v>
      </c>
      <c r="B51" s="10">
        <f>B50/(1+$B$15)^$B$9</f>
        <v>1429.7598628490521</v>
      </c>
    </row>
    <row r="52" spans="1:12">
      <c r="A52" s="16" t="s">
        <v>133</v>
      </c>
      <c r="B52" s="10">
        <f>B48+B51</f>
        <v>2525.6397070602479</v>
      </c>
    </row>
    <row r="53" spans="1:12">
      <c r="A53" s="6" t="s">
        <v>134</v>
      </c>
      <c r="B53" s="10">
        <f>$B$6</f>
        <v>62.173000000000002</v>
      </c>
    </row>
    <row r="54" spans="1:12">
      <c r="A54" s="16" t="s">
        <v>135</v>
      </c>
      <c r="B54" s="10">
        <f>B52+B53</f>
        <v>2587.8127070602477</v>
      </c>
    </row>
    <row r="55" spans="1:12">
      <c r="A55" s="16" t="s">
        <v>43</v>
      </c>
      <c r="B55" s="7">
        <f>B54/$B$7</f>
        <v>177.31813003952587</v>
      </c>
    </row>
    <row r="56" spans="1:12">
      <c r="A56" s="6" t="s">
        <v>44</v>
      </c>
      <c r="B56" s="15">
        <f>B55/$B$8-1</f>
        <v>-0.4842854607232473</v>
      </c>
    </row>
    <row r="57" spans="1:12">
      <c r="A57" s="6" t="s">
        <v>136</v>
      </c>
      <c r="B57" s="15">
        <f>1-$B$8/B55</f>
        <v>-0.93905721836428713</v>
      </c>
    </row>
    <row r="58" spans="1:12">
      <c r="A58" s="16" t="s">
        <v>137</v>
      </c>
      <c r="B58" s="14">
        <f>IRR(B60:L60)</f>
        <v>9.5999999999997643E-2</v>
      </c>
    </row>
    <row r="59" spans="1:12">
      <c r="A59" s="6" t="s">
        <v>138</v>
      </c>
    </row>
    <row r="60" spans="1:12">
      <c r="B60" s="10">
        <f>-B52</f>
        <v>-2525.6397070602479</v>
      </c>
      <c r="C60" s="10">
        <f t="shared" ref="C60:K60" si="5">B44</f>
        <v>136.96</v>
      </c>
      <c r="D60" s="10">
        <f t="shared" si="5"/>
        <v>146.5472</v>
      </c>
      <c r="E60" s="10">
        <f t="shared" si="5"/>
        <v>156.80550400000001</v>
      </c>
      <c r="F60" s="10">
        <f t="shared" si="5"/>
        <v>167.78188928000003</v>
      </c>
      <c r="G60" s="10">
        <f t="shared" si="5"/>
        <v>179.52662152960005</v>
      </c>
      <c r="H60" s="10">
        <f t="shared" si="5"/>
        <v>188.50295260608007</v>
      </c>
      <c r="I60" s="10">
        <f t="shared" si="5"/>
        <v>197.9281002363841</v>
      </c>
      <c r="J60" s="10">
        <f t="shared" si="5"/>
        <v>207.82450524820331</v>
      </c>
      <c r="K60" s="10">
        <f t="shared" si="5"/>
        <v>218.2157305106135</v>
      </c>
      <c r="L60" s="10">
        <f>K44+B50</f>
        <v>3804.888828357788</v>
      </c>
    </row>
    <row r="64" spans="1:12" ht="23.4">
      <c r="A64" s="1" t="s">
        <v>140</v>
      </c>
    </row>
    <row r="65" spans="1:11">
      <c r="A65" s="16" t="s">
        <v>125</v>
      </c>
      <c r="B65" s="25">
        <v>1</v>
      </c>
      <c r="C65" s="25">
        <v>2</v>
      </c>
      <c r="D65" s="25">
        <v>3</v>
      </c>
      <c r="E65" s="25">
        <v>4</v>
      </c>
      <c r="F65" s="25">
        <v>5</v>
      </c>
      <c r="G65" s="25">
        <v>6</v>
      </c>
      <c r="H65" s="25">
        <v>7</v>
      </c>
      <c r="I65" s="25">
        <v>8</v>
      </c>
      <c r="J65" s="25">
        <v>9</v>
      </c>
      <c r="K65" s="25">
        <v>10</v>
      </c>
    </row>
    <row r="66" spans="1:11">
      <c r="A66" s="16" t="s">
        <v>126</v>
      </c>
      <c r="B66" s="10">
        <f>$B$5*(1+$C$16)</f>
        <v>140.80000000000001</v>
      </c>
      <c r="C66" s="10">
        <f>B66*(1+$C$16)</f>
        <v>154.88000000000002</v>
      </c>
      <c r="D66" s="10">
        <f>C66*(1+$C$16)</f>
        <v>170.36800000000005</v>
      </c>
      <c r="E66" s="10">
        <f>D66*(1+$C$16)</f>
        <v>187.40480000000008</v>
      </c>
      <c r="F66" s="10">
        <f>E66*(1+$C$16)</f>
        <v>206.1452800000001</v>
      </c>
      <c r="G66" s="10">
        <f>F66*(1+$D$16)</f>
        <v>220.57544960000013</v>
      </c>
      <c r="H66" s="10">
        <f>G66*(1+$D$16)</f>
        <v>236.01573107200014</v>
      </c>
      <c r="I66" s="10">
        <f>H66*(1+$D$16)</f>
        <v>252.53683224704017</v>
      </c>
      <c r="J66" s="10">
        <f>I66*(1+$D$16)</f>
        <v>270.21441050433299</v>
      </c>
      <c r="K66" s="10">
        <f>J66*(1+$D$16)</f>
        <v>289.12941923963632</v>
      </c>
    </row>
    <row r="67" spans="1:11">
      <c r="A67" s="6" t="s">
        <v>127</v>
      </c>
      <c r="B67" s="8">
        <f t="shared" ref="B67:K67" si="6">1/(1+$B$16)^B65</f>
        <v>0.91911764705882348</v>
      </c>
      <c r="C67" s="8">
        <f t="shared" si="6"/>
        <v>0.84477724913494801</v>
      </c>
      <c r="D67" s="8">
        <f t="shared" si="6"/>
        <v>0.77644967751373895</v>
      </c>
      <c r="E67" s="8">
        <f t="shared" si="6"/>
        <v>0.71364860065600999</v>
      </c>
      <c r="F67" s="8">
        <f t="shared" si="6"/>
        <v>0.65592702266177383</v>
      </c>
      <c r="G67" s="8">
        <f t="shared" si="6"/>
        <v>0.60287410171118916</v>
      </c>
      <c r="H67" s="8">
        <f t="shared" si="6"/>
        <v>0.55411222583748998</v>
      </c>
      <c r="I67" s="8">
        <f t="shared" si="6"/>
        <v>0.50929432521828111</v>
      </c>
      <c r="J67" s="8">
        <f t="shared" si="6"/>
        <v>0.46810140185503785</v>
      </c>
      <c r="K67" s="8">
        <f t="shared" si="6"/>
        <v>0.43024025905793917</v>
      </c>
    </row>
    <row r="68" spans="1:11">
      <c r="A68" s="16" t="s">
        <v>128</v>
      </c>
      <c r="B68" s="10">
        <f t="shared" ref="B68:K68" si="7">B66*B67</f>
        <v>129.41176470588235</v>
      </c>
      <c r="C68" s="10">
        <f t="shared" si="7"/>
        <v>130.83910034602076</v>
      </c>
      <c r="D68" s="10">
        <f t="shared" si="7"/>
        <v>132.28217865866071</v>
      </c>
      <c r="E68" s="10">
        <f t="shared" si="7"/>
        <v>133.74117327621948</v>
      </c>
      <c r="F68" s="10">
        <f t="shared" si="7"/>
        <v>135.21625974617777</v>
      </c>
      <c r="G68" s="10">
        <f t="shared" si="7"/>
        <v>132.97922603714176</v>
      </c>
      <c r="H68" s="10">
        <f t="shared" si="7"/>
        <v>130.77920207696843</v>
      </c>
      <c r="I68" s="10">
        <f t="shared" si="7"/>
        <v>128.61557557201857</v>
      </c>
      <c r="J68" s="10">
        <f t="shared" si="7"/>
        <v>126.48774435851094</v>
      </c>
      <c r="K68" s="10">
        <f t="shared" si="7"/>
        <v>124.39511623493263</v>
      </c>
    </row>
    <row r="70" spans="1:11">
      <c r="A70" s="16" t="s">
        <v>129</v>
      </c>
      <c r="B70" s="10">
        <f>SUM(B68:K68)</f>
        <v>1304.7473410125335</v>
      </c>
    </row>
    <row r="71" spans="1:11">
      <c r="A71" s="6" t="s">
        <v>130</v>
      </c>
      <c r="B71" s="10">
        <f>K66</f>
        <v>289.12941923963632</v>
      </c>
    </row>
    <row r="72" spans="1:11">
      <c r="A72" s="6" t="s">
        <v>131</v>
      </c>
      <c r="B72" s="10">
        <f>B71*(1+$E$16)/($B$16-$E$16)</f>
        <v>5646.2065832645967</v>
      </c>
    </row>
    <row r="73" spans="1:11">
      <c r="A73" s="6" t="s">
        <v>132</v>
      </c>
      <c r="B73" s="10">
        <f>B72/(1+$B$16)^$B$9</f>
        <v>2429.2253830784016</v>
      </c>
    </row>
    <row r="74" spans="1:11">
      <c r="A74" s="16" t="s">
        <v>133</v>
      </c>
      <c r="B74" s="10">
        <f>B70+B73</f>
        <v>3733.9727240909351</v>
      </c>
    </row>
    <row r="75" spans="1:11">
      <c r="A75" s="6" t="s">
        <v>134</v>
      </c>
      <c r="B75" s="10">
        <f>$B$6</f>
        <v>62.173000000000002</v>
      </c>
    </row>
    <row r="76" spans="1:11">
      <c r="A76" s="16" t="s">
        <v>135</v>
      </c>
      <c r="B76" s="10">
        <f>B74+B75</f>
        <v>3796.1457240909349</v>
      </c>
    </row>
    <row r="77" spans="1:11">
      <c r="A77" s="16" t="s">
        <v>43</v>
      </c>
      <c r="B77" s="7">
        <f>B76/$B$7</f>
        <v>260.11367025012265</v>
      </c>
    </row>
    <row r="78" spans="1:11">
      <c r="A78" s="6" t="s">
        <v>44</v>
      </c>
      <c r="B78" s="15">
        <f>B77/$B$8-1</f>
        <v>-0.24348174897442731</v>
      </c>
    </row>
    <row r="79" spans="1:11">
      <c r="A79" s="6" t="s">
        <v>136</v>
      </c>
      <c r="B79" s="15">
        <f>1-$B$8/B77</f>
        <v>-0.3218451751089304</v>
      </c>
    </row>
    <row r="80" spans="1:11">
      <c r="A80" s="16" t="s">
        <v>137</v>
      </c>
      <c r="B80" s="14">
        <f>IRR(B82:L82)</f>
        <v>8.7999999999999856E-2</v>
      </c>
    </row>
    <row r="81" spans="1:12">
      <c r="A81" s="6" t="s">
        <v>138</v>
      </c>
    </row>
    <row r="82" spans="1:12">
      <c r="B82" s="10">
        <f>-B74</f>
        <v>-3733.9727240909351</v>
      </c>
      <c r="C82" s="10">
        <f t="shared" ref="C82:K82" si="8">B66</f>
        <v>140.80000000000001</v>
      </c>
      <c r="D82" s="10">
        <f t="shared" si="8"/>
        <v>154.88000000000002</v>
      </c>
      <c r="E82" s="10">
        <f t="shared" si="8"/>
        <v>170.36800000000005</v>
      </c>
      <c r="F82" s="10">
        <f t="shared" si="8"/>
        <v>187.40480000000008</v>
      </c>
      <c r="G82" s="10">
        <f t="shared" si="8"/>
        <v>206.1452800000001</v>
      </c>
      <c r="H82" s="10">
        <f t="shared" si="8"/>
        <v>220.57544960000013</v>
      </c>
      <c r="I82" s="10">
        <f t="shared" si="8"/>
        <v>236.01573107200014</v>
      </c>
      <c r="J82" s="10">
        <f t="shared" si="8"/>
        <v>252.53683224704017</v>
      </c>
      <c r="K82" s="10">
        <f t="shared" si="8"/>
        <v>270.21441050433299</v>
      </c>
      <c r="L82" s="10">
        <f>K66+B72</f>
        <v>5935.336002504233</v>
      </c>
    </row>
    <row r="85" spans="1:12" ht="15.6">
      <c r="A85" s="2" t="s">
        <v>141</v>
      </c>
    </row>
  </sheetData>
  <mergeCells count="7">
    <mergeCell ref="C11:E11"/>
    <mergeCell ref="C5:E5"/>
    <mergeCell ref="C8:E8"/>
    <mergeCell ref="C9:E9"/>
    <mergeCell ref="C7:E7"/>
    <mergeCell ref="C6:E6"/>
    <mergeCell ref="C10:E10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workbookViewId="0"/>
  </sheetViews>
  <sheetFormatPr defaultRowHeight="14.4"/>
  <cols>
    <col min="1" max="7" width="12" customWidth="1"/>
  </cols>
  <sheetData>
    <row r="1" spans="1:7" ht="23.4">
      <c r="A1" s="1" t="s">
        <v>142</v>
      </c>
    </row>
    <row r="2" spans="1:7" ht="15.6">
      <c r="A2" s="2" t="s">
        <v>143</v>
      </c>
    </row>
    <row r="4" spans="1:7">
      <c r="A4" s="26" t="s">
        <v>144</v>
      </c>
      <c r="B4" s="27">
        <v>0.08</v>
      </c>
      <c r="C4" s="27">
        <v>8.5000000000000006E-2</v>
      </c>
      <c r="D4" s="27">
        <v>0.09</v>
      </c>
      <c r="E4" s="27">
        <v>9.5000000000000001E-2</v>
      </c>
      <c r="F4" s="27">
        <v>0.1</v>
      </c>
      <c r="G4" s="27">
        <v>0.105</v>
      </c>
    </row>
    <row r="5" spans="1:7">
      <c r="A5" s="28">
        <v>0.03</v>
      </c>
      <c r="B5" s="29">
        <v>173</v>
      </c>
      <c r="C5" s="29">
        <v>158</v>
      </c>
      <c r="D5" s="29">
        <v>145</v>
      </c>
      <c r="E5" s="29">
        <v>135</v>
      </c>
      <c r="F5" s="29">
        <v>126</v>
      </c>
      <c r="G5" s="29">
        <v>118</v>
      </c>
    </row>
    <row r="6" spans="1:7">
      <c r="A6" s="28">
        <v>0.05</v>
      </c>
      <c r="B6" s="29">
        <v>202</v>
      </c>
      <c r="C6" s="29">
        <v>183</v>
      </c>
      <c r="D6" s="29">
        <v>168</v>
      </c>
      <c r="E6" s="29">
        <v>156</v>
      </c>
      <c r="F6" s="29">
        <v>145</v>
      </c>
      <c r="G6" s="29">
        <v>135</v>
      </c>
    </row>
    <row r="7" spans="1:7">
      <c r="A7" s="28">
        <v>7.0000000000000007E-2</v>
      </c>
      <c r="B7" s="29">
        <v>235</v>
      </c>
      <c r="C7" s="29">
        <v>213</v>
      </c>
      <c r="D7" s="29">
        <v>195</v>
      </c>
      <c r="E7" s="29">
        <v>180</v>
      </c>
      <c r="F7" s="29">
        <v>167</v>
      </c>
      <c r="G7" s="29">
        <v>156</v>
      </c>
    </row>
    <row r="8" spans="1:7">
      <c r="A8" s="28">
        <v>0.09</v>
      </c>
      <c r="B8" s="29">
        <v>275</v>
      </c>
      <c r="C8" s="29">
        <v>249</v>
      </c>
      <c r="D8" s="29">
        <v>227</v>
      </c>
      <c r="E8" s="29">
        <v>209</v>
      </c>
      <c r="F8" s="29">
        <v>193</v>
      </c>
      <c r="G8" s="29">
        <v>179</v>
      </c>
    </row>
    <row r="9" spans="1:7">
      <c r="A9" s="28">
        <v>0.11</v>
      </c>
      <c r="B9" s="29">
        <v>321</v>
      </c>
      <c r="C9" s="29">
        <v>289</v>
      </c>
      <c r="D9" s="29">
        <v>264</v>
      </c>
      <c r="E9" s="29">
        <v>242</v>
      </c>
      <c r="F9" s="29">
        <v>223</v>
      </c>
      <c r="G9" s="29">
        <v>207</v>
      </c>
    </row>
    <row r="12" spans="1:7">
      <c r="A12" s="38" t="s">
        <v>145</v>
      </c>
      <c r="B12" s="36"/>
      <c r="C12" s="36"/>
      <c r="D12" s="36"/>
      <c r="E12" s="36"/>
      <c r="F12" s="37"/>
    </row>
    <row r="13" spans="1:7">
      <c r="A13" s="5" t="s">
        <v>120</v>
      </c>
      <c r="B13" s="5" t="s">
        <v>146</v>
      </c>
    </row>
    <row r="14" spans="1:7">
      <c r="A14" s="15">
        <v>0.08</v>
      </c>
      <c r="B14" s="15">
        <v>0.10829999999999999</v>
      </c>
    </row>
    <row r="15" spans="1:7">
      <c r="A15" s="15">
        <v>8.5000000000000006E-2</v>
      </c>
      <c r="B15" s="15">
        <v>0.12189999999999999</v>
      </c>
    </row>
    <row r="16" spans="1:7">
      <c r="A16" s="15">
        <v>0.09</v>
      </c>
      <c r="B16" s="15">
        <v>0.1348</v>
      </c>
    </row>
    <row r="17" spans="1:6">
      <c r="A17" s="15">
        <v>9.5000000000000001E-2</v>
      </c>
      <c r="B17" s="15">
        <v>0.14699999999999999</v>
      </c>
    </row>
    <row r="18" spans="1:6">
      <c r="A18" s="15">
        <v>9.6000000000000002E-2</v>
      </c>
      <c r="B18" s="15">
        <v>0.14940000000000001</v>
      </c>
    </row>
    <row r="19" spans="1:6">
      <c r="A19" s="15">
        <v>0.1</v>
      </c>
      <c r="B19" s="15">
        <v>0.1588</v>
      </c>
    </row>
    <row r="20" spans="1:6">
      <c r="A20" s="15">
        <v>0.105</v>
      </c>
      <c r="B20" s="15">
        <v>0.1701</v>
      </c>
    </row>
    <row r="22" spans="1:6" ht="15.6">
      <c r="A22" s="34" t="s">
        <v>147</v>
      </c>
      <c r="B22" s="32"/>
      <c r="C22" s="32"/>
      <c r="D22" s="32"/>
      <c r="E22" s="32"/>
      <c r="F22" s="32"/>
    </row>
  </sheetData>
  <mergeCells count="2">
    <mergeCell ref="A22:F22"/>
    <mergeCell ref="A12:F12"/>
  </mergeCells>
  <phoneticPr fontId="10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showGridLines="0" workbookViewId="0"/>
  </sheetViews>
  <sheetFormatPr defaultRowHeight="14.4"/>
  <cols>
    <col min="1" max="1" width="34" customWidth="1"/>
    <col min="2" max="2" width="40" customWidth="1"/>
    <col min="3" max="3" width="16" customWidth="1"/>
    <col min="4" max="4" width="60" customWidth="1"/>
  </cols>
  <sheetData>
    <row r="1" spans="1:4" ht="23.4">
      <c r="A1" s="1" t="s">
        <v>148</v>
      </c>
    </row>
    <row r="2" spans="1:4" ht="15.6">
      <c r="A2" s="2" t="s">
        <v>149</v>
      </c>
    </row>
    <row r="4" spans="1:4">
      <c r="A4" s="5" t="s">
        <v>150</v>
      </c>
      <c r="B4" s="5" t="s">
        <v>151</v>
      </c>
      <c r="C4" s="5" t="s">
        <v>152</v>
      </c>
      <c r="D4" s="5" t="s">
        <v>153</v>
      </c>
    </row>
    <row r="5" spans="1:4" ht="28.05" customHeight="1">
      <c r="A5" s="16" t="s">
        <v>154</v>
      </c>
      <c r="B5" s="6" t="s">
        <v>155</v>
      </c>
      <c r="C5" s="6" t="s">
        <v>156</v>
      </c>
      <c r="D5" s="30" t="s">
        <v>157</v>
      </c>
    </row>
    <row r="6" spans="1:4" ht="28.05" customHeight="1">
      <c r="A6" s="16" t="s">
        <v>158</v>
      </c>
      <c r="B6" s="6" t="s">
        <v>159</v>
      </c>
      <c r="C6" s="6" t="s">
        <v>160</v>
      </c>
      <c r="D6" s="30" t="s">
        <v>161</v>
      </c>
    </row>
    <row r="7" spans="1:4" ht="28.05" customHeight="1">
      <c r="A7" s="16" t="s">
        <v>162</v>
      </c>
      <c r="B7" s="6" t="s">
        <v>163</v>
      </c>
      <c r="C7" s="6" t="s">
        <v>164</v>
      </c>
      <c r="D7" s="30" t="s">
        <v>165</v>
      </c>
    </row>
    <row r="8" spans="1:4" ht="28.05" customHeight="1">
      <c r="A8" s="16" t="s">
        <v>166</v>
      </c>
      <c r="B8" s="6" t="s">
        <v>167</v>
      </c>
      <c r="C8" s="6" t="s">
        <v>168</v>
      </c>
      <c r="D8" s="30" t="s">
        <v>169</v>
      </c>
    </row>
    <row r="9" spans="1:4" ht="28.05" customHeight="1">
      <c r="A9" s="16" t="s">
        <v>170</v>
      </c>
      <c r="B9" s="6" t="s">
        <v>171</v>
      </c>
      <c r="C9" s="6" t="s">
        <v>172</v>
      </c>
      <c r="D9" s="30" t="s">
        <v>173</v>
      </c>
    </row>
    <row r="10" spans="1:4" ht="28.05" customHeight="1">
      <c r="A10" s="16" t="s">
        <v>174</v>
      </c>
      <c r="B10" s="6" t="s">
        <v>175</v>
      </c>
      <c r="C10" s="6" t="s">
        <v>176</v>
      </c>
      <c r="D10" s="30" t="s">
        <v>177</v>
      </c>
    </row>
    <row r="11" spans="1:4" ht="28.05" customHeight="1">
      <c r="A11" s="16" t="s">
        <v>178</v>
      </c>
      <c r="B11" s="6" t="s">
        <v>179</v>
      </c>
      <c r="C11" s="6" t="s">
        <v>38</v>
      </c>
      <c r="D11" s="30" t="s">
        <v>180</v>
      </c>
    </row>
    <row r="12" spans="1:4" ht="28.05" customHeight="1">
      <c r="A12" s="16" t="s">
        <v>37</v>
      </c>
      <c r="B12" s="6" t="s">
        <v>181</v>
      </c>
      <c r="C12" s="6" t="s">
        <v>38</v>
      </c>
      <c r="D12" s="30" t="s">
        <v>182</v>
      </c>
    </row>
    <row r="13" spans="1:4" ht="28.05" customHeight="1">
      <c r="A13" s="16" t="s">
        <v>183</v>
      </c>
      <c r="B13" s="6" t="s">
        <v>184</v>
      </c>
      <c r="C13" s="6" t="s">
        <v>176</v>
      </c>
      <c r="D13" s="30" t="s">
        <v>185</v>
      </c>
    </row>
    <row r="14" spans="1:4" ht="28.05" customHeight="1">
      <c r="A14" s="16" t="s">
        <v>186</v>
      </c>
      <c r="B14" s="6" t="s">
        <v>187</v>
      </c>
      <c r="C14" s="6" t="s">
        <v>188</v>
      </c>
      <c r="D14" s="30" t="s">
        <v>189</v>
      </c>
    </row>
    <row r="15" spans="1:4" ht="28.05" customHeight="1">
      <c r="A15" s="16" t="s">
        <v>190</v>
      </c>
      <c r="B15" s="6" t="s">
        <v>191</v>
      </c>
      <c r="C15" s="6" t="s">
        <v>176</v>
      </c>
      <c r="D15" s="30" t="s">
        <v>192</v>
      </c>
    </row>
    <row r="16" spans="1:4" ht="28.05" customHeight="1">
      <c r="A16" s="16" t="s">
        <v>193</v>
      </c>
      <c r="B16" s="6" t="s">
        <v>194</v>
      </c>
      <c r="C16" s="6" t="s">
        <v>195</v>
      </c>
      <c r="D16" s="30" t="s">
        <v>196</v>
      </c>
    </row>
    <row r="17" spans="1:4" ht="28.05" customHeight="1">
      <c r="A17" s="16" t="s">
        <v>197</v>
      </c>
      <c r="B17" s="6" t="s">
        <v>198</v>
      </c>
      <c r="C17" s="6" t="s">
        <v>176</v>
      </c>
      <c r="D17" s="30" t="s">
        <v>199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结论</vt:lpstr>
      <vt:lpstr>历史财务</vt:lpstr>
      <vt:lpstr>FCFF桥</vt:lpstr>
      <vt:lpstr>DCF</vt:lpstr>
      <vt:lpstr>敏感性</vt:lpstr>
      <vt:lpstr>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2026-10-29T05:58:08Z</dcterms:created>
  <dcterms:modified xsi:type="dcterms:W3CDTF">2026-10-29T10:34:21Z</dcterms:modified>
</cp:coreProperties>
</file>