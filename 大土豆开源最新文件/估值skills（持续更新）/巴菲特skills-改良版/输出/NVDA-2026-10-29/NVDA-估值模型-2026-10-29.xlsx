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NVDA-2026-10-29\"/>
    </mc:Choice>
  </mc:AlternateContent>
  <xr:revisionPtr revIDLastSave="0" documentId="13_ncr:1_{01EC2551-5EEB-49B9-BEA5-AD2B2A504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FCFF桥!$A$1:$C$27</definedName>
    <definedName name="_xlnm.Print_Area" localSheetId="2">分部!$A$1:$F$30</definedName>
    <definedName name="_xlnm.Print_Area" localSheetId="0">结论!$A$1:$M$45</definedName>
    <definedName name="_xlnm.Print_Area" localSheetId="6">来源!$A$1:$D$14</definedName>
    <definedName name="_xlnm.Print_Area" localSheetId="1">历史财务!$A$1:$H$27</definedName>
    <definedName name="_xlnm.Print_Area" localSheetId="5">敏感性!$A$1:$G$42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28" i="1"/>
  <c r="B24" i="1"/>
  <c r="B23" i="1"/>
  <c r="B12" i="1"/>
  <c r="J63" i="5" l="1"/>
  <c r="H63" i="5"/>
  <c r="E63" i="5"/>
  <c r="F63" i="5" s="1"/>
  <c r="K63" i="5"/>
  <c r="C64" i="5"/>
  <c r="H40" i="5"/>
  <c r="C41" i="5"/>
  <c r="K40" i="5"/>
  <c r="E40" i="5"/>
  <c r="F40" i="5" s="1"/>
  <c r="L40" i="5" s="1"/>
  <c r="N40" i="5" s="1"/>
  <c r="J40" i="5"/>
  <c r="C18" i="5"/>
  <c r="K17" i="5"/>
  <c r="J17" i="5"/>
  <c r="H17" i="5"/>
  <c r="E17" i="5"/>
  <c r="F17" i="5" s="1"/>
  <c r="L17" i="5" s="1"/>
  <c r="N17" i="5" s="1"/>
  <c r="B25" i="1"/>
  <c r="B14" i="1"/>
  <c r="K64" i="5" l="1"/>
  <c r="C65" i="5"/>
  <c r="H64" i="5"/>
  <c r="J64" i="5"/>
  <c r="E64" i="5"/>
  <c r="F64" i="5" s="1"/>
  <c r="J41" i="5"/>
  <c r="H41" i="5"/>
  <c r="K41" i="5"/>
  <c r="C42" i="5"/>
  <c r="E41" i="5"/>
  <c r="F41" i="5" s="1"/>
  <c r="L41" i="5" s="1"/>
  <c r="N41" i="5" s="1"/>
  <c r="E18" i="5"/>
  <c r="F18" i="5" s="1"/>
  <c r="H18" i="5"/>
  <c r="J18" i="5"/>
  <c r="K18" i="5"/>
  <c r="C19" i="5"/>
  <c r="B22" i="1"/>
  <c r="B26" i="1"/>
  <c r="L63" i="5"/>
  <c r="N63" i="5" s="1"/>
  <c r="L64" i="5" l="1"/>
  <c r="N64" i="5" s="1"/>
  <c r="E65" i="5"/>
  <c r="F65" i="5" s="1"/>
  <c r="H65" i="5"/>
  <c r="J65" i="5"/>
  <c r="K65" i="5"/>
  <c r="C66" i="5"/>
  <c r="H42" i="5"/>
  <c r="J42" i="5"/>
  <c r="E42" i="5"/>
  <c r="F42" i="5" s="1"/>
  <c r="L42" i="5" s="1"/>
  <c r="N42" i="5" s="1"/>
  <c r="K42" i="5"/>
  <c r="C43" i="5"/>
  <c r="E19" i="5"/>
  <c r="F19" i="5" s="1"/>
  <c r="H19" i="5"/>
  <c r="J19" i="5"/>
  <c r="K19" i="5"/>
  <c r="C20" i="5"/>
  <c r="L18" i="5"/>
  <c r="N18" i="5" s="1"/>
  <c r="L19" i="5" l="1"/>
  <c r="N19" i="5" s="1"/>
  <c r="E66" i="5"/>
  <c r="F66" i="5" s="1"/>
  <c r="H66" i="5"/>
  <c r="J66" i="5"/>
  <c r="K66" i="5"/>
  <c r="C67" i="5"/>
  <c r="H43" i="5"/>
  <c r="C44" i="5"/>
  <c r="E43" i="5"/>
  <c r="F43" i="5" s="1"/>
  <c r="J43" i="5"/>
  <c r="K43" i="5"/>
  <c r="E20" i="5"/>
  <c r="F20" i="5" s="1"/>
  <c r="K20" i="5"/>
  <c r="J20" i="5"/>
  <c r="H20" i="5"/>
  <c r="C21" i="5"/>
  <c r="L65" i="5"/>
  <c r="N65" i="5" s="1"/>
  <c r="E67" i="5" l="1"/>
  <c r="F67" i="5" s="1"/>
  <c r="H67" i="5"/>
  <c r="J67" i="5"/>
  <c r="K67" i="5"/>
  <c r="C68" i="5"/>
  <c r="J44" i="5"/>
  <c r="K44" i="5"/>
  <c r="C45" i="5"/>
  <c r="E44" i="5"/>
  <c r="F44" i="5" s="1"/>
  <c r="H44" i="5"/>
  <c r="J21" i="5"/>
  <c r="K21" i="5"/>
  <c r="E21" i="5"/>
  <c r="F21" i="5" s="1"/>
  <c r="C22" i="5"/>
  <c r="H21" i="5"/>
  <c r="L43" i="5"/>
  <c r="N43" i="5" s="1"/>
  <c r="L20" i="5"/>
  <c r="N20" i="5" s="1"/>
  <c r="L66" i="5"/>
  <c r="N66" i="5" s="1"/>
  <c r="L44" i="5" l="1"/>
  <c r="N44" i="5" s="1"/>
  <c r="L21" i="5"/>
  <c r="N21" i="5" s="1"/>
  <c r="H68" i="5"/>
  <c r="J68" i="5"/>
  <c r="K68" i="5"/>
  <c r="E68" i="5"/>
  <c r="F68" i="5" s="1"/>
  <c r="L68" i="5" s="1"/>
  <c r="N68" i="5" s="1"/>
  <c r="C69" i="5"/>
  <c r="E45" i="5"/>
  <c r="F45" i="5" s="1"/>
  <c r="J45" i="5"/>
  <c r="C46" i="5"/>
  <c r="H45" i="5"/>
  <c r="K45" i="5"/>
  <c r="E22" i="5"/>
  <c r="F22" i="5" s="1"/>
  <c r="K22" i="5"/>
  <c r="H22" i="5"/>
  <c r="J22" i="5"/>
  <c r="C23" i="5"/>
  <c r="L67" i="5"/>
  <c r="N67" i="5" s="1"/>
  <c r="L22" i="5" l="1"/>
  <c r="N22" i="5" s="1"/>
  <c r="E69" i="5"/>
  <c r="F69" i="5" s="1"/>
  <c r="H69" i="5"/>
  <c r="J69" i="5"/>
  <c r="K69" i="5"/>
  <c r="C70" i="5"/>
  <c r="K46" i="5"/>
  <c r="E46" i="5"/>
  <c r="F46" i="5" s="1"/>
  <c r="H46" i="5"/>
  <c r="C47" i="5"/>
  <c r="J46" i="5"/>
  <c r="E23" i="5"/>
  <c r="F23" i="5" s="1"/>
  <c r="H23" i="5"/>
  <c r="K23" i="5"/>
  <c r="C24" i="5"/>
  <c r="J23" i="5"/>
  <c r="L45" i="5"/>
  <c r="N45" i="5" s="1"/>
  <c r="E70" i="5" l="1"/>
  <c r="F70" i="5" s="1"/>
  <c r="H70" i="5"/>
  <c r="J70" i="5"/>
  <c r="K70" i="5"/>
  <c r="C71" i="5"/>
  <c r="H47" i="5"/>
  <c r="C48" i="5"/>
  <c r="J47" i="5"/>
  <c r="K47" i="5"/>
  <c r="E47" i="5"/>
  <c r="F47" i="5" s="1"/>
  <c r="J24" i="5"/>
  <c r="H24" i="5"/>
  <c r="C25" i="5"/>
  <c r="K24" i="5"/>
  <c r="E24" i="5"/>
  <c r="F24" i="5" s="1"/>
  <c r="L46" i="5"/>
  <c r="N46" i="5" s="1"/>
  <c r="L23" i="5"/>
  <c r="N23" i="5" s="1"/>
  <c r="L69" i="5"/>
  <c r="N69" i="5" s="1"/>
  <c r="L24" i="5" l="1"/>
  <c r="N24" i="5" s="1"/>
  <c r="L47" i="5"/>
  <c r="N47" i="5" s="1"/>
  <c r="E71" i="5"/>
  <c r="F71" i="5" s="1"/>
  <c r="H71" i="5"/>
  <c r="J71" i="5"/>
  <c r="K71" i="5"/>
  <c r="C72" i="5"/>
  <c r="E48" i="5"/>
  <c r="F48" i="5" s="1"/>
  <c r="K48" i="5"/>
  <c r="J48" i="5"/>
  <c r="H48" i="5"/>
  <c r="C49" i="5"/>
  <c r="H25" i="5"/>
  <c r="C26" i="5"/>
  <c r="K25" i="5"/>
  <c r="E25" i="5"/>
  <c r="F25" i="5" s="1"/>
  <c r="J25" i="5"/>
  <c r="L70" i="5"/>
  <c r="N70" i="5" s="1"/>
  <c r="L25" i="5" l="1"/>
  <c r="N25" i="5" s="1"/>
  <c r="E72" i="5"/>
  <c r="F72" i="5" s="1"/>
  <c r="H72" i="5"/>
  <c r="J72" i="5"/>
  <c r="K72" i="5"/>
  <c r="J49" i="5"/>
  <c r="K49" i="5"/>
  <c r="E49" i="5"/>
  <c r="F49" i="5" s="1"/>
  <c r="H49" i="5"/>
  <c r="E26" i="5"/>
  <c r="F26" i="5" s="1"/>
  <c r="H26" i="5"/>
  <c r="J26" i="5"/>
  <c r="K26" i="5"/>
  <c r="L48" i="5"/>
  <c r="N48" i="5" s="1"/>
  <c r="L71" i="5"/>
  <c r="N71" i="5" s="1"/>
  <c r="L49" i="5" l="1"/>
  <c r="L72" i="5"/>
  <c r="L26" i="5"/>
  <c r="B50" i="5" l="1"/>
  <c r="B51" i="5" s="1"/>
  <c r="B52" i="5" s="1"/>
  <c r="B54" i="5" s="1"/>
  <c r="B55" i="5" s="1"/>
  <c r="B34" i="1" s="1"/>
  <c r="N49" i="5"/>
  <c r="B73" i="5"/>
  <c r="B74" i="5" s="1"/>
  <c r="B75" i="5" s="1"/>
  <c r="B77" i="5" s="1"/>
  <c r="B78" i="5" s="1"/>
  <c r="B35" i="1" s="1"/>
  <c r="N72" i="5"/>
  <c r="B27" i="5"/>
  <c r="B28" i="5" s="1"/>
  <c r="B29" i="5" s="1"/>
  <c r="B31" i="5" s="1"/>
  <c r="B32" i="5" s="1"/>
  <c r="B33" i="1" s="1"/>
  <c r="N26" i="5"/>
  <c r="C34" i="1" l="1"/>
  <c r="D34" i="1"/>
  <c r="C35" i="1"/>
  <c r="D35" i="1"/>
  <c r="C33" i="1"/>
  <c r="D33" i="1"/>
</calcChain>
</file>

<file path=xl/sharedStrings.xml><?xml version="1.0" encoding="utf-8"?>
<sst xmlns="http://schemas.openxmlformats.org/spreadsheetml/2006/main" count="316" uniqueCount="233">
  <si>
    <t>英伟达（NVDA）巴菲特框架估值</t>
  </si>
  <si>
    <t>研究日 2026-10-29｜收盘价 $215.38｜最新财报：FY2027 Q2（2026-07-26）</t>
  </si>
  <si>
    <t>市值按 24.100B 股计算；净负债 = 债务 + 融资租赁 − 现金及有价证券。数据边界见报告第 1 节。</t>
  </si>
  <si>
    <t>一句话结论</t>
  </si>
  <si>
    <t>好生意，价格大致合理，但没有安全边际。AI 需求是真的，估值也把未来两年的高增长提前付掉了。结论：观察，等周期或情绪给出折扣。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</si>
  <si>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</si>
  <si>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</si>
  <si>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</si>
  <si>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</si>
  <si>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</si>
  <si>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</si>
  <si>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</si>
  <si>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</si>
  <si>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</si>
  <si>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</si>
  <si>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</si>
  <si>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</si>
  <si>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</si>
  <si>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</si>
  <si>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</si>
  <si>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</si>
  <si>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</si>
  <si>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</si>
  <si>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</si>
  <si>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(1−17%)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</si>
  <si>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</si>
  <si>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</si>
  <si>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</si>
  <si>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</si>
  <si>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</si>
  <si>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稀释口径；GAAP</t>
  </si>
  <si>
    <t>FY2027E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</si>
  <si>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</si>
  <si>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</si>
  <si>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</si>
  <si>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</si>
  <si>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</si>
  <si>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</si>
  <si>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</si>
  <si>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</si>
  <si>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</si>
  <si>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</si>
  <si>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</si>
  <si>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</si>
  <si>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</si>
  <si>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</si>
  <si>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</si>
  <si>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</si>
  <si>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</si>
  <si>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</si>
  <si>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</si>
  <si>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</si>
  <si>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</si>
  <si>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</si>
  <si>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</si>
  <si>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</si>
  <si>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</si>
  <si>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</si>
  <si>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</si>
  <si>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</si>
  <si>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$226，现价 $215.38；现价低于基准 4.7%。</t>
  </si>
  <si>
    <t>• 悲观 $94；基准 $226；乐观 $440；概率加权约 $229。</t>
  </si>
  <si>
    <t>• 反推：现价隐含未来 10 年收入 CAGR 约 15.1%，基准情景约 14.3%。</t>
  </si>
  <si>
    <t>• 若要求 20% 安全边际，观察价约 $181（基准价值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</si>
  <si>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</si>
  <si>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</si>
  <si>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英伟达五年财务与现金流（十亿美元，除每股数据）</t>
  </si>
  <si>
    <t>来源：公司 10-K/10-Q；TTM = 最近四个季度。</t>
  </si>
  <si>
    <t>FY2022</t>
  </si>
  <si>
    <t>FY2023</t>
  </si>
  <si>
    <t>FY2024</t>
  </si>
  <si>
    <t>FY2025</t>
  </si>
  <si>
    <t>FY2026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</si>
  <si>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</si>
  <si>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</si>
  <si>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</si>
  <si>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</si>
  <si>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</si>
  <si>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</si>
  <si>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</si>
  <si>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</si>
  <si>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</si>
  <si>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</si>
  <si>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</si>
  <si>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</si>
  <si>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</si>
  <si>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</si>
  <si>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</si>
  <si>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</si>
  <si>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</si>
  <si>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</si>
  <si>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</si>
  <si>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</si>
  <si>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FY2022–FY2026 收入 CAGR 约 68%；经营利润 CAGR 约 90%；EPS CAGR 约 88%。</t>
  </si>
  <si>
    <t>• FY2026 收入 +66%，经营利润 +60%，净利润 +65%；AI 数据中心是唯一主引擎。</t>
  </si>
  <si>
    <t>• TTM 经营利润率 65.2%，净利率 63.7%；这是半导体史上前所未见的盈利水平。</t>
  </si>
  <si>
    <t>• TTM capex 仅 7.4B，占收入 2.4%；Fabless 模式让 FCF 转化率极高（FCF/NOPAT 77%）。</t>
  </si>
  <si>
    <t>• 风险不在当前损益表，而在 279B 供应承诺、99B 股权投资和 108.5B 担保的资产负债表外敞口。</t>
  </si>
  <si>
    <t>英伟达：分部与关键运营数据</t>
  </si>
  <si>
    <t>单位：十亿美元，另有注明除外；同比为公开披露口径。</t>
  </si>
  <si>
    <t>Q2 FY2027 市场平台（新口径）</t>
  </si>
  <si>
    <t>单位：十亿美元；财季截至 2026-07-26。</t>
  </si>
  <si>
    <t>平台</t>
  </si>
  <si>
    <t>同比</t>
  </si>
  <si>
    <t>占比</t>
  </si>
  <si>
    <t>Data Center</t>
  </si>
  <si>
    <t>Hyperscale 48.710；ACIE 40.313</t>
  </si>
  <si>
    <t>Edge Computing</t>
  </si>
  <si>
    <t>PC、机器人、汽车等边缘 AI</t>
  </si>
  <si>
    <t>Total</t>
  </si>
  <si>
    <t>收入 +106% YoY，+18% QoQ</t>
  </si>
  <si>
    <t>FY2026 年度收入结构</t>
  </si>
  <si>
    <t>单位：十亿美元；财年截至 2026-01-25。</t>
  </si>
  <si>
    <t>市场</t>
  </si>
  <si>
    <t>FY2026 收入</t>
  </si>
  <si>
    <t>Compute 162.361 / Networking 31.376</t>
  </si>
  <si>
    <t>Gaming</t>
  </si>
  <si>
    <t>Blackwell 需求强</t>
  </si>
  <si>
    <t>Professional Visualization</t>
  </si>
  <si>
    <t>DGX Spark</t>
  </si>
  <si>
    <t>Automotive</t>
  </si>
  <si>
    <t>自驾驶平台</t>
  </si>
  <si>
    <t>OEM and Other</t>
  </si>
  <si>
    <t>FY2026 收入 +66%</t>
  </si>
  <si>
    <t>解读</t>
  </si>
  <si>
    <t>• Data Center 占总收入 92.5%；Hyperscale 48.7B、ACIE 40.3B，客户集中度高。</t>
  </si>
  <si>
    <t>• Edge Computing（PC/机器人/汽车）仅 7.2B，+27%，尚不能对冲数据中心周期。</t>
  </si>
  <si>
    <t>• Q3 FY27 指引 108.0B，+12% QoQ；公司假设中国数据中心收入为零。</t>
  </si>
  <si>
    <t>• 供应承诺 279B、云承诺 29B、数据中心租赁 25B、股权投资承诺 25B、capex 8B，合计 366B。</t>
  </si>
  <si>
    <t>• 股权投资 99B（含 OpenAI 等），另担保 108.5B（含 SB Energy/OpenAI 105B）；这些是“生态循环”的隐性地雷。</t>
  </si>
  <si>
    <t>• DSO 约 60 天，应收账款 63.1B；收入质量需持续跟踪。</t>
  </si>
  <si>
    <t>NVDA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</si>
  <si>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</si>
  <si>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</si>
  <si>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</si>
  <si>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</si>
  <si>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</si>
  <si>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</si>
  <si>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</si>
  <si>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</si>
  <si>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</si>
  <si>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</si>
  <si>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</si>
  <si>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</si>
  <si>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</si>
  <si>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</si>
  <si>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</si>
  <si>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</si>
  <si>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与公司 FCF 差 0.1B（汇率/其他）</t>
  </si>
  <si>
    <t>现金转化率</t>
  </si>
  <si>
    <t>Capex / D&amp;A</t>
  </si>
  <si>
    <t>资本开支是折旧的倍数</t>
  </si>
  <si>
    <t>• TTM NOPAT 164B，capex 仅 7.4B，理论上 FCF 应接近 160B；实际 126.9B，差额主要是应收账款和存货扩张（-40.7B）。</t>
  </si>
  <si>
    <t>• 应收账款 63.1B、库存 31.6B，分别同比 +64% / +47%；增长质量需跟踪。</t>
  </si>
  <si>
    <t>• SBC 7.2B 加回后与 CFO 对齐；股权激励占收入仅 2.4%，远低于 META/TSLA。</t>
  </si>
  <si>
    <t>• Fabless 模式是 FCF 机器，但 279B 供应承诺可能在周期下行时变成库存和减值。</t>
  </si>
  <si>
    <t>三情景 FCFF DCF（未来 12 个月起算，10 年明确预测）</t>
  </si>
  <si>
    <t>单位：十亿美元，除每股数据；第 1 年约为未来四个季度；终值用永续增长。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</si>
  <si>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</si>
  <si>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</si>
  <si>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</si>
  <si>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</si>
  <si>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</si>
  <si>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</si>
  <si>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33.366 + 0.000 − 56.586 = -23.220；股权投资仅用于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</si>
  <si>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</si>
  <si>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</si>
  <si>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</si>
  <si>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</si>
  <si>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</si>
  <si>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</si>
  <si>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</si>
  <si>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</si>
  <si>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</si>
  <si>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</si>
  <si>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</si>
  <si>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</si>
  <si>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</si>
  <si>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</si>
  <si>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</si>
  <si>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</si>
  <si>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</si>
  <si>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</si>
  <si>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</si>
  <si>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</si>
  <si>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47%；终值 FCF 180B；终值收入 678B</t>
  </si>
  <si>
    <t>基准情景</t>
  </si>
  <si>
    <t>TV 占比 60%；终值 FCF 442B；终值收入 1150B</t>
  </si>
  <si>
    <t>乐观情景</t>
  </si>
  <si>
    <t>TV 占比 70%；终值 FCF 751B；终值收入 1725B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</si>
  <si>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</si>
  <si>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</si>
  <si>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</si>
  <si>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</si>
  <si>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</si>
  <si>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$215.38</t>
  </si>
  <si>
    <t>基准情景 10 年 CAGR</t>
  </si>
  <si>
    <t>正常化盈利交叉检查（每股美元）</t>
  </si>
  <si>
    <t>正常化情景</t>
  </si>
  <si>
    <t>正常化 EBIT</t>
  </si>
  <si>
    <t>倍数</t>
  </si>
  <si>
    <t>AI 峰值延续</t>
  </si>
  <si>
    <t>周期正常化</t>
  </si>
  <si>
    <t>深度衰退</t>
  </si>
  <si>
    <t>股权价值 = 正常化 EBIT × 倍数 + 净现金 23.2B；股数 24.1B。仅作交叉检查，不替代 DCF。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</si>
  <si>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</si>
  <si>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</si>
  <si>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</si>
  <si>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</si>
  <si>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</si>
  <si>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</si>
  <si>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FY2027 Q2 业绩</t>
  </si>
  <si>
    <t>SEC 8-K Exhibit 99.1</t>
  </si>
  <si>
    <t>2026-08-26</t>
  </si>
  <si>
    <t>https://www.sec.gov/Archives/edgar/data/1045810/000104581026000073/q2fy27pr.htm</t>
  </si>
  <si>
    <t>FY2027 Q2 10-Q</t>
  </si>
  <si>
    <t>SEC EDGAR, NVIDIA Corp.</t>
  </si>
  <si>
    <t>https://www.sec.gov/Archives/edgar/data/1045810/000104581026000075/nvda-20260726.htm</t>
  </si>
  <si>
    <t>FY2026 10-K</t>
  </si>
  <si>
    <t>2026-02-25</t>
  </si>
  <si>
    <t>https://www.sec.gov/Archives/edgar/data/1045810/000104581026000021/nvda-20260125.htm</t>
  </si>
  <si>
    <t>价格/市值</t>
  </si>
  <si>
    <t>Yahoo Finance / StockAnalysis</t>
  </si>
  <si>
    <t>2026-10-28</t>
  </si>
  <si>
    <t>收盘 215.38；市值约 5,191B</t>
  </si>
  <si>
    <t>一致预期</t>
  </si>
  <si>
    <t>Yahoo Finance / Investing.com</t>
  </si>
  <si>
    <t>2026-10</t>
  </si>
  <si>
    <t>FY2027E EPS 约 9.85；FY2028E 约 12.4</t>
  </si>
  <si>
    <t>10Y 美债</t>
  </si>
  <si>
    <t>YCharts / CNBC</t>
  </si>
  <si>
    <t>5.03%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</si>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</sst>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NVDA </a:t>
            </a:r>
            <a:r>
              <a:rPr lang="zh-CN" altLang="en-US"/>
              <a:t>三情景每股价值 </a:t>
            </a:r>
            <a:r>
              <a:rPr lang="en-US"/>
              <a:t>vs </a:t>
            </a:r>
            <a:r>
              <a:rPr lang="zh-CN" altLang="en-US"/>
              <a:t>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E8-47D8-9E2E-40F6519F8B59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E8-47D8-9E2E-40F6519F8B59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E8-47D8-9E2E-40F6519F8B59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DE8-47D8-9E2E-40F6519F8B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93.97927861500709</c:v>
                </c:pt>
                <c:pt idx="1">
                  <c:v>226.00737014852251</c:v>
                </c:pt>
                <c:pt idx="2">
                  <c:v>440.09891478812671</c:v>
                </c:pt>
                <c:pt idx="3">
                  <c:v>215.38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E8-47D8-9E2E-40F6519F8B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美元</a:t>
                </a:r>
                <a:r>
                  <a:rPr lang="en-US" altLang="zh-CN"/>
                  <a:t>/</a:t>
                </a:r>
                <a:r>
                  <a:rPr lang="zh-CN" altLang="en-US"/>
                  <a:t>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220.37310672000007</c:v>
                </c:pt>
                <c:pt idx="1">
                  <c:v>275.53012828800001</c:v>
                </c:pt>
                <c:pt idx="2">
                  <c:v>316.87220260800001</c:v>
                </c:pt>
                <c:pt idx="3">
                  <c:v>347.90189556095999</c:v>
                </c:pt>
                <c:pt idx="4">
                  <c:v>367.72368580321927</c:v>
                </c:pt>
                <c:pt idx="5">
                  <c:v>386.67920760030199</c:v>
                </c:pt>
                <c:pt idx="6">
                  <c:v>398.55817115367142</c:v>
                </c:pt>
                <c:pt idx="7">
                  <c:v>420.60001105108728</c:v>
                </c:pt>
                <c:pt idx="8">
                  <c:v>428.46584917835963</c:v>
                </c:pt>
                <c:pt idx="9">
                  <c:v>441.64181802734157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40-420A-8EC8-D95E53234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>
      <c r="A10" s="6" t="s">
        <v>9</v>
      </c>
      <c r="B10" s="7">
        <v>215.38</v>
      </c>
      <c r="C10" s="8" t="s">
        <v>10</v>
      </c>
    </row>
    <row r="11" spans="1:13">
      <c r="A11" s="6" t="s">
        <v>11</v>
      </c>
      <c r="B11" s="9">
        <v>24.1</v>
      </c>
      <c r="C11" s="8" t="s">
        <v>12</v>
      </c>
    </row>
    <row r="12" spans="1:13">
      <c r="A12" s="6" t="s">
        <v>13</v>
      </c>
      <c r="B12" s="10">
        <f>B10*B11</f>
        <v>5190.6580000000004</v>
      </c>
      <c r="C12" s="8" t="s">
        <v>14</v>
      </c>
    </row>
    <row r="13" spans="1:13">
      <c r="A13" s="6" t="s">
        <v>15</v>
      </c>
      <c r="B13" s="11">
        <v>-23.22</v>
      </c>
      <c r="C13" s="8" t="s">
        <v>16</v>
      </c>
    </row>
    <row r="14" spans="1:13">
      <c r="A14" s="6" t="s">
        <v>17</v>
      </c>
      <c r="B14" s="10">
        <f>B12+B13</f>
        <v>5167.4380000000001</v>
      </c>
      <c r="C14" s="8" t="s">
        <v>18</v>
      </c>
    </row>
    <row r="15" spans="1:13">
      <c r="A15" s="6" t="s">
        <v>19</v>
      </c>
      <c r="B15" s="11">
        <v>302.97000000000003</v>
      </c>
      <c r="C15" s="8" t="s">
        <v>20</v>
      </c>
    </row>
    <row r="16" spans="1:13">
      <c r="A16" s="6" t="s">
        <v>21</v>
      </c>
      <c r="B16" s="11">
        <v>197.57900000000001</v>
      </c>
      <c r="C16" s="8" t="s">
        <v>22</v>
      </c>
    </row>
    <row r="17" spans="1:5">
      <c r="A17" s="6" t="s">
        <v>23</v>
      </c>
      <c r="B17" s="11">
        <v>163.99100000000001</v>
      </c>
      <c r="C17" s="8" t="s">
        <v>24</v>
      </c>
    </row>
    <row r="18" spans="1:5">
      <c r="A18" s="6" t="s">
        <v>25</v>
      </c>
      <c r="B18" s="11">
        <v>126.9</v>
      </c>
      <c r="C18" s="8" t="s">
        <v>26</v>
      </c>
    </row>
    <row r="19" spans="1:5">
      <c r="A19" s="6" t="s">
        <v>27</v>
      </c>
      <c r="B19" s="11">
        <v>448.4</v>
      </c>
      <c r="C19" s="8" t="s">
        <v>28</v>
      </c>
    </row>
    <row r="20" spans="1:5">
      <c r="A20" s="6" t="s">
        <v>29</v>
      </c>
      <c r="B20" s="12">
        <v>8</v>
      </c>
      <c r="C20" s="8" t="s">
        <v>30</v>
      </c>
    </row>
    <row r="21" spans="1:5">
      <c r="A21" s="6" t="s">
        <v>31</v>
      </c>
      <c r="B21" s="12">
        <v>9.85</v>
      </c>
      <c r="C21" s="8" t="s">
        <v>32</v>
      </c>
    </row>
    <row r="22" spans="1:5">
      <c r="A22" s="6" t="s">
        <v>33</v>
      </c>
      <c r="B22" s="13">
        <f>B14/B16</f>
        <v>26.153781525364536</v>
      </c>
      <c r="C22" s="8" t="s">
        <v>34</v>
      </c>
    </row>
    <row r="23" spans="1:5">
      <c r="A23" s="6" t="s">
        <v>35</v>
      </c>
      <c r="B23" s="13">
        <f>B10/B20</f>
        <v>26.922499999999999</v>
      </c>
      <c r="C23" s="8" t="s">
        <v>36</v>
      </c>
    </row>
    <row r="24" spans="1:5">
      <c r="A24" s="6" t="s">
        <v>37</v>
      </c>
      <c r="B24" s="13">
        <f>B10/B21</f>
        <v>21.865989847715735</v>
      </c>
      <c r="C24" s="8" t="s">
        <v>38</v>
      </c>
    </row>
    <row r="25" spans="1:5">
      <c r="A25" s="6" t="s">
        <v>39</v>
      </c>
      <c r="B25" s="14">
        <f>B18/B12</f>
        <v>2.4447767508473876E-2</v>
      </c>
      <c r="C25" s="8" t="s">
        <v>40</v>
      </c>
    </row>
    <row r="26" spans="1:5">
      <c r="A26" s="6" t="s">
        <v>41</v>
      </c>
      <c r="B26" s="13">
        <f>B14/B18</f>
        <v>40.720551615445231</v>
      </c>
      <c r="C26" s="8" t="s">
        <v>42</v>
      </c>
    </row>
    <row r="27" spans="1:5">
      <c r="A27" s="6" t="s">
        <v>43</v>
      </c>
      <c r="B27" s="15">
        <v>2.427303033303627E-2</v>
      </c>
      <c r="C27" s="8" t="s">
        <v>44</v>
      </c>
    </row>
    <row r="28" spans="1:5" ht="26.4">
      <c r="A28" s="6" t="s">
        <v>45</v>
      </c>
      <c r="B28" s="16">
        <f>B18/B17</f>
        <v>0.7738229536986786</v>
      </c>
      <c r="C28" s="8" t="s">
        <v>46</v>
      </c>
    </row>
    <row r="29" spans="1:5">
      <c r="A29" s="6" t="s">
        <v>47</v>
      </c>
      <c r="B29" s="17">
        <v>4.6429566347850311E-3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f>DCF!B32</f>
        <v>93.97927861500709</v>
      </c>
      <c r="C33" s="15">
        <f>B33/$B$10-1</f>
        <v>-0.56365828482214186</v>
      </c>
      <c r="D33" s="15">
        <f>1-$B$10/B33</f>
        <v>-1.2917817967332961</v>
      </c>
      <c r="E33" s="17">
        <v>6.2199999999999998E-2</v>
      </c>
    </row>
    <row r="34" spans="1:5">
      <c r="A34" s="18" t="s">
        <v>55</v>
      </c>
      <c r="B34" s="19">
        <f>DCF!B55</f>
        <v>226.00737014852251</v>
      </c>
      <c r="C34" s="15">
        <f>B34/$B$10-1</f>
        <v>4.9342418741399108E-2</v>
      </c>
      <c r="D34" s="15">
        <f>1-$B$10/B34</f>
        <v>4.7022228264231636E-2</v>
      </c>
      <c r="E34" s="17">
        <v>9.8699999999999996E-2</v>
      </c>
    </row>
    <row r="35" spans="1:5">
      <c r="A35" s="6" t="s">
        <v>56</v>
      </c>
      <c r="B35" s="7">
        <f>DCF!B78</f>
        <v>440.09891478812671</v>
      </c>
      <c r="C35" s="15">
        <f>B35/$B$10-1</f>
        <v>1.0433601763772251</v>
      </c>
      <c r="D35" s="15">
        <f>1-$B$10/B35</f>
        <v>0.51061001796905436</v>
      </c>
      <c r="E35" s="17">
        <v>0.13270000000000001</v>
      </c>
    </row>
    <row r="36" spans="1:5">
      <c r="A36" s="20" t="s">
        <v>57</v>
      </c>
      <c r="B36" s="21">
        <v>215.38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28" t="s">
        <v>60</v>
      </c>
      <c r="B39" s="27"/>
      <c r="C39" s="27"/>
      <c r="D39" s="27"/>
      <c r="E39" s="27"/>
    </row>
    <row r="40" spans="1:5" ht="28.05" customHeight="1">
      <c r="A40" s="28" t="s">
        <v>61</v>
      </c>
      <c r="B40" s="27"/>
      <c r="C40" s="27"/>
      <c r="D40" s="27"/>
      <c r="E40" s="27"/>
    </row>
    <row r="41" spans="1:5" ht="28.05" customHeight="1">
      <c r="A41" s="28" t="s">
        <v>62</v>
      </c>
      <c r="B41" s="27"/>
      <c r="C41" s="27"/>
      <c r="D41" s="27"/>
      <c r="E41" s="27"/>
    </row>
    <row r="42" spans="1:5" ht="28.05" customHeight="1">
      <c r="A42" s="28" t="s">
        <v>63</v>
      </c>
      <c r="B42" s="27"/>
      <c r="C42" s="27"/>
      <c r="D42" s="27"/>
      <c r="E42" s="27"/>
    </row>
    <row r="43" spans="1:5" ht="28.05" customHeight="1">
      <c r="A43" s="28" t="s">
        <v>64</v>
      </c>
      <c r="B43" s="27"/>
      <c r="C43" s="27"/>
      <c r="D43" s="27"/>
      <c r="E43" s="27"/>
    </row>
    <row r="44" spans="1:5" ht="28.05" customHeight="1">
      <c r="A44" s="28" t="s">
        <v>65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28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6" t="s">
        <v>67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44</v>
      </c>
      <c r="H4" s="5" t="s">
        <v>8</v>
      </c>
    </row>
    <row r="5" spans="1:8">
      <c r="A5" s="6" t="s">
        <v>73</v>
      </c>
      <c r="B5" s="11">
        <v>26.914000000000001</v>
      </c>
      <c r="C5" s="11">
        <v>26.974</v>
      </c>
      <c r="D5" s="11">
        <v>60.921999999999997</v>
      </c>
      <c r="E5" s="11">
        <v>130.49700000000001</v>
      </c>
      <c r="F5" s="11">
        <v>215.93799999999999</v>
      </c>
      <c r="G5" s="11">
        <v>302.97000000000003</v>
      </c>
      <c r="H5" s="8" t="s">
        <v>74</v>
      </c>
    </row>
    <row r="6" spans="1:8">
      <c r="A6" s="6" t="s">
        <v>75</v>
      </c>
      <c r="B6" s="11">
        <v>10.041</v>
      </c>
      <c r="C6" s="11">
        <v>4.2240000000000002</v>
      </c>
      <c r="D6" s="11">
        <v>32.972000000000001</v>
      </c>
      <c r="E6" s="11">
        <v>81.453000000000003</v>
      </c>
      <c r="F6" s="11">
        <v>130.387</v>
      </c>
      <c r="G6" s="11">
        <v>197.57900000000001</v>
      </c>
      <c r="H6" s="8" t="s">
        <v>76</v>
      </c>
    </row>
    <row r="7" spans="1:8">
      <c r="A7" s="6" t="s">
        <v>77</v>
      </c>
      <c r="B7" s="11">
        <v>9.7520000000000007</v>
      </c>
      <c r="C7" s="11">
        <v>4.3680000000000003</v>
      </c>
      <c r="D7" s="11">
        <v>29.76</v>
      </c>
      <c r="E7" s="11">
        <v>72.88</v>
      </c>
      <c r="F7" s="11">
        <v>120.06699999999999</v>
      </c>
      <c r="G7" s="11">
        <v>192.88</v>
      </c>
      <c r="H7" s="8" t="s">
        <v>76</v>
      </c>
    </row>
    <row r="8" spans="1:8">
      <c r="A8" s="6" t="s">
        <v>78</v>
      </c>
      <c r="B8" s="11">
        <v>9.1080000000000005</v>
      </c>
      <c r="C8" s="11">
        <v>5.641</v>
      </c>
      <c r="D8" s="11">
        <v>28.09</v>
      </c>
      <c r="E8" s="11">
        <v>64.088999999999999</v>
      </c>
      <c r="F8" s="11">
        <v>102.718</v>
      </c>
      <c r="G8" s="11">
        <v>134.36000000000001</v>
      </c>
      <c r="H8" s="8" t="s">
        <v>79</v>
      </c>
    </row>
    <row r="9" spans="1:8">
      <c r="A9" s="6" t="s">
        <v>80</v>
      </c>
      <c r="B9" s="11">
        <v>0.97599999999999998</v>
      </c>
      <c r="C9" s="11">
        <v>1.833</v>
      </c>
      <c r="D9" s="11">
        <v>1.069</v>
      </c>
      <c r="E9" s="11">
        <v>3.2360000000000002</v>
      </c>
      <c r="F9" s="11">
        <v>6.0419999999999998</v>
      </c>
      <c r="G9" s="11">
        <v>7.3540000000000001</v>
      </c>
      <c r="H9" s="8" t="s">
        <v>81</v>
      </c>
    </row>
    <row r="10" spans="1:8">
      <c r="A10" s="6" t="s">
        <v>82</v>
      </c>
      <c r="B10" s="11">
        <v>8.1319999999999997</v>
      </c>
      <c r="C10" s="11">
        <v>3.8079999999999998</v>
      </c>
      <c r="D10" s="11">
        <v>27.021000000000001</v>
      </c>
      <c r="E10" s="11">
        <v>60.853000000000002</v>
      </c>
      <c r="F10" s="11">
        <v>96.676000000000002</v>
      </c>
      <c r="G10" s="11">
        <v>126.9</v>
      </c>
      <c r="H10" s="8" t="s">
        <v>83</v>
      </c>
    </row>
    <row r="11" spans="1:8">
      <c r="A11" s="6" t="s">
        <v>84</v>
      </c>
      <c r="B11" s="12">
        <v>0.39</v>
      </c>
      <c r="C11" s="12">
        <v>0.17</v>
      </c>
      <c r="D11" s="12">
        <v>1.19</v>
      </c>
      <c r="E11" s="12">
        <v>2.94</v>
      </c>
      <c r="F11" s="12">
        <v>4.9000000000000004</v>
      </c>
      <c r="G11" s="12">
        <v>8</v>
      </c>
      <c r="H11" s="8" t="s">
        <v>85</v>
      </c>
    </row>
    <row r="12" spans="1:8">
      <c r="A12" s="6" t="s">
        <v>86</v>
      </c>
      <c r="B12" s="9">
        <v>25</v>
      </c>
      <c r="C12" s="9">
        <v>25.7</v>
      </c>
      <c r="D12" s="9">
        <v>25</v>
      </c>
      <c r="E12" s="9">
        <v>24.8</v>
      </c>
      <c r="F12" s="9">
        <v>24.5</v>
      </c>
      <c r="G12" s="9">
        <v>24.1</v>
      </c>
      <c r="H12" s="8" t="s">
        <v>87</v>
      </c>
    </row>
    <row r="14" spans="1:8">
      <c r="A14" s="6" t="s">
        <v>88</v>
      </c>
      <c r="C14" s="15">
        <f>C5/B5-1</f>
        <v>2.2293230289067711E-3</v>
      </c>
      <c r="D14" s="15">
        <f>D5/C5-1</f>
        <v>1.2585452658115219</v>
      </c>
      <c r="E14" s="15">
        <f>E5/D5-1</f>
        <v>1.1420340763599359</v>
      </c>
      <c r="F14" s="15">
        <f>F5/E5-1</f>
        <v>0.65473535790094761</v>
      </c>
      <c r="G14" s="15">
        <f>G5/F5-1</f>
        <v>0.4030416137965529</v>
      </c>
    </row>
    <row r="15" spans="1:8">
      <c r="A15" s="6" t="s">
        <v>89</v>
      </c>
      <c r="B15" s="15">
        <f t="shared" ref="B15:G15" si="0">B6/B5</f>
        <v>0.37307720888756779</v>
      </c>
      <c r="C15" s="15">
        <f t="shared" si="0"/>
        <v>0.15659523986060653</v>
      </c>
      <c r="D15" s="15">
        <f t="shared" si="0"/>
        <v>0.54121663766783756</v>
      </c>
      <c r="E15" s="15">
        <f t="shared" si="0"/>
        <v>0.62417526839697457</v>
      </c>
      <c r="F15" s="15">
        <f t="shared" si="0"/>
        <v>0.60381683631412719</v>
      </c>
      <c r="G15" s="15">
        <f t="shared" si="0"/>
        <v>0.65214047595471492</v>
      </c>
    </row>
    <row r="16" spans="1:8">
      <c r="A16" s="6" t="s">
        <v>90</v>
      </c>
      <c r="B16" s="15">
        <f t="shared" ref="B16:G16" si="1">B7/B5</f>
        <v>0.36233930296499961</v>
      </c>
      <c r="C16" s="15">
        <f t="shared" si="1"/>
        <v>0.16193371394676356</v>
      </c>
      <c r="D16" s="15">
        <f t="shared" si="1"/>
        <v>0.48849348347066746</v>
      </c>
      <c r="E16" s="15">
        <f t="shared" si="1"/>
        <v>0.55848027157712432</v>
      </c>
      <c r="F16" s="15">
        <f t="shared" si="1"/>
        <v>0.55602534060702613</v>
      </c>
      <c r="G16" s="15">
        <f t="shared" si="1"/>
        <v>0.63663068950721191</v>
      </c>
    </row>
    <row r="17" spans="1:8">
      <c r="A17" s="6" t="s">
        <v>91</v>
      </c>
      <c r="B17" s="15">
        <f t="shared" ref="B17:G17" si="2">B10/B5</f>
        <v>0.30214758118451363</v>
      </c>
      <c r="C17" s="15">
        <f t="shared" si="2"/>
        <v>0.14117298138948617</v>
      </c>
      <c r="D17" s="15">
        <f t="shared" si="2"/>
        <v>0.44353435540527236</v>
      </c>
      <c r="E17" s="15">
        <f t="shared" si="2"/>
        <v>0.46631723334636044</v>
      </c>
      <c r="F17" s="15">
        <f t="shared" si="2"/>
        <v>0.44770258129648327</v>
      </c>
      <c r="G17" s="15">
        <f t="shared" si="2"/>
        <v>0.41885335181701155</v>
      </c>
    </row>
    <row r="18" spans="1:8">
      <c r="A18" s="6" t="s">
        <v>43</v>
      </c>
      <c r="B18" s="15">
        <f t="shared" ref="B18:G18" si="3">B9/B5</f>
        <v>3.6263654603552055E-2</v>
      </c>
      <c r="C18" s="15">
        <f t="shared" si="3"/>
        <v>6.7954326388373981E-2</v>
      </c>
      <c r="D18" s="15">
        <f t="shared" si="3"/>
        <v>1.7547027346442992E-2</v>
      </c>
      <c r="E18" s="15">
        <f t="shared" si="3"/>
        <v>2.4797504923484828E-2</v>
      </c>
      <c r="F18" s="15">
        <f t="shared" si="3"/>
        <v>2.7980253591308617E-2</v>
      </c>
      <c r="G18" s="15">
        <f t="shared" si="3"/>
        <v>2.4273030333036273E-2</v>
      </c>
    </row>
    <row r="19" spans="1:8">
      <c r="A19" s="6" t="s">
        <v>45</v>
      </c>
      <c r="B19" s="15">
        <f t="shared" ref="B19:G19" si="4">B10/(B6*(1-0.17))</f>
        <v>0.97575842659553658</v>
      </c>
      <c r="C19" s="15">
        <f t="shared" si="4"/>
        <v>1.0861628331507849</v>
      </c>
      <c r="D19" s="15">
        <f t="shared" si="4"/>
        <v>0.98736569473331892</v>
      </c>
      <c r="E19" s="15">
        <f t="shared" si="4"/>
        <v>0.90011254919867301</v>
      </c>
      <c r="F19" s="15">
        <f t="shared" si="4"/>
        <v>0.89331841697205194</v>
      </c>
      <c r="G19" s="15">
        <f t="shared" si="4"/>
        <v>0.77382498274138578</v>
      </c>
    </row>
    <row r="21" spans="1:8" ht="16.2">
      <c r="A21" s="3" t="s">
        <v>92</v>
      </c>
      <c r="B21" s="4"/>
      <c r="C21" s="4"/>
      <c r="D21" s="4"/>
      <c r="E21" s="4"/>
      <c r="F21" s="4"/>
      <c r="G21" s="4"/>
      <c r="H21" s="4"/>
    </row>
    <row r="22" spans="1:8" ht="30" customHeight="1">
      <c r="A22" s="28" t="s">
        <v>93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8" t="s">
        <v>94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8" t="s">
        <v>95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8" t="s">
        <v>96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8" t="s">
        <v>97</v>
      </c>
      <c r="B26" s="27"/>
      <c r="C26" s="27"/>
      <c r="D26" s="27"/>
      <c r="E26" s="27"/>
      <c r="F26" s="27"/>
      <c r="G26" s="27"/>
      <c r="H26" s="27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9"/>
  <sheetViews>
    <sheetView showGridLines="0" workbookViewId="0"/>
  </sheetViews>
  <sheetFormatPr defaultRowHeight="14.4"/>
  <cols>
    <col min="1" max="1" width="30" customWidth="1"/>
    <col min="2" max="5" width="14" customWidth="1"/>
    <col min="6" max="6" width="38" customWidth="1"/>
  </cols>
  <sheetData>
    <row r="1" spans="1:6" ht="23.4">
      <c r="A1" s="1" t="s">
        <v>98</v>
      </c>
    </row>
    <row r="2" spans="1:6" ht="15.6">
      <c r="A2" s="26" t="s">
        <v>99</v>
      </c>
      <c r="B2" s="27"/>
      <c r="C2" s="27"/>
      <c r="D2" s="27"/>
      <c r="E2" s="27"/>
      <c r="F2" s="27"/>
    </row>
    <row r="4" spans="1:6" ht="16.2">
      <c r="A4" s="3" t="s">
        <v>100</v>
      </c>
      <c r="B4" s="4"/>
      <c r="C4" s="4"/>
      <c r="D4" s="4"/>
      <c r="E4" s="4"/>
      <c r="F4" s="4"/>
    </row>
    <row r="5" spans="1:6" ht="15.6">
      <c r="A5" s="2" t="s">
        <v>101</v>
      </c>
    </row>
    <row r="6" spans="1:6">
      <c r="A6" s="5" t="s">
        <v>102</v>
      </c>
      <c r="B6" s="5" t="s">
        <v>73</v>
      </c>
      <c r="C6" s="5" t="s">
        <v>103</v>
      </c>
      <c r="D6" s="5" t="s">
        <v>104</v>
      </c>
      <c r="E6" s="5" t="s">
        <v>8</v>
      </c>
    </row>
    <row r="7" spans="1:6">
      <c r="A7" s="6" t="s">
        <v>105</v>
      </c>
      <c r="B7" s="11">
        <v>89.022999999999996</v>
      </c>
      <c r="C7" s="15">
        <v>1.17</v>
      </c>
      <c r="D7" s="15">
        <v>0.92500000000000004</v>
      </c>
      <c r="E7" s="6" t="s">
        <v>106</v>
      </c>
    </row>
    <row r="8" spans="1:6">
      <c r="A8" s="6" t="s">
        <v>107</v>
      </c>
      <c r="B8" s="11">
        <v>7.1980000000000004</v>
      </c>
      <c r="C8" s="15">
        <v>0.27</v>
      </c>
      <c r="D8" s="15">
        <v>7.4999999999999997E-2</v>
      </c>
      <c r="E8" s="6" t="s">
        <v>108</v>
      </c>
    </row>
    <row r="9" spans="1:6">
      <c r="A9" s="18" t="s">
        <v>109</v>
      </c>
      <c r="B9" s="11">
        <v>96.221000000000004</v>
      </c>
      <c r="C9" s="15">
        <v>1.06</v>
      </c>
      <c r="D9" s="15">
        <v>1</v>
      </c>
      <c r="E9" s="6" t="s">
        <v>110</v>
      </c>
    </row>
    <row r="12" spans="1:6" ht="16.2">
      <c r="A12" s="3" t="s">
        <v>111</v>
      </c>
      <c r="B12" s="4"/>
      <c r="C12" s="4"/>
      <c r="D12" s="4"/>
      <c r="E12" s="4"/>
      <c r="F12" s="4"/>
    </row>
    <row r="13" spans="1:6" ht="15.6">
      <c r="A13" s="2" t="s">
        <v>112</v>
      </c>
    </row>
    <row r="14" spans="1:6">
      <c r="A14" s="5" t="s">
        <v>113</v>
      </c>
      <c r="B14" s="5" t="s">
        <v>114</v>
      </c>
      <c r="C14" s="5" t="s">
        <v>103</v>
      </c>
      <c r="D14" s="5" t="s">
        <v>104</v>
      </c>
      <c r="E14" s="5" t="s">
        <v>8</v>
      </c>
    </row>
    <row r="15" spans="1:6">
      <c r="A15" s="6" t="s">
        <v>105</v>
      </c>
      <c r="B15" s="11">
        <v>193.73699999999999</v>
      </c>
      <c r="C15" s="15">
        <v>0.68</v>
      </c>
      <c r="D15" s="15">
        <v>0.89700000000000002</v>
      </c>
      <c r="E15" s="6" t="s">
        <v>115</v>
      </c>
    </row>
    <row r="16" spans="1:6">
      <c r="A16" s="6" t="s">
        <v>116</v>
      </c>
      <c r="B16" s="11">
        <v>16.042000000000002</v>
      </c>
      <c r="C16" s="15">
        <v>0.41</v>
      </c>
      <c r="D16" s="15">
        <v>7.3999999999999996E-2</v>
      </c>
      <c r="E16" s="6" t="s">
        <v>117</v>
      </c>
    </row>
    <row r="17" spans="1:6">
      <c r="A17" s="6" t="s">
        <v>118</v>
      </c>
      <c r="B17" s="11">
        <v>3.1909999999999998</v>
      </c>
      <c r="C17" s="15">
        <v>0.7</v>
      </c>
      <c r="D17" s="15">
        <v>1.4999999999999999E-2</v>
      </c>
      <c r="E17" s="6" t="s">
        <v>119</v>
      </c>
    </row>
    <row r="18" spans="1:6">
      <c r="A18" s="6" t="s">
        <v>120</v>
      </c>
      <c r="B18" s="11">
        <v>2.3490000000000002</v>
      </c>
      <c r="C18" s="15">
        <v>0.39</v>
      </c>
      <c r="D18" s="15">
        <v>1.0999999999999999E-2</v>
      </c>
      <c r="E18" s="6" t="s">
        <v>121</v>
      </c>
    </row>
    <row r="19" spans="1:6">
      <c r="A19" s="6" t="s">
        <v>122</v>
      </c>
      <c r="B19" s="11">
        <v>0.61899999999999999</v>
      </c>
      <c r="C19" s="15">
        <v>0.59</v>
      </c>
      <c r="D19" s="15">
        <v>3.0000000000000001E-3</v>
      </c>
      <c r="E19" s="6"/>
    </row>
    <row r="20" spans="1:6">
      <c r="A20" s="18" t="s">
        <v>109</v>
      </c>
      <c r="B20" s="11">
        <v>215.93799999999999</v>
      </c>
      <c r="C20" s="15">
        <v>0.66</v>
      </c>
      <c r="D20" s="15">
        <v>1</v>
      </c>
      <c r="E20" s="6" t="s">
        <v>123</v>
      </c>
    </row>
    <row r="23" spans="1:6" ht="16.2">
      <c r="A23" s="3" t="s">
        <v>124</v>
      </c>
      <c r="B23" s="4"/>
      <c r="C23" s="4"/>
      <c r="D23" s="4"/>
      <c r="E23" s="4"/>
      <c r="F23" s="4"/>
    </row>
    <row r="24" spans="1:6" ht="30" customHeight="1">
      <c r="A24" s="28" t="s">
        <v>125</v>
      </c>
      <c r="B24" s="27"/>
      <c r="C24" s="27"/>
      <c r="D24" s="27"/>
      <c r="E24" s="27"/>
      <c r="F24" s="27"/>
    </row>
    <row r="25" spans="1:6" ht="30" customHeight="1">
      <c r="A25" s="28" t="s">
        <v>126</v>
      </c>
      <c r="B25" s="27"/>
      <c r="C25" s="27"/>
      <c r="D25" s="27"/>
      <c r="E25" s="27"/>
      <c r="F25" s="27"/>
    </row>
    <row r="26" spans="1:6" ht="30" customHeight="1">
      <c r="A26" s="28" t="s">
        <v>127</v>
      </c>
      <c r="B26" s="27"/>
      <c r="C26" s="27"/>
      <c r="D26" s="27"/>
      <c r="E26" s="27"/>
      <c r="F26" s="27"/>
    </row>
    <row r="27" spans="1:6" ht="30" customHeight="1">
      <c r="A27" s="28" t="s">
        <v>128</v>
      </c>
      <c r="B27" s="27"/>
      <c r="C27" s="27"/>
      <c r="D27" s="27"/>
      <c r="E27" s="27"/>
      <c r="F27" s="27"/>
    </row>
    <row r="28" spans="1:6" ht="30" customHeight="1">
      <c r="A28" s="28" t="s">
        <v>129</v>
      </c>
      <c r="B28" s="27"/>
      <c r="C28" s="27"/>
      <c r="D28" s="27"/>
      <c r="E28" s="27"/>
      <c r="F28" s="27"/>
    </row>
    <row r="29" spans="1:6" ht="30" customHeight="1">
      <c r="A29" s="28" t="s">
        <v>130</v>
      </c>
      <c r="B29" s="27"/>
      <c r="C29" s="27"/>
      <c r="D29" s="27"/>
      <c r="E29" s="27"/>
      <c r="F29" s="27"/>
    </row>
  </sheetData>
  <mergeCells count="7">
    <mergeCell ref="A29:F29"/>
    <mergeCell ref="A25:F25"/>
    <mergeCell ref="A24:F24"/>
    <mergeCell ref="A2:F2"/>
    <mergeCell ref="A28:F28"/>
    <mergeCell ref="A27:F27"/>
    <mergeCell ref="A26:F26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52" customWidth="1"/>
  </cols>
  <sheetData>
    <row r="1" spans="1:3" ht="23.4">
      <c r="A1" s="1" t="s">
        <v>131</v>
      </c>
    </row>
    <row r="2" spans="1:3" ht="15.6">
      <c r="A2" s="26" t="s">
        <v>132</v>
      </c>
      <c r="B2" s="27"/>
      <c r="C2" s="27"/>
    </row>
    <row r="4" spans="1:3">
      <c r="A4" s="5" t="s">
        <v>6</v>
      </c>
      <c r="B4" s="5" t="s">
        <v>7</v>
      </c>
      <c r="C4" s="5" t="s">
        <v>133</v>
      </c>
    </row>
    <row r="5" spans="1:3">
      <c r="A5" s="6" t="s">
        <v>134</v>
      </c>
      <c r="B5" s="11">
        <v>197.57900000000001</v>
      </c>
      <c r="C5" s="8" t="s">
        <v>44</v>
      </c>
    </row>
    <row r="6" spans="1:3">
      <c r="A6" s="6" t="s">
        <v>135</v>
      </c>
      <c r="B6" s="15">
        <v>0.17</v>
      </c>
      <c r="C6" s="8" t="s">
        <v>136</v>
      </c>
    </row>
    <row r="7" spans="1:3">
      <c r="A7" s="6" t="s">
        <v>137</v>
      </c>
      <c r="B7" s="10">
        <f>B5*(1-B6)</f>
        <v>163.99056999999999</v>
      </c>
      <c r="C7" s="8" t="s">
        <v>138</v>
      </c>
    </row>
    <row r="8" spans="1:3">
      <c r="A8" s="6" t="s">
        <v>139</v>
      </c>
      <c r="B8" s="11">
        <v>3.6869999999999998</v>
      </c>
      <c r="C8" s="8" t="s">
        <v>44</v>
      </c>
    </row>
    <row r="9" spans="1:3">
      <c r="A9" s="6" t="s">
        <v>140</v>
      </c>
      <c r="B9" s="11">
        <v>7.2409999999999997</v>
      </c>
      <c r="C9" s="8" t="s">
        <v>141</v>
      </c>
    </row>
    <row r="10" spans="1:3">
      <c r="A10" s="6" t="s">
        <v>142</v>
      </c>
      <c r="B10" s="11">
        <v>7.3540000000000001</v>
      </c>
      <c r="C10" s="8" t="s">
        <v>44</v>
      </c>
    </row>
    <row r="11" spans="1:3">
      <c r="A11" s="6" t="s">
        <v>143</v>
      </c>
      <c r="B11" s="11">
        <v>-40.664000000000001</v>
      </c>
      <c r="C11" s="8" t="s">
        <v>144</v>
      </c>
    </row>
    <row r="12" spans="1:3">
      <c r="A12" s="18" t="s">
        <v>145</v>
      </c>
      <c r="B12" s="10">
        <f>B7+B8+B9-B10+B11</f>
        <v>126.90056999999997</v>
      </c>
      <c r="C12" s="8" t="s">
        <v>146</v>
      </c>
    </row>
    <row r="13" spans="1:3">
      <c r="A13" s="6" t="s">
        <v>147</v>
      </c>
      <c r="B13" s="11">
        <v>134.36000000000001</v>
      </c>
      <c r="C13" s="8" t="s">
        <v>44</v>
      </c>
    </row>
    <row r="14" spans="1:3">
      <c r="A14" s="6" t="s">
        <v>142</v>
      </c>
      <c r="B14" s="11">
        <v>7.3540000000000001</v>
      </c>
      <c r="C14" s="8" t="s">
        <v>44</v>
      </c>
    </row>
    <row r="15" spans="1:3">
      <c r="A15" s="18" t="s">
        <v>26</v>
      </c>
      <c r="B15" s="10">
        <f>B13-B14</f>
        <v>127.00600000000001</v>
      </c>
      <c r="C15" s="8" t="s">
        <v>148</v>
      </c>
    </row>
    <row r="16" spans="1:3">
      <c r="A16" s="6" t="s">
        <v>45</v>
      </c>
      <c r="B16" s="16">
        <f>B12/B7</f>
        <v>0.77382845855100069</v>
      </c>
      <c r="C16" s="8" t="s">
        <v>149</v>
      </c>
    </row>
    <row r="17" spans="1:3">
      <c r="A17" s="6" t="s">
        <v>43</v>
      </c>
      <c r="B17" s="16">
        <f>B10/302.97</f>
        <v>2.4273030333036273E-2</v>
      </c>
      <c r="C17" s="8" t="s">
        <v>44</v>
      </c>
    </row>
    <row r="18" spans="1:3">
      <c r="A18" s="6" t="s">
        <v>150</v>
      </c>
      <c r="B18" s="13">
        <f>B10/B8</f>
        <v>1.9945755356658532</v>
      </c>
      <c r="C18" s="8" t="s">
        <v>151</v>
      </c>
    </row>
    <row r="20" spans="1:3" ht="16.2">
      <c r="A20" s="3" t="s">
        <v>124</v>
      </c>
      <c r="B20" s="4"/>
      <c r="C20" s="4"/>
    </row>
    <row r="21" spans="1:3" ht="31.95" customHeight="1">
      <c r="A21" s="28" t="s">
        <v>152</v>
      </c>
      <c r="B21" s="27"/>
      <c r="C21" s="27"/>
    </row>
    <row r="22" spans="1:3" ht="31.95" customHeight="1">
      <c r="A22" s="28" t="s">
        <v>153</v>
      </c>
      <c r="B22" s="27"/>
      <c r="C22" s="27"/>
    </row>
    <row r="23" spans="1:3" ht="31.95" customHeight="1">
      <c r="A23" s="28" t="s">
        <v>154</v>
      </c>
      <c r="B23" s="27"/>
      <c r="C23" s="27"/>
    </row>
    <row r="24" spans="1:3" ht="31.95" customHeight="1">
      <c r="A24" s="28" t="s">
        <v>155</v>
      </c>
      <c r="B24" s="27"/>
      <c r="C24" s="27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156</v>
      </c>
    </row>
    <row r="2" spans="1:14" ht="15.6">
      <c r="A2" s="26" t="s">
        <v>157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158</v>
      </c>
      <c r="B4" s="4"/>
      <c r="C4" s="4"/>
      <c r="D4" s="4"/>
      <c r="E4" s="4"/>
    </row>
    <row r="5" spans="1:14">
      <c r="A5" s="6" t="s">
        <v>159</v>
      </c>
      <c r="B5" s="11">
        <v>302.97000000000003</v>
      </c>
    </row>
    <row r="6" spans="1:14">
      <c r="A6" s="6" t="s">
        <v>160</v>
      </c>
      <c r="B6" s="15">
        <v>0.17</v>
      </c>
    </row>
    <row r="7" spans="1:14">
      <c r="A7" s="6" t="s">
        <v>161</v>
      </c>
      <c r="B7" s="15">
        <v>0.03</v>
      </c>
    </row>
    <row r="8" spans="1:14">
      <c r="A8" s="6" t="s">
        <v>15</v>
      </c>
      <c r="B8" s="11">
        <v>-23.22</v>
      </c>
    </row>
    <row r="9" spans="1:14">
      <c r="A9" s="6" t="s">
        <v>162</v>
      </c>
      <c r="B9" s="11">
        <v>93.94</v>
      </c>
    </row>
    <row r="10" spans="1:14">
      <c r="A10" s="6" t="s">
        <v>163</v>
      </c>
      <c r="B10" s="9">
        <v>24.1</v>
      </c>
    </row>
    <row r="11" spans="1:14" ht="15">
      <c r="A11" s="30" t="s">
        <v>164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165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166</v>
      </c>
      <c r="B14" s="15">
        <v>0.10199999999999999</v>
      </c>
      <c r="C14" s="6" t="s">
        <v>167</v>
      </c>
      <c r="D14" s="15">
        <v>3.5000000000000003E-2</v>
      </c>
    </row>
    <row r="16" spans="1:14">
      <c r="A16" s="5" t="s">
        <v>168</v>
      </c>
      <c r="B16" s="5" t="s">
        <v>88</v>
      </c>
      <c r="C16" s="5" t="s">
        <v>73</v>
      </c>
      <c r="D16" s="5" t="s">
        <v>169</v>
      </c>
      <c r="E16" s="5" t="s">
        <v>170</v>
      </c>
      <c r="F16" s="5" t="s">
        <v>137</v>
      </c>
      <c r="G16" s="5" t="s">
        <v>171</v>
      </c>
      <c r="H16" s="5" t="s">
        <v>172</v>
      </c>
      <c r="I16" s="5" t="s">
        <v>173</v>
      </c>
      <c r="J16" s="5" t="s">
        <v>174</v>
      </c>
      <c r="K16" s="5" t="s">
        <v>175</v>
      </c>
      <c r="L16" s="5" t="s">
        <v>176</v>
      </c>
      <c r="M16" s="5" t="s">
        <v>177</v>
      </c>
      <c r="N16" s="5" t="s">
        <v>178</v>
      </c>
    </row>
    <row r="17" spans="1:14">
      <c r="A17" s="23">
        <v>1</v>
      </c>
      <c r="B17" s="15">
        <v>0.4</v>
      </c>
      <c r="C17" s="11">
        <f>$B$5*(1+B17)</f>
        <v>424.15800000000002</v>
      </c>
      <c r="D17" s="15">
        <v>0.6</v>
      </c>
      <c r="E17" s="11">
        <f t="shared" ref="E17:E26" si="0">C17*D17</f>
        <v>254.4948</v>
      </c>
      <c r="F17" s="11">
        <f t="shared" ref="F17:F26" si="1">E17*(1-$B$6)</f>
        <v>211.230684</v>
      </c>
      <c r="G17" s="15">
        <v>0.02</v>
      </c>
      <c r="H17" s="11">
        <f t="shared" ref="H17:H26" si="2">C17*G17</f>
        <v>8.4831599999999998</v>
      </c>
      <c r="I17" s="15">
        <v>0.06</v>
      </c>
      <c r="J17" s="11">
        <f t="shared" ref="J17:J26" si="3">C17*I17</f>
        <v>25.449480000000001</v>
      </c>
      <c r="K17" s="11">
        <f>(C17-$B$5)*$B$7</f>
        <v>3.6356399999999995</v>
      </c>
      <c r="L17" s="11">
        <f t="shared" ref="L17:L26" si="4">F17+H17-J17-K17</f>
        <v>190.62872400000001</v>
      </c>
      <c r="M17" s="9">
        <f>1/(1+$B$14)^1</f>
        <v>0.90744101633393826</v>
      </c>
      <c r="N17" s="11">
        <f t="shared" ref="N17:N26" si="5">L17*M17</f>
        <v>172.9843230490018</v>
      </c>
    </row>
    <row r="18" spans="1:14">
      <c r="A18" s="23">
        <v>2</v>
      </c>
      <c r="B18" s="15">
        <v>0.22</v>
      </c>
      <c r="C18" s="11">
        <f t="shared" ref="C18:C26" si="6">C17*(1+B18)</f>
        <v>517.47275999999999</v>
      </c>
      <c r="D18" s="15">
        <v>0.55000000000000004</v>
      </c>
      <c r="E18" s="11">
        <f t="shared" si="0"/>
        <v>284.61001800000003</v>
      </c>
      <c r="F18" s="11">
        <f t="shared" si="1"/>
        <v>236.22631494000001</v>
      </c>
      <c r="G18" s="15">
        <v>2.5000000000000001E-2</v>
      </c>
      <c r="H18" s="11">
        <f t="shared" si="2"/>
        <v>12.936819</v>
      </c>
      <c r="I18" s="15">
        <v>7.0000000000000007E-2</v>
      </c>
      <c r="J18" s="11">
        <f t="shared" si="3"/>
        <v>36.223093200000001</v>
      </c>
      <c r="K18" s="11">
        <f t="shared" ref="K18:K26" si="7">(C18-C17)*$B$7</f>
        <v>2.7994427999999991</v>
      </c>
      <c r="L18" s="11">
        <f t="shared" si="4"/>
        <v>210.14059794000002</v>
      </c>
      <c r="M18" s="9">
        <f>1/(1+$B$14)^2</f>
        <v>0.8234491981251707</v>
      </c>
      <c r="N18" s="11">
        <f t="shared" si="5"/>
        <v>173.04010686723691</v>
      </c>
    </row>
    <row r="19" spans="1:14">
      <c r="A19" s="23">
        <v>3</v>
      </c>
      <c r="B19" s="15">
        <v>0.12</v>
      </c>
      <c r="C19" s="11">
        <f t="shared" si="6"/>
        <v>579.56949120000002</v>
      </c>
      <c r="D19" s="15">
        <v>0.5</v>
      </c>
      <c r="E19" s="11">
        <f t="shared" si="0"/>
        <v>289.78474560000001</v>
      </c>
      <c r="F19" s="11">
        <f t="shared" si="1"/>
        <v>240.521338848</v>
      </c>
      <c r="G19" s="15">
        <v>0.03</v>
      </c>
      <c r="H19" s="11">
        <f t="shared" si="2"/>
        <v>17.387084735999998</v>
      </c>
      <c r="I19" s="15">
        <v>0.08</v>
      </c>
      <c r="J19" s="11">
        <f t="shared" si="3"/>
        <v>46.365559296000001</v>
      </c>
      <c r="K19" s="11">
        <f t="shared" si="7"/>
        <v>1.8629019360000005</v>
      </c>
      <c r="L19" s="11">
        <f t="shared" si="4"/>
        <v>209.67996235199996</v>
      </c>
      <c r="M19" s="9">
        <f>1/(1+$B$14)^3</f>
        <v>0.74723157724607137</v>
      </c>
      <c r="N19" s="11">
        <f t="shared" si="5"/>
        <v>156.67948898518179</v>
      </c>
    </row>
    <row r="20" spans="1:14">
      <c r="A20" s="23">
        <v>4</v>
      </c>
      <c r="B20" s="15">
        <v>0.06</v>
      </c>
      <c r="C20" s="11">
        <f t="shared" si="6"/>
        <v>614.34366067200006</v>
      </c>
      <c r="D20" s="15">
        <v>0.46</v>
      </c>
      <c r="E20" s="11">
        <f t="shared" si="0"/>
        <v>282.59808390912002</v>
      </c>
      <c r="F20" s="11">
        <f t="shared" si="1"/>
        <v>234.55640964456961</v>
      </c>
      <c r="G20" s="15">
        <v>3.5000000000000003E-2</v>
      </c>
      <c r="H20" s="11">
        <f t="shared" si="2"/>
        <v>21.502028123520002</v>
      </c>
      <c r="I20" s="15">
        <v>0.09</v>
      </c>
      <c r="J20" s="11">
        <f t="shared" si="3"/>
        <v>55.290929460480001</v>
      </c>
      <c r="K20" s="11">
        <f t="shared" si="7"/>
        <v>1.0432250841600013</v>
      </c>
      <c r="L20" s="11">
        <f t="shared" si="4"/>
        <v>199.72428322344959</v>
      </c>
      <c r="M20" s="9">
        <f>1/(1+$B$14)^4</f>
        <v>0.67806858189298669</v>
      </c>
      <c r="N20" s="11">
        <f t="shared" si="5"/>
        <v>135.42676149491768</v>
      </c>
    </row>
    <row r="21" spans="1:14">
      <c r="A21" s="23">
        <v>5</v>
      </c>
      <c r="B21" s="15">
        <v>0.04</v>
      </c>
      <c r="C21" s="11">
        <f t="shared" si="6"/>
        <v>638.91740709888006</v>
      </c>
      <c r="D21" s="15">
        <v>0.44</v>
      </c>
      <c r="E21" s="11">
        <f t="shared" si="0"/>
        <v>281.12365912350725</v>
      </c>
      <c r="F21" s="11">
        <f t="shared" si="1"/>
        <v>233.33263707251101</v>
      </c>
      <c r="G21" s="15">
        <v>0.04</v>
      </c>
      <c r="H21" s="11">
        <f t="shared" si="2"/>
        <v>25.556696283955205</v>
      </c>
      <c r="I21" s="15">
        <v>0.1</v>
      </c>
      <c r="J21" s="11">
        <f t="shared" si="3"/>
        <v>63.891740709888012</v>
      </c>
      <c r="K21" s="11">
        <f t="shared" si="7"/>
        <v>0.73721239280640016</v>
      </c>
      <c r="L21" s="11">
        <f t="shared" si="4"/>
        <v>194.26038025377176</v>
      </c>
      <c r="M21" s="9">
        <f>1/(1+$B$14)^5</f>
        <v>0.61530724309708407</v>
      </c>
      <c r="N21" s="11">
        <f t="shared" si="5"/>
        <v>119.52981901693953</v>
      </c>
    </row>
    <row r="22" spans="1:14">
      <c r="A22" s="23">
        <v>6</v>
      </c>
      <c r="B22" s="15">
        <v>0.03</v>
      </c>
      <c r="C22" s="11">
        <f t="shared" si="6"/>
        <v>658.08492931184651</v>
      </c>
      <c r="D22" s="15">
        <v>0.42</v>
      </c>
      <c r="E22" s="11">
        <f t="shared" si="0"/>
        <v>276.3956703109755</v>
      </c>
      <c r="F22" s="11">
        <f t="shared" si="1"/>
        <v>229.40840635810966</v>
      </c>
      <c r="G22" s="15">
        <v>4.4999999999999998E-2</v>
      </c>
      <c r="H22" s="11">
        <f t="shared" si="2"/>
        <v>29.613821819033092</v>
      </c>
      <c r="I22" s="15">
        <v>0.1</v>
      </c>
      <c r="J22" s="11">
        <f t="shared" si="3"/>
        <v>65.808492931184659</v>
      </c>
      <c r="K22" s="11">
        <f t="shared" si="7"/>
        <v>0.57502566638899333</v>
      </c>
      <c r="L22" s="11">
        <f t="shared" si="4"/>
        <v>192.63870957956911</v>
      </c>
      <c r="M22" s="9">
        <f>1/(1+$B$14)^6</f>
        <v>0.5583550300336515</v>
      </c>
      <c r="N22" s="11">
        <f t="shared" si="5"/>
        <v>107.56079247294419</v>
      </c>
    </row>
    <row r="23" spans="1:14">
      <c r="A23" s="23">
        <v>7</v>
      </c>
      <c r="B23" s="15">
        <v>0.02</v>
      </c>
      <c r="C23" s="11">
        <f t="shared" si="6"/>
        <v>671.24662789808349</v>
      </c>
      <c r="D23" s="15">
        <v>0.4</v>
      </c>
      <c r="E23" s="11">
        <f t="shared" si="0"/>
        <v>268.49865115923342</v>
      </c>
      <c r="F23" s="11">
        <f t="shared" si="1"/>
        <v>222.85388046216372</v>
      </c>
      <c r="G23" s="15">
        <v>0.05</v>
      </c>
      <c r="H23" s="11">
        <f t="shared" si="2"/>
        <v>33.562331394904177</v>
      </c>
      <c r="I23" s="15">
        <v>0.1</v>
      </c>
      <c r="J23" s="11">
        <f t="shared" si="3"/>
        <v>67.124662789808355</v>
      </c>
      <c r="K23" s="11">
        <f t="shared" si="7"/>
        <v>0.39485095758710936</v>
      </c>
      <c r="L23" s="11">
        <f t="shared" si="4"/>
        <v>188.89669810967243</v>
      </c>
      <c r="M23" s="9">
        <f>1/(1+$B$14)^7</f>
        <v>0.50667425592890325</v>
      </c>
      <c r="N23" s="11">
        <f t="shared" si="5"/>
        <v>95.709093962144948</v>
      </c>
    </row>
    <row r="24" spans="1:14">
      <c r="A24" s="23">
        <v>8</v>
      </c>
      <c r="B24" s="15">
        <v>0.01</v>
      </c>
      <c r="C24" s="11">
        <f t="shared" si="6"/>
        <v>677.95909417706434</v>
      </c>
      <c r="D24" s="15">
        <v>0.39</v>
      </c>
      <c r="E24" s="11">
        <f t="shared" si="0"/>
        <v>264.4040467290551</v>
      </c>
      <c r="F24" s="11">
        <f t="shared" si="1"/>
        <v>219.45535878511572</v>
      </c>
      <c r="G24" s="15">
        <v>0.05</v>
      </c>
      <c r="H24" s="11">
        <f t="shared" si="2"/>
        <v>33.89795470885322</v>
      </c>
      <c r="I24" s="15">
        <v>0.1</v>
      </c>
      <c r="J24" s="11">
        <f t="shared" si="3"/>
        <v>67.79590941770644</v>
      </c>
      <c r="K24" s="11">
        <f t="shared" si="7"/>
        <v>0.20137398836942566</v>
      </c>
      <c r="L24" s="11">
        <f t="shared" si="4"/>
        <v>185.35603008789306</v>
      </c>
      <c r="M24" s="9">
        <f>1/(1+$B$14)^8</f>
        <v>0.45977700175036595</v>
      </c>
      <c r="N24" s="11">
        <f t="shared" si="5"/>
        <v>85.222439770162097</v>
      </c>
    </row>
    <row r="25" spans="1:14">
      <c r="A25" s="23">
        <v>9</v>
      </c>
      <c r="B25" s="15">
        <v>0</v>
      </c>
      <c r="C25" s="11">
        <f t="shared" si="6"/>
        <v>677.95909417706434</v>
      </c>
      <c r="D25" s="15">
        <v>0.38</v>
      </c>
      <c r="E25" s="11">
        <f t="shared" si="0"/>
        <v>257.62445578728443</v>
      </c>
      <c r="F25" s="11">
        <f t="shared" si="1"/>
        <v>213.82829830344608</v>
      </c>
      <c r="G25" s="15">
        <v>0.05</v>
      </c>
      <c r="H25" s="11">
        <f t="shared" si="2"/>
        <v>33.89795470885322</v>
      </c>
      <c r="I25" s="15">
        <v>0.1</v>
      </c>
      <c r="J25" s="11">
        <f t="shared" si="3"/>
        <v>67.79590941770644</v>
      </c>
      <c r="K25" s="11">
        <f t="shared" si="7"/>
        <v>0</v>
      </c>
      <c r="L25" s="11">
        <f t="shared" si="4"/>
        <v>179.93034359459287</v>
      </c>
      <c r="M25" s="9">
        <f>1/(1+$B$14)^9</f>
        <v>0.41722050975532299</v>
      </c>
      <c r="N25" s="11">
        <f t="shared" si="5"/>
        <v>75.070629674986449</v>
      </c>
    </row>
    <row r="26" spans="1:14">
      <c r="A26" s="23">
        <v>10</v>
      </c>
      <c r="B26" s="15">
        <v>0</v>
      </c>
      <c r="C26" s="11">
        <f t="shared" si="6"/>
        <v>677.95909417706434</v>
      </c>
      <c r="D26" s="15">
        <v>0.38</v>
      </c>
      <c r="E26" s="11">
        <f t="shared" si="0"/>
        <v>257.62445578728443</v>
      </c>
      <c r="F26" s="11">
        <f t="shared" si="1"/>
        <v>213.82829830344608</v>
      </c>
      <c r="G26" s="15">
        <v>0.05</v>
      </c>
      <c r="H26" s="11">
        <f t="shared" si="2"/>
        <v>33.89795470885322</v>
      </c>
      <c r="I26" s="15">
        <v>0.1</v>
      </c>
      <c r="J26" s="11">
        <f t="shared" si="3"/>
        <v>67.79590941770644</v>
      </c>
      <c r="K26" s="11">
        <f t="shared" si="7"/>
        <v>0</v>
      </c>
      <c r="L26" s="11">
        <f t="shared" si="4"/>
        <v>179.93034359459287</v>
      </c>
      <c r="M26" s="9">
        <f>1/(1+$B$14)^10</f>
        <v>0.37860300340773406</v>
      </c>
      <c r="N26" s="11">
        <f t="shared" si="5"/>
        <v>68.122168489098399</v>
      </c>
    </row>
    <row r="27" spans="1:14">
      <c r="A27" s="18" t="s">
        <v>179</v>
      </c>
      <c r="B27" s="11">
        <f>L26*(1+$D$14)/($B$14-$D$14)</f>
        <v>2779.5209794090097</v>
      </c>
    </row>
    <row r="28" spans="1:14">
      <c r="A28" s="6" t="s">
        <v>180</v>
      </c>
      <c r="B28" s="11">
        <f>B27/(1+$B$14)^10</f>
        <v>1052.3349908390576</v>
      </c>
    </row>
    <row r="29" spans="1:14">
      <c r="A29" s="18" t="s">
        <v>181</v>
      </c>
      <c r="B29" s="11">
        <f>SUM(N17:N26)+B28</f>
        <v>2241.6806146216713</v>
      </c>
    </row>
    <row r="30" spans="1:14">
      <c r="A30" s="6" t="s">
        <v>182</v>
      </c>
      <c r="B30" s="11">
        <f>$B$8</f>
        <v>-23.22</v>
      </c>
    </row>
    <row r="31" spans="1:14">
      <c r="A31" s="18" t="s">
        <v>183</v>
      </c>
      <c r="B31" s="11">
        <f>B29-B30</f>
        <v>2264.9006146216711</v>
      </c>
    </row>
    <row r="32" spans="1:14">
      <c r="A32" s="18" t="s">
        <v>184</v>
      </c>
      <c r="B32" s="7">
        <f>B31/$B$10</f>
        <v>93.97927861500709</v>
      </c>
      <c r="C32" s="6" t="s">
        <v>185</v>
      </c>
    </row>
    <row r="36" spans="1:14" ht="16.2">
      <c r="A36" s="3" t="s">
        <v>186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166</v>
      </c>
      <c r="B37" s="15">
        <v>9.6000000000000002E-2</v>
      </c>
      <c r="C37" s="6" t="s">
        <v>167</v>
      </c>
      <c r="D37" s="15">
        <v>0.04</v>
      </c>
    </row>
    <row r="39" spans="1:14">
      <c r="A39" s="5" t="s">
        <v>168</v>
      </c>
      <c r="B39" s="5" t="s">
        <v>88</v>
      </c>
      <c r="C39" s="5" t="s">
        <v>73</v>
      </c>
      <c r="D39" s="5" t="s">
        <v>169</v>
      </c>
      <c r="E39" s="5" t="s">
        <v>170</v>
      </c>
      <c r="F39" s="5" t="s">
        <v>137</v>
      </c>
      <c r="G39" s="5" t="s">
        <v>171</v>
      </c>
      <c r="H39" s="5" t="s">
        <v>172</v>
      </c>
      <c r="I39" s="5" t="s">
        <v>173</v>
      </c>
      <c r="J39" s="5" t="s">
        <v>174</v>
      </c>
      <c r="K39" s="5" t="s">
        <v>175</v>
      </c>
      <c r="L39" s="5" t="s">
        <v>176</v>
      </c>
      <c r="M39" s="5" t="s">
        <v>177</v>
      </c>
      <c r="N39" s="5" t="s">
        <v>178</v>
      </c>
    </row>
    <row r="40" spans="1:14">
      <c r="A40" s="23">
        <v>1</v>
      </c>
      <c r="B40" s="15">
        <v>0.48</v>
      </c>
      <c r="C40" s="11">
        <f>$B$5*(1+B40)</f>
        <v>448.39560000000006</v>
      </c>
      <c r="D40" s="15">
        <v>0.64</v>
      </c>
      <c r="E40" s="11">
        <f t="shared" ref="E40:E49" si="8">C40*D40</f>
        <v>286.97318400000006</v>
      </c>
      <c r="F40" s="11">
        <f t="shared" ref="F40:F49" si="9">E40*(1-$B$6)</f>
        <v>238.18774272000005</v>
      </c>
      <c r="G40" s="15">
        <v>0.02</v>
      </c>
      <c r="H40" s="11">
        <f t="shared" ref="H40:H49" si="10">C40*G40</f>
        <v>8.9679120000000019</v>
      </c>
      <c r="I40" s="15">
        <v>0.05</v>
      </c>
      <c r="J40" s="11">
        <f t="shared" ref="J40:J49" si="11">C40*I40</f>
        <v>22.419780000000003</v>
      </c>
      <c r="K40" s="11">
        <f>(C40-$B$5)*$B$7</f>
        <v>4.3627680000000009</v>
      </c>
      <c r="L40" s="11">
        <f t="shared" ref="L40:L49" si="12">F40+H40-J40-K40</f>
        <v>220.37310672000007</v>
      </c>
      <c r="M40" s="9">
        <f>1/(1+$B$37)^1</f>
        <v>0.91240875912408748</v>
      </c>
      <c r="N40" s="11">
        <f t="shared" ref="N40:N49" si="13">L40*M40</f>
        <v>201.07035284671537</v>
      </c>
    </row>
    <row r="41" spans="1:14">
      <c r="A41" s="23">
        <v>2</v>
      </c>
      <c r="B41" s="15">
        <v>0.3</v>
      </c>
      <c r="C41" s="11">
        <f t="shared" ref="C41:C49" si="14">C40*(1+B41)</f>
        <v>582.91428000000008</v>
      </c>
      <c r="D41" s="15">
        <v>0.62</v>
      </c>
      <c r="E41" s="11">
        <f t="shared" si="8"/>
        <v>361.40685360000003</v>
      </c>
      <c r="F41" s="11">
        <f t="shared" si="9"/>
        <v>299.96768848800002</v>
      </c>
      <c r="G41" s="15">
        <v>2.5000000000000001E-2</v>
      </c>
      <c r="H41" s="11">
        <f t="shared" si="10"/>
        <v>14.572857000000003</v>
      </c>
      <c r="I41" s="15">
        <v>0.06</v>
      </c>
      <c r="J41" s="11">
        <f t="shared" si="11"/>
        <v>34.974856800000005</v>
      </c>
      <c r="K41" s="11">
        <f t="shared" ref="K41:K49" si="15">(C41-C40)*$B$7</f>
        <v>4.0355604000000005</v>
      </c>
      <c r="L41" s="11">
        <f t="shared" si="12"/>
        <v>275.53012828800001</v>
      </c>
      <c r="M41" s="9">
        <f>1/(1+$B$37)^2</f>
        <v>0.83248974372635709</v>
      </c>
      <c r="N41" s="11">
        <f t="shared" si="13"/>
        <v>229.37600588736743</v>
      </c>
    </row>
    <row r="42" spans="1:14">
      <c r="A42" s="23">
        <v>3</v>
      </c>
      <c r="B42" s="15">
        <v>0.2</v>
      </c>
      <c r="C42" s="11">
        <f t="shared" si="14"/>
        <v>699.49713600000007</v>
      </c>
      <c r="D42" s="15">
        <v>0.6</v>
      </c>
      <c r="E42" s="11">
        <f t="shared" si="8"/>
        <v>419.69828160000003</v>
      </c>
      <c r="F42" s="11">
        <f t="shared" si="9"/>
        <v>348.349573728</v>
      </c>
      <c r="G42" s="15">
        <v>0.03</v>
      </c>
      <c r="H42" s="11">
        <f t="shared" si="10"/>
        <v>20.984914080000003</v>
      </c>
      <c r="I42" s="15">
        <v>7.0000000000000007E-2</v>
      </c>
      <c r="J42" s="11">
        <f t="shared" si="11"/>
        <v>48.964799520000007</v>
      </c>
      <c r="K42" s="11">
        <f t="shared" si="15"/>
        <v>3.4974856799999996</v>
      </c>
      <c r="L42" s="11">
        <f t="shared" si="12"/>
        <v>316.87220260800001</v>
      </c>
      <c r="M42" s="9">
        <f>1/(1+$B$37)^3</f>
        <v>0.75957093405689513</v>
      </c>
      <c r="N42" s="11">
        <f t="shared" si="13"/>
        <v>240.68691491162429</v>
      </c>
    </row>
    <row r="43" spans="1:14">
      <c r="A43" s="23">
        <v>4</v>
      </c>
      <c r="B43" s="15">
        <v>0.15</v>
      </c>
      <c r="C43" s="11">
        <f t="shared" si="14"/>
        <v>804.42170640000006</v>
      </c>
      <c r="D43" s="15">
        <v>0.57999999999999996</v>
      </c>
      <c r="E43" s="11">
        <f t="shared" si="8"/>
        <v>466.56458971199999</v>
      </c>
      <c r="F43" s="11">
        <f t="shared" si="9"/>
        <v>387.24860946095998</v>
      </c>
      <c r="G43" s="15">
        <v>3.5000000000000003E-2</v>
      </c>
      <c r="H43" s="11">
        <f t="shared" si="10"/>
        <v>28.154759724000005</v>
      </c>
      <c r="I43" s="15">
        <v>0.08</v>
      </c>
      <c r="J43" s="11">
        <f t="shared" si="11"/>
        <v>64.353736512000012</v>
      </c>
      <c r="K43" s="11">
        <f t="shared" si="15"/>
        <v>3.1477371119999997</v>
      </c>
      <c r="L43" s="11">
        <f t="shared" si="12"/>
        <v>347.90189556095999</v>
      </c>
      <c r="M43" s="9">
        <f>1/(1+$B$37)^4</f>
        <v>0.69303917340957566</v>
      </c>
      <c r="N43" s="11">
        <f t="shared" si="13"/>
        <v>241.10964212719222</v>
      </c>
    </row>
    <row r="44" spans="1:14">
      <c r="A44" s="23">
        <v>5</v>
      </c>
      <c r="B44" s="15">
        <v>0.11</v>
      </c>
      <c r="C44" s="11">
        <f t="shared" si="14"/>
        <v>892.90809410400016</v>
      </c>
      <c r="D44" s="15">
        <v>0.56000000000000005</v>
      </c>
      <c r="E44" s="11">
        <f t="shared" si="8"/>
        <v>500.02853269824016</v>
      </c>
      <c r="F44" s="11">
        <f t="shared" si="9"/>
        <v>415.02368213953929</v>
      </c>
      <c r="G44" s="15">
        <v>0.04</v>
      </c>
      <c r="H44" s="11">
        <f t="shared" si="10"/>
        <v>35.716323764160009</v>
      </c>
      <c r="I44" s="15">
        <v>0.09</v>
      </c>
      <c r="J44" s="11">
        <f t="shared" si="11"/>
        <v>80.361728469360017</v>
      </c>
      <c r="K44" s="11">
        <f t="shared" si="15"/>
        <v>2.6545916311200028</v>
      </c>
      <c r="L44" s="11">
        <f t="shared" si="12"/>
        <v>367.72368580321927</v>
      </c>
      <c r="M44" s="9">
        <f>1/(1+$B$37)^5</f>
        <v>0.6323350122350142</v>
      </c>
      <c r="N44" s="11">
        <f t="shared" si="13"/>
        <v>232.52456136148317</v>
      </c>
    </row>
    <row r="45" spans="1:14">
      <c r="A45" s="23">
        <v>6</v>
      </c>
      <c r="B45" s="15">
        <v>0.08</v>
      </c>
      <c r="C45" s="11">
        <f t="shared" si="14"/>
        <v>964.34074163232026</v>
      </c>
      <c r="D45" s="15">
        <v>0.54</v>
      </c>
      <c r="E45" s="11">
        <f t="shared" si="8"/>
        <v>520.74400048145299</v>
      </c>
      <c r="F45" s="11">
        <f t="shared" si="9"/>
        <v>432.21752039960597</v>
      </c>
      <c r="G45" s="15">
        <v>4.4999999999999998E-2</v>
      </c>
      <c r="H45" s="11">
        <f t="shared" si="10"/>
        <v>43.395333373454413</v>
      </c>
      <c r="I45" s="15">
        <v>0.09</v>
      </c>
      <c r="J45" s="11">
        <f t="shared" si="11"/>
        <v>86.790666746908826</v>
      </c>
      <c r="K45" s="11">
        <f t="shared" si="15"/>
        <v>2.1429794258496031</v>
      </c>
      <c r="L45" s="11">
        <f t="shared" si="12"/>
        <v>386.67920760030199</v>
      </c>
      <c r="M45" s="9">
        <f>1/(1+$B$37)^6</f>
        <v>0.57694800386406409</v>
      </c>
      <c r="N45" s="11">
        <f t="shared" si="13"/>
        <v>223.09379696073228</v>
      </c>
    </row>
    <row r="46" spans="1:14">
      <c r="A46" s="23">
        <v>7</v>
      </c>
      <c r="B46" s="15">
        <v>0.06</v>
      </c>
      <c r="C46" s="11">
        <f t="shared" si="14"/>
        <v>1022.2011861302595</v>
      </c>
      <c r="D46" s="15">
        <v>0.52</v>
      </c>
      <c r="E46" s="11">
        <f t="shared" si="8"/>
        <v>531.54461678773498</v>
      </c>
      <c r="F46" s="11">
        <f t="shared" si="9"/>
        <v>441.18203193381999</v>
      </c>
      <c r="G46" s="15">
        <v>0.05</v>
      </c>
      <c r="H46" s="11">
        <f t="shared" si="10"/>
        <v>51.11005930651298</v>
      </c>
      <c r="I46" s="15">
        <v>0.09</v>
      </c>
      <c r="J46" s="11">
        <f t="shared" si="11"/>
        <v>91.998106751723356</v>
      </c>
      <c r="K46" s="11">
        <f t="shared" si="15"/>
        <v>1.7358133349381784</v>
      </c>
      <c r="L46" s="11">
        <f t="shared" si="12"/>
        <v>398.55817115367142</v>
      </c>
      <c r="M46" s="9">
        <f>1/(1+$B$37)^7</f>
        <v>0.52641241228473001</v>
      </c>
      <c r="N46" s="11">
        <f t="shared" si="13"/>
        <v>209.80596831279448</v>
      </c>
    </row>
    <row r="47" spans="1:14">
      <c r="A47" s="23">
        <v>8</v>
      </c>
      <c r="B47" s="15">
        <v>0.05</v>
      </c>
      <c r="C47" s="11">
        <f t="shared" si="14"/>
        <v>1073.3112454367727</v>
      </c>
      <c r="D47" s="15">
        <v>0.51</v>
      </c>
      <c r="E47" s="11">
        <f t="shared" si="8"/>
        <v>547.38873517275408</v>
      </c>
      <c r="F47" s="11">
        <f t="shared" si="9"/>
        <v>454.33265019338586</v>
      </c>
      <c r="G47" s="15">
        <v>0.05</v>
      </c>
      <c r="H47" s="11">
        <f t="shared" si="10"/>
        <v>53.665562271838638</v>
      </c>
      <c r="I47" s="15">
        <v>0.08</v>
      </c>
      <c r="J47" s="11">
        <f t="shared" si="11"/>
        <v>85.864899634941807</v>
      </c>
      <c r="K47" s="11">
        <f t="shared" si="15"/>
        <v>1.5333017791953931</v>
      </c>
      <c r="L47" s="11">
        <f t="shared" si="12"/>
        <v>420.60001105108728</v>
      </c>
      <c r="M47" s="9">
        <f>1/(1+$B$37)^8</f>
        <v>0.48030329588022797</v>
      </c>
      <c r="N47" s="11">
        <f t="shared" si="13"/>
        <v>202.01557155509752</v>
      </c>
    </row>
    <row r="48" spans="1:14">
      <c r="A48" s="23">
        <v>9</v>
      </c>
      <c r="B48" s="15">
        <v>0.04</v>
      </c>
      <c r="C48" s="11">
        <f t="shared" si="14"/>
        <v>1116.2436952542437</v>
      </c>
      <c r="D48" s="15">
        <v>0.5</v>
      </c>
      <c r="E48" s="11">
        <f t="shared" si="8"/>
        <v>558.12184762712184</v>
      </c>
      <c r="F48" s="11">
        <f t="shared" si="9"/>
        <v>463.24113353051109</v>
      </c>
      <c r="G48" s="15">
        <v>0.05</v>
      </c>
      <c r="H48" s="11">
        <f t="shared" si="10"/>
        <v>55.812184762712185</v>
      </c>
      <c r="I48" s="15">
        <v>0.08</v>
      </c>
      <c r="J48" s="11">
        <f t="shared" si="11"/>
        <v>89.299495620339499</v>
      </c>
      <c r="K48" s="11">
        <f t="shared" si="15"/>
        <v>1.2879734945241308</v>
      </c>
      <c r="L48" s="11">
        <f t="shared" si="12"/>
        <v>428.46584917835963</v>
      </c>
      <c r="M48" s="9">
        <f>1/(1+$B$37)^9</f>
        <v>0.43823293419728826</v>
      </c>
      <c r="N48" s="11">
        <f t="shared" si="13"/>
        <v>187.76784628876533</v>
      </c>
    </row>
    <row r="49" spans="1:14">
      <c r="A49" s="23">
        <v>10</v>
      </c>
      <c r="B49" s="15">
        <v>0.03</v>
      </c>
      <c r="C49" s="11">
        <f t="shared" si="14"/>
        <v>1149.731006111871</v>
      </c>
      <c r="D49" s="15">
        <v>0.5</v>
      </c>
      <c r="E49" s="11">
        <f t="shared" si="8"/>
        <v>574.86550305593551</v>
      </c>
      <c r="F49" s="11">
        <f t="shared" si="9"/>
        <v>477.13836753642647</v>
      </c>
      <c r="G49" s="15">
        <v>0.05</v>
      </c>
      <c r="H49" s="11">
        <f t="shared" si="10"/>
        <v>57.486550305593553</v>
      </c>
      <c r="I49" s="15">
        <v>0.08</v>
      </c>
      <c r="J49" s="11">
        <f t="shared" si="11"/>
        <v>91.978480488949685</v>
      </c>
      <c r="K49" s="11">
        <f t="shared" si="15"/>
        <v>1.0046193257288201</v>
      </c>
      <c r="L49" s="11">
        <f t="shared" si="12"/>
        <v>441.64181802734157</v>
      </c>
      <c r="M49" s="9">
        <f>1/(1+$B$37)^10</f>
        <v>0.39984756769825563</v>
      </c>
      <c r="N49" s="11">
        <f t="shared" si="13"/>
        <v>176.58940673206814</v>
      </c>
    </row>
    <row r="50" spans="1:14">
      <c r="A50" s="18" t="s">
        <v>179</v>
      </c>
      <c r="B50" s="11">
        <f>L49*(1+$D$37)/($B$37-$D$37)</f>
        <v>8201.9194776506301</v>
      </c>
    </row>
    <row r="51" spans="1:14">
      <c r="A51" s="6" t="s">
        <v>180</v>
      </c>
      <c r="B51" s="11">
        <f>B50/(1+$B$37)^10</f>
        <v>3279.5175535955518</v>
      </c>
    </row>
    <row r="52" spans="1:14">
      <c r="A52" s="18" t="s">
        <v>181</v>
      </c>
      <c r="B52" s="11">
        <f>SUM(N40:N49)+B51</f>
        <v>5423.5576205793923</v>
      </c>
    </row>
    <row r="53" spans="1:14">
      <c r="A53" s="6" t="s">
        <v>182</v>
      </c>
      <c r="B53" s="11">
        <f>$B$8</f>
        <v>-23.22</v>
      </c>
    </row>
    <row r="54" spans="1:14">
      <c r="A54" s="18" t="s">
        <v>183</v>
      </c>
      <c r="B54" s="11">
        <f>B52-B53</f>
        <v>5446.7776205793925</v>
      </c>
    </row>
    <row r="55" spans="1:14">
      <c r="A55" s="18" t="s">
        <v>184</v>
      </c>
      <c r="B55" s="7">
        <f>B54/$B$10</f>
        <v>226.00737014852251</v>
      </c>
      <c r="C55" s="6" t="s">
        <v>187</v>
      </c>
    </row>
    <row r="59" spans="1:14" ht="16.2">
      <c r="A59" s="3" t="s">
        <v>188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166</v>
      </c>
      <c r="B60" s="15">
        <v>0.09</v>
      </c>
      <c r="C60" s="6" t="s">
        <v>167</v>
      </c>
      <c r="D60" s="15">
        <v>4.4999999999999998E-2</v>
      </c>
    </row>
    <row r="62" spans="1:14">
      <c r="A62" s="5" t="s">
        <v>168</v>
      </c>
      <c r="B62" s="5" t="s">
        <v>88</v>
      </c>
      <c r="C62" s="5" t="s">
        <v>73</v>
      </c>
      <c r="D62" s="5" t="s">
        <v>169</v>
      </c>
      <c r="E62" s="5" t="s">
        <v>170</v>
      </c>
      <c r="F62" s="5" t="s">
        <v>137</v>
      </c>
      <c r="G62" s="5" t="s">
        <v>171</v>
      </c>
      <c r="H62" s="5" t="s">
        <v>172</v>
      </c>
      <c r="I62" s="5" t="s">
        <v>173</v>
      </c>
      <c r="J62" s="5" t="s">
        <v>174</v>
      </c>
      <c r="K62" s="5" t="s">
        <v>175</v>
      </c>
      <c r="L62" s="5" t="s">
        <v>176</v>
      </c>
      <c r="M62" s="5" t="s">
        <v>177</v>
      </c>
      <c r="N62" s="5" t="s">
        <v>178</v>
      </c>
    </row>
    <row r="63" spans="1:14">
      <c r="A63" s="23">
        <v>1</v>
      </c>
      <c r="B63" s="15">
        <v>0.55000000000000004</v>
      </c>
      <c r="C63" s="11">
        <f>$B$5*(1+B63)</f>
        <v>469.60350000000005</v>
      </c>
      <c r="D63" s="15">
        <v>0.66</v>
      </c>
      <c r="E63" s="11">
        <f t="shared" ref="E63:E72" si="16">C63*D63</f>
        <v>309.93831000000006</v>
      </c>
      <c r="F63" s="11">
        <f t="shared" ref="F63:F72" si="17">E63*(1-$B$6)</f>
        <v>257.24879730000004</v>
      </c>
      <c r="G63" s="15">
        <v>0.02</v>
      </c>
      <c r="H63" s="11">
        <f t="shared" ref="H63:H72" si="18">C63*G63</f>
        <v>9.3920700000000021</v>
      </c>
      <c r="I63" s="15">
        <v>0.05</v>
      </c>
      <c r="J63" s="11">
        <f t="shared" ref="J63:J72" si="19">C63*I63</f>
        <v>23.480175000000003</v>
      </c>
      <c r="K63" s="11">
        <f>(C63-$B$5)*$B$7</f>
        <v>4.9990050000000004</v>
      </c>
      <c r="L63" s="11">
        <f t="shared" ref="L63:L72" si="20">F63+H63-J63-K63</f>
        <v>238.16168730000001</v>
      </c>
      <c r="M63" s="9">
        <f>1/(1+$B$60)^1</f>
        <v>0.9174311926605504</v>
      </c>
      <c r="N63" s="11">
        <f t="shared" ref="N63:N72" si="21">L63*M63</f>
        <v>218.49696082568806</v>
      </c>
    </row>
    <row r="64" spans="1:14">
      <c r="A64" s="23">
        <v>2</v>
      </c>
      <c r="B64" s="15">
        <v>0.4</v>
      </c>
      <c r="C64" s="11">
        <f t="shared" ref="C64:C72" si="22">C63*(1+B64)</f>
        <v>657.44490000000008</v>
      </c>
      <c r="D64" s="15">
        <v>0.65</v>
      </c>
      <c r="E64" s="11">
        <f t="shared" si="16"/>
        <v>427.33918500000004</v>
      </c>
      <c r="F64" s="11">
        <f t="shared" si="17"/>
        <v>354.69152355</v>
      </c>
      <c r="G64" s="15">
        <v>2.5000000000000001E-2</v>
      </c>
      <c r="H64" s="11">
        <f t="shared" si="18"/>
        <v>16.436122500000003</v>
      </c>
      <c r="I64" s="15">
        <v>0.06</v>
      </c>
      <c r="J64" s="11">
        <f t="shared" si="19"/>
        <v>39.446694000000001</v>
      </c>
      <c r="K64" s="11">
        <f t="shared" ref="K64:K72" si="23">(C64-C63)*$B$7</f>
        <v>5.6352420000000008</v>
      </c>
      <c r="L64" s="11">
        <f t="shared" si="20"/>
        <v>326.04571005000003</v>
      </c>
      <c r="M64" s="9">
        <f>1/(1+$B$60)^2</f>
        <v>0.84167999326655996</v>
      </c>
      <c r="N64" s="11">
        <f t="shared" si="21"/>
        <v>274.4261510394748</v>
      </c>
    </row>
    <row r="65" spans="1:14">
      <c r="A65" s="23">
        <v>3</v>
      </c>
      <c r="B65" s="15">
        <v>0.3</v>
      </c>
      <c r="C65" s="11">
        <f t="shared" si="22"/>
        <v>854.67837000000009</v>
      </c>
      <c r="D65" s="15">
        <v>0.63</v>
      </c>
      <c r="E65" s="11">
        <f t="shared" si="16"/>
        <v>538.44737310000005</v>
      </c>
      <c r="F65" s="11">
        <f t="shared" si="17"/>
        <v>446.91131967300004</v>
      </c>
      <c r="G65" s="15">
        <v>0.03</v>
      </c>
      <c r="H65" s="11">
        <f t="shared" si="18"/>
        <v>25.6403511</v>
      </c>
      <c r="I65" s="15">
        <v>7.0000000000000007E-2</v>
      </c>
      <c r="J65" s="11">
        <f t="shared" si="19"/>
        <v>59.827485900000013</v>
      </c>
      <c r="K65" s="11">
        <f t="shared" si="23"/>
        <v>5.9170040999999998</v>
      </c>
      <c r="L65" s="11">
        <f t="shared" si="20"/>
        <v>406.80718077300003</v>
      </c>
      <c r="M65" s="9">
        <f>1/(1+$B$60)^3</f>
        <v>0.77218348006106419</v>
      </c>
      <c r="N65" s="11">
        <f t="shared" si="21"/>
        <v>314.12978456312561</v>
      </c>
    </row>
    <row r="66" spans="1:14">
      <c r="A66" s="23">
        <v>4</v>
      </c>
      <c r="B66" s="15">
        <v>0.22</v>
      </c>
      <c r="C66" s="11">
        <f t="shared" si="22"/>
        <v>1042.7076114000001</v>
      </c>
      <c r="D66" s="15">
        <v>0.61</v>
      </c>
      <c r="E66" s="11">
        <f t="shared" si="16"/>
        <v>636.05164295400004</v>
      </c>
      <c r="F66" s="11">
        <f t="shared" si="17"/>
        <v>527.92286365181997</v>
      </c>
      <c r="G66" s="15">
        <v>3.5000000000000003E-2</v>
      </c>
      <c r="H66" s="11">
        <f t="shared" si="18"/>
        <v>36.494766399000007</v>
      </c>
      <c r="I66" s="15">
        <v>0.08</v>
      </c>
      <c r="J66" s="11">
        <f t="shared" si="19"/>
        <v>83.416608912000015</v>
      </c>
      <c r="K66" s="11">
        <f t="shared" si="23"/>
        <v>5.6408772420000011</v>
      </c>
      <c r="L66" s="11">
        <f t="shared" si="20"/>
        <v>475.36014389681998</v>
      </c>
      <c r="M66" s="9">
        <f>1/(1+$B$60)^4</f>
        <v>0.7084252110651964</v>
      </c>
      <c r="N66" s="11">
        <f t="shared" si="21"/>
        <v>336.75711027208683</v>
      </c>
    </row>
    <row r="67" spans="1:14">
      <c r="A67" s="23">
        <v>5</v>
      </c>
      <c r="B67" s="15">
        <v>0.16</v>
      </c>
      <c r="C67" s="11">
        <f t="shared" si="22"/>
        <v>1209.5408292240002</v>
      </c>
      <c r="D67" s="15">
        <v>0.6</v>
      </c>
      <c r="E67" s="11">
        <f t="shared" si="16"/>
        <v>725.72449753440003</v>
      </c>
      <c r="F67" s="11">
        <f t="shared" si="17"/>
        <v>602.35133295355195</v>
      </c>
      <c r="G67" s="15">
        <v>0.04</v>
      </c>
      <c r="H67" s="11">
        <f t="shared" si="18"/>
        <v>48.381633168960008</v>
      </c>
      <c r="I67" s="15">
        <v>0.08</v>
      </c>
      <c r="J67" s="11">
        <f t="shared" si="19"/>
        <v>96.763266337920015</v>
      </c>
      <c r="K67" s="11">
        <f t="shared" si="23"/>
        <v>5.0049965347200009</v>
      </c>
      <c r="L67" s="11">
        <f t="shared" si="20"/>
        <v>548.96470324987195</v>
      </c>
      <c r="M67" s="9">
        <f>1/(1+$B$60)^5</f>
        <v>0.64993138629834524</v>
      </c>
      <c r="N67" s="11">
        <f t="shared" si="21"/>
        <v>356.78939061204898</v>
      </c>
    </row>
    <row r="68" spans="1:14">
      <c r="A68" s="23">
        <v>6</v>
      </c>
      <c r="B68" s="15">
        <v>0.12</v>
      </c>
      <c r="C68" s="11">
        <f t="shared" si="22"/>
        <v>1354.6857287308803</v>
      </c>
      <c r="D68" s="15">
        <v>0.57999999999999996</v>
      </c>
      <c r="E68" s="11">
        <f t="shared" si="16"/>
        <v>785.71772266391054</v>
      </c>
      <c r="F68" s="11">
        <f t="shared" si="17"/>
        <v>652.14570981104566</v>
      </c>
      <c r="G68" s="15">
        <v>4.4999999999999998E-2</v>
      </c>
      <c r="H68" s="11">
        <f t="shared" si="18"/>
        <v>60.960857792889612</v>
      </c>
      <c r="I68" s="15">
        <v>0.08</v>
      </c>
      <c r="J68" s="11">
        <f t="shared" si="19"/>
        <v>108.37485829847043</v>
      </c>
      <c r="K68" s="11">
        <f t="shared" si="23"/>
        <v>4.354346985206405</v>
      </c>
      <c r="L68" s="11">
        <f t="shared" si="20"/>
        <v>600.3773623202585</v>
      </c>
      <c r="M68" s="9">
        <f>1/(1+$B$60)^6</f>
        <v>0.5962673268792158</v>
      </c>
      <c r="N68" s="11">
        <f t="shared" si="21"/>
        <v>357.98540494949498</v>
      </c>
    </row>
    <row r="69" spans="1:14">
      <c r="A69" s="23">
        <v>7</v>
      </c>
      <c r="B69" s="15">
        <v>0.09</v>
      </c>
      <c r="C69" s="11">
        <f t="shared" si="22"/>
        <v>1476.6074443166597</v>
      </c>
      <c r="D69" s="15">
        <v>0.56999999999999995</v>
      </c>
      <c r="E69" s="11">
        <f t="shared" si="16"/>
        <v>841.66624326049589</v>
      </c>
      <c r="F69" s="11">
        <f t="shared" si="17"/>
        <v>698.58298190621156</v>
      </c>
      <c r="G69" s="15">
        <v>0.05</v>
      </c>
      <c r="H69" s="11">
        <f t="shared" si="18"/>
        <v>73.83037221583298</v>
      </c>
      <c r="I69" s="15">
        <v>0.08</v>
      </c>
      <c r="J69" s="11">
        <f t="shared" si="19"/>
        <v>118.12859554533277</v>
      </c>
      <c r="K69" s="11">
        <f t="shared" si="23"/>
        <v>3.65765146757338</v>
      </c>
      <c r="L69" s="11">
        <f t="shared" si="20"/>
        <v>650.62710710913836</v>
      </c>
      <c r="M69" s="9">
        <f>1/(1+$B$60)^7</f>
        <v>0.54703424484331731</v>
      </c>
      <c r="N69" s="11">
        <f t="shared" si="21"/>
        <v>355.91530821203963</v>
      </c>
    </row>
    <row r="70" spans="1:14">
      <c r="A70" s="23">
        <v>8</v>
      </c>
      <c r="B70" s="15">
        <v>7.0000000000000007E-2</v>
      </c>
      <c r="C70" s="11">
        <f t="shared" si="22"/>
        <v>1579.969965418826</v>
      </c>
      <c r="D70" s="15">
        <v>0.56000000000000005</v>
      </c>
      <c r="E70" s="11">
        <f t="shared" si="16"/>
        <v>884.78318063454265</v>
      </c>
      <c r="F70" s="11">
        <f t="shared" si="17"/>
        <v>734.37003992667042</v>
      </c>
      <c r="G70" s="15">
        <v>0.05</v>
      </c>
      <c r="H70" s="11">
        <f t="shared" si="18"/>
        <v>78.998498270941298</v>
      </c>
      <c r="I70" s="15">
        <v>7.0000000000000007E-2</v>
      </c>
      <c r="J70" s="11">
        <f t="shared" si="19"/>
        <v>110.59789757931783</v>
      </c>
      <c r="K70" s="11">
        <f t="shared" si="23"/>
        <v>3.1008756330649883</v>
      </c>
      <c r="L70" s="11">
        <f t="shared" si="20"/>
        <v>699.66976498522888</v>
      </c>
      <c r="M70" s="9">
        <f>1/(1+$B$60)^8</f>
        <v>0.50186627967276809</v>
      </c>
      <c r="N70" s="11">
        <f t="shared" si="21"/>
        <v>351.14066195265679</v>
      </c>
    </row>
    <row r="71" spans="1:14">
      <c r="A71" s="23">
        <v>9</v>
      </c>
      <c r="B71" s="15">
        <v>0.05</v>
      </c>
      <c r="C71" s="11">
        <f t="shared" si="22"/>
        <v>1658.9684636897673</v>
      </c>
      <c r="D71" s="15">
        <v>0.55000000000000004</v>
      </c>
      <c r="E71" s="11">
        <f t="shared" si="16"/>
        <v>912.43265502937209</v>
      </c>
      <c r="F71" s="11">
        <f t="shared" si="17"/>
        <v>757.31910367437877</v>
      </c>
      <c r="G71" s="15">
        <v>0.05</v>
      </c>
      <c r="H71" s="11">
        <f t="shared" si="18"/>
        <v>82.948423184488377</v>
      </c>
      <c r="I71" s="15">
        <v>7.0000000000000007E-2</v>
      </c>
      <c r="J71" s="11">
        <f t="shared" si="19"/>
        <v>116.12779245828372</v>
      </c>
      <c r="K71" s="11">
        <f t="shared" si="23"/>
        <v>2.3699549481282407</v>
      </c>
      <c r="L71" s="11">
        <f t="shared" si="20"/>
        <v>721.76977945245517</v>
      </c>
      <c r="M71" s="9">
        <f>1/(1+$B$60)^9</f>
        <v>0.46042777951630098</v>
      </c>
      <c r="N71" s="11">
        <f t="shared" si="21"/>
        <v>332.32285687526422</v>
      </c>
    </row>
    <row r="72" spans="1:14">
      <c r="A72" s="23">
        <v>10</v>
      </c>
      <c r="B72" s="15">
        <v>0.04</v>
      </c>
      <c r="C72" s="11">
        <f t="shared" si="22"/>
        <v>1725.3272022373581</v>
      </c>
      <c r="D72" s="15">
        <v>0.55000000000000004</v>
      </c>
      <c r="E72" s="11">
        <f t="shared" si="16"/>
        <v>948.92996123054695</v>
      </c>
      <c r="F72" s="11">
        <f t="shared" si="17"/>
        <v>787.61186782135394</v>
      </c>
      <c r="G72" s="15">
        <v>0.05</v>
      </c>
      <c r="H72" s="11">
        <f t="shared" si="18"/>
        <v>86.266360111867911</v>
      </c>
      <c r="I72" s="15">
        <v>7.0000000000000007E-2</v>
      </c>
      <c r="J72" s="11">
        <f t="shared" si="19"/>
        <v>120.77290415661507</v>
      </c>
      <c r="K72" s="11">
        <f t="shared" si="23"/>
        <v>1.9907621564277223</v>
      </c>
      <c r="L72" s="11">
        <f t="shared" si="20"/>
        <v>751.11456162017907</v>
      </c>
      <c r="M72" s="9">
        <f>1/(1+$B$60)^10</f>
        <v>0.42241080689568894</v>
      </c>
      <c r="N72" s="11">
        <f t="shared" si="21"/>
        <v>317.27890804508149</v>
      </c>
    </row>
    <row r="73" spans="1:14">
      <c r="A73" s="18" t="s">
        <v>179</v>
      </c>
      <c r="B73" s="11">
        <f>L72*(1+$D$60)/($B$60-$D$60)</f>
        <v>17442.549264290825</v>
      </c>
    </row>
    <row r="74" spans="1:14">
      <c r="A74" s="6" t="s">
        <v>180</v>
      </c>
      <c r="B74" s="11">
        <f>B73/(1+$B$60)^10</f>
        <v>7367.921309046892</v>
      </c>
    </row>
    <row r="75" spans="1:14">
      <c r="A75" s="18" t="s">
        <v>181</v>
      </c>
      <c r="B75" s="11">
        <f>SUM(N63:N72)+B74</f>
        <v>10583.163846393854</v>
      </c>
    </row>
    <row r="76" spans="1:14">
      <c r="A76" s="6" t="s">
        <v>182</v>
      </c>
      <c r="B76" s="11">
        <f>$B$8</f>
        <v>-23.22</v>
      </c>
    </row>
    <row r="77" spans="1:14">
      <c r="A77" s="18" t="s">
        <v>183</v>
      </c>
      <c r="B77" s="11">
        <f>B75-B76</f>
        <v>10606.383846393854</v>
      </c>
    </row>
    <row r="78" spans="1:14">
      <c r="A78" s="18" t="s">
        <v>184</v>
      </c>
      <c r="B78" s="7">
        <f>B77/$B$10</f>
        <v>440.09891478812671</v>
      </c>
      <c r="C78" s="6" t="s">
        <v>189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1"/>
  <sheetViews>
    <sheetView showGridLines="0" workbookViewId="0"/>
  </sheetViews>
  <sheetFormatPr defaultRowHeight="14.4"/>
  <cols>
    <col min="1" max="1" width="28" customWidth="1"/>
    <col min="2" max="7" width="14" customWidth="1"/>
  </cols>
  <sheetData>
    <row r="1" spans="1:7" ht="23.4">
      <c r="A1" s="1" t="s">
        <v>190</v>
      </c>
    </row>
    <row r="2" spans="1:7" ht="15.6">
      <c r="A2" s="26" t="s">
        <v>191</v>
      </c>
      <c r="B2" s="27"/>
      <c r="C2" s="27"/>
      <c r="D2" s="27"/>
      <c r="E2" s="27"/>
      <c r="F2" s="27"/>
      <c r="G2" s="27"/>
    </row>
    <row r="4" spans="1:7">
      <c r="A4" s="5" t="s">
        <v>166</v>
      </c>
      <c r="B4" s="5" t="s">
        <v>184</v>
      </c>
    </row>
    <row r="5" spans="1:7">
      <c r="A5" s="15">
        <v>0.08</v>
      </c>
      <c r="B5" s="24">
        <v>318</v>
      </c>
    </row>
    <row r="6" spans="1:7">
      <c r="A6" s="15">
        <v>8.3000000000000004E-2</v>
      </c>
      <c r="B6" s="24">
        <v>295</v>
      </c>
    </row>
    <row r="7" spans="1:7">
      <c r="A7" s="15">
        <v>8.5999999999999993E-2</v>
      </c>
      <c r="B7" s="24">
        <v>276</v>
      </c>
    </row>
    <row r="8" spans="1:7">
      <c r="A8" s="15">
        <v>9.0999999999999998E-2</v>
      </c>
      <c r="B8" s="24">
        <v>249</v>
      </c>
    </row>
    <row r="9" spans="1:7">
      <c r="A9" s="15">
        <v>9.6000000000000002E-2</v>
      </c>
      <c r="B9" s="24">
        <v>226</v>
      </c>
    </row>
    <row r="10" spans="1:7">
      <c r="A10" s="15">
        <v>0.10100000000000001</v>
      </c>
      <c r="B10" s="24">
        <v>207</v>
      </c>
    </row>
    <row r="11" spans="1:7">
      <c r="A11" s="15">
        <v>0.106</v>
      </c>
      <c r="B11" s="24">
        <v>191</v>
      </c>
    </row>
    <row r="12" spans="1:7">
      <c r="A12" s="15">
        <v>0.111</v>
      </c>
      <c r="B12" s="24">
        <v>177</v>
      </c>
    </row>
    <row r="14" spans="1:7">
      <c r="A14" s="5" t="s">
        <v>192</v>
      </c>
      <c r="B14" s="5" t="s">
        <v>184</v>
      </c>
    </row>
    <row r="15" spans="1:7">
      <c r="A15" s="15">
        <v>0.05</v>
      </c>
      <c r="B15" s="24">
        <v>237</v>
      </c>
    </row>
    <row r="16" spans="1:7">
      <c r="A16" s="15">
        <v>0.06</v>
      </c>
      <c r="B16" s="24">
        <v>233</v>
      </c>
    </row>
    <row r="17" spans="1:3">
      <c r="A17" s="15">
        <v>7.0000000000000007E-2</v>
      </c>
      <c r="B17" s="24">
        <v>230</v>
      </c>
    </row>
    <row r="18" spans="1:3">
      <c r="A18" s="15">
        <v>0.08</v>
      </c>
      <c r="B18" s="24">
        <v>226</v>
      </c>
    </row>
    <row r="19" spans="1:3">
      <c r="A19" s="15">
        <v>0.09</v>
      </c>
      <c r="B19" s="24">
        <v>222</v>
      </c>
    </row>
    <row r="20" spans="1:3">
      <c r="A20" s="15">
        <v>0.1</v>
      </c>
      <c r="B20" s="24">
        <v>219</v>
      </c>
    </row>
    <row r="23" spans="1:3">
      <c r="A23" s="5" t="s">
        <v>193</v>
      </c>
      <c r="B23" s="5" t="s">
        <v>184</v>
      </c>
    </row>
    <row r="24" spans="1:3">
      <c r="A24" s="15">
        <v>0.44</v>
      </c>
      <c r="B24" s="24">
        <v>207</v>
      </c>
    </row>
    <row r="25" spans="1:3">
      <c r="A25" s="15">
        <v>0.46</v>
      </c>
      <c r="B25" s="24">
        <v>214</v>
      </c>
    </row>
    <row r="26" spans="1:3">
      <c r="A26" s="15">
        <v>0.48</v>
      </c>
      <c r="B26" s="24">
        <v>220</v>
      </c>
    </row>
    <row r="27" spans="1:3">
      <c r="A27" s="15">
        <v>0.5</v>
      </c>
      <c r="B27" s="24">
        <v>226</v>
      </c>
    </row>
    <row r="28" spans="1:3">
      <c r="A28" s="15">
        <v>0.52</v>
      </c>
      <c r="B28" s="24">
        <v>232</v>
      </c>
    </row>
    <row r="29" spans="1:3">
      <c r="A29" s="15">
        <v>0.54</v>
      </c>
      <c r="B29" s="24">
        <v>238</v>
      </c>
    </row>
    <row r="30" spans="1:3">
      <c r="A30" s="15">
        <v>0.56000000000000005</v>
      </c>
      <c r="B30" s="24">
        <v>245</v>
      </c>
    </row>
    <row r="32" spans="1:3" ht="16.2">
      <c r="A32" s="3" t="s">
        <v>194</v>
      </c>
      <c r="B32" s="4"/>
      <c r="C32" s="4"/>
    </row>
    <row r="33" spans="1:7">
      <c r="A33" s="6" t="s">
        <v>195</v>
      </c>
      <c r="B33" s="15">
        <v>0.15110332535775511</v>
      </c>
    </row>
    <row r="34" spans="1:7">
      <c r="A34" s="6" t="s">
        <v>196</v>
      </c>
      <c r="B34" s="15">
        <v>0.14266693803711969</v>
      </c>
    </row>
    <row r="36" spans="1:7" ht="16.2">
      <c r="A36" s="3" t="s">
        <v>197</v>
      </c>
      <c r="B36" s="4"/>
      <c r="C36" s="4"/>
      <c r="D36" s="4"/>
      <c r="E36" s="4"/>
      <c r="F36" s="4"/>
      <c r="G36" s="4"/>
    </row>
    <row r="37" spans="1:7">
      <c r="A37" s="5" t="s">
        <v>198</v>
      </c>
      <c r="B37" s="5" t="s">
        <v>199</v>
      </c>
      <c r="C37" s="5" t="s">
        <v>200</v>
      </c>
      <c r="D37" s="5" t="s">
        <v>183</v>
      </c>
      <c r="E37" s="5" t="s">
        <v>184</v>
      </c>
    </row>
    <row r="38" spans="1:7">
      <c r="A38" s="6" t="s">
        <v>201</v>
      </c>
      <c r="B38" s="24">
        <v>220</v>
      </c>
      <c r="C38" s="25">
        <v>25</v>
      </c>
      <c r="D38" s="24">
        <v>5523</v>
      </c>
      <c r="E38" s="24">
        <v>229</v>
      </c>
    </row>
    <row r="39" spans="1:7">
      <c r="A39" s="6" t="s">
        <v>202</v>
      </c>
      <c r="B39" s="24">
        <v>150</v>
      </c>
      <c r="C39" s="25">
        <v>25</v>
      </c>
      <c r="D39" s="24">
        <v>3773</v>
      </c>
      <c r="E39" s="24">
        <v>157</v>
      </c>
    </row>
    <row r="40" spans="1:7">
      <c r="A40" s="6" t="s">
        <v>203</v>
      </c>
      <c r="B40" s="24">
        <v>100</v>
      </c>
      <c r="C40" s="25">
        <v>20</v>
      </c>
      <c r="D40" s="24">
        <v>2023</v>
      </c>
      <c r="E40" s="24">
        <v>84</v>
      </c>
    </row>
    <row r="41" spans="1:7" ht="40.049999999999997" customHeight="1">
      <c r="A41" s="31" t="s">
        <v>204</v>
      </c>
      <c r="B41" s="27"/>
      <c r="C41" s="27"/>
      <c r="D41" s="27"/>
      <c r="E41" s="27"/>
      <c r="F41" s="27"/>
      <c r="G41" s="27"/>
    </row>
  </sheetData>
  <mergeCells count="2">
    <mergeCell ref="A41:G41"/>
    <mergeCell ref="A2:G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205</v>
      </c>
    </row>
    <row r="2" spans="1:4" ht="15.6">
      <c r="A2" s="26" t="s">
        <v>206</v>
      </c>
      <c r="B2" s="27"/>
      <c r="C2" s="27"/>
      <c r="D2" s="27"/>
    </row>
    <row r="4" spans="1:4">
      <c r="A4" s="5" t="s">
        <v>207</v>
      </c>
      <c r="B4" s="5" t="s">
        <v>208</v>
      </c>
      <c r="C4" s="5" t="s">
        <v>209</v>
      </c>
      <c r="D4" s="5" t="s">
        <v>210</v>
      </c>
    </row>
    <row r="5" spans="1:4" ht="26.4">
      <c r="A5" s="6" t="s">
        <v>211</v>
      </c>
      <c r="B5" s="6" t="s">
        <v>212</v>
      </c>
      <c r="C5" s="22" t="s">
        <v>213</v>
      </c>
      <c r="D5" s="8" t="s">
        <v>214</v>
      </c>
    </row>
    <row r="6" spans="1:4" ht="26.4">
      <c r="A6" s="6" t="s">
        <v>215</v>
      </c>
      <c r="B6" s="6" t="s">
        <v>216</v>
      </c>
      <c r="C6" s="22" t="s">
        <v>213</v>
      </c>
      <c r="D6" s="8" t="s">
        <v>217</v>
      </c>
    </row>
    <row r="7" spans="1:4" ht="26.4">
      <c r="A7" s="6" t="s">
        <v>218</v>
      </c>
      <c r="B7" s="6" t="s">
        <v>216</v>
      </c>
      <c r="C7" s="22" t="s">
        <v>219</v>
      </c>
      <c r="D7" s="8" t="s">
        <v>220</v>
      </c>
    </row>
    <row r="8" spans="1:4">
      <c r="A8" s="6" t="s">
        <v>221</v>
      </c>
      <c r="B8" s="6" t="s">
        <v>222</v>
      </c>
      <c r="C8" s="22" t="s">
        <v>223</v>
      </c>
      <c r="D8" s="8" t="s">
        <v>224</v>
      </c>
    </row>
    <row r="9" spans="1:4">
      <c r="A9" s="6" t="s">
        <v>225</v>
      </c>
      <c r="B9" s="6" t="s">
        <v>226</v>
      </c>
      <c r="C9" s="22" t="s">
        <v>227</v>
      </c>
      <c r="D9" s="8" t="s">
        <v>228</v>
      </c>
    </row>
    <row r="10" spans="1:4">
      <c r="A10" s="6" t="s">
        <v>229</v>
      </c>
      <c r="B10" s="6" t="s">
        <v>230</v>
      </c>
      <c r="C10" s="22" t="s">
        <v>223</v>
      </c>
      <c r="D10" s="8" t="s">
        <v>231</v>
      </c>
    </row>
    <row r="13" spans="1:4" ht="15">
      <c r="A13" s="30" t="s">
        <v>232</v>
      </c>
      <c r="B13" s="27"/>
      <c r="C13" s="27"/>
      <c r="D13" s="27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2026-10-29T08:15:10Z</dcterms:created>
  <dcterms:modified xsi:type="dcterms:W3CDTF">2026-10-29T10:34:37Z</dcterms:modified>
</cp:coreProperties>
</file>