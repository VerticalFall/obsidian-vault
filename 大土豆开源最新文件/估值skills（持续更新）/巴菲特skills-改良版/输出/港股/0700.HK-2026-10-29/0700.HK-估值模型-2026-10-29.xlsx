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0700.HK-2026-10-29\"/>
    </mc:Choice>
  </mc:AlternateContent>
  <xr:revisionPtr revIDLastSave="0" documentId="13_ncr:1_{6654C7C2-4818-49F4-BB60-767E6F325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分部!$A$1:$F$30</definedName>
    <definedName name="_xlnm.Print_Area" localSheetId="0">结论!$A$1:$M$47</definedName>
    <definedName name="_xlnm.Print_Area" localSheetId="6">来源!$A$1:$D$14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E17" i="5" l="1"/>
  <c r="F17" i="5" s="1"/>
  <c r="J17" i="5"/>
  <c r="K17" i="5"/>
  <c r="H17" i="5"/>
  <c r="L17" i="5" s="1"/>
  <c r="N17" i="5" s="1"/>
  <c r="C18" i="5"/>
  <c r="C64" i="5"/>
  <c r="K63" i="5"/>
  <c r="J63" i="5"/>
  <c r="H63" i="5"/>
  <c r="E63" i="5"/>
  <c r="F63" i="5" s="1"/>
  <c r="L63" i="5" s="1"/>
  <c r="N63" i="5" s="1"/>
  <c r="C41" i="5"/>
  <c r="K40" i="5"/>
  <c r="J40" i="5"/>
  <c r="H40" i="5"/>
  <c r="E40" i="5"/>
  <c r="F40" i="5" s="1"/>
  <c r="L40" i="5" s="1"/>
  <c r="N40" i="5" s="1"/>
  <c r="J18" i="5"/>
  <c r="C19" i="5"/>
  <c r="K18" i="5"/>
  <c r="H18" i="5"/>
  <c r="E18" i="5"/>
  <c r="F18" i="5" s="1"/>
  <c r="B14" i="1"/>
  <c r="B25" i="1"/>
  <c r="E64" i="5" l="1"/>
  <c r="F64" i="5" s="1"/>
  <c r="C65" i="5"/>
  <c r="J64" i="5"/>
  <c r="H64" i="5"/>
  <c r="K64" i="5"/>
  <c r="E41" i="5"/>
  <c r="F41" i="5" s="1"/>
  <c r="H41" i="5"/>
  <c r="J41" i="5"/>
  <c r="K41" i="5"/>
  <c r="C42" i="5"/>
  <c r="E19" i="5"/>
  <c r="F19" i="5" s="1"/>
  <c r="H19" i="5"/>
  <c r="J19" i="5"/>
  <c r="K19" i="5"/>
  <c r="C20" i="5"/>
  <c r="B26" i="1"/>
  <c r="B22" i="1"/>
  <c r="L18" i="5"/>
  <c r="N18" i="5" s="1"/>
  <c r="E65" i="5" l="1"/>
  <c r="F65" i="5" s="1"/>
  <c r="H65" i="5"/>
  <c r="J65" i="5"/>
  <c r="K65" i="5"/>
  <c r="C66" i="5"/>
  <c r="E42" i="5"/>
  <c r="F42" i="5" s="1"/>
  <c r="J42" i="5"/>
  <c r="K42" i="5"/>
  <c r="C43" i="5"/>
  <c r="H42" i="5"/>
  <c r="E20" i="5"/>
  <c r="F20" i="5" s="1"/>
  <c r="H20" i="5"/>
  <c r="J20" i="5"/>
  <c r="K20" i="5"/>
  <c r="C21" i="5"/>
  <c r="L64" i="5"/>
  <c r="N64" i="5" s="1"/>
  <c r="L41" i="5"/>
  <c r="N41" i="5" s="1"/>
  <c r="L19" i="5"/>
  <c r="N19" i="5" s="1"/>
  <c r="L42" i="5" l="1"/>
  <c r="N42" i="5" s="1"/>
  <c r="L65" i="5"/>
  <c r="N65" i="5" s="1"/>
  <c r="E66" i="5"/>
  <c r="F66" i="5" s="1"/>
  <c r="H66" i="5"/>
  <c r="J66" i="5"/>
  <c r="K66" i="5"/>
  <c r="C67" i="5"/>
  <c r="E43" i="5"/>
  <c r="F43" i="5" s="1"/>
  <c r="H43" i="5"/>
  <c r="J43" i="5"/>
  <c r="K43" i="5"/>
  <c r="C44" i="5"/>
  <c r="E21" i="5"/>
  <c r="F21" i="5" s="1"/>
  <c r="H21" i="5"/>
  <c r="J21" i="5"/>
  <c r="K21" i="5"/>
  <c r="C22" i="5"/>
  <c r="L20" i="5"/>
  <c r="N20" i="5" s="1"/>
  <c r="L66" i="5" l="1"/>
  <c r="N66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E22" i="5"/>
  <c r="F22" i="5" s="1"/>
  <c r="H22" i="5"/>
  <c r="J22" i="5"/>
  <c r="K22" i="5"/>
  <c r="C23" i="5"/>
  <c r="L43" i="5"/>
  <c r="N43" i="5" s="1"/>
  <c r="L21" i="5"/>
  <c r="N21" i="5" s="1"/>
  <c r="L67" i="5" l="1"/>
  <c r="N67" i="5" s="1"/>
  <c r="L44" i="5"/>
  <c r="N44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3" i="5"/>
  <c r="F23" i="5" s="1"/>
  <c r="H23" i="5"/>
  <c r="J23" i="5"/>
  <c r="K23" i="5"/>
  <c r="C24" i="5"/>
  <c r="L22" i="5"/>
  <c r="N22" i="5" s="1"/>
  <c r="L45" i="5" l="1"/>
  <c r="N45" i="5" s="1"/>
  <c r="E69" i="5"/>
  <c r="F69" i="5" s="1"/>
  <c r="H69" i="5"/>
  <c r="J69" i="5"/>
  <c r="K69" i="5"/>
  <c r="C70" i="5"/>
  <c r="E46" i="5"/>
  <c r="F46" i="5" s="1"/>
  <c r="L46" i="5" s="1"/>
  <c r="N46" i="5" s="1"/>
  <c r="H46" i="5"/>
  <c r="J46" i="5"/>
  <c r="K46" i="5"/>
  <c r="C47" i="5"/>
  <c r="E24" i="5"/>
  <c r="F24" i="5" s="1"/>
  <c r="H24" i="5"/>
  <c r="J24" i="5"/>
  <c r="K24" i="5"/>
  <c r="C25" i="5"/>
  <c r="L23" i="5"/>
  <c r="N23" i="5" s="1"/>
  <c r="L68" i="5"/>
  <c r="N68" i="5" s="1"/>
  <c r="L24" i="5" l="1"/>
  <c r="N24" i="5" s="1"/>
  <c r="E70" i="5"/>
  <c r="F70" i="5" s="1"/>
  <c r="H70" i="5"/>
  <c r="J70" i="5"/>
  <c r="K70" i="5"/>
  <c r="C71" i="5"/>
  <c r="E47" i="5"/>
  <c r="F47" i="5" s="1"/>
  <c r="H47" i="5"/>
  <c r="J47" i="5"/>
  <c r="K47" i="5"/>
  <c r="C48" i="5"/>
  <c r="E25" i="5"/>
  <c r="F25" i="5" s="1"/>
  <c r="H25" i="5"/>
  <c r="J25" i="5"/>
  <c r="K25" i="5"/>
  <c r="C26" i="5"/>
  <c r="L69" i="5"/>
  <c r="N69" i="5" s="1"/>
  <c r="L25" i="5" l="1"/>
  <c r="N25" i="5" s="1"/>
  <c r="L70" i="5"/>
  <c r="N70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E26" i="5"/>
  <c r="F26" i="5" s="1"/>
  <c r="H26" i="5"/>
  <c r="J26" i="5"/>
  <c r="K26" i="5"/>
  <c r="L47" i="5"/>
  <c r="N47" i="5" s="1"/>
  <c r="L71" i="5" l="1"/>
  <c r="N71" i="5" s="1"/>
  <c r="E72" i="5"/>
  <c r="F72" i="5" s="1"/>
  <c r="H72" i="5"/>
  <c r="J72" i="5"/>
  <c r="K72" i="5"/>
  <c r="E49" i="5"/>
  <c r="F49" i="5" s="1"/>
  <c r="L49" i="5" s="1"/>
  <c r="H49" i="5"/>
  <c r="J49" i="5"/>
  <c r="K49" i="5"/>
  <c r="L48" i="5"/>
  <c r="N48" i="5" s="1"/>
  <c r="L26" i="5"/>
  <c r="N49" i="5" l="1"/>
  <c r="B50" i="5"/>
  <c r="B51" i="5" s="1"/>
  <c r="B52" i="5" s="1"/>
  <c r="B55" i="5" s="1"/>
  <c r="B56" i="5" s="1"/>
  <c r="B27" i="5"/>
  <c r="B28" i="5" s="1"/>
  <c r="B29" i="5" s="1"/>
  <c r="B32" i="5" s="1"/>
  <c r="B33" i="5" s="1"/>
  <c r="N26" i="5"/>
  <c r="L72" i="5"/>
  <c r="B73" i="5" l="1"/>
  <c r="B74" i="5" s="1"/>
  <c r="B75" i="5" s="1"/>
  <c r="B78" i="5" s="1"/>
  <c r="B79" i="5" s="1"/>
  <c r="N72" i="5"/>
</calcChain>
</file>

<file path=xl/sharedStrings.xml><?xml version="1.0" encoding="utf-8"?>
<sst xmlns="http://schemas.openxmlformats.org/spreadsheetml/2006/main" count="335" uniqueCount="243">
  <si>
    <t>腾讯控股（0700.HK）巴菲特框架估值</t>
  </si>
  <si>
    <t>研究日 2026-10-29｜本地收盘 HK$377.60｜折人民币 ¥323.23（HKD/CNY 0.856）｜最新财报：2026 中报（2026-08-12）</t>
  </si>
  <si>
    <t>市值按 90.9264 亿股计算；净负债 = 债务 + 融资租赁 − 现金；数据边界见报告第 1 节。</t>
  </si>
  <si>
    <t>一句话结论</t>
  </si>
  <si>
    <t>便宜：基准 HK$548，现价 HK$377.6；AI capex 是主要变量。</t>
  </si>
  <si>
    <t>关键数据（亿元 / 倍 / 百分比）</t>
  </si>
  <si>
    <t>项目</t>
  </si>
  <si>
    <t>数值</t>
  </si>
  <si>
    <t>备注</t>
  </si>
  <si>
    <t>收盘价（元）</t>
  </si>
  <si>
    <t>2026-10-29 收盘 377.60 港元，按 0.856 折 ¥323.23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</si>
  <si>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</si>
  <si>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</si>
  <si>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</si>
  <si>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</si>
  <si>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</si>
  <si>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</si>
  <si>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</si>
  <si>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</si>
  <si>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</si>
  <si>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</si>
  <si>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</si>
  <si>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</si>
  <si>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</si>
  <si>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(1−18%)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</si>
  <si>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</si>
  <si>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</si>
  <si>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</si>
  <si>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</si>
  <si>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</si>
  <si>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</si>
  <si>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</si>
  <si>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</si>
  <si>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</si>
  <si>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</si>
  <si>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</si>
  <si>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</si>
  <si>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</si>
  <si>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</si>
  <si>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</si>
  <si>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</si>
  <si>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</si>
  <si>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</si>
  <si>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</si>
  <si>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</si>
  <si>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</si>
  <si>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</si>
  <si>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</si>
  <si>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</si>
  <si>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</si>
  <si>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</si>
  <si>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</si>
  <si>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</si>
  <si>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</si>
  <si>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</si>
  <si>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</si>
  <si>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</si>
  <si>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</si>
  <si>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</si>
  <si>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</si>
  <si>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¥469，现价 ¥323.23；现价低于基准 31.1%。</t>
  </si>
  <si>
    <t>• 悲观 ¥302；基准 ¥469；乐观 ¥633；概率加权约 ¥452（30%/50%/20%）。</t>
  </si>
  <si>
    <t>• 反推：现价隐含未来 10 年收入 CAGR 约 -0.5%，基准情景约 6.0%。</t>
  </si>
  <si>
    <t>• 若要求 20% 安全边际，观察价约 ¥375（基准价值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</si>
  <si>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</si>
  <si>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</si>
  <si>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腾讯控股五年财务与现金流（亿元，除每股数据）</t>
  </si>
  <si>
    <t>来源：公司年报/中报；2026H1 为半年数据，不与年度直接比较。</t>
  </si>
  <si>
    <t>2021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</si>
  <si>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</si>
  <si>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</si>
  <si>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</si>
  <si>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</si>
  <si>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</si>
  <si>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</si>
  <si>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</si>
  <si>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</si>
  <si>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</si>
  <si>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</si>
  <si>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资本开支（估算）</t>
  </si>
  <si>
    <t>自由现金流</t>
  </si>
  <si>
    <t>EPS（元）</t>
  </si>
  <si>
    <t>股本（亿股）</t>
  </si>
  <si>
    <t>收入增速</t>
  </si>
  <si>
    <t>经营利润率</t>
  </si>
  <si>
    <t>净利率</t>
  </si>
  <si>
    <t>FCF 利润率</t>
  </si>
  <si>
    <t>关键读数</t>
  </si>
  <si>
    <t>• 2021–2025 年收入 CAGR 7.6%，但净利润几乎零增长：2021 年 2,248 亿→2023 年 1,152 亿→2025 年 2,248 亿，中间经历监管与投资周期。</t>
  </si>
  <si>
    <t>• 2026H1 收入 +10.1%、归母净利 +10.3%；Q2 游戏 +11.3%、广告 +22%，广告增速领跑。</t>
  </si>
  <si>
    <t>• 2026H1 资本开支 847 亿（+82%），Q2 单季 527.8 亿（+176%），主要用于 AI 基础设施；Q2 自由现金流 -138 亿。</t>
  </si>
  <si>
    <t>• Non-IFRS 经营利润 Q2 756.4 亿（+9%），剔除新 AI 产品后 861 亿（+19%），AI 产品当季经营亏损约 105 亿。</t>
  </si>
  <si>
    <t>• 期末现金 5,112 亿、净现金 582 亿；投资组合（FVTPL+联营/合营）约 9,031 亿，是市值的重要组成。</t>
  </si>
  <si>
    <t>• 2026H1 回购约 244 亿港元、5,003 万股并注销；回购是每股价值的重要支撑。</t>
  </si>
  <si>
    <t>腾讯控股：分部与关键运营数据</t>
  </si>
  <si>
    <t>单位：亿元，另有注明除外；同比为公开披露口径。</t>
  </si>
  <si>
    <t>2026Q2 业务结构</t>
  </si>
  <si>
    <t>单位：亿元；同比为 2026Q2 对 2025Q2。</t>
  </si>
  <si>
    <t>板块</t>
  </si>
  <si>
    <t>同比</t>
  </si>
  <si>
    <t>占比</t>
  </si>
  <si>
    <t>游戏（本土+国际）</t>
  </si>
  <si>
    <t>本土 +17%，国际固定汇率 +4%</t>
  </si>
  <si>
    <t>营销服务</t>
  </si>
  <si>
    <t>AI 推荐、视频号；占比升至 21%</t>
  </si>
  <si>
    <t>金融科技及企业服务</t>
  </si>
  <si>
    <t>支付、云、企业服务</t>
  </si>
  <si>
    <t>其他</t>
  </si>
  <si>
    <t>视频号直播、内容等</t>
  </si>
  <si>
    <t>合计</t>
  </si>
  <si>
    <t>Q2 营收 2,047.85 亿，+11%</t>
  </si>
  <si>
    <t>2026H1 盈利与 AI 投入</t>
  </si>
  <si>
    <t>单位：亿元；Non-IFRS 口径另有注明。</t>
  </si>
  <si>
    <t>指标</t>
  </si>
  <si>
    <t>营业收入</t>
  </si>
  <si>
    <t>Q2 +11%</t>
  </si>
  <si>
    <t>毛利</t>
  </si>
  <si>
    <t>毛利率 57.2%</t>
  </si>
  <si>
    <t>Non-IFRS 经营利润</t>
  </si>
  <si>
    <t>Q2 756.4 亿，+9%</t>
  </si>
  <si>
    <t>归母净利润</t>
  </si>
  <si>
    <t>Q2 560.2 亿，+0.7%</t>
  </si>
  <si>
    <t>资本开支</t>
  </si>
  <si>
    <t>Q2 527.8 亿，+176%</t>
  </si>
  <si>
    <t>Q2 单季 -138 亿</t>
  </si>
  <si>
    <t>净现金</t>
  </si>
  <si>
    <t>期末现金 5,112 亿</t>
  </si>
  <si>
    <t>解读</t>
  </si>
  <si>
    <t>0700.HK TTM FCFF 桥：从经营利润到自由现金流</t>
  </si>
  <si>
    <t>单位：亿元；TTM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</si>
  <si>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</si>
  <si>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</si>
  <si>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</si>
  <si>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</si>
  <si>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</si>
  <si>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</si>
  <si>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</si>
  <si>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</si>
  <si>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</si>
  <si>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</si>
  <si>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</si>
  <si>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</si>
  <si>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</si>
  <si>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</si>
  <si>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</si>
  <si>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+0.4 亿（四舍五入）</t>
  </si>
  <si>
    <t>现金转化率</t>
  </si>
  <si>
    <t>Capex / D&amp;A</t>
  </si>
  <si>
    <t>资本开支是折旧的倍数</t>
  </si>
  <si>
    <t>• 2026H1 资本开支 847 亿，已超过 2025 年全年估计的 600 亿；Q2 单季 527.8 亿，AI 基础设施是主因。</t>
  </si>
  <si>
    <t>• SBC 约 250 亿（TTM 估算），是非现金但会稀释；FCF 口径已加回。</t>
  </si>
  <si>
    <t>• 营运资金及其他 +468 亿，主要来自预收款与应付；剔除后正常化 FCF 约 1,800 亿。</t>
  </si>
  <si>
    <t>• 净现金 582 亿，但投资组合 9,031 亿；DCF 只按 5,500 亿计入，已打 30% 折扣。</t>
  </si>
  <si>
    <t>三情景 FCFF DCF（2026E 起算，10 年明确预测）</t>
  </si>
  <si>
    <t>单位：亿元，除每股数据；终值用永续增长；股权价值 = EV − 净负债 + 非经营投资。</t>
  </si>
  <si>
    <t>起始收入 2026E 8,345 亿元；投资组合按 30% 折扣计 5,500 亿元；DCF 不含投资收益。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</si>
  <si>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</si>
  <si>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</si>
  <si>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</si>
  <si>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</si>
  <si>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</si>
  <si>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</si>
  <si>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</si>
  <si>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4718.30 + 0.00 − 4816.60 = -98.30 亿元；非经营投资/理财 5500.00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</si>
  <si>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</si>
  <si>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</si>
  <si>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</si>
  <si>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</si>
  <si>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</si>
  <si>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</si>
  <si>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</si>
  <si>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</si>
  <si>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</si>
  <si>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</si>
  <si>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</si>
  <si>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</si>
  <si>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</si>
  <si>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</si>
  <si>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</si>
  <si>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</si>
  <si>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</si>
  <si>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</si>
  <si>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</si>
  <si>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</si>
  <si>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</si>
  <si>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45%；终值 FCF 2301.7 亿；终值收入 10577 亿</t>
  </si>
  <si>
    <t>基准情景</t>
  </si>
  <si>
    <t>TV 占比 54%；终值 FCF 3516.0 亿；终值收入 14111 亿</t>
  </si>
  <si>
    <t>乐观情景</t>
  </si>
  <si>
    <t>TV 占比 60%；终值 FCF 4269.2 亿；终值收入 15718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</si>
  <si>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</si>
  <si>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</si>
  <si>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</si>
  <si>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</si>
  <si>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</si>
  <si>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¥323.23</t>
  </si>
  <si>
    <t>基准情景 10 年 CAGR</t>
  </si>
  <si>
    <t>交叉检查：DCF、SOTP、倍数</t>
  </si>
  <si>
    <t>方法</t>
  </si>
  <si>
    <t>相对现价</t>
  </si>
  <si>
    <t>读数</t>
  </si>
  <si>
    <t>DCF 基准（含折后投资组合 5,500 亿）</t>
  </si>
  <si>
    <t>¥469</t>
  </si>
  <si>
    <t>现价低 31%</t>
  </si>
  <si>
    <t>便宜</t>
  </si>
  <si>
    <t>SOTP：经营业务 15.8x NOPAT + 投资 5,500 亿</t>
  </si>
  <si>
    <t>¥478</t>
  </si>
  <si>
    <t>与 DCF 一致</t>
  </si>
  <si>
    <t>互相验证</t>
  </si>
  <si>
    <t>P/E TTM 12.5x vs 全球互联网 18–22x</t>
  </si>
  <si>
    <t>明显折价</t>
  </si>
  <si>
    <t>市场担忧 AI capex</t>
  </si>
  <si>
    <t>FCF 收益率 6.1% vs 中国 10Y 1.6%</t>
  </si>
  <si>
    <t>利差 450bp</t>
  </si>
  <si>
    <t>现金回报有吸引力</t>
  </si>
  <si>
    <t>DCF 与 SOTP 均指向 470–480 元；现价 323 元，折价约 31%。主要风险是 AI 资本开支、游戏监管与投资组合减值。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</si>
  <si>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</si>
  <si>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</si>
  <si>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</si>
  <si>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</si>
  <si>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</si>
  <si>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</si>
  <si>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年第二季度业绩</t>
  </si>
  <si>
    <t>腾讯控股 / 港交所</t>
  </si>
  <si>
    <t>2026-08-12</t>
  </si>
  <si>
    <t>Q2 营收 2,047.85 亿、Non-IFRS 净利 684.15 亿； capex 527.8 亿</t>
  </si>
  <si>
    <t>2026 年半年度报告</t>
  </si>
  <si>
    <t>2026-08</t>
  </si>
  <si>
    <t>H1 营收 4,012.4 亿、归母净利 1,141.2 亿；回购 244 亿港元</t>
  </si>
  <si>
    <t>2025 年年度报告</t>
  </si>
  <si>
    <t>2026-03</t>
  </si>
  <si>
    <t>FY2025 营收 7,517.7 亿、归母净利 2,248.4 亿</t>
  </si>
  <si>
    <t>业绩会纪要</t>
  </si>
  <si>
    <t>GameLook / 格隆汇</t>
  </si>
  <si>
    <t>AI 产品季度亏损约 105 亿；Hy3/Hy4、WorkBuddy 推进</t>
  </si>
  <si>
    <t>股价与估值</t>
  </si>
  <si>
    <t>东方财富 / 腾讯行情</t>
  </si>
  <si>
    <t>2026-10-29</t>
  </si>
  <si>
    <t>377.60 港元；PE TTM 12.9–13.8x、PB 2.5–2.6x</t>
  </si>
  <si>
    <t>汇率</t>
  </si>
  <si>
    <t>中国货币网</t>
  </si>
  <si>
    <t>HKD/CNY 0.85596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</si>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</sst>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</font>
    <font>
      <sz val="10"/>
      <color rgb="FF5B6770"/>
      <name val="Microsoft YaHei"/>
    </font>
    <font>
      <b/>
      <sz val="11"/>
      <color rgb="FF1F2933"/>
      <name val="Microsoft YaHei"/>
    </font>
    <font>
      <b/>
      <sz val="11"/>
      <color rgb="FFB23A2E"/>
      <name val="Microsoft YaHei"/>
    </font>
    <font>
      <b/>
      <sz val="9"/>
      <color rgb="FFFFFFFF"/>
      <name val="Microsoft YaHei"/>
    </font>
    <font>
      <sz val="9"/>
      <color rgb="FF1F2933"/>
      <name val="Microsoft YaHei"/>
    </font>
    <font>
      <b/>
      <sz val="9"/>
      <color rgb="FF1F2933"/>
      <name val="Microsoft YaHei"/>
    </font>
    <font>
      <b/>
      <sz val="9"/>
      <color rgb="FFB23A2E"/>
      <name val="Microsoft YaHei"/>
    </font>
    <font>
      <sz val="10"/>
      <color rgb="FF1F2933"/>
      <name val="Microsoft YaHei"/>
    </font>
    <font>
      <sz val="9"/>
      <color rgb="FF5B6770"/>
      <name val="Microsoft YaHe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0700.HK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50-46B4-A325-B1C04DBE6C9F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50-46B4-A325-B1C04DBE6C9F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50-46B4-A325-B1C04DBE6C9F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50-46B4-A325-B1C04DBE6C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302.30972603822357</c:v>
                </c:pt>
                <c:pt idx="1">
                  <c:v>468.8096755201741</c:v>
                </c:pt>
                <c:pt idx="2">
                  <c:v>633.25797795009123</c:v>
                </c:pt>
                <c:pt idx="3">
                  <c:v>323.23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0-46B4-A325-B1C04DBE6C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2221.9814250000004</c:v>
                </c:pt>
                <c:pt idx="1">
                  <c:v>2377.5201247500004</c:v>
                </c:pt>
                <c:pt idx="2">
                  <c:v>2532.50539035875</c:v>
                </c:pt>
                <c:pt idx="3">
                  <c:v>2684.9334233052755</c:v>
                </c:pt>
                <c:pt idx="4">
                  <c:v>2833.11352223119</c:v>
                </c:pt>
                <c:pt idx="5">
                  <c:v>2975.3084846255219</c:v>
                </c:pt>
                <c:pt idx="6">
                  <c:v>3124.0739088567989</c:v>
                </c:pt>
                <c:pt idx="7">
                  <c:v>3265.2546291350955</c:v>
                </c:pt>
                <c:pt idx="8">
                  <c:v>3396.492078399227</c:v>
                </c:pt>
                <c:pt idx="9">
                  <c:v>3516.0247921263722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CB-4C8A-BA14-34C82F758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323.23</v>
      </c>
      <c r="C10" s="8" t="s">
        <v>10</v>
      </c>
    </row>
    <row r="11" spans="1:13" ht="22.05" customHeight="1">
      <c r="A11" s="6" t="s">
        <v>11</v>
      </c>
      <c r="B11" s="9">
        <v>90.926400000000001</v>
      </c>
      <c r="C11" s="8" t="s">
        <v>12</v>
      </c>
    </row>
    <row r="12" spans="1:13" ht="22.05" customHeight="1">
      <c r="A12" s="6" t="s">
        <v>13</v>
      </c>
      <c r="B12" s="10">
        <f>B10*B11</f>
        <v>29390.140272000001</v>
      </c>
      <c r="C12" s="8" t="s">
        <v>14</v>
      </c>
    </row>
    <row r="13" spans="1:13" ht="22.05" customHeight="1">
      <c r="A13" s="6" t="s">
        <v>15</v>
      </c>
      <c r="B13" s="11">
        <v>-98.3</v>
      </c>
      <c r="C13" s="8" t="s">
        <v>16</v>
      </c>
    </row>
    <row r="14" spans="1:13" ht="22.05" customHeight="1">
      <c r="A14" s="6" t="s">
        <v>17</v>
      </c>
      <c r="B14" s="10">
        <f>B12+B13</f>
        <v>29291.840272000001</v>
      </c>
      <c r="C14" s="8" t="s">
        <v>18</v>
      </c>
    </row>
    <row r="15" spans="1:13" ht="22.05" customHeight="1">
      <c r="A15" s="6" t="s">
        <v>19</v>
      </c>
      <c r="B15" s="11">
        <v>7884.8</v>
      </c>
      <c r="C15" s="8" t="s">
        <v>20</v>
      </c>
    </row>
    <row r="16" spans="1:13" ht="22.05" customHeight="1">
      <c r="A16" s="6" t="s">
        <v>21</v>
      </c>
      <c r="B16" s="11">
        <v>2585.4</v>
      </c>
      <c r="C16" s="8" t="s">
        <v>22</v>
      </c>
    </row>
    <row r="17" spans="1:5" ht="22.05" customHeight="1">
      <c r="A17" s="6" t="s">
        <v>23</v>
      </c>
      <c r="B17" s="11">
        <v>2120.0300000000002</v>
      </c>
      <c r="C17" s="8" t="s">
        <v>24</v>
      </c>
    </row>
    <row r="18" spans="1:5" ht="22.05" customHeight="1">
      <c r="A18" s="6" t="s">
        <v>25</v>
      </c>
      <c r="B18" s="11">
        <v>1800</v>
      </c>
      <c r="C18" s="8" t="s">
        <v>26</v>
      </c>
    </row>
    <row r="19" spans="1:5" ht="22.05" customHeight="1">
      <c r="A19" s="6" t="s">
        <v>27</v>
      </c>
      <c r="B19" s="11">
        <v>8345</v>
      </c>
      <c r="C19" s="8" t="s">
        <v>28</v>
      </c>
    </row>
    <row r="20" spans="1:5" ht="22.05" customHeight="1">
      <c r="A20" s="6" t="s">
        <v>29</v>
      </c>
      <c r="B20" s="12">
        <v>25.9</v>
      </c>
      <c r="C20" s="8" t="s">
        <v>30</v>
      </c>
    </row>
    <row r="21" spans="1:5" ht="22.05" customHeight="1">
      <c r="A21" s="6" t="s">
        <v>31</v>
      </c>
      <c r="B21" s="12">
        <v>26.9</v>
      </c>
      <c r="C21" s="8" t="s">
        <v>32</v>
      </c>
    </row>
    <row r="22" spans="1:5" ht="22.05" customHeight="1">
      <c r="A22" s="6" t="s">
        <v>33</v>
      </c>
      <c r="B22" s="13">
        <f>B14/B16</f>
        <v>11.329713108996673</v>
      </c>
      <c r="C22" s="8" t="s">
        <v>34</v>
      </c>
    </row>
    <row r="23" spans="1:5" ht="22.05" customHeight="1">
      <c r="A23" s="6" t="s">
        <v>35</v>
      </c>
      <c r="B23" s="13">
        <f>B10/B20</f>
        <v>12.479922779922781</v>
      </c>
      <c r="C23" s="8" t="s">
        <v>36</v>
      </c>
    </row>
    <row r="24" spans="1:5" ht="22.05" customHeight="1">
      <c r="A24" s="6" t="s">
        <v>37</v>
      </c>
      <c r="B24" s="13">
        <f>B10/B21</f>
        <v>12.015985130111526</v>
      </c>
      <c r="C24" s="8" t="s">
        <v>38</v>
      </c>
    </row>
    <row r="25" spans="1:5" ht="22.05" customHeight="1">
      <c r="A25" s="6" t="s">
        <v>39</v>
      </c>
      <c r="B25" s="14">
        <f>B18/B12</f>
        <v>6.1245029228896221E-2</v>
      </c>
      <c r="C25" s="8" t="s">
        <v>40</v>
      </c>
    </row>
    <row r="26" spans="1:5" ht="22.05" customHeight="1">
      <c r="A26" s="6" t="s">
        <v>41</v>
      </c>
      <c r="B26" s="13">
        <f>B14/B18</f>
        <v>16.273244595555557</v>
      </c>
      <c r="C26" s="8" t="s">
        <v>42</v>
      </c>
    </row>
    <row r="27" spans="1:5" ht="22.05" customHeight="1">
      <c r="A27" s="6" t="s">
        <v>43</v>
      </c>
      <c r="B27" s="15">
        <v>0.15219155844155841</v>
      </c>
      <c r="C27" s="8" t="s">
        <v>44</v>
      </c>
    </row>
    <row r="28" spans="1:5" ht="22.05" customHeight="1">
      <c r="A28" s="6" t="s">
        <v>45</v>
      </c>
      <c r="B28" s="16">
        <f>B18/B17</f>
        <v>0.84904458899166513</v>
      </c>
      <c r="C28" s="8" t="s">
        <v>46</v>
      </c>
    </row>
    <row r="29" spans="1:5" ht="22.05" customHeight="1">
      <c r="A29" s="6" t="s">
        <v>47</v>
      </c>
      <c r="B29" s="17">
        <v>1.404572595365529E-2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302.30972603822357</v>
      </c>
      <c r="C33" s="15">
        <f>B33/$B$10-1</f>
        <v>-6.4722562762665747E-2</v>
      </c>
      <c r="D33" s="15">
        <f>1-$B$10/B33</f>
        <v>-6.9201458503955982E-2</v>
      </c>
      <c r="E33" s="17">
        <v>0.1032</v>
      </c>
    </row>
    <row r="34" spans="1:5">
      <c r="A34" s="18" t="s">
        <v>55</v>
      </c>
      <c r="B34" s="19">
        <v>468.8096755201741</v>
      </c>
      <c r="C34" s="15">
        <f>B34/$B$10-1</f>
        <v>0.45039035832123897</v>
      </c>
      <c r="D34" s="15">
        <f>1-$B$10/B34</f>
        <v>0.31053044150303466</v>
      </c>
      <c r="E34" s="17">
        <v>0.13719999999999999</v>
      </c>
    </row>
    <row r="35" spans="1:5">
      <c r="A35" s="6" t="s">
        <v>56</v>
      </c>
      <c r="B35" s="7">
        <v>633.25797795009123</v>
      </c>
      <c r="C35" s="15">
        <f>B35/$B$10-1</f>
        <v>0.9591559507164904</v>
      </c>
      <c r="D35" s="15">
        <f>1-$B$10/B35</f>
        <v>0.48957611075612117</v>
      </c>
      <c r="E35" s="17">
        <v>0.15770000000000001</v>
      </c>
    </row>
    <row r="36" spans="1:5">
      <c r="A36" s="20" t="s">
        <v>57</v>
      </c>
      <c r="B36" s="21">
        <v>323.23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8</v>
      </c>
    </row>
    <row r="5" spans="1:8">
      <c r="A5" s="6" t="s">
        <v>74</v>
      </c>
      <c r="B5" s="11">
        <v>5601.2</v>
      </c>
      <c r="C5" s="11">
        <v>5545.5</v>
      </c>
      <c r="D5" s="11">
        <v>6090.1</v>
      </c>
      <c r="E5" s="11">
        <v>6602.6</v>
      </c>
      <c r="F5" s="11">
        <v>7517.7</v>
      </c>
      <c r="G5" s="11">
        <v>4012.4</v>
      </c>
      <c r="H5" s="6" t="s">
        <v>75</v>
      </c>
    </row>
    <row r="6" spans="1:8">
      <c r="A6" s="6" t="s">
        <v>76</v>
      </c>
      <c r="B6" s="11">
        <v>2649.7</v>
      </c>
      <c r="C6" s="11">
        <v>1108.3</v>
      </c>
      <c r="D6" s="11">
        <v>1600.7</v>
      </c>
      <c r="E6" s="11">
        <v>2081</v>
      </c>
      <c r="F6" s="11">
        <v>2415.6</v>
      </c>
      <c r="G6" s="11">
        <v>1346.5</v>
      </c>
      <c r="H6" s="6" t="s">
        <v>75</v>
      </c>
    </row>
    <row r="7" spans="1:8">
      <c r="A7" s="6" t="s">
        <v>77</v>
      </c>
      <c r="B7" s="11">
        <v>2248.1999999999998</v>
      </c>
      <c r="C7" s="11">
        <v>1882.4</v>
      </c>
      <c r="D7" s="11">
        <v>1152.2</v>
      </c>
      <c r="E7" s="11">
        <v>1940.7</v>
      </c>
      <c r="F7" s="11">
        <v>2248.4</v>
      </c>
      <c r="G7" s="11">
        <v>1141.2</v>
      </c>
      <c r="H7" s="6" t="s">
        <v>75</v>
      </c>
    </row>
    <row r="8" spans="1:8">
      <c r="A8" s="6" t="s">
        <v>78</v>
      </c>
      <c r="B8" s="11">
        <v>1751.9</v>
      </c>
      <c r="C8" s="11">
        <v>1460.9</v>
      </c>
      <c r="D8" s="11">
        <v>2219.6</v>
      </c>
      <c r="E8" s="11">
        <v>2585.1999999999998</v>
      </c>
      <c r="F8" s="11">
        <v>3030.5</v>
      </c>
      <c r="G8" s="11">
        <v>1540.6</v>
      </c>
      <c r="H8" s="6" t="s">
        <v>75</v>
      </c>
    </row>
    <row r="9" spans="1:8">
      <c r="A9" s="6" t="s">
        <v>79</v>
      </c>
      <c r="B9" s="11">
        <v>35</v>
      </c>
      <c r="C9" s="11">
        <v>55</v>
      </c>
      <c r="D9" s="11">
        <v>70</v>
      </c>
      <c r="E9" s="11">
        <v>120</v>
      </c>
      <c r="F9" s="11">
        <v>600</v>
      </c>
      <c r="G9" s="11">
        <v>847</v>
      </c>
      <c r="H9" s="6" t="s">
        <v>75</v>
      </c>
    </row>
    <row r="10" spans="1:8">
      <c r="A10" s="6" t="s">
        <v>80</v>
      </c>
      <c r="B10" s="11">
        <v>1716.9</v>
      </c>
      <c r="C10" s="11">
        <v>1405.9</v>
      </c>
      <c r="D10" s="11">
        <v>2149.6</v>
      </c>
      <c r="E10" s="11">
        <v>2465.1999999999998</v>
      </c>
      <c r="F10" s="11">
        <v>2430.5</v>
      </c>
      <c r="G10" s="11">
        <v>693.6</v>
      </c>
      <c r="H10" s="6" t="s">
        <v>75</v>
      </c>
    </row>
    <row r="11" spans="1:8">
      <c r="A11" s="6" t="s">
        <v>81</v>
      </c>
      <c r="B11" s="12">
        <v>23.597000000000001</v>
      </c>
      <c r="C11" s="12">
        <v>19.757000000000001</v>
      </c>
      <c r="D11" s="12">
        <v>12.186</v>
      </c>
      <c r="E11" s="12">
        <v>20.937999999999999</v>
      </c>
      <c r="F11" s="12">
        <v>24.748999999999999</v>
      </c>
      <c r="G11" s="12">
        <v>12.638999999999999</v>
      </c>
      <c r="H11" s="6" t="s">
        <v>75</v>
      </c>
    </row>
    <row r="12" spans="1:8">
      <c r="A12" s="6" t="s">
        <v>82</v>
      </c>
      <c r="B12" s="11">
        <v>96</v>
      </c>
      <c r="C12" s="11">
        <v>95.5</v>
      </c>
      <c r="D12" s="11">
        <v>94.5</v>
      </c>
      <c r="E12" s="11">
        <v>93</v>
      </c>
      <c r="F12" s="11">
        <v>91.5</v>
      </c>
      <c r="G12" s="11">
        <v>90.9</v>
      </c>
      <c r="H12" s="6" t="s">
        <v>75</v>
      </c>
    </row>
    <row r="14" spans="1:8">
      <c r="A14" s="6" t="s">
        <v>83</v>
      </c>
      <c r="C14" s="15">
        <f>C5/B5-1</f>
        <v>-9.9442976505034197E-3</v>
      </c>
      <c r="D14" s="15">
        <f>D5/C5-1</f>
        <v>9.8205752411865577E-2</v>
      </c>
      <c r="E14" s="15">
        <f>E5/D5-1</f>
        <v>8.4152969573570324E-2</v>
      </c>
      <c r="F14" s="15">
        <f>F5/E5-1</f>
        <v>0.13859691636627991</v>
      </c>
      <c r="G14" s="15">
        <f>G5/F5-1</f>
        <v>-0.46627292922037322</v>
      </c>
    </row>
    <row r="15" spans="1:8">
      <c r="A15" s="6" t="s">
        <v>84</v>
      </c>
      <c r="B15" s="15">
        <f t="shared" ref="B15:G15" si="0">B6/B5</f>
        <v>0.47305934442619435</v>
      </c>
      <c r="C15" s="15">
        <f t="shared" si="0"/>
        <v>0.19985573888738617</v>
      </c>
      <c r="D15" s="15">
        <f t="shared" si="0"/>
        <v>0.26283640662714897</v>
      </c>
      <c r="E15" s="15">
        <f t="shared" si="0"/>
        <v>0.31517886893042135</v>
      </c>
      <c r="F15" s="15">
        <f t="shared" si="0"/>
        <v>0.32132168083323359</v>
      </c>
      <c r="G15" s="15">
        <f t="shared" si="0"/>
        <v>0.33558468746884657</v>
      </c>
    </row>
    <row r="16" spans="1:8">
      <c r="A16" s="6" t="s">
        <v>85</v>
      </c>
      <c r="B16" s="15">
        <f t="shared" ref="B16:G16" si="1">B7/B5</f>
        <v>0.40137827608369631</v>
      </c>
      <c r="C16" s="15">
        <f t="shared" si="1"/>
        <v>0.33944639798034443</v>
      </c>
      <c r="D16" s="15">
        <f t="shared" si="1"/>
        <v>0.18919229569300997</v>
      </c>
      <c r="E16" s="15">
        <f t="shared" si="1"/>
        <v>0.29392966407172932</v>
      </c>
      <c r="F16" s="15">
        <f t="shared" si="1"/>
        <v>0.29908083589395695</v>
      </c>
      <c r="G16" s="15">
        <f t="shared" si="1"/>
        <v>0.28441830325989431</v>
      </c>
    </row>
    <row r="17" spans="1:8">
      <c r="A17" s="6" t="s">
        <v>86</v>
      </c>
      <c r="B17" s="15">
        <f t="shared" ref="B17:G17" si="2">B10/B5</f>
        <v>0.30652360208526747</v>
      </c>
      <c r="C17" s="15">
        <f t="shared" si="2"/>
        <v>0.25352087277973134</v>
      </c>
      <c r="D17" s="15">
        <f t="shared" si="2"/>
        <v>0.35296628955189568</v>
      </c>
      <c r="E17" s="15">
        <f t="shared" si="2"/>
        <v>0.37336806712507187</v>
      </c>
      <c r="F17" s="15">
        <f t="shared" si="2"/>
        <v>0.32330367000545379</v>
      </c>
      <c r="G17" s="15">
        <f t="shared" si="2"/>
        <v>0.17286412122420497</v>
      </c>
    </row>
    <row r="18" spans="1:8">
      <c r="A18" s="6" t="s">
        <v>43</v>
      </c>
      <c r="B18" s="15">
        <f t="shared" ref="B18:G18" si="3">B9/B5</f>
        <v>6.2486610012140254E-3</v>
      </c>
      <c r="C18" s="15">
        <f t="shared" si="3"/>
        <v>9.9179514922008837E-3</v>
      </c>
      <c r="D18" s="15">
        <f t="shared" si="3"/>
        <v>1.1494064136877882E-2</v>
      </c>
      <c r="E18" s="15">
        <f t="shared" si="3"/>
        <v>1.817465846787629E-2</v>
      </c>
      <c r="F18" s="15">
        <f t="shared" si="3"/>
        <v>7.9811644518935312E-2</v>
      </c>
      <c r="G18" s="15">
        <f t="shared" si="3"/>
        <v>0.21109560362875088</v>
      </c>
    </row>
    <row r="19" spans="1:8">
      <c r="A19" s="6" t="s">
        <v>45</v>
      </c>
      <c r="B19" s="15">
        <f t="shared" ref="B19:G19" si="4">B10/(B6*(1-0.18))</f>
        <v>0.79019530052642872</v>
      </c>
      <c r="C19" s="15">
        <f t="shared" si="4"/>
        <v>1.5469748219091863</v>
      </c>
      <c r="D19" s="15">
        <f t="shared" si="4"/>
        <v>1.6376981412095621</v>
      </c>
      <c r="E19" s="15">
        <f t="shared" si="4"/>
        <v>1.4446619237936731</v>
      </c>
      <c r="F19" s="15">
        <f t="shared" si="4"/>
        <v>1.2270344387497525</v>
      </c>
      <c r="G19" s="15">
        <f t="shared" si="4"/>
        <v>0.62818689828190521</v>
      </c>
    </row>
    <row r="21" spans="1:8" ht="16.2">
      <c r="A21" s="3" t="s">
        <v>87</v>
      </c>
      <c r="B21" s="4"/>
      <c r="C21" s="4"/>
      <c r="D21" s="4"/>
      <c r="E21" s="4"/>
      <c r="F21" s="4"/>
      <c r="G21" s="4"/>
      <c r="H21" s="4"/>
    </row>
    <row r="22" spans="1:8" ht="30" customHeight="1">
      <c r="A22" s="26" t="s">
        <v>88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89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90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91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92</v>
      </c>
      <c r="B26" s="27"/>
      <c r="C26" s="27"/>
      <c r="D26" s="27"/>
      <c r="E26" s="27"/>
      <c r="F26" s="27"/>
      <c r="G26" s="27"/>
      <c r="H26" s="27"/>
    </row>
    <row r="27" spans="1:8" ht="30" customHeight="1">
      <c r="A27" s="26" t="s">
        <v>93</v>
      </c>
      <c r="B27" s="27"/>
      <c r="C27" s="27"/>
      <c r="D27" s="27"/>
      <c r="E27" s="27"/>
      <c r="F27" s="27"/>
      <c r="G27" s="27"/>
      <c r="H27" s="27"/>
    </row>
  </sheetData>
  <mergeCells count="7">
    <mergeCell ref="A27:H27"/>
    <mergeCell ref="A22:H22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94</v>
      </c>
    </row>
    <row r="2" spans="1:6" ht="15.6">
      <c r="A2" s="28" t="s">
        <v>95</v>
      </c>
      <c r="B2" s="27"/>
      <c r="C2" s="27"/>
      <c r="D2" s="27"/>
      <c r="E2" s="27"/>
      <c r="F2" s="27"/>
    </row>
    <row r="4" spans="1:6" ht="16.2">
      <c r="A4" s="3" t="s">
        <v>96</v>
      </c>
      <c r="B4" s="4"/>
      <c r="C4" s="4"/>
      <c r="D4" s="4"/>
      <c r="E4" s="4"/>
      <c r="F4" s="4"/>
    </row>
    <row r="5" spans="1:6" ht="15.6">
      <c r="A5" s="2" t="s">
        <v>97</v>
      </c>
    </row>
    <row r="6" spans="1:6">
      <c r="A6" s="5" t="s">
        <v>98</v>
      </c>
      <c r="B6" s="5" t="s">
        <v>74</v>
      </c>
      <c r="C6" s="5" t="s">
        <v>99</v>
      </c>
      <c r="D6" s="5" t="s">
        <v>100</v>
      </c>
      <c r="E6" s="5" t="s">
        <v>8</v>
      </c>
    </row>
    <row r="7" spans="1:6">
      <c r="A7" s="6" t="s">
        <v>101</v>
      </c>
      <c r="B7" s="11">
        <v>659</v>
      </c>
      <c r="C7" s="15">
        <v>0.113</v>
      </c>
      <c r="D7" s="15">
        <v>0.32200000000000001</v>
      </c>
      <c r="E7" s="6" t="s">
        <v>102</v>
      </c>
    </row>
    <row r="8" spans="1:6">
      <c r="A8" s="6" t="s">
        <v>103</v>
      </c>
      <c r="B8" s="11">
        <v>436</v>
      </c>
      <c r="C8" s="15">
        <v>0.22</v>
      </c>
      <c r="D8" s="15">
        <v>0.21299999999999999</v>
      </c>
      <c r="E8" s="6" t="s">
        <v>104</v>
      </c>
    </row>
    <row r="9" spans="1:6">
      <c r="A9" s="6" t="s">
        <v>105</v>
      </c>
      <c r="B9" s="11">
        <v>555</v>
      </c>
      <c r="C9" s="15">
        <v>0.05</v>
      </c>
      <c r="D9" s="15">
        <v>0.27100000000000002</v>
      </c>
      <c r="E9" s="6" t="s">
        <v>106</v>
      </c>
    </row>
    <row r="10" spans="1:6">
      <c r="A10" s="6" t="s">
        <v>107</v>
      </c>
      <c r="B10" s="11">
        <v>398</v>
      </c>
      <c r="C10" s="15">
        <v>0.1</v>
      </c>
      <c r="D10" s="15">
        <v>0.19400000000000001</v>
      </c>
      <c r="E10" s="6" t="s">
        <v>108</v>
      </c>
    </row>
    <row r="11" spans="1:6">
      <c r="A11" s="6" t="s">
        <v>109</v>
      </c>
      <c r="B11" s="11">
        <v>2048</v>
      </c>
      <c r="C11" s="15">
        <v>0.11</v>
      </c>
      <c r="D11" s="15">
        <v>1</v>
      </c>
      <c r="E11" s="6" t="s">
        <v>110</v>
      </c>
    </row>
    <row r="14" spans="1:6" ht="16.2">
      <c r="A14" s="3" t="s">
        <v>111</v>
      </c>
      <c r="B14" s="4"/>
      <c r="C14" s="4"/>
      <c r="D14" s="4"/>
      <c r="E14" s="4"/>
      <c r="F14" s="4"/>
    </row>
    <row r="15" spans="1:6" ht="15.6">
      <c r="A15" s="2" t="s">
        <v>112</v>
      </c>
    </row>
    <row r="16" spans="1:6">
      <c r="A16" s="5" t="s">
        <v>113</v>
      </c>
      <c r="B16" s="5" t="s">
        <v>7</v>
      </c>
      <c r="C16" s="5" t="s">
        <v>99</v>
      </c>
      <c r="D16" s="5" t="s">
        <v>8</v>
      </c>
    </row>
    <row r="17" spans="1:6">
      <c r="A17" s="6" t="s">
        <v>114</v>
      </c>
      <c r="B17" s="11">
        <v>4012.4</v>
      </c>
      <c r="C17" s="15">
        <v>0.10100000000000001</v>
      </c>
      <c r="D17" s="6" t="s">
        <v>115</v>
      </c>
    </row>
    <row r="18" spans="1:6">
      <c r="A18" s="6" t="s">
        <v>116</v>
      </c>
      <c r="B18" s="11">
        <v>2297</v>
      </c>
      <c r="C18" s="15">
        <v>0.11799999999999999</v>
      </c>
      <c r="D18" s="6" t="s">
        <v>117</v>
      </c>
    </row>
    <row r="19" spans="1:6">
      <c r="A19" s="6" t="s">
        <v>118</v>
      </c>
      <c r="B19" s="11">
        <v>1500</v>
      </c>
      <c r="C19" s="15">
        <v>0.1</v>
      </c>
      <c r="D19" s="6" t="s">
        <v>119</v>
      </c>
    </row>
    <row r="20" spans="1:6">
      <c r="A20" s="6" t="s">
        <v>120</v>
      </c>
      <c r="B20" s="11">
        <v>1141.2</v>
      </c>
      <c r="C20" s="15">
        <v>0.10299999999999999</v>
      </c>
      <c r="D20" s="6" t="s">
        <v>121</v>
      </c>
    </row>
    <row r="21" spans="1:6">
      <c r="A21" s="6" t="s">
        <v>122</v>
      </c>
      <c r="B21" s="11">
        <v>847</v>
      </c>
      <c r="C21" s="15">
        <v>0.82</v>
      </c>
      <c r="D21" s="6" t="s">
        <v>123</v>
      </c>
    </row>
    <row r="22" spans="1:6">
      <c r="A22" s="6" t="s">
        <v>80</v>
      </c>
      <c r="B22" s="11">
        <v>693.6</v>
      </c>
      <c r="C22" s="15"/>
      <c r="D22" s="6" t="s">
        <v>124</v>
      </c>
    </row>
    <row r="23" spans="1:6">
      <c r="A23" s="6" t="s">
        <v>125</v>
      </c>
      <c r="B23" s="11">
        <v>582</v>
      </c>
      <c r="C23" s="15"/>
      <c r="D23" s="6" t="s">
        <v>126</v>
      </c>
    </row>
    <row r="26" spans="1:6" ht="16.2">
      <c r="A26" s="3" t="s">
        <v>127</v>
      </c>
      <c r="B26" s="4"/>
      <c r="C26" s="4"/>
      <c r="D26" s="4"/>
      <c r="E26" s="4"/>
      <c r="F26" s="4"/>
    </row>
    <row r="27" spans="1:6" ht="31.95" customHeight="1">
      <c r="A27" s="26" t="s">
        <v>88</v>
      </c>
      <c r="B27" s="27"/>
      <c r="C27" s="27"/>
      <c r="D27" s="27"/>
      <c r="E27" s="27"/>
      <c r="F27" s="27"/>
    </row>
    <row r="28" spans="1:6" ht="31.95" customHeight="1">
      <c r="A28" s="26" t="s">
        <v>93</v>
      </c>
      <c r="B28" s="27"/>
      <c r="C28" s="27"/>
      <c r="D28" s="27"/>
      <c r="E28" s="27"/>
      <c r="F28" s="27"/>
    </row>
  </sheetData>
  <mergeCells count="3">
    <mergeCell ref="A2:F2"/>
    <mergeCell ref="A28:F28"/>
    <mergeCell ref="A27:F27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128</v>
      </c>
    </row>
    <row r="2" spans="1:3" ht="15.6">
      <c r="A2" s="28" t="s">
        <v>129</v>
      </c>
      <c r="B2" s="27"/>
      <c r="C2" s="27"/>
    </row>
    <row r="4" spans="1:3">
      <c r="A4" s="5" t="s">
        <v>6</v>
      </c>
      <c r="B4" s="5" t="s">
        <v>7</v>
      </c>
      <c r="C4" s="5" t="s">
        <v>130</v>
      </c>
    </row>
    <row r="5" spans="1:3">
      <c r="A5" s="6" t="s">
        <v>131</v>
      </c>
      <c r="B5" s="11">
        <v>2585.4</v>
      </c>
      <c r="C5" s="8" t="s">
        <v>44</v>
      </c>
    </row>
    <row r="6" spans="1:3">
      <c r="A6" s="6" t="s">
        <v>132</v>
      </c>
      <c r="B6" s="15">
        <v>0.18</v>
      </c>
      <c r="C6" s="8" t="s">
        <v>133</v>
      </c>
    </row>
    <row r="7" spans="1:3">
      <c r="A7" s="6" t="s">
        <v>134</v>
      </c>
      <c r="B7" s="23">
        <f>B5*(1-B6)</f>
        <v>2120.0280000000002</v>
      </c>
      <c r="C7" s="8" t="s">
        <v>135</v>
      </c>
    </row>
    <row r="8" spans="1:3">
      <c r="A8" s="6" t="s">
        <v>136</v>
      </c>
      <c r="B8" s="11">
        <v>220</v>
      </c>
      <c r="C8" s="8" t="s">
        <v>44</v>
      </c>
    </row>
    <row r="9" spans="1:3">
      <c r="A9" s="6" t="s">
        <v>137</v>
      </c>
      <c r="B9" s="11">
        <v>250</v>
      </c>
      <c r="C9" s="8" t="s">
        <v>138</v>
      </c>
    </row>
    <row r="10" spans="1:3">
      <c r="A10" s="6" t="s">
        <v>139</v>
      </c>
      <c r="B10" s="11">
        <v>1200</v>
      </c>
      <c r="C10" s="8" t="s">
        <v>44</v>
      </c>
    </row>
    <row r="11" spans="1:3">
      <c r="A11" s="6" t="s">
        <v>140</v>
      </c>
      <c r="B11" s="11">
        <v>468</v>
      </c>
      <c r="C11" s="8" t="s">
        <v>141</v>
      </c>
    </row>
    <row r="12" spans="1:3">
      <c r="A12" s="18" t="s">
        <v>142</v>
      </c>
      <c r="B12" s="23">
        <f>B7+B8+B9-B10+B11</f>
        <v>1858.0280000000002</v>
      </c>
      <c r="C12" s="8" t="s">
        <v>143</v>
      </c>
    </row>
    <row r="13" spans="1:3">
      <c r="A13" s="6" t="s">
        <v>144</v>
      </c>
      <c r="B13" s="11">
        <v>3058.4</v>
      </c>
      <c r="C13" s="8" t="s">
        <v>44</v>
      </c>
    </row>
    <row r="14" spans="1:3">
      <c r="A14" s="6" t="s">
        <v>139</v>
      </c>
      <c r="B14" s="11">
        <v>1200</v>
      </c>
      <c r="C14" s="8" t="s">
        <v>44</v>
      </c>
    </row>
    <row r="15" spans="1:3">
      <c r="A15" s="18" t="s">
        <v>26</v>
      </c>
      <c r="B15" s="23">
        <f>B13-B14</f>
        <v>1858.4</v>
      </c>
      <c r="C15" s="8" t="s">
        <v>145</v>
      </c>
    </row>
    <row r="16" spans="1:3">
      <c r="A16" s="6" t="s">
        <v>45</v>
      </c>
      <c r="B16" s="16">
        <f>B12/B7</f>
        <v>0.87641672657153591</v>
      </c>
      <c r="C16" s="8" t="s">
        <v>146</v>
      </c>
    </row>
    <row r="17" spans="1:3">
      <c r="A17" s="6" t="s">
        <v>43</v>
      </c>
      <c r="B17" s="16">
        <f>B10/7884.8</f>
        <v>0.15219155844155843</v>
      </c>
      <c r="C17" s="8" t="s">
        <v>44</v>
      </c>
    </row>
    <row r="18" spans="1:3">
      <c r="A18" s="6" t="s">
        <v>147</v>
      </c>
      <c r="B18" s="13">
        <f>B10/B8</f>
        <v>5.4545454545454541</v>
      </c>
      <c r="C18" s="8" t="s">
        <v>148</v>
      </c>
    </row>
    <row r="20" spans="1:3" ht="16.2">
      <c r="A20" s="3" t="s">
        <v>127</v>
      </c>
      <c r="B20" s="4"/>
      <c r="C20" s="4"/>
    </row>
    <row r="21" spans="1:3" ht="34.049999999999997" customHeight="1">
      <c r="A21" s="26" t="s">
        <v>149</v>
      </c>
      <c r="B21" s="27"/>
      <c r="C21" s="27"/>
    </row>
    <row r="22" spans="1:3" ht="34.049999999999997" customHeight="1">
      <c r="A22" s="26" t="s">
        <v>150</v>
      </c>
      <c r="B22" s="27"/>
      <c r="C22" s="27"/>
    </row>
    <row r="23" spans="1:3" ht="34.049999999999997" customHeight="1">
      <c r="A23" s="26" t="s">
        <v>151</v>
      </c>
      <c r="B23" s="27"/>
      <c r="C23" s="27"/>
    </row>
    <row r="24" spans="1:3" ht="34.049999999999997" customHeight="1">
      <c r="A24" s="26" t="s">
        <v>152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153</v>
      </c>
    </row>
    <row r="2" spans="1:14" ht="15.6">
      <c r="A2" s="28" t="s">
        <v>154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156</v>
      </c>
      <c r="B4" s="4"/>
      <c r="C4" s="4"/>
      <c r="D4" s="4"/>
      <c r="E4" s="4"/>
    </row>
    <row r="5" spans="1:14">
      <c r="A5" s="6" t="s">
        <v>157</v>
      </c>
      <c r="B5" s="11">
        <v>8345</v>
      </c>
    </row>
    <row r="6" spans="1:14">
      <c r="A6" s="6" t="s">
        <v>158</v>
      </c>
      <c r="B6" s="15">
        <v>0.18</v>
      </c>
    </row>
    <row r="7" spans="1:14">
      <c r="A7" s="6" t="s">
        <v>159</v>
      </c>
      <c r="B7" s="15">
        <v>0.01</v>
      </c>
    </row>
    <row r="8" spans="1:14">
      <c r="A8" s="6" t="s">
        <v>160</v>
      </c>
      <c r="B8" s="11">
        <v>-98.3</v>
      </c>
    </row>
    <row r="9" spans="1:14">
      <c r="A9" s="6" t="s">
        <v>161</v>
      </c>
      <c r="B9" s="11">
        <v>5500</v>
      </c>
    </row>
    <row r="10" spans="1:14">
      <c r="A10" s="6" t="s">
        <v>162</v>
      </c>
      <c r="B10" s="9">
        <v>90.926400000000001</v>
      </c>
    </row>
    <row r="11" spans="1:14" ht="15">
      <c r="A11" s="30" t="s">
        <v>163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164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165</v>
      </c>
      <c r="B14" s="15">
        <v>0.11</v>
      </c>
      <c r="C14" s="6" t="s">
        <v>166</v>
      </c>
      <c r="D14" s="15">
        <v>2.5000000000000001E-2</v>
      </c>
    </row>
    <row r="16" spans="1:14">
      <c r="A16" s="5" t="s">
        <v>167</v>
      </c>
      <c r="B16" s="5" t="s">
        <v>83</v>
      </c>
      <c r="C16" s="5" t="s">
        <v>74</v>
      </c>
      <c r="D16" s="5" t="s">
        <v>168</v>
      </c>
      <c r="E16" s="5" t="s">
        <v>169</v>
      </c>
      <c r="F16" s="5" t="s">
        <v>134</v>
      </c>
      <c r="G16" s="5" t="s">
        <v>170</v>
      </c>
      <c r="H16" s="5" t="s">
        <v>171</v>
      </c>
      <c r="I16" s="5" t="s">
        <v>172</v>
      </c>
      <c r="J16" s="5" t="s">
        <v>173</v>
      </c>
      <c r="K16" s="5" t="s">
        <v>174</v>
      </c>
      <c r="L16" s="5" t="s">
        <v>175</v>
      </c>
      <c r="M16" s="5" t="s">
        <v>176</v>
      </c>
      <c r="N16" s="5" t="s">
        <v>177</v>
      </c>
    </row>
    <row r="17" spans="1:14">
      <c r="A17" s="24">
        <v>1</v>
      </c>
      <c r="B17" s="15">
        <v>0.03</v>
      </c>
      <c r="C17" s="11">
        <f>$B$5*(1+B17)</f>
        <v>8595.35</v>
      </c>
      <c r="D17" s="15">
        <v>0.28999999999999998</v>
      </c>
      <c r="E17" s="11">
        <f t="shared" ref="E17:E26" si="0">C17*D17</f>
        <v>2492.6514999999999</v>
      </c>
      <c r="F17" s="11">
        <f t="shared" ref="F17:F26" si="1">E17*(1-$B$6)</f>
        <v>2043.97423</v>
      </c>
      <c r="G17" s="15">
        <v>2.5000000000000001E-2</v>
      </c>
      <c r="H17" s="11">
        <f t="shared" ref="H17:H26" si="2">C17*G17</f>
        <v>214.88375000000002</v>
      </c>
      <c r="I17" s="15">
        <v>4.4999999999999998E-2</v>
      </c>
      <c r="J17" s="11">
        <f t="shared" ref="J17:J26" si="3">C17*I17</f>
        <v>386.79075</v>
      </c>
      <c r="K17" s="11">
        <f>(C17-$B$5)*$B$7</f>
        <v>2.5035000000000038</v>
      </c>
      <c r="L17" s="11">
        <f t="shared" ref="L17:L26" si="4">F17+H17-J17-K17</f>
        <v>1869.5637300000001</v>
      </c>
      <c r="M17" s="9">
        <f>1/(1+$B$14)^1</f>
        <v>0.9009009009009008</v>
      </c>
      <c r="N17" s="11">
        <f t="shared" ref="N17:N26" si="5">L17*M17</f>
        <v>1684.2916486486486</v>
      </c>
    </row>
    <row r="18" spans="1:14">
      <c r="A18" s="24">
        <v>2</v>
      </c>
      <c r="B18" s="15">
        <v>0.03</v>
      </c>
      <c r="C18" s="11">
        <f t="shared" ref="C18:C26" si="6">C17*(1+B18)</f>
        <v>8853.210500000001</v>
      </c>
      <c r="D18" s="15">
        <v>0.28999999999999998</v>
      </c>
      <c r="E18" s="11">
        <f t="shared" si="0"/>
        <v>2567.4310450000003</v>
      </c>
      <c r="F18" s="11">
        <f t="shared" si="1"/>
        <v>2105.2934569000004</v>
      </c>
      <c r="G18" s="15">
        <v>2.5000000000000001E-2</v>
      </c>
      <c r="H18" s="11">
        <f t="shared" si="2"/>
        <v>221.33026250000003</v>
      </c>
      <c r="I18" s="15">
        <v>4.4999999999999998E-2</v>
      </c>
      <c r="J18" s="11">
        <f t="shared" si="3"/>
        <v>398.39447250000001</v>
      </c>
      <c r="K18" s="11">
        <f t="shared" ref="K18:K26" si="7">(C18-C17)*$B$7</f>
        <v>2.5786050000000067</v>
      </c>
      <c r="L18" s="11">
        <f t="shared" si="4"/>
        <v>1925.6506419000004</v>
      </c>
      <c r="M18" s="9">
        <f>1/(1+$B$14)^2</f>
        <v>0.8116224332440547</v>
      </c>
      <c r="N18" s="11">
        <f t="shared" si="5"/>
        <v>1562.9012595568543</v>
      </c>
    </row>
    <row r="19" spans="1:14">
      <c r="A19" s="24">
        <v>3</v>
      </c>
      <c r="B19" s="15">
        <v>0.03</v>
      </c>
      <c r="C19" s="11">
        <f t="shared" si="6"/>
        <v>9118.8068150000017</v>
      </c>
      <c r="D19" s="15">
        <v>0.28999999999999998</v>
      </c>
      <c r="E19" s="11">
        <f t="shared" si="0"/>
        <v>2644.4539763500002</v>
      </c>
      <c r="F19" s="11">
        <f t="shared" si="1"/>
        <v>2168.4522606070004</v>
      </c>
      <c r="G19" s="15">
        <v>2.5000000000000001E-2</v>
      </c>
      <c r="H19" s="11">
        <f t="shared" si="2"/>
        <v>227.97017037500007</v>
      </c>
      <c r="I19" s="15">
        <v>4.4999999999999998E-2</v>
      </c>
      <c r="J19" s="11">
        <f t="shared" si="3"/>
        <v>410.34630667500005</v>
      </c>
      <c r="K19" s="11">
        <f t="shared" si="7"/>
        <v>2.6559631500000069</v>
      </c>
      <c r="L19" s="11">
        <f t="shared" si="4"/>
        <v>1983.4201611570006</v>
      </c>
      <c r="M19" s="9">
        <f>1/(1+$B$14)^3</f>
        <v>0.73119138130095018</v>
      </c>
      <c r="N19" s="11">
        <f t="shared" si="5"/>
        <v>1450.2597273365404</v>
      </c>
    </row>
    <row r="20" spans="1:14">
      <c r="A20" s="24">
        <v>4</v>
      </c>
      <c r="B20" s="15">
        <v>0.03</v>
      </c>
      <c r="C20" s="11">
        <f t="shared" si="6"/>
        <v>9392.3710194500018</v>
      </c>
      <c r="D20" s="15">
        <v>0.28999999999999998</v>
      </c>
      <c r="E20" s="11">
        <f t="shared" si="0"/>
        <v>2723.7875956405005</v>
      </c>
      <c r="F20" s="11">
        <f t="shared" si="1"/>
        <v>2233.5058284252104</v>
      </c>
      <c r="G20" s="15">
        <v>2.5000000000000001E-2</v>
      </c>
      <c r="H20" s="11">
        <f t="shared" si="2"/>
        <v>234.80927548625004</v>
      </c>
      <c r="I20" s="15">
        <v>4.4999999999999998E-2</v>
      </c>
      <c r="J20" s="11">
        <f t="shared" si="3"/>
        <v>422.65669587525008</v>
      </c>
      <c r="K20" s="11">
        <f t="shared" si="7"/>
        <v>2.7356420445000005</v>
      </c>
      <c r="L20" s="11">
        <f t="shared" si="4"/>
        <v>2042.9227659917103</v>
      </c>
      <c r="M20" s="9">
        <f>1/(1+$B$14)^4</f>
        <v>0.65873097414500015</v>
      </c>
      <c r="N20" s="11">
        <f t="shared" si="5"/>
        <v>1345.7365037447175</v>
      </c>
    </row>
    <row r="21" spans="1:14">
      <c r="A21" s="24">
        <v>5</v>
      </c>
      <c r="B21" s="15">
        <v>0.02</v>
      </c>
      <c r="C21" s="11">
        <f t="shared" si="6"/>
        <v>9580.2184398390018</v>
      </c>
      <c r="D21" s="15">
        <v>0.28999999999999998</v>
      </c>
      <c r="E21" s="11">
        <f t="shared" si="0"/>
        <v>2778.2633475533103</v>
      </c>
      <c r="F21" s="11">
        <f t="shared" si="1"/>
        <v>2278.1759449937144</v>
      </c>
      <c r="G21" s="15">
        <v>2.5000000000000001E-2</v>
      </c>
      <c r="H21" s="11">
        <f t="shared" si="2"/>
        <v>239.50546099597506</v>
      </c>
      <c r="I21" s="15">
        <v>4.4999999999999998E-2</v>
      </c>
      <c r="J21" s="11">
        <f t="shared" si="3"/>
        <v>431.10982979275508</v>
      </c>
      <c r="K21" s="11">
        <f t="shared" si="7"/>
        <v>1.8784742038900004</v>
      </c>
      <c r="L21" s="11">
        <f t="shared" si="4"/>
        <v>2084.6931019930444</v>
      </c>
      <c r="M21" s="9">
        <f>1/(1+$B$14)^5</f>
        <v>0.5934513280585586</v>
      </c>
      <c r="N21" s="11">
        <f t="shared" si="5"/>
        <v>1237.1638899722884</v>
      </c>
    </row>
    <row r="22" spans="1:14">
      <c r="A22" s="24">
        <v>6</v>
      </c>
      <c r="B22" s="15">
        <v>0.02</v>
      </c>
      <c r="C22" s="11">
        <f t="shared" si="6"/>
        <v>9771.8228086357813</v>
      </c>
      <c r="D22" s="15">
        <v>0.28999999999999998</v>
      </c>
      <c r="E22" s="11">
        <f t="shared" si="0"/>
        <v>2833.8286145043762</v>
      </c>
      <c r="F22" s="11">
        <f t="shared" si="1"/>
        <v>2323.7394638935889</v>
      </c>
      <c r="G22" s="15">
        <v>2.5000000000000001E-2</v>
      </c>
      <c r="H22" s="11">
        <f t="shared" si="2"/>
        <v>244.29557021589454</v>
      </c>
      <c r="I22" s="15">
        <v>4.4999999999999998E-2</v>
      </c>
      <c r="J22" s="11">
        <f t="shared" si="3"/>
        <v>439.73202638861017</v>
      </c>
      <c r="K22" s="11">
        <f t="shared" si="7"/>
        <v>1.9160436879677947</v>
      </c>
      <c r="L22" s="11">
        <f t="shared" si="4"/>
        <v>2126.3869640329053</v>
      </c>
      <c r="M22" s="9">
        <f>1/(1+$B$14)^6</f>
        <v>0.53464083608879154</v>
      </c>
      <c r="N22" s="11">
        <f t="shared" si="5"/>
        <v>1136.8533042988597</v>
      </c>
    </row>
    <row r="23" spans="1:14">
      <c r="A23" s="24">
        <v>7</v>
      </c>
      <c r="B23" s="15">
        <v>0.02</v>
      </c>
      <c r="C23" s="11">
        <f t="shared" si="6"/>
        <v>9967.2592648084974</v>
      </c>
      <c r="D23" s="15">
        <v>0.28999999999999998</v>
      </c>
      <c r="E23" s="11">
        <f t="shared" si="0"/>
        <v>2890.505186794464</v>
      </c>
      <c r="F23" s="11">
        <f t="shared" si="1"/>
        <v>2370.2142531714608</v>
      </c>
      <c r="G23" s="15">
        <v>2.5000000000000001E-2</v>
      </c>
      <c r="H23" s="11">
        <f t="shared" si="2"/>
        <v>249.18148162021245</v>
      </c>
      <c r="I23" s="15">
        <v>4.4999999999999998E-2</v>
      </c>
      <c r="J23" s="11">
        <f t="shared" si="3"/>
        <v>448.52666691638234</v>
      </c>
      <c r="K23" s="11">
        <f t="shared" si="7"/>
        <v>1.9543645617271614</v>
      </c>
      <c r="L23" s="11">
        <f t="shared" si="4"/>
        <v>2168.9147033135632</v>
      </c>
      <c r="M23" s="9">
        <f>1/(1+$B$14)^7</f>
        <v>0.48165841089080319</v>
      </c>
      <c r="N23" s="11">
        <f t="shared" si="5"/>
        <v>1044.6760093557086</v>
      </c>
    </row>
    <row r="24" spans="1:14">
      <c r="A24" s="24">
        <v>8</v>
      </c>
      <c r="B24" s="15">
        <v>0.02</v>
      </c>
      <c r="C24" s="11">
        <f t="shared" si="6"/>
        <v>10166.604450104667</v>
      </c>
      <c r="D24" s="15">
        <v>0.28999999999999998</v>
      </c>
      <c r="E24" s="11">
        <f t="shared" si="0"/>
        <v>2948.3152905303532</v>
      </c>
      <c r="F24" s="11">
        <f t="shared" si="1"/>
        <v>2417.6185382348899</v>
      </c>
      <c r="G24" s="15">
        <v>2.5000000000000001E-2</v>
      </c>
      <c r="H24" s="11">
        <f t="shared" si="2"/>
        <v>254.1651112526167</v>
      </c>
      <c r="I24" s="15">
        <v>4.4999999999999998E-2</v>
      </c>
      <c r="J24" s="11">
        <f t="shared" si="3"/>
        <v>457.49720025470998</v>
      </c>
      <c r="K24" s="11">
        <f t="shared" si="7"/>
        <v>1.993451852961698</v>
      </c>
      <c r="L24" s="11">
        <f t="shared" si="4"/>
        <v>2212.2929973798346</v>
      </c>
      <c r="M24" s="9">
        <f>1/(1+$B$14)^8</f>
        <v>0.43392649629802077</v>
      </c>
      <c r="N24" s="11">
        <f t="shared" si="5"/>
        <v>959.97254913767802</v>
      </c>
    </row>
    <row r="25" spans="1:14">
      <c r="A25" s="24">
        <v>9</v>
      </c>
      <c r="B25" s="15">
        <v>0.02</v>
      </c>
      <c r="C25" s="11">
        <f t="shared" si="6"/>
        <v>10369.93653910676</v>
      </c>
      <c r="D25" s="15">
        <v>0.28999999999999998</v>
      </c>
      <c r="E25" s="11">
        <f t="shared" si="0"/>
        <v>3007.2815963409603</v>
      </c>
      <c r="F25" s="11">
        <f t="shared" si="1"/>
        <v>2465.9709089995877</v>
      </c>
      <c r="G25" s="15">
        <v>2.5000000000000001E-2</v>
      </c>
      <c r="H25" s="11">
        <f t="shared" si="2"/>
        <v>259.24841347766903</v>
      </c>
      <c r="I25" s="15">
        <v>4.4999999999999998E-2</v>
      </c>
      <c r="J25" s="11">
        <f t="shared" si="3"/>
        <v>466.64714425980418</v>
      </c>
      <c r="K25" s="11">
        <f t="shared" si="7"/>
        <v>2.0333208900209319</v>
      </c>
      <c r="L25" s="11">
        <f t="shared" si="4"/>
        <v>2256.5388573274317</v>
      </c>
      <c r="M25" s="9">
        <f>1/(1+$B$14)^9</f>
        <v>0.39092477143965831</v>
      </c>
      <c r="N25" s="11">
        <f t="shared" si="5"/>
        <v>882.13693704543402</v>
      </c>
    </row>
    <row r="26" spans="1:14">
      <c r="A26" s="24">
        <v>10</v>
      </c>
      <c r="B26" s="15">
        <v>0.02</v>
      </c>
      <c r="C26" s="11">
        <f t="shared" si="6"/>
        <v>10577.335269888896</v>
      </c>
      <c r="D26" s="15">
        <v>0.28999999999999998</v>
      </c>
      <c r="E26" s="11">
        <f t="shared" si="0"/>
        <v>3067.4272282677794</v>
      </c>
      <c r="F26" s="11">
        <f t="shared" si="1"/>
        <v>2515.2903271795794</v>
      </c>
      <c r="G26" s="15">
        <v>2.5000000000000001E-2</v>
      </c>
      <c r="H26" s="11">
        <f t="shared" si="2"/>
        <v>264.43338174722243</v>
      </c>
      <c r="I26" s="15">
        <v>4.4999999999999998E-2</v>
      </c>
      <c r="J26" s="11">
        <f t="shared" si="3"/>
        <v>475.98008714500031</v>
      </c>
      <c r="K26" s="11">
        <f t="shared" si="7"/>
        <v>2.0739873078213531</v>
      </c>
      <c r="L26" s="11">
        <f t="shared" si="4"/>
        <v>2301.6696344739803</v>
      </c>
      <c r="M26" s="9">
        <f>1/(1+$B$14)^10</f>
        <v>0.3521844787744669</v>
      </c>
      <c r="N26" s="11">
        <f t="shared" si="5"/>
        <v>810.61232052823652</v>
      </c>
    </row>
    <row r="27" spans="1:14">
      <c r="A27" s="18" t="s">
        <v>178</v>
      </c>
      <c r="B27" s="11">
        <f>L26*(1+$D$14)/($B$14-$D$14)</f>
        <v>27755.427945127409</v>
      </c>
    </row>
    <row r="28" spans="1:14">
      <c r="A28" s="6" t="s">
        <v>179</v>
      </c>
      <c r="B28" s="11">
        <f>B27/(1+$B$14)^10</f>
        <v>9775.0309240169699</v>
      </c>
    </row>
    <row r="29" spans="1:14">
      <c r="A29" s="18" t="s">
        <v>180</v>
      </c>
      <c r="B29" s="11">
        <f>SUM(N17:N26)+B28</f>
        <v>21889.635073641934</v>
      </c>
    </row>
    <row r="30" spans="1:14">
      <c r="A30" s="6" t="s">
        <v>181</v>
      </c>
      <c r="B30" s="11">
        <f>$B$8</f>
        <v>-98.3</v>
      </c>
    </row>
    <row r="31" spans="1:14">
      <c r="A31" s="6" t="s">
        <v>182</v>
      </c>
      <c r="B31" s="11">
        <f>$B$9</f>
        <v>5500</v>
      </c>
    </row>
    <row r="32" spans="1:14">
      <c r="A32" s="18" t="s">
        <v>183</v>
      </c>
      <c r="B32" s="11">
        <f>B29-B30+B31</f>
        <v>27487.935073641933</v>
      </c>
    </row>
    <row r="33" spans="1:14">
      <c r="A33" s="18" t="s">
        <v>184</v>
      </c>
      <c r="B33" s="7">
        <f>B32/$B$10</f>
        <v>302.30972603822357</v>
      </c>
      <c r="C33" s="6" t="s">
        <v>185</v>
      </c>
    </row>
    <row r="36" spans="1:14" ht="16.2">
      <c r="A36" s="3" t="s">
        <v>186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165</v>
      </c>
      <c r="B37" s="15">
        <v>0.1</v>
      </c>
      <c r="C37" s="6" t="s">
        <v>166</v>
      </c>
      <c r="D37" s="15">
        <v>0.03</v>
      </c>
    </row>
    <row r="39" spans="1:14">
      <c r="A39" s="5" t="s">
        <v>167</v>
      </c>
      <c r="B39" s="5" t="s">
        <v>83</v>
      </c>
      <c r="C39" s="5" t="s">
        <v>74</v>
      </c>
      <c r="D39" s="5" t="s">
        <v>168</v>
      </c>
      <c r="E39" s="5" t="s">
        <v>169</v>
      </c>
      <c r="F39" s="5" t="s">
        <v>134</v>
      </c>
      <c r="G39" s="5" t="s">
        <v>170</v>
      </c>
      <c r="H39" s="5" t="s">
        <v>171</v>
      </c>
      <c r="I39" s="5" t="s">
        <v>172</v>
      </c>
      <c r="J39" s="5" t="s">
        <v>173</v>
      </c>
      <c r="K39" s="5" t="s">
        <v>174</v>
      </c>
      <c r="L39" s="5" t="s">
        <v>175</v>
      </c>
      <c r="M39" s="5" t="s">
        <v>176</v>
      </c>
      <c r="N39" s="5" t="s">
        <v>177</v>
      </c>
    </row>
    <row r="40" spans="1:14">
      <c r="A40" s="24">
        <v>1</v>
      </c>
      <c r="B40" s="15">
        <v>7.0000000000000007E-2</v>
      </c>
      <c r="C40" s="11">
        <f>$B$5*(1+B40)</f>
        <v>8929.15</v>
      </c>
      <c r="D40" s="15">
        <v>0.32500000000000001</v>
      </c>
      <c r="E40" s="11">
        <f t="shared" ref="E40:E49" si="8">C40*D40</f>
        <v>2901.9737500000001</v>
      </c>
      <c r="F40" s="11">
        <f t="shared" ref="F40:F49" si="9">E40*(1-$B$6)</f>
        <v>2379.6184750000002</v>
      </c>
      <c r="G40" s="15">
        <v>2.5000000000000001E-2</v>
      </c>
      <c r="H40" s="11">
        <f t="shared" ref="H40:H49" si="10">C40*G40</f>
        <v>223.22874999999999</v>
      </c>
      <c r="I40" s="15">
        <v>4.2000000000000003E-2</v>
      </c>
      <c r="J40" s="11">
        <f t="shared" ref="J40:J49" si="11">C40*I40</f>
        <v>375.02429999999998</v>
      </c>
      <c r="K40" s="11">
        <f>(C40-$B$5)*$B$7</f>
        <v>5.8414999999999964</v>
      </c>
      <c r="L40" s="11">
        <f t="shared" ref="L40:L49" si="12">F40+H40-J40-K40</f>
        <v>2221.9814250000004</v>
      </c>
      <c r="M40" s="9">
        <f>1/(1+$B$37)^1</f>
        <v>0.90909090909090906</v>
      </c>
      <c r="N40" s="11">
        <f t="shared" ref="N40:N49" si="13">L40*M40</f>
        <v>2019.9831136363639</v>
      </c>
    </row>
    <row r="41" spans="1:14">
      <c r="A41" s="24">
        <v>2</v>
      </c>
      <c r="B41" s="15">
        <v>7.0000000000000007E-2</v>
      </c>
      <c r="C41" s="11">
        <f t="shared" ref="C41:C49" si="14">C40*(1+B41)</f>
        <v>9554.1905000000006</v>
      </c>
      <c r="D41" s="15">
        <v>0.32500000000000001</v>
      </c>
      <c r="E41" s="11">
        <f t="shared" si="8"/>
        <v>3105.1119125000005</v>
      </c>
      <c r="F41" s="11">
        <f t="shared" si="9"/>
        <v>2546.1917682500007</v>
      </c>
      <c r="G41" s="15">
        <v>2.5000000000000001E-2</v>
      </c>
      <c r="H41" s="11">
        <f t="shared" si="10"/>
        <v>238.85476250000002</v>
      </c>
      <c r="I41" s="15">
        <v>4.2000000000000003E-2</v>
      </c>
      <c r="J41" s="11">
        <f t="shared" si="11"/>
        <v>401.27600100000006</v>
      </c>
      <c r="K41" s="11">
        <f t="shared" ref="K41:K49" si="15">(C41-C40)*$B$7</f>
        <v>6.2504050000000095</v>
      </c>
      <c r="L41" s="11">
        <f t="shared" si="12"/>
        <v>2377.5201247500004</v>
      </c>
      <c r="M41" s="9">
        <f>1/(1+$B$37)^2</f>
        <v>0.82644628099173545</v>
      </c>
      <c r="N41" s="11">
        <f t="shared" si="13"/>
        <v>1964.8926650826447</v>
      </c>
    </row>
    <row r="42" spans="1:14">
      <c r="A42" s="24">
        <v>3</v>
      </c>
      <c r="B42" s="15">
        <v>6.5000000000000002E-2</v>
      </c>
      <c r="C42" s="11">
        <f t="shared" si="14"/>
        <v>10175.2128825</v>
      </c>
      <c r="D42" s="15">
        <v>0.32500000000000001</v>
      </c>
      <c r="E42" s="11">
        <f t="shared" si="8"/>
        <v>3306.9441868125</v>
      </c>
      <c r="F42" s="11">
        <f t="shared" si="9"/>
        <v>2711.6942331862501</v>
      </c>
      <c r="G42" s="15">
        <v>2.5000000000000001E-2</v>
      </c>
      <c r="H42" s="11">
        <f t="shared" si="10"/>
        <v>254.3803220625</v>
      </c>
      <c r="I42" s="15">
        <v>4.2000000000000003E-2</v>
      </c>
      <c r="J42" s="11">
        <f t="shared" si="11"/>
        <v>427.35894106500001</v>
      </c>
      <c r="K42" s="11">
        <f t="shared" si="15"/>
        <v>6.2102238249999937</v>
      </c>
      <c r="L42" s="11">
        <f t="shared" si="12"/>
        <v>2532.50539035875</v>
      </c>
      <c r="M42" s="9">
        <f>1/(1+$B$37)^3</f>
        <v>0.75131480090157754</v>
      </c>
      <c r="N42" s="11">
        <f t="shared" si="13"/>
        <v>1902.7087831395561</v>
      </c>
    </row>
    <row r="43" spans="1:14">
      <c r="A43" s="24">
        <v>4</v>
      </c>
      <c r="B43" s="15">
        <v>0.06</v>
      </c>
      <c r="C43" s="11">
        <f t="shared" si="14"/>
        <v>10785.72565545</v>
      </c>
      <c r="D43" s="15">
        <v>0.32500000000000001</v>
      </c>
      <c r="E43" s="11">
        <f t="shared" si="8"/>
        <v>3505.3608380212499</v>
      </c>
      <c r="F43" s="11">
        <f t="shared" si="9"/>
        <v>2874.3958871774253</v>
      </c>
      <c r="G43" s="15">
        <v>2.5000000000000001E-2</v>
      </c>
      <c r="H43" s="11">
        <f t="shared" si="10"/>
        <v>269.64314138625002</v>
      </c>
      <c r="I43" s="15">
        <v>4.2000000000000003E-2</v>
      </c>
      <c r="J43" s="11">
        <f t="shared" si="11"/>
        <v>453.00047752890003</v>
      </c>
      <c r="K43" s="11">
        <f t="shared" si="15"/>
        <v>6.1051277295000004</v>
      </c>
      <c r="L43" s="11">
        <f t="shared" si="12"/>
        <v>2684.9334233052755</v>
      </c>
      <c r="M43" s="9">
        <f>1/(1+$B$37)^4</f>
        <v>0.68301345536507052</v>
      </c>
      <c r="N43" s="11">
        <f t="shared" si="13"/>
        <v>1833.8456548769038</v>
      </c>
    </row>
    <row r="44" spans="1:14">
      <c r="A44" s="24">
        <v>5</v>
      </c>
      <c r="B44" s="15">
        <v>5.5E-2</v>
      </c>
      <c r="C44" s="11">
        <f t="shared" si="14"/>
        <v>11378.940566499748</v>
      </c>
      <c r="D44" s="15">
        <v>0.32500000000000001</v>
      </c>
      <c r="E44" s="11">
        <f t="shared" si="8"/>
        <v>3698.1556841124184</v>
      </c>
      <c r="F44" s="11">
        <f t="shared" si="9"/>
        <v>3032.4876609721832</v>
      </c>
      <c r="G44" s="15">
        <v>2.5000000000000001E-2</v>
      </c>
      <c r="H44" s="11">
        <f t="shared" si="10"/>
        <v>284.4735141624937</v>
      </c>
      <c r="I44" s="15">
        <v>4.2000000000000003E-2</v>
      </c>
      <c r="J44" s="11">
        <f t="shared" si="11"/>
        <v>477.91550379298945</v>
      </c>
      <c r="K44" s="11">
        <f t="shared" si="15"/>
        <v>5.9321491104974848</v>
      </c>
      <c r="L44" s="11">
        <f t="shared" si="12"/>
        <v>2833.11352223119</v>
      </c>
      <c r="M44" s="9">
        <f>1/(1+$B$37)^5</f>
        <v>0.62092132305915493</v>
      </c>
      <c r="N44" s="11">
        <f t="shared" si="13"/>
        <v>1759.140596600573</v>
      </c>
    </row>
    <row r="45" spans="1:14">
      <c r="A45" s="24">
        <v>6</v>
      </c>
      <c r="B45" s="15">
        <v>0.05</v>
      </c>
      <c r="C45" s="11">
        <f t="shared" si="14"/>
        <v>11947.887594824737</v>
      </c>
      <c r="D45" s="15">
        <v>0.32500000000000001</v>
      </c>
      <c r="E45" s="11">
        <f t="shared" si="8"/>
        <v>3883.0634683180397</v>
      </c>
      <c r="F45" s="11">
        <f t="shared" si="9"/>
        <v>3184.1120440207928</v>
      </c>
      <c r="G45" s="15">
        <v>2.5000000000000001E-2</v>
      </c>
      <c r="H45" s="11">
        <f t="shared" si="10"/>
        <v>298.69718987061844</v>
      </c>
      <c r="I45" s="15">
        <v>4.2000000000000003E-2</v>
      </c>
      <c r="J45" s="11">
        <f t="shared" si="11"/>
        <v>501.81127898263895</v>
      </c>
      <c r="K45" s="11">
        <f t="shared" si="15"/>
        <v>5.689470283249884</v>
      </c>
      <c r="L45" s="11">
        <f t="shared" si="12"/>
        <v>2975.3084846255219</v>
      </c>
      <c r="M45" s="9">
        <f>1/(1+$B$37)^6</f>
        <v>0.56447393005377722</v>
      </c>
      <c r="N45" s="11">
        <f t="shared" si="13"/>
        <v>1679.4840734389168</v>
      </c>
    </row>
    <row r="46" spans="1:14">
      <c r="A46" s="24">
        <v>7</v>
      </c>
      <c r="B46" s="15">
        <v>0.05</v>
      </c>
      <c r="C46" s="11">
        <f t="shared" si="14"/>
        <v>12545.281974565974</v>
      </c>
      <c r="D46" s="15">
        <v>0.32500000000000001</v>
      </c>
      <c r="E46" s="11">
        <f t="shared" si="8"/>
        <v>4077.2166417339417</v>
      </c>
      <c r="F46" s="11">
        <f t="shared" si="9"/>
        <v>3343.3176462218325</v>
      </c>
      <c r="G46" s="15">
        <v>2.5000000000000001E-2</v>
      </c>
      <c r="H46" s="11">
        <f t="shared" si="10"/>
        <v>313.6320493641494</v>
      </c>
      <c r="I46" s="15">
        <v>4.2000000000000003E-2</v>
      </c>
      <c r="J46" s="11">
        <f t="shared" si="11"/>
        <v>526.90184293177094</v>
      </c>
      <c r="K46" s="11">
        <f t="shared" si="15"/>
        <v>5.9739437974123755</v>
      </c>
      <c r="L46" s="11">
        <f t="shared" si="12"/>
        <v>3124.0739088567989</v>
      </c>
      <c r="M46" s="9">
        <f>1/(1+$B$37)^7</f>
        <v>0.51315811823070645</v>
      </c>
      <c r="N46" s="11">
        <f t="shared" si="13"/>
        <v>1603.1438882826023</v>
      </c>
    </row>
    <row r="47" spans="1:14">
      <c r="A47" s="24">
        <v>8</v>
      </c>
      <c r="B47" s="15">
        <v>4.4999999999999998E-2</v>
      </c>
      <c r="C47" s="11">
        <f t="shared" si="14"/>
        <v>13109.819663421442</v>
      </c>
      <c r="D47" s="15">
        <v>0.32500000000000001</v>
      </c>
      <c r="E47" s="11">
        <f t="shared" si="8"/>
        <v>4260.6913906119689</v>
      </c>
      <c r="F47" s="11">
        <f t="shared" si="9"/>
        <v>3493.7669403018149</v>
      </c>
      <c r="G47" s="15">
        <v>2.5000000000000001E-2</v>
      </c>
      <c r="H47" s="11">
        <f t="shared" si="10"/>
        <v>327.74549158553606</v>
      </c>
      <c r="I47" s="15">
        <v>4.2000000000000003E-2</v>
      </c>
      <c r="J47" s="11">
        <f t="shared" si="11"/>
        <v>550.61242586370054</v>
      </c>
      <c r="K47" s="11">
        <f t="shared" si="15"/>
        <v>5.645376888554674</v>
      </c>
      <c r="L47" s="11">
        <f t="shared" si="12"/>
        <v>3265.2546291350955</v>
      </c>
      <c r="M47" s="9">
        <f>1/(1+$B$37)^8</f>
        <v>0.46650738020973315</v>
      </c>
      <c r="N47" s="11">
        <f t="shared" si="13"/>
        <v>1523.2653827555171</v>
      </c>
    </row>
    <row r="48" spans="1:14">
      <c r="A48" s="24">
        <v>9</v>
      </c>
      <c r="B48" s="15">
        <v>0.04</v>
      </c>
      <c r="C48" s="11">
        <f t="shared" si="14"/>
        <v>13634.212449958301</v>
      </c>
      <c r="D48" s="15">
        <v>0.32500000000000001</v>
      </c>
      <c r="E48" s="11">
        <f t="shared" si="8"/>
        <v>4431.1190462364475</v>
      </c>
      <c r="F48" s="11">
        <f t="shared" si="9"/>
        <v>3633.5176179138871</v>
      </c>
      <c r="G48" s="15">
        <v>2.5000000000000001E-2</v>
      </c>
      <c r="H48" s="11">
        <f t="shared" si="10"/>
        <v>340.85531124895755</v>
      </c>
      <c r="I48" s="15">
        <v>4.2000000000000003E-2</v>
      </c>
      <c r="J48" s="11">
        <f t="shared" si="11"/>
        <v>572.63692289824871</v>
      </c>
      <c r="K48" s="11">
        <f t="shared" si="15"/>
        <v>5.2439278653685868</v>
      </c>
      <c r="L48" s="11">
        <f t="shared" si="12"/>
        <v>3396.492078399227</v>
      </c>
      <c r="M48" s="9">
        <f>1/(1+$B$37)^9</f>
        <v>0.42409761837248466</v>
      </c>
      <c r="N48" s="11">
        <f t="shared" si="13"/>
        <v>1440.4442012701227</v>
      </c>
    </row>
    <row r="49" spans="1:14">
      <c r="A49" s="24">
        <v>10</v>
      </c>
      <c r="B49" s="15">
        <v>3.5000000000000003E-2</v>
      </c>
      <c r="C49" s="11">
        <f t="shared" si="14"/>
        <v>14111.40988570684</v>
      </c>
      <c r="D49" s="15">
        <v>0.32500000000000001</v>
      </c>
      <c r="E49" s="11">
        <f t="shared" si="8"/>
        <v>4586.2082128547236</v>
      </c>
      <c r="F49" s="11">
        <f t="shared" si="9"/>
        <v>3760.6907345408736</v>
      </c>
      <c r="G49" s="15">
        <v>2.5000000000000001E-2</v>
      </c>
      <c r="H49" s="11">
        <f t="shared" si="10"/>
        <v>352.78524714267104</v>
      </c>
      <c r="I49" s="15">
        <v>4.2000000000000003E-2</v>
      </c>
      <c r="J49" s="11">
        <f t="shared" si="11"/>
        <v>592.67921519968729</v>
      </c>
      <c r="K49" s="11">
        <f t="shared" si="15"/>
        <v>4.771974357485397</v>
      </c>
      <c r="L49" s="11">
        <f t="shared" si="12"/>
        <v>3516.0247921263722</v>
      </c>
      <c r="M49" s="9">
        <f>1/(1+$B$37)^10</f>
        <v>0.38554328942953148</v>
      </c>
      <c r="N49" s="11">
        <f t="shared" si="13"/>
        <v>1355.5797640721862</v>
      </c>
    </row>
    <row r="50" spans="1:14">
      <c r="A50" s="18" t="s">
        <v>178</v>
      </c>
      <c r="B50" s="11">
        <f>L49*(1+$D$37)/($B$37-$D$37)</f>
        <v>51735.793369859479</v>
      </c>
    </row>
    <row r="51" spans="1:14">
      <c r="A51" s="6" t="s">
        <v>179</v>
      </c>
      <c r="B51" s="11">
        <f>B50/(1+$B$37)^10</f>
        <v>19946.387957062168</v>
      </c>
    </row>
    <row r="52" spans="1:14">
      <c r="A52" s="18" t="s">
        <v>180</v>
      </c>
      <c r="B52" s="11">
        <f>SUM(N40:N49)+B51</f>
        <v>37028.876080217553</v>
      </c>
    </row>
    <row r="53" spans="1:14">
      <c r="A53" s="6" t="s">
        <v>181</v>
      </c>
      <c r="B53" s="11">
        <f>$B$8</f>
        <v>-98.3</v>
      </c>
    </row>
    <row r="54" spans="1:14">
      <c r="A54" s="6" t="s">
        <v>182</v>
      </c>
      <c r="B54" s="11">
        <f>$B$9</f>
        <v>5500</v>
      </c>
    </row>
    <row r="55" spans="1:14">
      <c r="A55" s="18" t="s">
        <v>183</v>
      </c>
      <c r="B55" s="11">
        <f>B52-B53+B54</f>
        <v>42627.176080217556</v>
      </c>
    </row>
    <row r="56" spans="1:14">
      <c r="A56" s="18" t="s">
        <v>184</v>
      </c>
      <c r="B56" s="7">
        <f>B55/$B$10</f>
        <v>468.8096755201741</v>
      </c>
      <c r="C56" s="6" t="s">
        <v>187</v>
      </c>
    </row>
    <row r="59" spans="1:14" ht="16.2">
      <c r="A59" s="3" t="s">
        <v>188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165</v>
      </c>
      <c r="B60" s="15">
        <v>9.2999999999999999E-2</v>
      </c>
      <c r="C60" s="6" t="s">
        <v>166</v>
      </c>
      <c r="D60" s="15">
        <v>3.5000000000000003E-2</v>
      </c>
    </row>
    <row r="62" spans="1:14">
      <c r="A62" s="5" t="s">
        <v>167</v>
      </c>
      <c r="B62" s="5" t="s">
        <v>83</v>
      </c>
      <c r="C62" s="5" t="s">
        <v>74</v>
      </c>
      <c r="D62" s="5" t="s">
        <v>168</v>
      </c>
      <c r="E62" s="5" t="s">
        <v>169</v>
      </c>
      <c r="F62" s="5" t="s">
        <v>134</v>
      </c>
      <c r="G62" s="5" t="s">
        <v>170</v>
      </c>
      <c r="H62" s="5" t="s">
        <v>171</v>
      </c>
      <c r="I62" s="5" t="s">
        <v>172</v>
      </c>
      <c r="J62" s="5" t="s">
        <v>173</v>
      </c>
      <c r="K62" s="5" t="s">
        <v>174</v>
      </c>
      <c r="L62" s="5" t="s">
        <v>175</v>
      </c>
      <c r="M62" s="5" t="s">
        <v>176</v>
      </c>
      <c r="N62" s="5" t="s">
        <v>177</v>
      </c>
    </row>
    <row r="63" spans="1:14">
      <c r="A63" s="24">
        <v>1</v>
      </c>
      <c r="B63" s="15">
        <v>0.09</v>
      </c>
      <c r="C63" s="11">
        <f>$B$5*(1+B63)</f>
        <v>9096.0500000000011</v>
      </c>
      <c r="D63" s="15">
        <v>0.35</v>
      </c>
      <c r="E63" s="11">
        <f t="shared" ref="E63:E72" si="16">C63*D63</f>
        <v>3183.6175000000003</v>
      </c>
      <c r="F63" s="11">
        <f t="shared" ref="F63:F72" si="17">E63*(1-$B$6)</f>
        <v>2610.5663500000005</v>
      </c>
      <c r="G63" s="15">
        <v>2.5000000000000001E-2</v>
      </c>
      <c r="H63" s="11">
        <f t="shared" ref="H63:H72" si="18">C63*G63</f>
        <v>227.40125000000003</v>
      </c>
      <c r="I63" s="15">
        <v>0.04</v>
      </c>
      <c r="J63" s="11">
        <f t="shared" ref="J63:J72" si="19">C63*I63</f>
        <v>363.84200000000004</v>
      </c>
      <c r="K63" s="11">
        <f>(C63-$B$5)*$B$7</f>
        <v>7.5105000000000111</v>
      </c>
      <c r="L63" s="11">
        <f t="shared" ref="L63:L72" si="20">F63+H63-J63-K63</f>
        <v>2466.6151000000004</v>
      </c>
      <c r="M63" s="9">
        <f>1/(1+$B$60)^1</f>
        <v>0.91491308325709064</v>
      </c>
      <c r="N63" s="11">
        <f t="shared" ref="N63:N72" si="21">L63*M63</f>
        <v>2256.7384263494973</v>
      </c>
    </row>
    <row r="64" spans="1:14">
      <c r="A64" s="24">
        <v>2</v>
      </c>
      <c r="B64" s="15">
        <v>0.09</v>
      </c>
      <c r="C64" s="11">
        <f t="shared" ref="C64:C72" si="22">C63*(1+B64)</f>
        <v>9914.6945000000014</v>
      </c>
      <c r="D64" s="15">
        <v>0.35</v>
      </c>
      <c r="E64" s="11">
        <f t="shared" si="16"/>
        <v>3470.1430750000004</v>
      </c>
      <c r="F64" s="11">
        <f t="shared" si="17"/>
        <v>2845.5173215000004</v>
      </c>
      <c r="G64" s="15">
        <v>2.5000000000000001E-2</v>
      </c>
      <c r="H64" s="11">
        <f t="shared" si="18"/>
        <v>247.86736250000004</v>
      </c>
      <c r="I64" s="15">
        <v>0.04</v>
      </c>
      <c r="J64" s="11">
        <f t="shared" si="19"/>
        <v>396.58778000000007</v>
      </c>
      <c r="K64" s="11">
        <f t="shared" ref="K64:K72" si="23">(C64-C63)*$B$7</f>
        <v>8.1864450000000026</v>
      </c>
      <c r="L64" s="11">
        <f t="shared" si="20"/>
        <v>2688.6104590000009</v>
      </c>
      <c r="M64" s="9">
        <f>1/(1+$B$60)^2</f>
        <v>0.83706594991499605</v>
      </c>
      <c r="N64" s="11">
        <f t="shared" si="21"/>
        <v>2250.5442678142294</v>
      </c>
    </row>
    <row r="65" spans="1:14">
      <c r="A65" s="24">
        <v>3</v>
      </c>
      <c r="B65" s="15">
        <v>0.08</v>
      </c>
      <c r="C65" s="11">
        <f t="shared" si="22"/>
        <v>10707.870060000003</v>
      </c>
      <c r="D65" s="15">
        <v>0.35</v>
      </c>
      <c r="E65" s="11">
        <f t="shared" si="16"/>
        <v>3747.7545210000008</v>
      </c>
      <c r="F65" s="11">
        <f t="shared" si="17"/>
        <v>3073.1587072200009</v>
      </c>
      <c r="G65" s="15">
        <v>2.5000000000000001E-2</v>
      </c>
      <c r="H65" s="11">
        <f t="shared" si="18"/>
        <v>267.69675150000006</v>
      </c>
      <c r="I65" s="15">
        <v>0.04</v>
      </c>
      <c r="J65" s="11">
        <f t="shared" si="19"/>
        <v>428.31480240000013</v>
      </c>
      <c r="K65" s="11">
        <f t="shared" si="23"/>
        <v>7.9317556000000149</v>
      </c>
      <c r="L65" s="11">
        <f t="shared" si="20"/>
        <v>2904.6089007200007</v>
      </c>
      <c r="M65" s="9">
        <f>1/(1+$B$60)^3</f>
        <v>0.76584258912625436</v>
      </c>
      <c r="N65" s="11">
        <f t="shared" si="21"/>
        <v>2224.473200926569</v>
      </c>
    </row>
    <row r="66" spans="1:14">
      <c r="A66" s="24">
        <v>4</v>
      </c>
      <c r="B66" s="15">
        <v>7.4999999999999997E-2</v>
      </c>
      <c r="C66" s="11">
        <f t="shared" si="22"/>
        <v>11510.960314500002</v>
      </c>
      <c r="D66" s="15">
        <v>0.35</v>
      </c>
      <c r="E66" s="11">
        <f t="shared" si="16"/>
        <v>4028.8361100750003</v>
      </c>
      <c r="F66" s="11">
        <f t="shared" si="17"/>
        <v>3303.6456102615007</v>
      </c>
      <c r="G66" s="15">
        <v>2.5000000000000001E-2</v>
      </c>
      <c r="H66" s="11">
        <f t="shared" si="18"/>
        <v>287.77400786250007</v>
      </c>
      <c r="I66" s="15">
        <v>0.04</v>
      </c>
      <c r="J66" s="11">
        <f t="shared" si="19"/>
        <v>460.43841258000009</v>
      </c>
      <c r="K66" s="11">
        <f t="shared" si="23"/>
        <v>8.0309025449999893</v>
      </c>
      <c r="L66" s="11">
        <f t="shared" si="20"/>
        <v>3122.9503029990005</v>
      </c>
      <c r="M66" s="9">
        <f>1/(1+$B$60)^4</f>
        <v>0.70067940450709465</v>
      </c>
      <c r="N66" s="11">
        <f t="shared" si="21"/>
        <v>2188.1869586105904</v>
      </c>
    </row>
    <row r="67" spans="1:14">
      <c r="A67" s="24">
        <v>5</v>
      </c>
      <c r="B67" s="15">
        <v>7.0000000000000007E-2</v>
      </c>
      <c r="C67" s="11">
        <f t="shared" si="22"/>
        <v>12316.727536515004</v>
      </c>
      <c r="D67" s="15">
        <v>0.35</v>
      </c>
      <c r="E67" s="11">
        <f t="shared" si="16"/>
        <v>4310.8546377802513</v>
      </c>
      <c r="F67" s="11">
        <f t="shared" si="17"/>
        <v>3534.9008029798065</v>
      </c>
      <c r="G67" s="15">
        <v>2.5000000000000001E-2</v>
      </c>
      <c r="H67" s="11">
        <f t="shared" si="18"/>
        <v>307.91818841287511</v>
      </c>
      <c r="I67" s="15">
        <v>0.04</v>
      </c>
      <c r="J67" s="11">
        <f t="shared" si="19"/>
        <v>492.66910146060013</v>
      </c>
      <c r="K67" s="11">
        <f t="shared" si="23"/>
        <v>8.0576722201500157</v>
      </c>
      <c r="L67" s="11">
        <f t="shared" si="20"/>
        <v>3342.0922177119314</v>
      </c>
      <c r="M67" s="9">
        <f>1/(1+$B$60)^5</f>
        <v>0.64106075435232812</v>
      </c>
      <c r="N67" s="11">
        <f t="shared" si="21"/>
        <v>2142.484158201456</v>
      </c>
    </row>
    <row r="68" spans="1:14">
      <c r="A68" s="24">
        <v>6</v>
      </c>
      <c r="B68" s="15">
        <v>0.06</v>
      </c>
      <c r="C68" s="11">
        <f t="shared" si="22"/>
        <v>13055.731188705904</v>
      </c>
      <c r="D68" s="15">
        <v>0.35</v>
      </c>
      <c r="E68" s="11">
        <f t="shared" si="16"/>
        <v>4569.5059160470664</v>
      </c>
      <c r="F68" s="11">
        <f t="shared" si="17"/>
        <v>3746.9948511585949</v>
      </c>
      <c r="G68" s="15">
        <v>2.5000000000000001E-2</v>
      </c>
      <c r="H68" s="11">
        <f t="shared" si="18"/>
        <v>326.3932797176476</v>
      </c>
      <c r="I68" s="15">
        <v>0.04</v>
      </c>
      <c r="J68" s="11">
        <f t="shared" si="19"/>
        <v>522.22924754823612</v>
      </c>
      <c r="K68" s="11">
        <f t="shared" si="23"/>
        <v>7.3900365219090052</v>
      </c>
      <c r="L68" s="11">
        <f t="shared" si="20"/>
        <v>3543.7688468060974</v>
      </c>
      <c r="M68" s="9">
        <f>1/(1+$B$60)^6</f>
        <v>0.586514871319605</v>
      </c>
      <c r="N68" s="11">
        <f t="shared" si="21"/>
        <v>2078.4731291709031</v>
      </c>
    </row>
    <row r="69" spans="1:14">
      <c r="A69" s="24">
        <v>7</v>
      </c>
      <c r="B69" s="15">
        <v>5.5E-2</v>
      </c>
      <c r="C69" s="11">
        <f t="shared" si="22"/>
        <v>13773.796404084727</v>
      </c>
      <c r="D69" s="15">
        <v>0.35</v>
      </c>
      <c r="E69" s="11">
        <f t="shared" si="16"/>
        <v>4820.8287414296547</v>
      </c>
      <c r="F69" s="11">
        <f t="shared" si="17"/>
        <v>3953.0795679723169</v>
      </c>
      <c r="G69" s="15">
        <v>2.5000000000000001E-2</v>
      </c>
      <c r="H69" s="11">
        <f t="shared" si="18"/>
        <v>344.34491010211821</v>
      </c>
      <c r="I69" s="15">
        <v>0.04</v>
      </c>
      <c r="J69" s="11">
        <f t="shared" si="19"/>
        <v>550.95185616338915</v>
      </c>
      <c r="K69" s="11">
        <f t="shared" si="23"/>
        <v>7.1806521537882331</v>
      </c>
      <c r="L69" s="11">
        <f t="shared" si="20"/>
        <v>3739.2919697572574</v>
      </c>
      <c r="M69" s="9">
        <f>1/(1+$B$60)^7</f>
        <v>0.5366101292951555</v>
      </c>
      <c r="N69" s="11">
        <f t="shared" si="21"/>
        <v>2006.5419473637787</v>
      </c>
    </row>
    <row r="70" spans="1:14">
      <c r="A70" s="24">
        <v>8</v>
      </c>
      <c r="B70" s="15">
        <v>0.05</v>
      </c>
      <c r="C70" s="11">
        <f t="shared" si="22"/>
        <v>14462.486224288965</v>
      </c>
      <c r="D70" s="15">
        <v>0.35</v>
      </c>
      <c r="E70" s="11">
        <f t="shared" si="16"/>
        <v>5061.8701785011372</v>
      </c>
      <c r="F70" s="11">
        <f t="shared" si="17"/>
        <v>4150.7335463709323</v>
      </c>
      <c r="G70" s="15">
        <v>2.5000000000000001E-2</v>
      </c>
      <c r="H70" s="11">
        <f t="shared" si="18"/>
        <v>361.56215560722416</v>
      </c>
      <c r="I70" s="15">
        <v>0.04</v>
      </c>
      <c r="J70" s="11">
        <f t="shared" si="19"/>
        <v>578.49944897155865</v>
      </c>
      <c r="K70" s="11">
        <f t="shared" si="23"/>
        <v>6.8868982020423752</v>
      </c>
      <c r="L70" s="11">
        <f t="shared" si="20"/>
        <v>3926.9093548045553</v>
      </c>
      <c r="M70" s="9">
        <f>1/(1+$B$60)^8</f>
        <v>0.4909516279004168</v>
      </c>
      <c r="N70" s="11">
        <f t="shared" si="21"/>
        <v>1927.9225403586718</v>
      </c>
    </row>
    <row r="71" spans="1:14">
      <c r="A71" s="24">
        <v>9</v>
      </c>
      <c r="B71" s="15">
        <v>4.4999999999999998E-2</v>
      </c>
      <c r="C71" s="11">
        <f t="shared" si="22"/>
        <v>15113.298104381967</v>
      </c>
      <c r="D71" s="15">
        <v>0.35</v>
      </c>
      <c r="E71" s="11">
        <f t="shared" si="16"/>
        <v>5289.6543365336884</v>
      </c>
      <c r="F71" s="11">
        <f t="shared" si="17"/>
        <v>4337.5165559576244</v>
      </c>
      <c r="G71" s="15">
        <v>2.5000000000000001E-2</v>
      </c>
      <c r="H71" s="11">
        <f t="shared" si="18"/>
        <v>377.83245260954919</v>
      </c>
      <c r="I71" s="15">
        <v>0.04</v>
      </c>
      <c r="J71" s="11">
        <f t="shared" si="19"/>
        <v>604.53192417527873</v>
      </c>
      <c r="K71" s="11">
        <f t="shared" si="23"/>
        <v>6.5081188009300242</v>
      </c>
      <c r="L71" s="11">
        <f t="shared" si="20"/>
        <v>4104.3089655909653</v>
      </c>
      <c r="M71" s="9">
        <f>1/(1+$B$60)^9</f>
        <v>0.44917806761245821</v>
      </c>
      <c r="N71" s="11">
        <f t="shared" si="21"/>
        <v>1843.565570048637</v>
      </c>
    </row>
    <row r="72" spans="1:14">
      <c r="A72" s="24">
        <v>10</v>
      </c>
      <c r="B72" s="15">
        <v>0.04</v>
      </c>
      <c r="C72" s="11">
        <f t="shared" si="22"/>
        <v>15717.830028557246</v>
      </c>
      <c r="D72" s="15">
        <v>0.35</v>
      </c>
      <c r="E72" s="11">
        <f t="shared" si="16"/>
        <v>5501.2405099950356</v>
      </c>
      <c r="F72" s="11">
        <f t="shared" si="17"/>
        <v>4511.0172181959297</v>
      </c>
      <c r="G72" s="15">
        <v>2.5000000000000001E-2</v>
      </c>
      <c r="H72" s="11">
        <f t="shared" si="18"/>
        <v>392.94575071393115</v>
      </c>
      <c r="I72" s="15">
        <v>0.04</v>
      </c>
      <c r="J72" s="11">
        <f t="shared" si="19"/>
        <v>628.7132011422899</v>
      </c>
      <c r="K72" s="11">
        <f t="shared" si="23"/>
        <v>6.0453192417527859</v>
      </c>
      <c r="L72" s="11">
        <f t="shared" si="20"/>
        <v>4269.2044485258184</v>
      </c>
      <c r="M72" s="9">
        <f>1/(1+$B$60)^10</f>
        <v>0.41095889077077608</v>
      </c>
      <c r="N72" s="11">
        <f t="shared" si="21"/>
        <v>1754.4675246398331</v>
      </c>
    </row>
    <row r="73" spans="1:14">
      <c r="A73" s="18" t="s">
        <v>178</v>
      </c>
      <c r="B73" s="11">
        <f>L72*(1+$D$60)/($B$60-$D$60)</f>
        <v>76183.21731421072</v>
      </c>
    </row>
    <row r="74" spans="1:14">
      <c r="A74" s="6" t="s">
        <v>179</v>
      </c>
      <c r="B74" s="11">
        <f>B73/(1+$B$60)^10</f>
        <v>31308.170482797021</v>
      </c>
    </row>
    <row r="75" spans="1:14">
      <c r="A75" s="18" t="s">
        <v>180</v>
      </c>
      <c r="B75" s="11">
        <f>SUM(N63:N72)+B74</f>
        <v>51981.56820628119</v>
      </c>
    </row>
    <row r="76" spans="1:14">
      <c r="A76" s="6" t="s">
        <v>181</v>
      </c>
      <c r="B76" s="11">
        <f>$B$8</f>
        <v>-98.3</v>
      </c>
    </row>
    <row r="77" spans="1:14">
      <c r="A77" s="6" t="s">
        <v>182</v>
      </c>
      <c r="B77" s="11">
        <f>$B$9</f>
        <v>5500</v>
      </c>
    </row>
    <row r="78" spans="1:14">
      <c r="A78" s="18" t="s">
        <v>183</v>
      </c>
      <c r="B78" s="11">
        <f>B75-B76+B77</f>
        <v>57579.868206281193</v>
      </c>
    </row>
    <row r="79" spans="1:14">
      <c r="A79" s="18" t="s">
        <v>184</v>
      </c>
      <c r="B79" s="7">
        <f>B78/$B$10</f>
        <v>633.25797795009146</v>
      </c>
      <c r="C79" s="6" t="s">
        <v>189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190</v>
      </c>
    </row>
    <row r="2" spans="1:7" ht="15.6">
      <c r="A2" s="28" t="s">
        <v>191</v>
      </c>
      <c r="B2" s="27"/>
      <c r="C2" s="27"/>
      <c r="D2" s="27"/>
      <c r="E2" s="27"/>
      <c r="F2" s="27"/>
      <c r="G2" s="27"/>
    </row>
    <row r="4" spans="1:7">
      <c r="A4" s="5" t="s">
        <v>165</v>
      </c>
      <c r="B4" s="5" t="s">
        <v>184</v>
      </c>
    </row>
    <row r="5" spans="1:7">
      <c r="A5" s="15">
        <v>8.4000000000000005E-2</v>
      </c>
      <c r="B5" s="7">
        <v>593.54999999999995</v>
      </c>
    </row>
    <row r="6" spans="1:7">
      <c r="A6" s="15">
        <v>8.6999999999999994E-2</v>
      </c>
      <c r="B6" s="7">
        <v>564.79999999999995</v>
      </c>
    </row>
    <row r="7" spans="1:7">
      <c r="A7" s="15">
        <v>0.09</v>
      </c>
      <c r="B7" s="7">
        <v>538.94000000000005</v>
      </c>
    </row>
    <row r="8" spans="1:7">
      <c r="A8" s="15">
        <v>9.5000000000000001E-2</v>
      </c>
      <c r="B8" s="7">
        <v>501.16</v>
      </c>
    </row>
    <row r="9" spans="1:7">
      <c r="A9" s="15">
        <v>0.1</v>
      </c>
      <c r="B9" s="7">
        <v>468.81</v>
      </c>
    </row>
    <row r="10" spans="1:7">
      <c r="A10" s="15">
        <v>0.105</v>
      </c>
      <c r="B10" s="7">
        <v>440.79</v>
      </c>
    </row>
    <row r="11" spans="1:7">
      <c r="A11" s="15">
        <v>0.11</v>
      </c>
      <c r="B11" s="7">
        <v>416.3</v>
      </c>
    </row>
    <row r="12" spans="1:7">
      <c r="A12" s="15">
        <v>0.115</v>
      </c>
      <c r="B12" s="7">
        <v>394.71</v>
      </c>
    </row>
    <row r="14" spans="1:7">
      <c r="A14" s="5" t="s">
        <v>192</v>
      </c>
      <c r="B14" s="5" t="s">
        <v>184</v>
      </c>
    </row>
    <row r="15" spans="1:7">
      <c r="A15" s="15">
        <v>1.2E-2</v>
      </c>
      <c r="B15" s="7">
        <v>497.02</v>
      </c>
    </row>
    <row r="16" spans="1:7">
      <c r="A16" s="15">
        <v>2.1999999999999999E-2</v>
      </c>
      <c r="B16" s="7">
        <v>487.61</v>
      </c>
    </row>
    <row r="17" spans="1:3">
      <c r="A17" s="15">
        <v>3.2000000000000001E-2</v>
      </c>
      <c r="B17" s="7">
        <v>478.21</v>
      </c>
    </row>
    <row r="18" spans="1:3">
      <c r="A18" s="15">
        <v>4.2000000000000003E-2</v>
      </c>
      <c r="B18" s="7">
        <v>468.81</v>
      </c>
    </row>
    <row r="19" spans="1:3">
      <c r="A19" s="15">
        <v>5.1999999999999998E-2</v>
      </c>
      <c r="B19" s="7">
        <v>459.41</v>
      </c>
    </row>
    <row r="20" spans="1:3">
      <c r="A20" s="15">
        <v>6.2E-2</v>
      </c>
      <c r="B20" s="7">
        <v>450</v>
      </c>
    </row>
    <row r="23" spans="1:3">
      <c r="A23" s="5" t="s">
        <v>193</v>
      </c>
      <c r="B23" s="5" t="s">
        <v>184</v>
      </c>
    </row>
    <row r="24" spans="1:3">
      <c r="A24" s="15">
        <v>0.26500000000000001</v>
      </c>
      <c r="B24" s="7">
        <v>422.55</v>
      </c>
    </row>
    <row r="25" spans="1:3">
      <c r="A25" s="15">
        <v>0.28499999999999998</v>
      </c>
      <c r="B25" s="7">
        <v>437.97</v>
      </c>
    </row>
    <row r="26" spans="1:3">
      <c r="A26" s="15">
        <v>0.30499999999999999</v>
      </c>
      <c r="B26" s="7">
        <v>453.39</v>
      </c>
    </row>
    <row r="27" spans="1:3">
      <c r="A27" s="15">
        <v>0.32500000000000001</v>
      </c>
      <c r="B27" s="7">
        <v>468.81</v>
      </c>
    </row>
    <row r="28" spans="1:3">
      <c r="A28" s="15">
        <v>0.34499999999999997</v>
      </c>
      <c r="B28" s="7">
        <v>484.23</v>
      </c>
    </row>
    <row r="29" spans="1:3">
      <c r="A29" s="15">
        <v>0.36499999999999999</v>
      </c>
      <c r="B29" s="7">
        <v>499.65</v>
      </c>
    </row>
    <row r="30" spans="1:3">
      <c r="A30" s="15">
        <v>0.38500000000000001</v>
      </c>
      <c r="B30" s="7">
        <v>515.07000000000005</v>
      </c>
    </row>
    <row r="32" spans="1:3" ht="16.2">
      <c r="A32" s="3" t="s">
        <v>194</v>
      </c>
      <c r="B32" s="4"/>
      <c r="C32" s="4"/>
    </row>
    <row r="33" spans="1:7">
      <c r="A33" s="6" t="s">
        <v>195</v>
      </c>
      <c r="B33" s="15">
        <v>-4.662745416602828E-3</v>
      </c>
    </row>
    <row r="34" spans="1:7">
      <c r="A34" s="6" t="s">
        <v>196</v>
      </c>
      <c r="B34" s="15">
        <v>5.9931923175699182E-2</v>
      </c>
    </row>
    <row r="36" spans="1:7" ht="16.2">
      <c r="A36" s="3" t="s">
        <v>197</v>
      </c>
      <c r="B36" s="4"/>
      <c r="C36" s="4"/>
      <c r="D36" s="4"/>
      <c r="E36" s="4"/>
      <c r="F36" s="4"/>
      <c r="G36" s="4"/>
    </row>
    <row r="37" spans="1:7">
      <c r="A37" s="5" t="s">
        <v>198</v>
      </c>
      <c r="B37" s="5" t="s">
        <v>184</v>
      </c>
      <c r="C37" s="5" t="s">
        <v>199</v>
      </c>
      <c r="D37" s="5" t="s">
        <v>200</v>
      </c>
    </row>
    <row r="38" spans="1:7">
      <c r="A38" s="6" t="s">
        <v>201</v>
      </c>
      <c r="B38" s="25" t="s">
        <v>202</v>
      </c>
      <c r="C38" s="25" t="s">
        <v>203</v>
      </c>
      <c r="D38" s="25" t="s">
        <v>204</v>
      </c>
    </row>
    <row r="39" spans="1:7">
      <c r="A39" s="6" t="s">
        <v>205</v>
      </c>
      <c r="B39" s="25" t="s">
        <v>206</v>
      </c>
      <c r="C39" s="25" t="s">
        <v>207</v>
      </c>
      <c r="D39" s="25" t="s">
        <v>208</v>
      </c>
    </row>
    <row r="40" spans="1:7">
      <c r="A40" s="6" t="s">
        <v>209</v>
      </c>
      <c r="B40" s="25" t="s">
        <v>58</v>
      </c>
      <c r="C40" s="25" t="s">
        <v>210</v>
      </c>
      <c r="D40" s="25" t="s">
        <v>211</v>
      </c>
    </row>
    <row r="41" spans="1:7">
      <c r="A41" s="6" t="s">
        <v>212</v>
      </c>
      <c r="B41" s="25" t="s">
        <v>58</v>
      </c>
      <c r="C41" s="25" t="s">
        <v>213</v>
      </c>
      <c r="D41" s="25" t="s">
        <v>214</v>
      </c>
    </row>
    <row r="42" spans="1:7" ht="40.049999999999997" customHeight="1">
      <c r="A42" s="31" t="s">
        <v>215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216</v>
      </c>
    </row>
    <row r="2" spans="1:4" ht="15.6">
      <c r="A2" s="28" t="s">
        <v>217</v>
      </c>
      <c r="B2" s="27"/>
      <c r="C2" s="27"/>
      <c r="D2" s="27"/>
    </row>
    <row r="4" spans="1:4">
      <c r="A4" s="5" t="s">
        <v>218</v>
      </c>
      <c r="B4" s="5" t="s">
        <v>219</v>
      </c>
      <c r="C4" s="5" t="s">
        <v>220</v>
      </c>
      <c r="D4" s="5" t="s">
        <v>221</v>
      </c>
    </row>
    <row r="5" spans="1:4">
      <c r="A5" s="6" t="s">
        <v>222</v>
      </c>
      <c r="B5" s="6" t="s">
        <v>223</v>
      </c>
      <c r="C5" s="22" t="s">
        <v>224</v>
      </c>
      <c r="D5" s="8" t="s">
        <v>225</v>
      </c>
    </row>
    <row r="6" spans="1:4">
      <c r="A6" s="6" t="s">
        <v>226</v>
      </c>
      <c r="B6" s="6" t="s">
        <v>223</v>
      </c>
      <c r="C6" s="22" t="s">
        <v>227</v>
      </c>
      <c r="D6" s="8" t="s">
        <v>228</v>
      </c>
    </row>
    <row r="7" spans="1:4">
      <c r="A7" s="6" t="s">
        <v>229</v>
      </c>
      <c r="B7" s="6" t="s">
        <v>223</v>
      </c>
      <c r="C7" s="22" t="s">
        <v>230</v>
      </c>
      <c r="D7" s="8" t="s">
        <v>231</v>
      </c>
    </row>
    <row r="8" spans="1:4">
      <c r="A8" s="6" t="s">
        <v>232</v>
      </c>
      <c r="B8" s="6" t="s">
        <v>233</v>
      </c>
      <c r="C8" s="22" t="s">
        <v>224</v>
      </c>
      <c r="D8" s="8" t="s">
        <v>234</v>
      </c>
    </row>
    <row r="9" spans="1:4">
      <c r="A9" s="6" t="s">
        <v>235</v>
      </c>
      <c r="B9" s="6" t="s">
        <v>236</v>
      </c>
      <c r="C9" s="22" t="s">
        <v>237</v>
      </c>
      <c r="D9" s="8" t="s">
        <v>238</v>
      </c>
    </row>
    <row r="10" spans="1:4">
      <c r="A10" s="6" t="s">
        <v>239</v>
      </c>
      <c r="B10" s="6" t="s">
        <v>240</v>
      </c>
      <c r="C10" s="22" t="s">
        <v>237</v>
      </c>
      <c r="D10" s="8" t="s">
        <v>241</v>
      </c>
    </row>
    <row r="13" spans="1:4" ht="15">
      <c r="A13" s="30" t="s">
        <v>242</v>
      </c>
      <c r="B13" s="27"/>
      <c r="C13" s="27"/>
      <c r="D13" s="27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2026-10-29T10:39:58Z</dcterms:created>
  <dcterms:modified xsi:type="dcterms:W3CDTF">2026-10-29T10:40:04Z</dcterms:modified>
</cp:coreProperties>
</file>