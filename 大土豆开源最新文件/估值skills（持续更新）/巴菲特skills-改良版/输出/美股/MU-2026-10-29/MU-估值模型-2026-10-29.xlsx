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MU-2026-10-29\"/>
    </mc:Choice>
  </mc:AlternateContent>
  <xr:revisionPtr revIDLastSave="0" documentId="13_ncr:1_{F3CCAFF2-EF74-4602-969C-D8BB9D8F4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分部!$A$1:$F$30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H40" i="5"/>
  <c r="K40" i="5"/>
  <c r="E40" i="5"/>
  <c r="F40" i="5" s="1"/>
  <c r="C41" i="5"/>
  <c r="J40" i="5"/>
  <c r="J17" i="5"/>
  <c r="H17" i="5"/>
  <c r="C18" i="5"/>
  <c r="K17" i="5"/>
  <c r="E17" i="5"/>
  <c r="F17" i="5" s="1"/>
  <c r="L17" i="5" s="1"/>
  <c r="N17" i="5" s="1"/>
  <c r="B14" i="1"/>
  <c r="B25" i="1"/>
  <c r="E64" i="5" l="1"/>
  <c r="F64" i="5" s="1"/>
  <c r="J64" i="5"/>
  <c r="C65" i="5"/>
  <c r="H64" i="5"/>
  <c r="K64" i="5"/>
  <c r="E41" i="5"/>
  <c r="F41" i="5" s="1"/>
  <c r="H41" i="5"/>
  <c r="J41" i="5"/>
  <c r="K41" i="5"/>
  <c r="C42" i="5"/>
  <c r="E18" i="5"/>
  <c r="F18" i="5" s="1"/>
  <c r="H18" i="5"/>
  <c r="J18" i="5"/>
  <c r="K18" i="5"/>
  <c r="C19" i="5"/>
  <c r="B22" i="1"/>
  <c r="B26" i="1"/>
  <c r="L40" i="5"/>
  <c r="N40" i="5" s="1"/>
  <c r="L63" i="5"/>
  <c r="N63" i="5" s="1"/>
  <c r="E65" i="5" l="1"/>
  <c r="F65" i="5" s="1"/>
  <c r="H65" i="5"/>
  <c r="J65" i="5"/>
  <c r="K65" i="5"/>
  <c r="C66" i="5"/>
  <c r="E42" i="5"/>
  <c r="F42" i="5" s="1"/>
  <c r="H42" i="5"/>
  <c r="J42" i="5"/>
  <c r="K42" i="5"/>
  <c r="C43" i="5"/>
  <c r="E19" i="5"/>
  <c r="F19" i="5" s="1"/>
  <c r="H19" i="5"/>
  <c r="J19" i="5"/>
  <c r="K19" i="5"/>
  <c r="C20" i="5"/>
  <c r="L41" i="5"/>
  <c r="N41" i="5" s="1"/>
  <c r="L18" i="5"/>
  <c r="N18" i="5" s="1"/>
  <c r="L64" i="5"/>
  <c r="N64" i="5" s="1"/>
  <c r="L42" i="5" l="1"/>
  <c r="N42" i="5" s="1"/>
  <c r="E66" i="5"/>
  <c r="F66" i="5" s="1"/>
  <c r="H66" i="5"/>
  <c r="J66" i="5"/>
  <c r="K66" i="5"/>
  <c r="C67" i="5"/>
  <c r="H43" i="5"/>
  <c r="J43" i="5"/>
  <c r="K43" i="5"/>
  <c r="C44" i="5"/>
  <c r="E43" i="5"/>
  <c r="F43" i="5" s="1"/>
  <c r="E20" i="5"/>
  <c r="F20" i="5" s="1"/>
  <c r="H20" i="5"/>
  <c r="J20" i="5"/>
  <c r="K20" i="5"/>
  <c r="C21" i="5"/>
  <c r="L19" i="5"/>
  <c r="N19" i="5" s="1"/>
  <c r="L65" i="5"/>
  <c r="N65" i="5" s="1"/>
  <c r="E67" i="5" l="1"/>
  <c r="F67" i="5" s="1"/>
  <c r="H67" i="5"/>
  <c r="J67" i="5"/>
  <c r="K67" i="5"/>
  <c r="C68" i="5"/>
  <c r="E44" i="5"/>
  <c r="F44" i="5" s="1"/>
  <c r="H44" i="5"/>
  <c r="J44" i="5"/>
  <c r="K44" i="5"/>
  <c r="C45" i="5"/>
  <c r="K21" i="5"/>
  <c r="J21" i="5"/>
  <c r="E21" i="5"/>
  <c r="F21" i="5" s="1"/>
  <c r="H21" i="5"/>
  <c r="C22" i="5"/>
  <c r="L43" i="5"/>
  <c r="N43" i="5" s="1"/>
  <c r="L20" i="5"/>
  <c r="N20" i="5" s="1"/>
  <c r="L66" i="5"/>
  <c r="N66" i="5" s="1"/>
  <c r="E68" i="5" l="1"/>
  <c r="F68" i="5" s="1"/>
  <c r="H68" i="5"/>
  <c r="J68" i="5"/>
  <c r="K68" i="5"/>
  <c r="C69" i="5"/>
  <c r="E45" i="5"/>
  <c r="F45" i="5" s="1"/>
  <c r="H45" i="5"/>
  <c r="J45" i="5"/>
  <c r="K45" i="5"/>
  <c r="C46" i="5"/>
  <c r="H22" i="5"/>
  <c r="E22" i="5"/>
  <c r="F22" i="5" s="1"/>
  <c r="K22" i="5"/>
  <c r="J22" i="5"/>
  <c r="C23" i="5"/>
  <c r="L67" i="5"/>
  <c r="N67" i="5" s="1"/>
  <c r="L44" i="5"/>
  <c r="N44" i="5" s="1"/>
  <c r="L21" i="5"/>
  <c r="N21" i="5" s="1"/>
  <c r="L22" i="5" l="1"/>
  <c r="N22" i="5" s="1"/>
  <c r="E69" i="5"/>
  <c r="F69" i="5" s="1"/>
  <c r="H69" i="5"/>
  <c r="J69" i="5"/>
  <c r="K69" i="5"/>
  <c r="C70" i="5"/>
  <c r="E46" i="5"/>
  <c r="F46" i="5" s="1"/>
  <c r="H46" i="5"/>
  <c r="J46" i="5"/>
  <c r="K46" i="5"/>
  <c r="C47" i="5"/>
  <c r="K23" i="5"/>
  <c r="H23" i="5"/>
  <c r="J23" i="5"/>
  <c r="C24" i="5"/>
  <c r="E23" i="5"/>
  <c r="F23" i="5" s="1"/>
  <c r="L68" i="5"/>
  <c r="N68" i="5" s="1"/>
  <c r="L45" i="5"/>
  <c r="N45" i="5" s="1"/>
  <c r="E70" i="5" l="1"/>
  <c r="F70" i="5" s="1"/>
  <c r="H70" i="5"/>
  <c r="J70" i="5"/>
  <c r="K70" i="5"/>
  <c r="C71" i="5"/>
  <c r="E47" i="5"/>
  <c r="F47" i="5" s="1"/>
  <c r="H47" i="5"/>
  <c r="J47" i="5"/>
  <c r="K47" i="5"/>
  <c r="C48" i="5"/>
  <c r="K24" i="5"/>
  <c r="C25" i="5"/>
  <c r="J24" i="5"/>
  <c r="H24" i="5"/>
  <c r="E24" i="5"/>
  <c r="F24" i="5" s="1"/>
  <c r="L24" i="5" s="1"/>
  <c r="N24" i="5" s="1"/>
  <c r="L69" i="5"/>
  <c r="N69" i="5" s="1"/>
  <c r="L23" i="5"/>
  <c r="N23" i="5" s="1"/>
  <c r="L46" i="5"/>
  <c r="N46" i="5" s="1"/>
  <c r="L47" i="5" l="1"/>
  <c r="N47" i="5" s="1"/>
  <c r="E71" i="5"/>
  <c r="F71" i="5" s="1"/>
  <c r="H71" i="5"/>
  <c r="J71" i="5"/>
  <c r="K71" i="5"/>
  <c r="C72" i="5"/>
  <c r="E48" i="5"/>
  <c r="F48" i="5" s="1"/>
  <c r="H48" i="5"/>
  <c r="J48" i="5"/>
  <c r="K48" i="5"/>
  <c r="C49" i="5"/>
  <c r="H25" i="5"/>
  <c r="C26" i="5"/>
  <c r="J25" i="5"/>
  <c r="E25" i="5"/>
  <c r="F25" i="5" s="1"/>
  <c r="K25" i="5"/>
  <c r="L70" i="5"/>
  <c r="N70" i="5" s="1"/>
  <c r="L48" i="5" l="1"/>
  <c r="N48" i="5" s="1"/>
  <c r="E72" i="5"/>
  <c r="F72" i="5" s="1"/>
  <c r="H72" i="5"/>
  <c r="J72" i="5"/>
  <c r="K72" i="5"/>
  <c r="K49" i="5"/>
  <c r="J49" i="5"/>
  <c r="E49" i="5"/>
  <c r="F49" i="5" s="1"/>
  <c r="H49" i="5"/>
  <c r="E26" i="5"/>
  <c r="F26" i="5" s="1"/>
  <c r="K26" i="5"/>
  <c r="J26" i="5"/>
  <c r="H26" i="5"/>
  <c r="L25" i="5"/>
  <c r="N25" i="5" s="1"/>
  <c r="L71" i="5"/>
  <c r="N71" i="5" s="1"/>
  <c r="L26" i="5" l="1"/>
  <c r="N26" i="5" s="1"/>
  <c r="B27" i="5"/>
  <c r="B28" i="5" s="1"/>
  <c r="L72" i="5"/>
  <c r="L49" i="5"/>
  <c r="B29" i="5" l="1"/>
  <c r="B31" i="5" s="1"/>
  <c r="B32" i="5" s="1"/>
  <c r="B73" i="5"/>
  <c r="B74" i="5" s="1"/>
  <c r="B75" i="5" s="1"/>
  <c r="B77" i="5" s="1"/>
  <c r="B78" i="5" s="1"/>
  <c r="N72" i="5"/>
  <c r="B50" i="5"/>
  <c r="B51" i="5" s="1"/>
  <c r="N49" i="5"/>
  <c r="B52" i="5" l="1"/>
  <c r="B54" i="5" s="1"/>
  <c r="B55" i="5" s="1"/>
</calcChain>
</file>

<file path=xl/sharedStrings.xml><?xml version="1.0" encoding="utf-8"?>
<sst xmlns="http://schemas.openxmlformats.org/spreadsheetml/2006/main" count="326" uniqueCount="247">
  <si>
    <t>美光（MU）巴菲特框架估值</t>
  </si>
  <si>
    <t>研究日 2026-10-29｜收盘价 $983.23｜最新财报：FY2026 Q4（2026-09-03）</t>
  </si>
  <si>
    <t>市值按 1.1430B 股计算；净负债 = 债务 + 融资租赁 − 现金及有价证券。数据边界见报告第 1 节。</t>
  </si>
  <si>
    <t>一句话结论</t>
  </si>
  <si>
    <t>好生意，但这是内存周期的峰值盈利；现价约等于乐观 DCF，市场把 HBM 超级周期当成常态。结论：昂贵，等周期回落或价格大幅回调。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</si>
  <si>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</si>
  <si>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</si>
  <si>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</si>
  <si>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</si>
  <si>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</si>
  <si>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</si>
  <si>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</si>
  <si>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</si>
  <si>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</si>
  <si>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</si>
  <si>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</si>
  <si>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</si>
  <si>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</si>
  <si>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</si>
  <si>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</si>
  <si>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</si>
  <si>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</si>
  <si>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</si>
  <si>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</si>
  <si>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(1−15%)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</si>
  <si>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</si>
  <si>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</si>
  <si>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</si>
  <si>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</si>
  <si>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</si>
  <si>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稀释口径；GAAP；FY2026 峰值盈利</t>
  </si>
  <si>
    <t>FY2027E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</si>
  <si>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</si>
  <si>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</si>
  <si>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</si>
  <si>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</si>
  <si>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</si>
  <si>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</si>
  <si>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</si>
  <si>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</si>
  <si>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</si>
  <si>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</si>
  <si>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</si>
  <si>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</si>
  <si>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</si>
  <si>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</si>
  <si>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</si>
  <si>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</si>
  <si>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</si>
  <si>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</si>
  <si>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</si>
  <si>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</si>
  <si>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</si>
  <si>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</si>
  <si>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</si>
  <si>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</si>
  <si>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</si>
  <si>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</si>
  <si>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</si>
  <si>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</si>
  <si>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$540，现价 $983.23；现价高估 82.1%。</t>
  </si>
  <si>
    <t>• 悲观 $204；基准 $540；乐观 $980；概率加权约 $566（25%/50%/25%）。</t>
  </si>
  <si>
    <t>• 反推：现价隐含未来 10 年收入 CAGR 约 17.1%，基准情景约 5.8%。</t>
  </si>
  <si>
    <t>• 若要求 20% 安全边际，观察价约 $432（基准价值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</si>
  <si>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</si>
  <si>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</si>
  <si>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美光五年财务与现金流（十亿美元，除每股数据）</t>
  </si>
  <si>
    <t>来源：公司 10-K/10-Q；TTM = 最近四个季度。</t>
  </si>
  <si>
    <t>FY2022</t>
  </si>
  <si>
    <t>FY2023</t>
  </si>
  <si>
    <t>FY2024</t>
  </si>
  <si>
    <t>FY2025</t>
  </si>
  <si>
    <t>FY2026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</si>
  <si>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</si>
  <si>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</si>
  <si>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</si>
  <si>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</si>
  <si>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</si>
  <si>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</si>
  <si>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</si>
  <si>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</si>
  <si>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</si>
  <si>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</si>
  <si>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</si>
  <si>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</si>
  <si>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</si>
  <si>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</si>
  <si>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</si>
  <si>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</si>
  <si>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</si>
  <si>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</si>
  <si>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</si>
  <si>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</si>
  <si>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FY2022–FY2026 收入从 30.8B 增至 133.2B，但路径极周期：FY2023 -49.5%，FY2026 +256%。</t>
  </si>
  <si>
    <t>• FY2026 经营利润 99.3B，经营利润率 74.6%；这是 HBM/DRAM 超级周期的峰值，不是常态。</t>
  </si>
  <si>
    <t>• TTM FCF 59.0B，capex 30.7B（占收入 23.1%）；FCF/NOPAT 约 70%，资本强度仍高。</t>
  </si>
  <si>
    <t>• 净现金 68.3B；FY2027 capex 指引 &gt;50B，H1 约 25B，FCF 将在 2027–2028 年承压。</t>
  </si>
  <si>
    <t>• EPS 74.33 美元是峰值；中周期 EPS 假设 35 美元，对应 12x 约 420 美元。</t>
  </si>
  <si>
    <t>美光：分部与关键运营数据</t>
  </si>
  <si>
    <t>单位：十亿美元，另有注明除外；同比为公开披露口径。</t>
  </si>
  <si>
    <t>FY2026 Q4 业务单元</t>
  </si>
  <si>
    <t>单位：十亿美元；季度截至 2026-09-03。</t>
  </si>
  <si>
    <t>业务单元</t>
  </si>
  <si>
    <t>Q4 收入</t>
  </si>
  <si>
    <t>占比</t>
  </si>
  <si>
    <t>Cloud Memory</t>
  </si>
  <si>
    <t>HBM、数据中心 DRAM</t>
  </si>
  <si>
    <t>Core Data Center</t>
  </si>
  <si>
    <t>服务器 DRAM</t>
  </si>
  <si>
    <t>Mobile &amp; Client</t>
  </si>
  <si>
    <t>手机、PC</t>
  </si>
  <si>
    <t>Automotive &amp; Embedded</t>
  </si>
  <si>
    <t>汽车、工业</t>
  </si>
  <si>
    <t>Total</t>
  </si>
  <si>
    <t>Q4 收入 54.2B，环比 +23%</t>
  </si>
  <si>
    <t>FY2027 Q1 指引与资本开支</t>
  </si>
  <si>
    <t>公司指引，2026-09-30 发布。</t>
  </si>
  <si>
    <t>指引</t>
  </si>
  <si>
    <t>Revenue</t>
  </si>
  <si>
    <t>61.5B ± 1.5B</t>
  </si>
  <si>
    <t>环比 +13%</t>
  </si>
  <si>
    <t>Gross margin</t>
  </si>
  <si>
    <t>约 86%</t>
  </si>
  <si>
    <t>HBM 占比提升</t>
  </si>
  <si>
    <t>EPS</t>
  </si>
  <si>
    <t>37.84 ± 1.00</t>
  </si>
  <si>
    <t>非 GAAP</t>
  </si>
  <si>
    <t>FY2027 capex</t>
  </si>
  <si>
    <t>&gt; 50B</t>
  </si>
  <si>
    <t>H1 约 25B，H2 更高</t>
  </si>
  <si>
    <t>解读</t>
  </si>
  <si>
    <t>• FY2026 Q4 收入 54.2B：Cloud Memory 16.3B（30%）、Core Data Center 18.0B（33%）、Mobile &amp; Client 13.1B（24%）、Auto &amp; Embedded 6.8B（13%）。</t>
  </si>
  <si>
    <t>• Q4 环比 +23%，毛利率约 86%；HBM 供不应求，定价权从买方转向卖方。</t>
  </si>
  <si>
    <t>• Q1 FY2027 指引收入 61.5B ±1.5B，毛利率约 86%，EPS 37.84 ±1.00；增速仍在加速。</t>
  </si>
  <si>
    <t>• FY2027 capex &gt;50B（H1 约 25B）；公司把峰值现金流大量再投资，FCF 将先降后升。</t>
  </si>
  <si>
    <t>• HBM4 量产、HBM4E 送样；竞争对手三星/SK 海力士同步扩产，2028 年后供给风险上升。</t>
  </si>
  <si>
    <t>• 客户集中：大型云厂商占 HBM 需求的大部分；任何一家砍单都会放大周期。</t>
  </si>
  <si>
    <t>MU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</si>
  <si>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</si>
  <si>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</si>
  <si>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</si>
  <si>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</si>
  <si>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</si>
  <si>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</si>
  <si>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</si>
  <si>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</si>
  <si>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</si>
  <si>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</si>
  <si>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</si>
  <si>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</si>
  <si>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</si>
  <si>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</si>
  <si>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</si>
  <si>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</si>
  <si>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+0.00B（四舍五入/汇率）</t>
  </si>
  <si>
    <t>现金转化率</t>
  </si>
  <si>
    <t>Capex / D&amp;A</t>
  </si>
  <si>
    <t>资本开支是折旧的倍数</t>
  </si>
  <si>
    <t>• TTM NOPAT 84.44B，D&amp;A 9.50B、SBC 1.33B、capex 30.71B；FCFF 58.96B。</t>
  </si>
  <si>
    <t>• 营运资金及其他 -5.60B，应收账款与库存随收入扩张；HBM 预付款部分对冲。</t>
  </si>
  <si>
    <t>• Capex/NOPAT 36%，但 FY2027 capex &gt;50B，资本强度将升至收入 30% 以上。</t>
  </si>
  <si>
    <t>• FCF/NOPAT 70%；峰值 FCF 不可持续，2028 年可能降至 20B 以下。</t>
  </si>
  <si>
    <t>三情景 FCFF DCF（未来 12 个月起算，10 年明确预测）</t>
  </si>
  <si>
    <t>单位：十亿美元，除每股数据；第 1 年约为未来四个季度；终值用永续增长。</t>
  </si>
  <si>
    <t>FY2026 于 2026-09-03 结束；盈利处于内存周期峰值。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</si>
  <si>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</si>
  <si>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</si>
  <si>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</si>
  <si>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</si>
  <si>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</si>
  <si>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</si>
  <si>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5.179 + 0.000 − 73.453 = -68.274；股权投资仅用于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</si>
  <si>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</si>
  <si>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</si>
  <si>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</si>
  <si>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</si>
  <si>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</si>
  <si>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</si>
  <si>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</si>
  <si>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</si>
  <si>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</si>
  <si>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</si>
  <si>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</si>
  <si>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</si>
  <si>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</si>
  <si>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</si>
  <si>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</si>
  <si>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</si>
  <si>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</si>
  <si>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</si>
  <si>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</si>
  <si>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</si>
  <si>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50%；终值 FCF 14.9B；终值收入 122B</t>
  </si>
  <si>
    <t>基准情景</t>
  </si>
  <si>
    <t>TV 占比 49%；终值 FCF 37.2B；终值收入 235B</t>
  </si>
  <si>
    <t>乐观情景</t>
  </si>
  <si>
    <t>TV 占比 53%；终值 FCF 65.0B；终值收入 335B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</si>
  <si>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</si>
  <si>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</si>
  <si>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</si>
  <si>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</si>
  <si>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</si>
  <si>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$983.23</t>
  </si>
  <si>
    <t>基准情景 10 年 CAGR</t>
  </si>
  <si>
    <t>交叉检查：DCF、中周期盈利、EV/EBIT</t>
  </si>
  <si>
    <t>方法</t>
  </si>
  <si>
    <t>相对现价</t>
  </si>
  <si>
    <t>读数</t>
  </si>
  <si>
    <t>DCF 基准（周期路径）</t>
  </si>
  <si>
    <t>$540</t>
  </si>
  <si>
    <t>现价高 82%</t>
  </si>
  <si>
    <t>昂贵</t>
  </si>
  <si>
    <t>中周期 EPS 35 × 12x</t>
  </si>
  <si>
    <t>$420</t>
  </si>
  <si>
    <t>现价高 134%</t>
  </si>
  <si>
    <t>更保守</t>
  </si>
  <si>
    <t>EV/EBIT 10.6x（峰值）</t>
  </si>
  <si>
    <t>周期顶部</t>
  </si>
  <si>
    <t>看似便宜实则危险</t>
  </si>
  <si>
    <t>现价 = 乐观 DCF $980</t>
  </si>
  <si>
    <t>已计入超级周期</t>
  </si>
  <si>
    <t>无安全边际</t>
  </si>
  <si>
    <t>现价 983 美元等于乐观情景；市场假设 HBM 景气持续到 2030 年后，且毛利率维持 60% 以上。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</si>
  <si>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</si>
  <si>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</si>
  <si>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</si>
  <si>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</si>
  <si>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</si>
  <si>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</si>
  <si>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FY2026 10-K</t>
  </si>
  <si>
    <t>SEC EDGAR</t>
  </si>
  <si>
    <t>2026-10-09</t>
  </si>
  <si>
    <t>Accession 0000723125-26-000023；mu-20260903.htm</t>
  </si>
  <si>
    <t>FY2026 Q4 8-K</t>
  </si>
  <si>
    <t>2026-09-30</t>
  </si>
  <si>
    <t>Accession 0000723125-26-000018</t>
  </si>
  <si>
    <t>FY2026 Q4 业绩发布</t>
  </si>
  <si>
    <t>SEC 8-K Ex. 99.1</t>
  </si>
  <si>
    <t>a2026q4ex991-pressrelease.htm</t>
  </si>
  <si>
    <t>股价</t>
  </si>
  <si>
    <t>CNBC quote API</t>
  </si>
  <si>
    <t>2026-10-28</t>
  </si>
  <si>
    <t>收盘 983.23 美元，+5.86%</t>
  </si>
  <si>
    <t>FY2027 Q1 指引</t>
  </si>
  <si>
    <t>公司业绩会</t>
  </si>
  <si>
    <t>收入 61.5B ± 1.5B；EPS 37.84 ± 1.00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</si>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</sst>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MU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29-4B7C-BD3E-3B4514F0CDFA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29-4B7C-BD3E-3B4514F0CDFA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29-4B7C-BD3E-3B4514F0CDFA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F29-4B7C-BD3E-3B4514F0CD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203.73685488406119</c:v>
                </c:pt>
                <c:pt idx="1">
                  <c:v>540.05674675534999</c:v>
                </c:pt>
                <c:pt idx="2">
                  <c:v>979.70882918382733</c:v>
                </c:pt>
                <c:pt idx="3">
                  <c:v>983.23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29-4B7C-BD3E-3B4514F0CD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85.207022999999992</c:v>
                </c:pt>
                <c:pt idx="1">
                  <c:v>52.862317199999993</c:v>
                </c:pt>
                <c:pt idx="2">
                  <c:v>26.693372475</c:v>
                </c:pt>
                <c:pt idx="3">
                  <c:v>30.454568297999995</c:v>
                </c:pt>
                <c:pt idx="4">
                  <c:v>34.381063747799992</c:v>
                </c:pt>
                <c:pt idx="5">
                  <c:v>35.831620415745</c:v>
                </c:pt>
                <c:pt idx="6">
                  <c:v>36.619804613505963</c:v>
                </c:pt>
                <c:pt idx="7">
                  <c:v>36.68624747144392</c:v>
                </c:pt>
                <c:pt idx="8">
                  <c:v>36.105800096658072</c:v>
                </c:pt>
                <c:pt idx="9">
                  <c:v>37.188974099557811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0A-485E-812C-F2E3C4E2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.6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0" t="s">
        <v>4</v>
      </c>
      <c r="B6" s="28"/>
      <c r="C6" s="28"/>
      <c r="D6" s="28"/>
      <c r="E6" s="28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983.23</v>
      </c>
      <c r="C10" s="8" t="s">
        <v>10</v>
      </c>
    </row>
    <row r="11" spans="1:13" ht="22.95" customHeight="1">
      <c r="A11" s="6" t="s">
        <v>11</v>
      </c>
      <c r="B11" s="9">
        <v>1.143</v>
      </c>
      <c r="C11" s="8" t="s">
        <v>12</v>
      </c>
    </row>
    <row r="12" spans="1:13" ht="22.95" customHeight="1">
      <c r="A12" s="6" t="s">
        <v>13</v>
      </c>
      <c r="B12" s="10">
        <f>B10*B11</f>
        <v>1123.8318899999999</v>
      </c>
      <c r="C12" s="8" t="s">
        <v>14</v>
      </c>
    </row>
    <row r="13" spans="1:13" ht="22.95" customHeight="1">
      <c r="A13" s="6" t="s">
        <v>15</v>
      </c>
      <c r="B13" s="11">
        <v>-68.274000000000001</v>
      </c>
      <c r="C13" s="8" t="s">
        <v>16</v>
      </c>
    </row>
    <row r="14" spans="1:13" ht="22.95" customHeight="1">
      <c r="A14" s="6" t="s">
        <v>17</v>
      </c>
      <c r="B14" s="10">
        <f>B12+B13</f>
        <v>1055.55789</v>
      </c>
      <c r="C14" s="8" t="s">
        <v>18</v>
      </c>
    </row>
    <row r="15" spans="1:13" ht="22.95" customHeight="1">
      <c r="A15" s="6" t="s">
        <v>19</v>
      </c>
      <c r="B15" s="11">
        <v>133.18799999999999</v>
      </c>
      <c r="C15" s="8" t="s">
        <v>20</v>
      </c>
    </row>
    <row r="16" spans="1:13" ht="22.95" customHeight="1">
      <c r="A16" s="6" t="s">
        <v>21</v>
      </c>
      <c r="B16" s="11">
        <v>99.34</v>
      </c>
      <c r="C16" s="8" t="s">
        <v>22</v>
      </c>
    </row>
    <row r="17" spans="1:5" ht="22.95" customHeight="1">
      <c r="A17" s="6" t="s">
        <v>23</v>
      </c>
      <c r="B17" s="11">
        <v>84.438999999999993</v>
      </c>
      <c r="C17" s="8" t="s">
        <v>24</v>
      </c>
    </row>
    <row r="18" spans="1:5" ht="22.95" customHeight="1">
      <c r="A18" s="6" t="s">
        <v>25</v>
      </c>
      <c r="B18" s="11">
        <v>58.963000000000001</v>
      </c>
      <c r="C18" s="8" t="s">
        <v>26</v>
      </c>
    </row>
    <row r="19" spans="1:5" ht="22.95" customHeight="1">
      <c r="A19" s="6" t="s">
        <v>27</v>
      </c>
      <c r="B19" s="11">
        <v>233.1</v>
      </c>
      <c r="C19" s="8" t="s">
        <v>28</v>
      </c>
    </row>
    <row r="20" spans="1:5" ht="22.95" customHeight="1">
      <c r="A20" s="6" t="s">
        <v>29</v>
      </c>
      <c r="B20" s="12">
        <v>74.33</v>
      </c>
      <c r="C20" s="8" t="s">
        <v>30</v>
      </c>
    </row>
    <row r="21" spans="1:5" ht="22.95" customHeight="1">
      <c r="A21" s="6" t="s">
        <v>31</v>
      </c>
      <c r="B21" s="12">
        <v>136</v>
      </c>
      <c r="C21" s="8" t="s">
        <v>32</v>
      </c>
    </row>
    <row r="22" spans="1:5" ht="22.95" customHeight="1">
      <c r="A22" s="6" t="s">
        <v>33</v>
      </c>
      <c r="B22" s="13">
        <f>B14/B16</f>
        <v>10.625708576605597</v>
      </c>
      <c r="C22" s="8" t="s">
        <v>34</v>
      </c>
    </row>
    <row r="23" spans="1:5" ht="22.95" customHeight="1">
      <c r="A23" s="6" t="s">
        <v>35</v>
      </c>
      <c r="B23" s="13">
        <f>B10/B20</f>
        <v>13.227902596528994</v>
      </c>
      <c r="C23" s="8" t="s">
        <v>36</v>
      </c>
    </row>
    <row r="24" spans="1:5" ht="22.95" customHeight="1">
      <c r="A24" s="6" t="s">
        <v>37</v>
      </c>
      <c r="B24" s="13">
        <f>B10/B21</f>
        <v>7.2296323529411763</v>
      </c>
      <c r="C24" s="8" t="s">
        <v>38</v>
      </c>
    </row>
    <row r="25" spans="1:5" ht="22.95" customHeight="1">
      <c r="A25" s="6" t="s">
        <v>39</v>
      </c>
      <c r="B25" s="14">
        <f>B18/B12</f>
        <v>5.2466032085991085E-2</v>
      </c>
      <c r="C25" s="8" t="s">
        <v>40</v>
      </c>
    </row>
    <row r="26" spans="1:5" ht="22.95" customHeight="1">
      <c r="A26" s="6" t="s">
        <v>41</v>
      </c>
      <c r="B26" s="13">
        <f>B14/B18</f>
        <v>17.902038396960805</v>
      </c>
      <c r="C26" s="8" t="s">
        <v>42</v>
      </c>
    </row>
    <row r="27" spans="1:5" ht="22.95" customHeight="1">
      <c r="A27" s="6" t="s">
        <v>43</v>
      </c>
      <c r="B27" s="15">
        <v>0.23059134456557651</v>
      </c>
      <c r="C27" s="8" t="s">
        <v>44</v>
      </c>
    </row>
    <row r="28" spans="1:5" ht="22.95" customHeight="1">
      <c r="A28" s="6" t="s">
        <v>45</v>
      </c>
      <c r="B28" s="16">
        <f>B18/B17</f>
        <v>0.69829107402977308</v>
      </c>
      <c r="C28" s="8" t="s">
        <v>46</v>
      </c>
    </row>
    <row r="29" spans="1:5" ht="22.95" customHeight="1">
      <c r="A29" s="6" t="s">
        <v>47</v>
      </c>
      <c r="B29" s="17">
        <v>6.1023361777000297E-4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203.73685488406119</v>
      </c>
      <c r="C33" s="15">
        <f>B33/$B$10-1</f>
        <v>-0.79278820328502875</v>
      </c>
      <c r="D33" s="15">
        <f>1-$B$10/B33</f>
        <v>-3.8259800641347805</v>
      </c>
      <c r="E33" s="17">
        <v>3.6299999999999999E-2</v>
      </c>
    </row>
    <row r="34" spans="1:5">
      <c r="A34" s="18" t="s">
        <v>55</v>
      </c>
      <c r="B34" s="19">
        <v>540.05674675534999</v>
      </c>
      <c r="C34" s="15">
        <f>B34/$B$10-1</f>
        <v>-0.4507320293773075</v>
      </c>
      <c r="D34" s="15">
        <f>1-$B$10/B34</f>
        <v>-0.82060497513867925</v>
      </c>
      <c r="E34" s="17">
        <v>5.91E-2</v>
      </c>
    </row>
    <row r="35" spans="1:5">
      <c r="A35" s="6" t="s">
        <v>56</v>
      </c>
      <c r="B35" s="7">
        <v>979.70882918382733</v>
      </c>
      <c r="C35" s="15">
        <f>B35/$B$10-1</f>
        <v>-3.5812280098986848E-3</v>
      </c>
      <c r="D35" s="15">
        <f>1-$B$10/B35</f>
        <v>-3.5940992989784704E-3</v>
      </c>
      <c r="E35" s="17">
        <v>8.48E-2</v>
      </c>
    </row>
    <row r="36" spans="1:5">
      <c r="A36" s="20" t="s">
        <v>57</v>
      </c>
      <c r="B36" s="21">
        <v>983.23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9" t="s">
        <v>60</v>
      </c>
      <c r="B39" s="28"/>
      <c r="C39" s="28"/>
      <c r="D39" s="28"/>
      <c r="E39" s="28"/>
    </row>
    <row r="40" spans="1:5" ht="28.05" customHeight="1">
      <c r="A40" s="29" t="s">
        <v>61</v>
      </c>
      <c r="B40" s="28"/>
      <c r="C40" s="28"/>
      <c r="D40" s="28"/>
      <c r="E40" s="28"/>
    </row>
    <row r="41" spans="1:5" ht="28.05" customHeight="1">
      <c r="A41" s="29" t="s">
        <v>62</v>
      </c>
      <c r="B41" s="28"/>
      <c r="C41" s="28"/>
      <c r="D41" s="28"/>
      <c r="E41" s="28"/>
    </row>
    <row r="42" spans="1:5" ht="28.05" customHeight="1">
      <c r="A42" s="29" t="s">
        <v>63</v>
      </c>
      <c r="B42" s="28"/>
      <c r="C42" s="28"/>
      <c r="D42" s="28"/>
      <c r="E42" s="28"/>
    </row>
    <row r="43" spans="1:5" ht="28.05" customHeight="1">
      <c r="A43" s="29" t="s">
        <v>64</v>
      </c>
      <c r="B43" s="28"/>
      <c r="C43" s="28"/>
      <c r="D43" s="28"/>
      <c r="E43" s="28"/>
    </row>
    <row r="44" spans="1:5" ht="28.05" customHeight="1">
      <c r="A44" s="29" t="s">
        <v>65</v>
      </c>
      <c r="B44" s="28"/>
      <c r="C44" s="28"/>
      <c r="D44" s="28"/>
      <c r="E44" s="28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7" t="s">
        <v>67</v>
      </c>
      <c r="B2" s="28"/>
      <c r="C2" s="28"/>
      <c r="D2" s="28"/>
      <c r="E2" s="28"/>
      <c r="F2" s="28"/>
      <c r="G2" s="28"/>
      <c r="H2" s="28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8</v>
      </c>
    </row>
    <row r="5" spans="1:8">
      <c r="A5" s="6" t="s">
        <v>73</v>
      </c>
      <c r="B5" s="11">
        <v>30.757999999999999</v>
      </c>
      <c r="C5" s="11">
        <v>15.54</v>
      </c>
      <c r="D5" s="11">
        <v>25.111000000000001</v>
      </c>
      <c r="E5" s="11">
        <v>37.378</v>
      </c>
      <c r="F5" s="11">
        <v>133.18799999999999</v>
      </c>
      <c r="H5" s="8" t="s">
        <v>74</v>
      </c>
    </row>
    <row r="6" spans="1:8">
      <c r="A6" s="6" t="s">
        <v>75</v>
      </c>
      <c r="B6" s="11">
        <v>9.702</v>
      </c>
      <c r="C6" s="11">
        <v>-5.7450000000000001</v>
      </c>
      <c r="D6" s="11">
        <v>1.304</v>
      </c>
      <c r="E6" s="11">
        <v>9.77</v>
      </c>
      <c r="F6" s="11">
        <v>99.34</v>
      </c>
      <c r="H6" s="8" t="s">
        <v>76</v>
      </c>
    </row>
    <row r="7" spans="1:8">
      <c r="A7" s="6" t="s">
        <v>77</v>
      </c>
      <c r="B7" s="11">
        <v>8.6869999999999994</v>
      </c>
      <c r="C7" s="11">
        <v>-5.8330000000000002</v>
      </c>
      <c r="D7" s="11">
        <v>0.77800000000000002</v>
      </c>
      <c r="E7" s="11">
        <v>8.5389999999999997</v>
      </c>
      <c r="F7" s="11">
        <v>84.968999999999994</v>
      </c>
      <c r="H7" s="8" t="s">
        <v>76</v>
      </c>
    </row>
    <row r="8" spans="1:8">
      <c r="A8" s="6" t="s">
        <v>78</v>
      </c>
      <c r="B8" s="11">
        <v>15.180999999999999</v>
      </c>
      <c r="C8" s="11">
        <v>1.5589999999999999</v>
      </c>
      <c r="D8" s="11">
        <v>8.5069999999999997</v>
      </c>
      <c r="E8" s="11">
        <v>17.524999999999999</v>
      </c>
      <c r="F8" s="11">
        <v>89.674999999999997</v>
      </c>
      <c r="H8" s="8" t="s">
        <v>79</v>
      </c>
    </row>
    <row r="9" spans="1:8">
      <c r="A9" s="6" t="s">
        <v>80</v>
      </c>
      <c r="B9" s="11">
        <v>12.067</v>
      </c>
      <c r="C9" s="11">
        <v>7.6760000000000002</v>
      </c>
      <c r="D9" s="11">
        <v>8.3859999999999992</v>
      </c>
      <c r="E9" s="11">
        <v>15.856999999999999</v>
      </c>
      <c r="F9" s="11">
        <v>30.712</v>
      </c>
      <c r="H9" s="8" t="s">
        <v>81</v>
      </c>
    </row>
    <row r="10" spans="1:8">
      <c r="A10" s="6" t="s">
        <v>82</v>
      </c>
      <c r="B10" s="11">
        <v>3.1139999999999999</v>
      </c>
      <c r="C10" s="11">
        <v>-6.117</v>
      </c>
      <c r="D10" s="11">
        <v>0.121</v>
      </c>
      <c r="E10" s="11">
        <v>1.6679999999999999</v>
      </c>
      <c r="F10" s="11">
        <v>58.963000000000001</v>
      </c>
      <c r="H10" s="8" t="s">
        <v>83</v>
      </c>
    </row>
    <row r="11" spans="1:8">
      <c r="A11" s="6" t="s">
        <v>84</v>
      </c>
      <c r="B11" s="12">
        <v>7.75</v>
      </c>
      <c r="C11" s="12">
        <v>-5.34</v>
      </c>
      <c r="D11" s="12">
        <v>0.7</v>
      </c>
      <c r="E11" s="12">
        <v>7.59</v>
      </c>
      <c r="F11" s="12">
        <v>74.33</v>
      </c>
      <c r="H11" s="8" t="s">
        <v>85</v>
      </c>
    </row>
    <row r="12" spans="1:8">
      <c r="A12" s="6" t="s">
        <v>86</v>
      </c>
      <c r="B12" s="9">
        <v>1.1200000000000001</v>
      </c>
      <c r="C12" s="9">
        <v>1.0900000000000001</v>
      </c>
      <c r="D12" s="9">
        <v>1.1100000000000001</v>
      </c>
      <c r="E12" s="9">
        <v>1.1299999999999999</v>
      </c>
      <c r="F12" s="9">
        <v>1.143</v>
      </c>
      <c r="H12" s="8" t="s">
        <v>87</v>
      </c>
    </row>
    <row r="14" spans="1:8">
      <c r="A14" s="6" t="s">
        <v>88</v>
      </c>
      <c r="C14" s="15">
        <f>C5/B5-1</f>
        <v>-0.4947655894401457</v>
      </c>
      <c r="D14" s="15">
        <f>D5/C5-1</f>
        <v>0.61589446589446606</v>
      </c>
      <c r="E14" s="15">
        <f>E5/D5-1</f>
        <v>0.48851101111066852</v>
      </c>
      <c r="F14" s="15">
        <f>F5/E5-1</f>
        <v>2.563272513243084</v>
      </c>
    </row>
    <row r="15" spans="1:8">
      <c r="A15" s="6" t="s">
        <v>89</v>
      </c>
      <c r="B15" s="15">
        <f>B6/B5</f>
        <v>0.31543013199817932</v>
      </c>
      <c r="C15" s="15">
        <f>C6/C5</f>
        <v>-0.36969111969111973</v>
      </c>
      <c r="D15" s="15">
        <f>D6/D5</f>
        <v>5.192943331607662E-2</v>
      </c>
      <c r="E15" s="15">
        <f>E6/E5</f>
        <v>0.26138370164267749</v>
      </c>
      <c r="F15" s="15">
        <f>F6/F5</f>
        <v>0.74586299065981931</v>
      </c>
    </row>
    <row r="16" spans="1:8">
      <c r="A16" s="6" t="s">
        <v>90</v>
      </c>
      <c r="B16" s="15">
        <f>B7/B5</f>
        <v>0.28243058716431496</v>
      </c>
      <c r="C16" s="15">
        <f>C7/C5</f>
        <v>-0.37535392535392537</v>
      </c>
      <c r="D16" s="15">
        <f>D7/D5</f>
        <v>3.0982437975389271E-2</v>
      </c>
      <c r="E16" s="15">
        <f>E7/E5</f>
        <v>0.22844989030980789</v>
      </c>
      <c r="F16" s="15">
        <f>F7/F5</f>
        <v>0.63796287953869724</v>
      </c>
    </row>
    <row r="17" spans="1:8">
      <c r="A17" s="6" t="s">
        <v>91</v>
      </c>
      <c r="B17" s="15">
        <f>B10/B5</f>
        <v>0.10124195331295922</v>
      </c>
      <c r="C17" s="15">
        <f>C10/C5</f>
        <v>-0.39362934362934365</v>
      </c>
      <c r="D17" s="15">
        <f>D10/D5</f>
        <v>4.8186053920592567E-3</v>
      </c>
      <c r="E17" s="15">
        <f>E10/E5</f>
        <v>4.4625180587511366E-2</v>
      </c>
      <c r="F17" s="15">
        <f>F10/F5</f>
        <v>0.44270504850286818</v>
      </c>
    </row>
    <row r="18" spans="1:8">
      <c r="A18" s="6" t="s">
        <v>43</v>
      </c>
      <c r="B18" s="15">
        <f>B9/B5</f>
        <v>0.39232069705442491</v>
      </c>
      <c r="C18" s="15">
        <f>C9/C5</f>
        <v>0.49395109395109399</v>
      </c>
      <c r="D18" s="15">
        <f>D9/D5</f>
        <v>0.33395722989924731</v>
      </c>
      <c r="E18" s="15">
        <f>E9/E5</f>
        <v>0.42423350634062817</v>
      </c>
      <c r="F18" s="15">
        <f>F9/F5</f>
        <v>0.23059134456557651</v>
      </c>
    </row>
    <row r="19" spans="1:8">
      <c r="A19" s="6" t="s">
        <v>45</v>
      </c>
      <c r="B19" s="15">
        <f>B10/(B6*(1-0.15))</f>
        <v>0.37760558768962127</v>
      </c>
      <c r="C19" s="15">
        <f>C10/(C6*(1-0.15))</f>
        <v>1.2526493626171094</v>
      </c>
      <c r="D19" s="15">
        <f>D10/(D6*(1-0.15))</f>
        <v>0.10916636593287621</v>
      </c>
      <c r="E19" s="15">
        <f>E10/(E6*(1-0.15))</f>
        <v>0.20085495815521706</v>
      </c>
      <c r="F19" s="15">
        <f>F10/(F6*(1-0.15))</f>
        <v>0.69829107402977297</v>
      </c>
    </row>
    <row r="21" spans="1:8" ht="16.2">
      <c r="A21" s="3" t="s">
        <v>92</v>
      </c>
      <c r="B21" s="4"/>
      <c r="C21" s="4"/>
      <c r="D21" s="4"/>
      <c r="E21" s="4"/>
      <c r="F21" s="4"/>
      <c r="G21" s="4"/>
      <c r="H21" s="4"/>
    </row>
    <row r="22" spans="1:8" ht="30" customHeight="1">
      <c r="A22" s="29" t="s">
        <v>93</v>
      </c>
      <c r="B22" s="28"/>
      <c r="C22" s="28"/>
      <c r="D22" s="28"/>
      <c r="E22" s="28"/>
      <c r="F22" s="28"/>
      <c r="G22" s="28"/>
      <c r="H22" s="28"/>
    </row>
    <row r="23" spans="1:8" ht="30" customHeight="1">
      <c r="A23" s="29" t="s">
        <v>94</v>
      </c>
      <c r="B23" s="28"/>
      <c r="C23" s="28"/>
      <c r="D23" s="28"/>
      <c r="E23" s="28"/>
      <c r="F23" s="28"/>
      <c r="G23" s="28"/>
      <c r="H23" s="28"/>
    </row>
    <row r="24" spans="1:8" ht="30" customHeight="1">
      <c r="A24" s="29" t="s">
        <v>95</v>
      </c>
      <c r="B24" s="28"/>
      <c r="C24" s="28"/>
      <c r="D24" s="28"/>
      <c r="E24" s="28"/>
      <c r="F24" s="28"/>
      <c r="G24" s="28"/>
      <c r="H24" s="28"/>
    </row>
    <row r="25" spans="1:8" ht="30" customHeight="1">
      <c r="A25" s="29" t="s">
        <v>96</v>
      </c>
      <c r="B25" s="28"/>
      <c r="C25" s="28"/>
      <c r="D25" s="28"/>
      <c r="E25" s="28"/>
      <c r="F25" s="28"/>
      <c r="G25" s="28"/>
      <c r="H25" s="28"/>
    </row>
    <row r="26" spans="1:8" ht="30" customHeight="1">
      <c r="A26" s="29" t="s">
        <v>97</v>
      </c>
      <c r="B26" s="28"/>
      <c r="C26" s="28"/>
      <c r="D26" s="28"/>
      <c r="E26" s="28"/>
      <c r="F26" s="28"/>
      <c r="G26" s="28"/>
      <c r="H26" s="28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98</v>
      </c>
    </row>
    <row r="2" spans="1:6" ht="15.6">
      <c r="A2" s="27" t="s">
        <v>99</v>
      </c>
      <c r="B2" s="28"/>
      <c r="C2" s="28"/>
      <c r="D2" s="28"/>
      <c r="E2" s="28"/>
      <c r="F2" s="28"/>
    </row>
    <row r="4" spans="1:6" ht="16.2">
      <c r="A4" s="3" t="s">
        <v>100</v>
      </c>
      <c r="B4" s="4"/>
      <c r="C4" s="4"/>
      <c r="D4" s="4"/>
      <c r="E4" s="4"/>
      <c r="F4" s="4"/>
    </row>
    <row r="5" spans="1:6" ht="15.6">
      <c r="A5" s="2" t="s">
        <v>101</v>
      </c>
    </row>
    <row r="6" spans="1:6">
      <c r="A6" s="5" t="s">
        <v>102</v>
      </c>
      <c r="B6" s="5" t="s">
        <v>103</v>
      </c>
      <c r="C6" s="5" t="s">
        <v>104</v>
      </c>
      <c r="D6" s="5" t="s">
        <v>8</v>
      </c>
      <c r="E6" s="5"/>
    </row>
    <row r="7" spans="1:6">
      <c r="A7" s="6" t="s">
        <v>105</v>
      </c>
      <c r="B7" s="23">
        <v>16.283000000000001</v>
      </c>
      <c r="C7" s="15">
        <v>0.3</v>
      </c>
      <c r="D7" s="6" t="s">
        <v>106</v>
      </c>
      <c r="E7" s="6"/>
    </row>
    <row r="8" spans="1:6">
      <c r="A8" s="6" t="s">
        <v>107</v>
      </c>
      <c r="B8" s="23">
        <v>18.001999999999999</v>
      </c>
      <c r="C8" s="15">
        <v>0.33200000000000002</v>
      </c>
      <c r="D8" s="6" t="s">
        <v>108</v>
      </c>
      <c r="E8" s="6"/>
    </row>
    <row r="9" spans="1:6">
      <c r="A9" s="6" t="s">
        <v>109</v>
      </c>
      <c r="B9" s="23">
        <v>13.114000000000001</v>
      </c>
      <c r="C9" s="15">
        <v>0.24199999999999999</v>
      </c>
      <c r="D9" s="6" t="s">
        <v>110</v>
      </c>
      <c r="E9" s="6"/>
    </row>
    <row r="10" spans="1:6">
      <c r="A10" s="6" t="s">
        <v>111</v>
      </c>
      <c r="B10" s="23">
        <v>6.8239999999999998</v>
      </c>
      <c r="C10" s="15">
        <v>0.126</v>
      </c>
      <c r="D10" s="6" t="s">
        <v>112</v>
      </c>
      <c r="E10" s="6"/>
    </row>
    <row r="11" spans="1:6">
      <c r="A11" s="18" t="s">
        <v>113</v>
      </c>
      <c r="B11" s="23">
        <v>54.228999999999999</v>
      </c>
      <c r="C11" s="15">
        <v>1</v>
      </c>
      <c r="D11" s="6" t="s">
        <v>114</v>
      </c>
      <c r="E11" s="6"/>
    </row>
    <row r="14" spans="1:6" ht="16.2">
      <c r="A14" s="3" t="s">
        <v>115</v>
      </c>
      <c r="B14" s="4"/>
      <c r="C14" s="4"/>
      <c r="D14" s="4"/>
      <c r="E14" s="4"/>
      <c r="F14" s="4"/>
    </row>
    <row r="15" spans="1:6" ht="15.6">
      <c r="A15" s="2" t="s">
        <v>116</v>
      </c>
    </row>
    <row r="16" spans="1:6">
      <c r="A16" s="5" t="s">
        <v>6</v>
      </c>
      <c r="B16" s="5" t="s">
        <v>117</v>
      </c>
      <c r="C16" s="5" t="s">
        <v>8</v>
      </c>
      <c r="D16" s="5"/>
      <c r="E16" s="5"/>
    </row>
    <row r="17" spans="1:6">
      <c r="A17" s="6" t="s">
        <v>118</v>
      </c>
      <c r="B17" s="6" t="s">
        <v>119</v>
      </c>
      <c r="C17" s="6" t="s">
        <v>120</v>
      </c>
      <c r="D17" s="6"/>
      <c r="E17" s="6"/>
    </row>
    <row r="18" spans="1:6">
      <c r="A18" s="6" t="s">
        <v>121</v>
      </c>
      <c r="B18" s="6" t="s">
        <v>122</v>
      </c>
      <c r="C18" s="6" t="s">
        <v>123</v>
      </c>
      <c r="D18" s="6"/>
      <c r="E18" s="6"/>
    </row>
    <row r="19" spans="1:6">
      <c r="A19" s="6" t="s">
        <v>124</v>
      </c>
      <c r="B19" s="6" t="s">
        <v>125</v>
      </c>
      <c r="C19" s="6" t="s">
        <v>126</v>
      </c>
      <c r="D19" s="6"/>
      <c r="E19" s="6"/>
    </row>
    <row r="20" spans="1:6">
      <c r="A20" s="6" t="s">
        <v>127</v>
      </c>
      <c r="B20" s="6" t="s">
        <v>128</v>
      </c>
      <c r="C20" s="6" t="s">
        <v>129</v>
      </c>
      <c r="D20" s="6"/>
      <c r="E20" s="6"/>
    </row>
    <row r="23" spans="1:6" ht="16.2">
      <c r="A23" s="3" t="s">
        <v>130</v>
      </c>
      <c r="B23" s="4"/>
      <c r="C23" s="4"/>
      <c r="D23" s="4"/>
      <c r="E23" s="4"/>
      <c r="F23" s="4"/>
    </row>
    <row r="24" spans="1:6" ht="30" customHeight="1">
      <c r="A24" s="29" t="s">
        <v>131</v>
      </c>
      <c r="B24" s="28"/>
      <c r="C24" s="28"/>
      <c r="D24" s="28"/>
      <c r="E24" s="28"/>
      <c r="F24" s="28"/>
    </row>
    <row r="25" spans="1:6" ht="30" customHeight="1">
      <c r="A25" s="29" t="s">
        <v>132</v>
      </c>
      <c r="B25" s="28"/>
      <c r="C25" s="28"/>
      <c r="D25" s="28"/>
      <c r="E25" s="28"/>
      <c r="F25" s="28"/>
    </row>
    <row r="26" spans="1:6" ht="30" customHeight="1">
      <c r="A26" s="29" t="s">
        <v>133</v>
      </c>
      <c r="B26" s="28"/>
      <c r="C26" s="28"/>
      <c r="D26" s="28"/>
      <c r="E26" s="28"/>
      <c r="F26" s="28"/>
    </row>
    <row r="27" spans="1:6" ht="30" customHeight="1">
      <c r="A27" s="29" t="s">
        <v>134</v>
      </c>
      <c r="B27" s="28"/>
      <c r="C27" s="28"/>
      <c r="D27" s="28"/>
      <c r="E27" s="28"/>
      <c r="F27" s="28"/>
    </row>
    <row r="28" spans="1:6" ht="30" customHeight="1">
      <c r="A28" s="29" t="s">
        <v>135</v>
      </c>
      <c r="B28" s="28"/>
      <c r="C28" s="28"/>
      <c r="D28" s="28"/>
      <c r="E28" s="28"/>
      <c r="F28" s="28"/>
    </row>
    <row r="29" spans="1:6" ht="30" customHeight="1">
      <c r="A29" s="29" t="s">
        <v>136</v>
      </c>
      <c r="B29" s="28"/>
      <c r="C29" s="28"/>
      <c r="D29" s="28"/>
      <c r="E29" s="28"/>
      <c r="F29" s="28"/>
    </row>
  </sheetData>
  <mergeCells count="7">
    <mergeCell ref="A29:F29"/>
    <mergeCell ref="A25:F25"/>
    <mergeCell ref="A24:F24"/>
    <mergeCell ref="A2:F2"/>
    <mergeCell ref="A28:F28"/>
    <mergeCell ref="A27:F27"/>
    <mergeCell ref="A26:F26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137</v>
      </c>
    </row>
    <row r="2" spans="1:3" ht="15.6">
      <c r="A2" s="27" t="s">
        <v>138</v>
      </c>
      <c r="B2" s="28"/>
      <c r="C2" s="28"/>
    </row>
    <row r="4" spans="1:3">
      <c r="A4" s="5" t="s">
        <v>6</v>
      </c>
      <c r="B4" s="5" t="s">
        <v>7</v>
      </c>
      <c r="C4" s="5" t="s">
        <v>139</v>
      </c>
    </row>
    <row r="5" spans="1:3">
      <c r="A5" s="6" t="s">
        <v>140</v>
      </c>
      <c r="B5" s="11">
        <v>99.34</v>
      </c>
      <c r="C5" s="8" t="s">
        <v>44</v>
      </c>
    </row>
    <row r="6" spans="1:3">
      <c r="A6" s="6" t="s">
        <v>141</v>
      </c>
      <c r="B6" s="15">
        <v>0.15</v>
      </c>
      <c r="C6" s="8" t="s">
        <v>142</v>
      </c>
    </row>
    <row r="7" spans="1:3">
      <c r="A7" s="6" t="s">
        <v>143</v>
      </c>
      <c r="B7" s="10">
        <f>B5*(1-B6)</f>
        <v>84.439000000000007</v>
      </c>
      <c r="C7" s="8" t="s">
        <v>144</v>
      </c>
    </row>
    <row r="8" spans="1:3">
      <c r="A8" s="6" t="s">
        <v>145</v>
      </c>
      <c r="B8" s="11">
        <v>9.5030000000000001</v>
      </c>
      <c r="C8" s="8" t="s">
        <v>44</v>
      </c>
    </row>
    <row r="9" spans="1:3">
      <c r="A9" s="6" t="s">
        <v>146</v>
      </c>
      <c r="B9" s="11">
        <v>1.333</v>
      </c>
      <c r="C9" s="8" t="s">
        <v>147</v>
      </c>
    </row>
    <row r="10" spans="1:3">
      <c r="A10" s="6" t="s">
        <v>148</v>
      </c>
      <c r="B10" s="11">
        <v>30.712</v>
      </c>
      <c r="C10" s="8" t="s">
        <v>44</v>
      </c>
    </row>
    <row r="11" spans="1:3">
      <c r="A11" s="6" t="s">
        <v>149</v>
      </c>
      <c r="B11" s="11">
        <v>-5.6029999999999998</v>
      </c>
      <c r="C11" s="8" t="s">
        <v>150</v>
      </c>
    </row>
    <row r="12" spans="1:3">
      <c r="A12" s="18" t="s">
        <v>151</v>
      </c>
      <c r="B12" s="10">
        <f>B7+B8+B9-B10+B11</f>
        <v>58.96</v>
      </c>
      <c r="C12" s="8" t="s">
        <v>152</v>
      </c>
    </row>
    <row r="13" spans="1:3">
      <c r="A13" s="6" t="s">
        <v>153</v>
      </c>
      <c r="B13" s="11">
        <v>89.674999999999997</v>
      </c>
      <c r="C13" s="8" t="s">
        <v>44</v>
      </c>
    </row>
    <row r="14" spans="1:3">
      <c r="A14" s="6" t="s">
        <v>148</v>
      </c>
      <c r="B14" s="11">
        <v>30.712</v>
      </c>
      <c r="C14" s="8" t="s">
        <v>44</v>
      </c>
    </row>
    <row r="15" spans="1:3">
      <c r="A15" s="18" t="s">
        <v>26</v>
      </c>
      <c r="B15" s="10">
        <f>B13-B14</f>
        <v>58.962999999999994</v>
      </c>
      <c r="C15" s="8" t="s">
        <v>154</v>
      </c>
    </row>
    <row r="16" spans="1:3">
      <c r="A16" s="6" t="s">
        <v>45</v>
      </c>
      <c r="B16" s="16">
        <f>B12/B7</f>
        <v>0.69825554542332324</v>
      </c>
      <c r="C16" s="8" t="s">
        <v>155</v>
      </c>
    </row>
    <row r="17" spans="1:3">
      <c r="A17" s="6" t="s">
        <v>43</v>
      </c>
      <c r="B17" s="16">
        <f>B10/133.188</f>
        <v>0.23059134456557651</v>
      </c>
      <c r="C17" s="8" t="s">
        <v>44</v>
      </c>
    </row>
    <row r="18" spans="1:3">
      <c r="A18" s="6" t="s">
        <v>156</v>
      </c>
      <c r="B18" s="13">
        <f>B10/B8</f>
        <v>3.2318215300431441</v>
      </c>
      <c r="C18" s="8" t="s">
        <v>157</v>
      </c>
    </row>
    <row r="20" spans="1:3" ht="16.2">
      <c r="A20" s="3" t="s">
        <v>130</v>
      </c>
      <c r="B20" s="4"/>
      <c r="C20" s="4"/>
    </row>
    <row r="21" spans="1:3" ht="34.049999999999997" customHeight="1">
      <c r="A21" s="29" t="s">
        <v>158</v>
      </c>
      <c r="B21" s="28"/>
      <c r="C21" s="28"/>
    </row>
    <row r="22" spans="1:3" ht="34.049999999999997" customHeight="1">
      <c r="A22" s="29" t="s">
        <v>159</v>
      </c>
      <c r="B22" s="28"/>
      <c r="C22" s="28"/>
    </row>
    <row r="23" spans="1:3" ht="34.049999999999997" customHeight="1">
      <c r="A23" s="29" t="s">
        <v>160</v>
      </c>
      <c r="B23" s="28"/>
      <c r="C23" s="28"/>
    </row>
    <row r="24" spans="1:3" ht="34.049999999999997" customHeight="1">
      <c r="A24" s="29" t="s">
        <v>161</v>
      </c>
      <c r="B24" s="28"/>
      <c r="C24" s="28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162</v>
      </c>
    </row>
    <row r="2" spans="1:14" ht="15.6">
      <c r="A2" s="27" t="s">
        <v>163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.6">
      <c r="A3" s="27" t="s">
        <v>164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6.2">
      <c r="A4" s="3" t="s">
        <v>165</v>
      </c>
      <c r="B4" s="4"/>
      <c r="C4" s="4"/>
      <c r="D4" s="4"/>
      <c r="E4" s="4"/>
    </row>
    <row r="5" spans="1:14">
      <c r="A5" s="6" t="s">
        <v>166</v>
      </c>
      <c r="B5" s="11">
        <v>133.18799999999999</v>
      </c>
    </row>
    <row r="6" spans="1:14">
      <c r="A6" s="6" t="s">
        <v>167</v>
      </c>
      <c r="B6" s="15">
        <v>0.15</v>
      </c>
    </row>
    <row r="7" spans="1:14">
      <c r="A7" s="6" t="s">
        <v>168</v>
      </c>
      <c r="B7" s="15">
        <v>0.12</v>
      </c>
    </row>
    <row r="8" spans="1:14">
      <c r="A8" s="6" t="s">
        <v>15</v>
      </c>
      <c r="B8" s="11">
        <v>-68.274000000000001</v>
      </c>
    </row>
    <row r="9" spans="1:14">
      <c r="A9" s="6" t="s">
        <v>169</v>
      </c>
      <c r="B9" s="11">
        <v>0</v>
      </c>
    </row>
    <row r="10" spans="1:14">
      <c r="A10" s="6" t="s">
        <v>170</v>
      </c>
      <c r="B10" s="9">
        <v>1.143</v>
      </c>
    </row>
    <row r="11" spans="1:14" ht="15">
      <c r="A11" s="31" t="s">
        <v>171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3" spans="1:14" ht="16.2">
      <c r="A13" s="3" t="s">
        <v>172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173</v>
      </c>
      <c r="B14" s="15">
        <v>9.8000000000000004E-2</v>
      </c>
      <c r="C14" s="6" t="s">
        <v>174</v>
      </c>
      <c r="D14" s="15">
        <v>2.5000000000000001E-2</v>
      </c>
    </row>
    <row r="16" spans="1:14">
      <c r="A16" s="5" t="s">
        <v>175</v>
      </c>
      <c r="B16" s="5" t="s">
        <v>88</v>
      </c>
      <c r="C16" s="5" t="s">
        <v>73</v>
      </c>
      <c r="D16" s="5" t="s">
        <v>176</v>
      </c>
      <c r="E16" s="5" t="s">
        <v>177</v>
      </c>
      <c r="F16" s="5" t="s">
        <v>143</v>
      </c>
      <c r="G16" s="5" t="s">
        <v>178</v>
      </c>
      <c r="H16" s="5" t="s">
        <v>179</v>
      </c>
      <c r="I16" s="5" t="s">
        <v>180</v>
      </c>
      <c r="J16" s="5" t="s">
        <v>181</v>
      </c>
      <c r="K16" s="5" t="s">
        <v>182</v>
      </c>
      <c r="L16" s="5" t="s">
        <v>183</v>
      </c>
      <c r="M16" s="5" t="s">
        <v>184</v>
      </c>
      <c r="N16" s="5" t="s">
        <v>185</v>
      </c>
    </row>
    <row r="17" spans="1:14">
      <c r="A17" s="24">
        <v>1</v>
      </c>
      <c r="B17" s="15">
        <v>0.4</v>
      </c>
      <c r="C17" s="11">
        <f>$B$5*(1+B17)</f>
        <v>186.46319999999997</v>
      </c>
      <c r="D17" s="15">
        <v>0.45</v>
      </c>
      <c r="E17" s="11">
        <f t="shared" ref="E17:E26" si="0">C17*D17</f>
        <v>83.908439999999985</v>
      </c>
      <c r="F17" s="11">
        <f t="shared" ref="F17:F26" si="1">E17*(1-$B$6)</f>
        <v>71.32217399999999</v>
      </c>
      <c r="G17" s="15">
        <v>7.0000000000000007E-2</v>
      </c>
      <c r="H17" s="11">
        <f t="shared" ref="H17:H26" si="2">C17*G17</f>
        <v>13.052423999999998</v>
      </c>
      <c r="I17" s="15">
        <v>0.2</v>
      </c>
      <c r="J17" s="11">
        <f t="shared" ref="J17:J26" si="3">C17*I17</f>
        <v>37.292639999999999</v>
      </c>
      <c r="K17" s="11">
        <f>(C17-$B$5)*$B$7</f>
        <v>6.3930239999999978</v>
      </c>
      <c r="L17" s="11">
        <f t="shared" ref="L17:L26" si="4">F17+H17-J17-K17</f>
        <v>40.688933999999996</v>
      </c>
      <c r="M17" s="9">
        <f>1/(1+$B$14)^1</f>
        <v>0.91074681238615662</v>
      </c>
      <c r="N17" s="11">
        <f t="shared" ref="N17:N26" si="5">L17*M17</f>
        <v>37.057316939890704</v>
      </c>
    </row>
    <row r="18" spans="1:14">
      <c r="A18" s="24">
        <v>2</v>
      </c>
      <c r="B18" s="15">
        <v>-0.55000000000000004</v>
      </c>
      <c r="C18" s="11">
        <f t="shared" ref="C18:C26" si="6">C17*(1+B18)</f>
        <v>83.908439999999985</v>
      </c>
      <c r="D18" s="15">
        <v>0.15</v>
      </c>
      <c r="E18" s="11">
        <f t="shared" si="0"/>
        <v>12.586265999999997</v>
      </c>
      <c r="F18" s="11">
        <f t="shared" si="1"/>
        <v>10.698326099999997</v>
      </c>
      <c r="G18" s="15">
        <v>7.0000000000000007E-2</v>
      </c>
      <c r="H18" s="11">
        <f t="shared" si="2"/>
        <v>5.8735907999999997</v>
      </c>
      <c r="I18" s="15">
        <v>0.2</v>
      </c>
      <c r="J18" s="11">
        <f t="shared" si="3"/>
        <v>16.781687999999999</v>
      </c>
      <c r="K18" s="11">
        <f t="shared" ref="K18:K26" si="7">(C18-C17)*$B$7</f>
        <v>-12.306571199999999</v>
      </c>
      <c r="L18" s="11">
        <f t="shared" si="4"/>
        <v>12.096800099999998</v>
      </c>
      <c r="M18" s="9">
        <f>1/(1+$B$14)^2</f>
        <v>0.82945975627154511</v>
      </c>
      <c r="N18" s="11">
        <f t="shared" si="5"/>
        <v>10.0338088626116</v>
      </c>
    </row>
    <row r="19" spans="1:14">
      <c r="A19" s="24">
        <v>3</v>
      </c>
      <c r="B19" s="15">
        <v>0.02</v>
      </c>
      <c r="C19" s="11">
        <f t="shared" si="6"/>
        <v>85.586608799999979</v>
      </c>
      <c r="D19" s="15">
        <v>0.1</v>
      </c>
      <c r="E19" s="11">
        <f t="shared" si="0"/>
        <v>8.5586608799999979</v>
      </c>
      <c r="F19" s="11">
        <f t="shared" si="1"/>
        <v>7.2748617479999984</v>
      </c>
      <c r="G19" s="15">
        <v>7.0000000000000007E-2</v>
      </c>
      <c r="H19" s="11">
        <f t="shared" si="2"/>
        <v>5.9910626159999989</v>
      </c>
      <c r="I19" s="15">
        <v>0.2</v>
      </c>
      <c r="J19" s="11">
        <f t="shared" si="3"/>
        <v>17.117321759999996</v>
      </c>
      <c r="K19" s="11">
        <f t="shared" si="7"/>
        <v>0.20138025599999934</v>
      </c>
      <c r="L19" s="11">
        <f t="shared" si="4"/>
        <v>-4.0527776519999987</v>
      </c>
      <c r="M19" s="9">
        <f>1/(1+$B$14)^3</f>
        <v>0.75542782902690808</v>
      </c>
      <c r="N19" s="11">
        <f t="shared" si="5"/>
        <v>-3.0615810231791292</v>
      </c>
    </row>
    <row r="20" spans="1:14">
      <c r="A20" s="24">
        <v>4</v>
      </c>
      <c r="B20" s="15">
        <v>0.1</v>
      </c>
      <c r="C20" s="11">
        <f t="shared" si="6"/>
        <v>94.145269679999984</v>
      </c>
      <c r="D20" s="15">
        <v>0.2</v>
      </c>
      <c r="E20" s="11">
        <f t="shared" si="0"/>
        <v>18.829053935999998</v>
      </c>
      <c r="F20" s="11">
        <f t="shared" si="1"/>
        <v>16.004695845599997</v>
      </c>
      <c r="G20" s="15">
        <v>7.0000000000000007E-2</v>
      </c>
      <c r="H20" s="11">
        <f t="shared" si="2"/>
        <v>6.5901688775999991</v>
      </c>
      <c r="I20" s="15">
        <v>0.2</v>
      </c>
      <c r="J20" s="11">
        <f t="shared" si="3"/>
        <v>18.829053935999998</v>
      </c>
      <c r="K20" s="11">
        <f t="shared" si="7"/>
        <v>1.0270393056000007</v>
      </c>
      <c r="L20" s="11">
        <f t="shared" si="4"/>
        <v>2.7387714815999988</v>
      </c>
      <c r="M20" s="9">
        <f>1/(1+$B$14)^4</f>
        <v>0.68800348727405103</v>
      </c>
      <c r="N20" s="11">
        <f t="shared" si="5"/>
        <v>1.8842843301875187</v>
      </c>
    </row>
    <row r="21" spans="1:14">
      <c r="A21" s="24">
        <v>5</v>
      </c>
      <c r="B21" s="15">
        <v>0.08</v>
      </c>
      <c r="C21" s="11">
        <f t="shared" si="6"/>
        <v>101.67689125439999</v>
      </c>
      <c r="D21" s="15">
        <v>0.25</v>
      </c>
      <c r="E21" s="11">
        <f t="shared" si="0"/>
        <v>25.419222813599998</v>
      </c>
      <c r="F21" s="11">
        <f t="shared" si="1"/>
        <v>21.606339391559999</v>
      </c>
      <c r="G21" s="15">
        <v>7.0000000000000007E-2</v>
      </c>
      <c r="H21" s="11">
        <f t="shared" si="2"/>
        <v>7.117382387808</v>
      </c>
      <c r="I21" s="15">
        <v>0.2</v>
      </c>
      <c r="J21" s="11">
        <f t="shared" si="3"/>
        <v>20.335378250879998</v>
      </c>
      <c r="K21" s="11">
        <f t="shared" si="7"/>
        <v>0.90379458892800069</v>
      </c>
      <c r="L21" s="11">
        <f t="shared" si="4"/>
        <v>7.4845489395599998</v>
      </c>
      <c r="M21" s="9">
        <f>1/(1+$B$14)^5</f>
        <v>0.62659698294540167</v>
      </c>
      <c r="N21" s="11">
        <f t="shared" si="5"/>
        <v>4.6897957842355016</v>
      </c>
    </row>
    <row r="22" spans="1:14">
      <c r="A22" s="24">
        <v>6</v>
      </c>
      <c r="B22" s="15">
        <v>0.06</v>
      </c>
      <c r="C22" s="11">
        <f t="shared" si="6"/>
        <v>107.77750472966399</v>
      </c>
      <c r="D22" s="15">
        <v>0.28000000000000003</v>
      </c>
      <c r="E22" s="11">
        <f t="shared" si="0"/>
        <v>30.177701324305918</v>
      </c>
      <c r="F22" s="11">
        <f t="shared" si="1"/>
        <v>25.651046125660031</v>
      </c>
      <c r="G22" s="15">
        <v>7.0000000000000007E-2</v>
      </c>
      <c r="H22" s="11">
        <f t="shared" si="2"/>
        <v>7.5444253310764795</v>
      </c>
      <c r="I22" s="15">
        <v>0.2</v>
      </c>
      <c r="J22" s="11">
        <f t="shared" si="3"/>
        <v>21.555500945932799</v>
      </c>
      <c r="K22" s="11">
        <f t="shared" si="7"/>
        <v>0.73207361703167972</v>
      </c>
      <c r="L22" s="11">
        <f t="shared" si="4"/>
        <v>10.907896893772033</v>
      </c>
      <c r="M22" s="9">
        <f>1/(1+$B$14)^6</f>
        <v>0.57067120486830747</v>
      </c>
      <c r="N22" s="11">
        <f t="shared" si="5"/>
        <v>6.2248226629481547</v>
      </c>
    </row>
    <row r="23" spans="1:14">
      <c r="A23" s="24">
        <v>7</v>
      </c>
      <c r="B23" s="15">
        <v>0.04</v>
      </c>
      <c r="C23" s="11">
        <f t="shared" si="6"/>
        <v>112.08860491885055</v>
      </c>
      <c r="D23" s="15">
        <v>0.3</v>
      </c>
      <c r="E23" s="11">
        <f t="shared" si="0"/>
        <v>33.626581475655165</v>
      </c>
      <c r="F23" s="11">
        <f t="shared" si="1"/>
        <v>28.58259425430689</v>
      </c>
      <c r="G23" s="15">
        <v>7.0000000000000007E-2</v>
      </c>
      <c r="H23" s="11">
        <f t="shared" si="2"/>
        <v>7.846202344319539</v>
      </c>
      <c r="I23" s="15">
        <v>0.2</v>
      </c>
      <c r="J23" s="11">
        <f t="shared" si="3"/>
        <v>22.41772098377011</v>
      </c>
      <c r="K23" s="11">
        <f t="shared" si="7"/>
        <v>0.51733202270238732</v>
      </c>
      <c r="L23" s="11">
        <f t="shared" si="4"/>
        <v>13.49374359215393</v>
      </c>
      <c r="M23" s="9">
        <f>1/(1+$B$14)^7</f>
        <v>0.51973698075437835</v>
      </c>
      <c r="N23" s="11">
        <f t="shared" si="5"/>
        <v>7.0131975536598228</v>
      </c>
    </row>
    <row r="24" spans="1:14">
      <c r="A24" s="24">
        <v>8</v>
      </c>
      <c r="B24" s="15">
        <v>0.03</v>
      </c>
      <c r="C24" s="11">
        <f t="shared" si="6"/>
        <v>115.45126306641608</v>
      </c>
      <c r="D24" s="15">
        <v>0.3</v>
      </c>
      <c r="E24" s="11">
        <f t="shared" si="0"/>
        <v>34.635378919924818</v>
      </c>
      <c r="F24" s="11">
        <f t="shared" si="1"/>
        <v>29.440072081936094</v>
      </c>
      <c r="G24" s="15">
        <v>7.0000000000000007E-2</v>
      </c>
      <c r="H24" s="11">
        <f t="shared" si="2"/>
        <v>8.0815884146491257</v>
      </c>
      <c r="I24" s="15">
        <v>0.2</v>
      </c>
      <c r="J24" s="11">
        <f t="shared" si="3"/>
        <v>23.090252613283216</v>
      </c>
      <c r="K24" s="11">
        <f t="shared" si="7"/>
        <v>0.40351897770786305</v>
      </c>
      <c r="L24" s="11">
        <f t="shared" si="4"/>
        <v>14.027888905594141</v>
      </c>
      <c r="M24" s="9">
        <f>1/(1+$B$14)^8</f>
        <v>0.47334879850125533</v>
      </c>
      <c r="N24" s="11">
        <f t="shared" si="5"/>
        <v>6.6400843589720759</v>
      </c>
    </row>
    <row r="25" spans="1:14">
      <c r="A25" s="24">
        <v>9</v>
      </c>
      <c r="B25" s="15">
        <v>0.03</v>
      </c>
      <c r="C25" s="11">
        <f t="shared" si="6"/>
        <v>118.91480095840856</v>
      </c>
      <c r="D25" s="15">
        <v>0.3</v>
      </c>
      <c r="E25" s="11">
        <f t="shared" si="0"/>
        <v>35.674440287522565</v>
      </c>
      <c r="F25" s="11">
        <f t="shared" si="1"/>
        <v>30.323274244394177</v>
      </c>
      <c r="G25" s="15">
        <v>7.0000000000000007E-2</v>
      </c>
      <c r="H25" s="11">
        <f t="shared" si="2"/>
        <v>8.3240360670886009</v>
      </c>
      <c r="I25" s="15">
        <v>0.2</v>
      </c>
      <c r="J25" s="11">
        <f t="shared" si="3"/>
        <v>23.782960191681713</v>
      </c>
      <c r="K25" s="11">
        <f t="shared" si="7"/>
        <v>0.41562454703909851</v>
      </c>
      <c r="L25" s="11">
        <f t="shared" si="4"/>
        <v>14.448725572761965</v>
      </c>
      <c r="M25" s="9">
        <f>1/(1+$B$14)^9</f>
        <v>0.43110090938183537</v>
      </c>
      <c r="N25" s="11">
        <f t="shared" si="5"/>
        <v>6.2288587338262635</v>
      </c>
    </row>
    <row r="26" spans="1:14">
      <c r="A26" s="24">
        <v>10</v>
      </c>
      <c r="B26" s="15">
        <v>0.03</v>
      </c>
      <c r="C26" s="11">
        <f t="shared" si="6"/>
        <v>122.48224498716083</v>
      </c>
      <c r="D26" s="15">
        <v>0.3</v>
      </c>
      <c r="E26" s="11">
        <f t="shared" si="0"/>
        <v>36.744673496148245</v>
      </c>
      <c r="F26" s="11">
        <f t="shared" si="1"/>
        <v>31.232972471726008</v>
      </c>
      <c r="G26" s="15">
        <v>7.0000000000000007E-2</v>
      </c>
      <c r="H26" s="11">
        <f t="shared" si="2"/>
        <v>8.5737571491012581</v>
      </c>
      <c r="I26" s="15">
        <v>0.2</v>
      </c>
      <c r="J26" s="11">
        <f t="shared" si="3"/>
        <v>24.496448997432168</v>
      </c>
      <c r="K26" s="11">
        <f t="shared" si="7"/>
        <v>0.42809328345027153</v>
      </c>
      <c r="L26" s="11">
        <f t="shared" si="4"/>
        <v>14.88218733994483</v>
      </c>
      <c r="M26" s="9">
        <f>1/(1+$B$14)^10</f>
        <v>0.39262377903627999</v>
      </c>
      <c r="N26" s="11">
        <f t="shared" si="5"/>
        <v>5.8431006337350224</v>
      </c>
    </row>
    <row r="27" spans="1:14">
      <c r="A27" s="18" t="s">
        <v>186</v>
      </c>
      <c r="B27" s="11">
        <f>L26*(1+$D$14)/($B$14-$D$14)</f>
        <v>208.96221949922531</v>
      </c>
    </row>
    <row r="28" spans="1:14">
      <c r="A28" s="6" t="s">
        <v>187</v>
      </c>
      <c r="B28" s="11">
        <f>B27/(1+$B$14)^10</f>
        <v>82.043536295594478</v>
      </c>
    </row>
    <row r="29" spans="1:14">
      <c r="A29" s="18" t="s">
        <v>188</v>
      </c>
      <c r="B29" s="11">
        <f>SUM(N17:N26)+B28</f>
        <v>164.59722513248201</v>
      </c>
    </row>
    <row r="30" spans="1:14">
      <c r="A30" s="6" t="s">
        <v>189</v>
      </c>
      <c r="B30" s="11">
        <f>$B$8</f>
        <v>-68.274000000000001</v>
      </c>
    </row>
    <row r="31" spans="1:14">
      <c r="A31" s="18" t="s">
        <v>190</v>
      </c>
      <c r="B31" s="11">
        <f>B29-B30</f>
        <v>232.87122513248201</v>
      </c>
    </row>
    <row r="32" spans="1:14">
      <c r="A32" s="18" t="s">
        <v>191</v>
      </c>
      <c r="B32" s="7">
        <f>B31/$B$10</f>
        <v>203.73685488406124</v>
      </c>
      <c r="C32" s="6" t="s">
        <v>192</v>
      </c>
    </row>
    <row r="36" spans="1:14" ht="16.2">
      <c r="A36" s="3" t="s">
        <v>193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173</v>
      </c>
      <c r="B37" s="15">
        <v>0.09</v>
      </c>
      <c r="C37" s="6" t="s">
        <v>174</v>
      </c>
      <c r="D37" s="15">
        <v>0.03</v>
      </c>
    </row>
    <row r="39" spans="1:14">
      <c r="A39" s="5" t="s">
        <v>175</v>
      </c>
      <c r="B39" s="5" t="s">
        <v>88</v>
      </c>
      <c r="C39" s="5" t="s">
        <v>73</v>
      </c>
      <c r="D39" s="5" t="s">
        <v>176</v>
      </c>
      <c r="E39" s="5" t="s">
        <v>177</v>
      </c>
      <c r="F39" s="5" t="s">
        <v>143</v>
      </c>
      <c r="G39" s="5" t="s">
        <v>178</v>
      </c>
      <c r="H39" s="5" t="s">
        <v>179</v>
      </c>
      <c r="I39" s="5" t="s">
        <v>180</v>
      </c>
      <c r="J39" s="5" t="s">
        <v>181</v>
      </c>
      <c r="K39" s="5" t="s">
        <v>182</v>
      </c>
      <c r="L39" s="5" t="s">
        <v>183</v>
      </c>
      <c r="M39" s="5" t="s">
        <v>184</v>
      </c>
      <c r="N39" s="5" t="s">
        <v>185</v>
      </c>
    </row>
    <row r="40" spans="1:14">
      <c r="A40" s="24">
        <v>1</v>
      </c>
      <c r="B40" s="15">
        <v>0.75</v>
      </c>
      <c r="C40" s="11">
        <f>$B$5*(1+B40)</f>
        <v>233.07899999999998</v>
      </c>
      <c r="D40" s="15">
        <v>0.62</v>
      </c>
      <c r="E40" s="11">
        <f t="shared" ref="E40:E49" si="8">C40*D40</f>
        <v>144.50897999999998</v>
      </c>
      <c r="F40" s="11">
        <f t="shared" ref="F40:F49" si="9">E40*(1-$B$6)</f>
        <v>122.83263299999997</v>
      </c>
      <c r="G40" s="15">
        <v>7.0000000000000007E-2</v>
      </c>
      <c r="H40" s="11">
        <f t="shared" ref="H40:H49" si="10">C40*G40</f>
        <v>16.315529999999999</v>
      </c>
      <c r="I40" s="15">
        <v>0.18</v>
      </c>
      <c r="J40" s="11">
        <f t="shared" ref="J40:J49" si="11">C40*I40</f>
        <v>41.954219999999992</v>
      </c>
      <c r="K40" s="11">
        <f>(C40-$B$5)*$B$7</f>
        <v>11.986919999999998</v>
      </c>
      <c r="L40" s="11">
        <f t="shared" ref="L40:L49" si="12">F40+H40-J40-K40</f>
        <v>85.207022999999992</v>
      </c>
      <c r="M40" s="9">
        <f>1/(1+$B$37)^1</f>
        <v>0.9174311926605504</v>
      </c>
      <c r="N40" s="11">
        <f t="shared" ref="N40:N49" si="13">L40*M40</f>
        <v>78.171580733944936</v>
      </c>
    </row>
    <row r="41" spans="1:14">
      <c r="A41" s="24">
        <v>2</v>
      </c>
      <c r="B41" s="15">
        <v>-0.4</v>
      </c>
      <c r="C41" s="11">
        <f t="shared" ref="C41:C49" si="14">C40*(1+B41)</f>
        <v>139.84739999999999</v>
      </c>
      <c r="D41" s="15">
        <v>0.48</v>
      </c>
      <c r="E41" s="11">
        <f t="shared" si="8"/>
        <v>67.126751999999996</v>
      </c>
      <c r="F41" s="11">
        <f t="shared" si="9"/>
        <v>57.057739199999993</v>
      </c>
      <c r="G41" s="15">
        <v>7.0000000000000007E-2</v>
      </c>
      <c r="H41" s="11">
        <f t="shared" si="10"/>
        <v>9.7893179999999997</v>
      </c>
      <c r="I41" s="15">
        <v>0.18</v>
      </c>
      <c r="J41" s="11">
        <f t="shared" si="11"/>
        <v>25.172531999999997</v>
      </c>
      <c r="K41" s="11">
        <f t="shared" ref="K41:K49" si="15">(C41-C40)*$B$7</f>
        <v>-11.187791999999998</v>
      </c>
      <c r="L41" s="11">
        <f t="shared" si="12"/>
        <v>52.862317199999993</v>
      </c>
      <c r="M41" s="9">
        <f>1/(1+$B$37)^2</f>
        <v>0.84167999326655996</v>
      </c>
      <c r="N41" s="11">
        <f t="shared" si="13"/>
        <v>44.493154784950754</v>
      </c>
    </row>
    <row r="42" spans="1:14">
      <c r="A42" s="24">
        <v>3</v>
      </c>
      <c r="B42" s="15">
        <v>0.05</v>
      </c>
      <c r="C42" s="11">
        <f t="shared" si="14"/>
        <v>146.83976999999999</v>
      </c>
      <c r="D42" s="15">
        <v>0.35</v>
      </c>
      <c r="E42" s="11">
        <f t="shared" si="8"/>
        <v>51.393919499999996</v>
      </c>
      <c r="F42" s="11">
        <f t="shared" si="9"/>
        <v>43.684831574999997</v>
      </c>
      <c r="G42" s="15">
        <v>7.0000000000000007E-2</v>
      </c>
      <c r="H42" s="11">
        <f t="shared" si="10"/>
        <v>10.278783900000001</v>
      </c>
      <c r="I42" s="15">
        <v>0.18</v>
      </c>
      <c r="J42" s="11">
        <f t="shared" si="11"/>
        <v>26.431158599999996</v>
      </c>
      <c r="K42" s="11">
        <f t="shared" si="15"/>
        <v>0.83908439999999929</v>
      </c>
      <c r="L42" s="11">
        <f t="shared" si="12"/>
        <v>26.693372475</v>
      </c>
      <c r="M42" s="9">
        <f>1/(1+$B$37)^3</f>
        <v>0.77218348006106419</v>
      </c>
      <c r="N42" s="11">
        <f t="shared" si="13"/>
        <v>20.612181252311721</v>
      </c>
    </row>
    <row r="43" spans="1:14">
      <c r="A43" s="24">
        <v>4</v>
      </c>
      <c r="B43" s="15">
        <v>0.15</v>
      </c>
      <c r="C43" s="11">
        <f t="shared" si="14"/>
        <v>168.86573549999997</v>
      </c>
      <c r="D43" s="15">
        <v>0.36</v>
      </c>
      <c r="E43" s="11">
        <f t="shared" si="8"/>
        <v>60.791664779999991</v>
      </c>
      <c r="F43" s="11">
        <f t="shared" si="9"/>
        <v>51.672915062999991</v>
      </c>
      <c r="G43" s="15">
        <v>7.0000000000000007E-2</v>
      </c>
      <c r="H43" s="11">
        <f t="shared" si="10"/>
        <v>11.820601484999999</v>
      </c>
      <c r="I43" s="15">
        <v>0.18</v>
      </c>
      <c r="J43" s="11">
        <f t="shared" si="11"/>
        <v>30.395832389999995</v>
      </c>
      <c r="K43" s="11">
        <f t="shared" si="15"/>
        <v>2.6431158599999978</v>
      </c>
      <c r="L43" s="11">
        <f t="shared" si="12"/>
        <v>30.454568297999995</v>
      </c>
      <c r="M43" s="9">
        <f>1/(1+$B$37)^4</f>
        <v>0.7084252110651964</v>
      </c>
      <c r="N43" s="11">
        <f t="shared" si="13"/>
        <v>21.574783974410085</v>
      </c>
    </row>
    <row r="44" spans="1:14">
      <c r="A44" s="24">
        <v>5</v>
      </c>
      <c r="B44" s="15">
        <v>0.1</v>
      </c>
      <c r="C44" s="11">
        <f t="shared" si="14"/>
        <v>185.75230904999998</v>
      </c>
      <c r="D44" s="15">
        <v>0.36</v>
      </c>
      <c r="E44" s="11">
        <f t="shared" si="8"/>
        <v>66.870831257999996</v>
      </c>
      <c r="F44" s="11">
        <f t="shared" si="9"/>
        <v>56.840206569299994</v>
      </c>
      <c r="G44" s="15">
        <v>7.0000000000000007E-2</v>
      </c>
      <c r="H44" s="11">
        <f t="shared" si="10"/>
        <v>13.002661633499999</v>
      </c>
      <c r="I44" s="15">
        <v>0.18</v>
      </c>
      <c r="J44" s="11">
        <f t="shared" si="11"/>
        <v>33.435415628999998</v>
      </c>
      <c r="K44" s="11">
        <f t="shared" si="15"/>
        <v>2.0263888260000011</v>
      </c>
      <c r="L44" s="11">
        <f t="shared" si="12"/>
        <v>34.381063747799992</v>
      </c>
      <c r="M44" s="9">
        <f>1/(1+$B$37)^5</f>
        <v>0.64993138629834524</v>
      </c>
      <c r="N44" s="11">
        <f t="shared" si="13"/>
        <v>22.345332424019428</v>
      </c>
    </row>
    <row r="45" spans="1:14">
      <c r="A45" s="24">
        <v>6</v>
      </c>
      <c r="B45" s="15">
        <v>0.08</v>
      </c>
      <c r="C45" s="11">
        <f t="shared" si="14"/>
        <v>200.612493774</v>
      </c>
      <c r="D45" s="15">
        <v>0.35</v>
      </c>
      <c r="E45" s="11">
        <f t="shared" si="8"/>
        <v>70.214372820899996</v>
      </c>
      <c r="F45" s="11">
        <f t="shared" si="9"/>
        <v>59.682216897764995</v>
      </c>
      <c r="G45" s="15">
        <v>7.0000000000000007E-2</v>
      </c>
      <c r="H45" s="11">
        <f t="shared" si="10"/>
        <v>14.042874564180002</v>
      </c>
      <c r="I45" s="15">
        <v>0.18</v>
      </c>
      <c r="J45" s="11">
        <f t="shared" si="11"/>
        <v>36.110248879319997</v>
      </c>
      <c r="K45" s="11">
        <f t="shared" si="15"/>
        <v>1.7832221668800026</v>
      </c>
      <c r="L45" s="11">
        <f t="shared" si="12"/>
        <v>35.831620415745</v>
      </c>
      <c r="M45" s="9">
        <f>1/(1+$B$37)^6</f>
        <v>0.5962673268792158</v>
      </c>
      <c r="N45" s="11">
        <f t="shared" si="13"/>
        <v>21.365224523047008</v>
      </c>
    </row>
    <row r="46" spans="1:14">
      <c r="A46" s="24">
        <v>7</v>
      </c>
      <c r="B46" s="15">
        <v>0.06</v>
      </c>
      <c r="C46" s="11">
        <f t="shared" si="14"/>
        <v>212.64924340044001</v>
      </c>
      <c r="D46" s="15">
        <v>0.34</v>
      </c>
      <c r="E46" s="11">
        <f t="shared" si="8"/>
        <v>72.300742756149603</v>
      </c>
      <c r="F46" s="11">
        <f t="shared" si="9"/>
        <v>61.455631342727159</v>
      </c>
      <c r="G46" s="15">
        <v>7.0000000000000007E-2</v>
      </c>
      <c r="H46" s="11">
        <f t="shared" si="10"/>
        <v>14.885447038030803</v>
      </c>
      <c r="I46" s="15">
        <v>0.18</v>
      </c>
      <c r="J46" s="11">
        <f t="shared" si="11"/>
        <v>38.276863812079199</v>
      </c>
      <c r="K46" s="11">
        <f t="shared" si="15"/>
        <v>1.4444099551728016</v>
      </c>
      <c r="L46" s="11">
        <f t="shared" si="12"/>
        <v>36.619804613505963</v>
      </c>
      <c r="M46" s="9">
        <f>1/(1+$B$37)^7</f>
        <v>0.54703424484331731</v>
      </c>
      <c r="N46" s="11">
        <f t="shared" si="13"/>
        <v>20.03228716305906</v>
      </c>
    </row>
    <row r="47" spans="1:14">
      <c r="A47" s="24">
        <v>8</v>
      </c>
      <c r="B47" s="15">
        <v>0.04</v>
      </c>
      <c r="C47" s="11">
        <f t="shared" si="14"/>
        <v>221.15521313645763</v>
      </c>
      <c r="D47" s="15">
        <v>0.33</v>
      </c>
      <c r="E47" s="11">
        <f t="shared" si="8"/>
        <v>72.981220335031026</v>
      </c>
      <c r="F47" s="11">
        <f t="shared" si="9"/>
        <v>62.034037284776367</v>
      </c>
      <c r="G47" s="15">
        <v>7.0000000000000007E-2</v>
      </c>
      <c r="H47" s="11">
        <f t="shared" si="10"/>
        <v>15.480864919552035</v>
      </c>
      <c r="I47" s="15">
        <v>0.18</v>
      </c>
      <c r="J47" s="11">
        <f t="shared" si="11"/>
        <v>39.807938364562375</v>
      </c>
      <c r="K47" s="11">
        <f t="shared" si="15"/>
        <v>1.0207163683221143</v>
      </c>
      <c r="L47" s="11">
        <f t="shared" si="12"/>
        <v>36.68624747144392</v>
      </c>
      <c r="M47" s="9">
        <f>1/(1+$B$37)^8</f>
        <v>0.50186627967276809</v>
      </c>
      <c r="N47" s="11">
        <f t="shared" si="13"/>
        <v>18.411590533648056</v>
      </c>
    </row>
    <row r="48" spans="1:14">
      <c r="A48" s="24">
        <v>9</v>
      </c>
      <c r="B48" s="15">
        <v>0.03</v>
      </c>
      <c r="C48" s="11">
        <f t="shared" si="14"/>
        <v>227.78986953055136</v>
      </c>
      <c r="D48" s="15">
        <v>0.32</v>
      </c>
      <c r="E48" s="11">
        <f t="shared" si="8"/>
        <v>72.892758249776435</v>
      </c>
      <c r="F48" s="11">
        <f t="shared" si="9"/>
        <v>61.958844512309966</v>
      </c>
      <c r="G48" s="15">
        <v>7.0000000000000007E-2</v>
      </c>
      <c r="H48" s="11">
        <f t="shared" si="10"/>
        <v>15.945290867138597</v>
      </c>
      <c r="I48" s="15">
        <v>0.18</v>
      </c>
      <c r="J48" s="11">
        <f t="shared" si="11"/>
        <v>41.002176515499244</v>
      </c>
      <c r="K48" s="11">
        <f t="shared" si="15"/>
        <v>0.7961587672912469</v>
      </c>
      <c r="L48" s="11">
        <f t="shared" si="12"/>
        <v>36.105800096658072</v>
      </c>
      <c r="M48" s="9">
        <f>1/(1+$B$37)^9</f>
        <v>0.46042777951630098</v>
      </c>
      <c r="N48" s="11">
        <f t="shared" si="13"/>
        <v>16.624113366163723</v>
      </c>
    </row>
    <row r="49" spans="1:14">
      <c r="A49" s="24">
        <v>10</v>
      </c>
      <c r="B49" s="15">
        <v>0.03</v>
      </c>
      <c r="C49" s="11">
        <f t="shared" si="14"/>
        <v>234.62356561646791</v>
      </c>
      <c r="D49" s="15">
        <v>0.32</v>
      </c>
      <c r="E49" s="11">
        <f t="shared" si="8"/>
        <v>75.079540997269731</v>
      </c>
      <c r="F49" s="11">
        <f t="shared" si="9"/>
        <v>63.817609847679272</v>
      </c>
      <c r="G49" s="15">
        <v>7.0000000000000007E-2</v>
      </c>
      <c r="H49" s="11">
        <f t="shared" si="10"/>
        <v>16.423649593152756</v>
      </c>
      <c r="I49" s="15">
        <v>0.18</v>
      </c>
      <c r="J49" s="11">
        <f t="shared" si="11"/>
        <v>42.232241810964226</v>
      </c>
      <c r="K49" s="11">
        <f t="shared" si="15"/>
        <v>0.82004353030998678</v>
      </c>
      <c r="L49" s="11">
        <f t="shared" si="12"/>
        <v>37.188974099557811</v>
      </c>
      <c r="M49" s="9">
        <f>1/(1+$B$37)^10</f>
        <v>0.42241080689568894</v>
      </c>
      <c r="N49" s="11">
        <f t="shared" si="13"/>
        <v>15.709024557017091</v>
      </c>
    </row>
    <row r="50" spans="1:14">
      <c r="A50" s="18" t="s">
        <v>186</v>
      </c>
      <c r="B50" s="11">
        <f>L49*(1+$D$37)/($B$37-$D$37)</f>
        <v>638.41072204240902</v>
      </c>
    </row>
    <row r="51" spans="1:14">
      <c r="A51" s="6" t="s">
        <v>187</v>
      </c>
      <c r="B51" s="11">
        <f>B50/(1+$B$37)^10</f>
        <v>269.67158822879338</v>
      </c>
    </row>
    <row r="52" spans="1:14">
      <c r="A52" s="18" t="s">
        <v>188</v>
      </c>
      <c r="B52" s="11">
        <f>SUM(N40:N49)+B51</f>
        <v>549.01086154136522</v>
      </c>
    </row>
    <row r="53" spans="1:14">
      <c r="A53" s="6" t="s">
        <v>189</v>
      </c>
      <c r="B53" s="11">
        <f>$B$8</f>
        <v>-68.274000000000001</v>
      </c>
    </row>
    <row r="54" spans="1:14">
      <c r="A54" s="18" t="s">
        <v>190</v>
      </c>
      <c r="B54" s="11">
        <f>B52-B53</f>
        <v>617.28486154136522</v>
      </c>
    </row>
    <row r="55" spans="1:14">
      <c r="A55" s="18" t="s">
        <v>191</v>
      </c>
      <c r="B55" s="7">
        <f>B54/$B$10</f>
        <v>540.0567467553501</v>
      </c>
      <c r="C55" s="6" t="s">
        <v>194</v>
      </c>
    </row>
    <row r="59" spans="1:14" ht="16.2">
      <c r="A59" s="3" t="s">
        <v>195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173</v>
      </c>
      <c r="B60" s="15">
        <v>8.5000000000000006E-2</v>
      </c>
      <c r="C60" s="6" t="s">
        <v>174</v>
      </c>
      <c r="D60" s="15">
        <v>3.2000000000000001E-2</v>
      </c>
    </row>
    <row r="62" spans="1:14">
      <c r="A62" s="5" t="s">
        <v>175</v>
      </c>
      <c r="B62" s="5" t="s">
        <v>88</v>
      </c>
      <c r="C62" s="5" t="s">
        <v>73</v>
      </c>
      <c r="D62" s="5" t="s">
        <v>176</v>
      </c>
      <c r="E62" s="5" t="s">
        <v>177</v>
      </c>
      <c r="F62" s="5" t="s">
        <v>143</v>
      </c>
      <c r="G62" s="5" t="s">
        <v>178</v>
      </c>
      <c r="H62" s="5" t="s">
        <v>179</v>
      </c>
      <c r="I62" s="5" t="s">
        <v>180</v>
      </c>
      <c r="J62" s="5" t="s">
        <v>181</v>
      </c>
      <c r="K62" s="5" t="s">
        <v>182</v>
      </c>
      <c r="L62" s="5" t="s">
        <v>183</v>
      </c>
      <c r="M62" s="5" t="s">
        <v>184</v>
      </c>
      <c r="N62" s="5" t="s">
        <v>185</v>
      </c>
    </row>
    <row r="63" spans="1:14">
      <c r="A63" s="24">
        <v>1</v>
      </c>
      <c r="B63" s="15">
        <v>1</v>
      </c>
      <c r="C63" s="11">
        <f>$B$5*(1+B63)</f>
        <v>266.37599999999998</v>
      </c>
      <c r="D63" s="15">
        <v>0.68</v>
      </c>
      <c r="E63" s="11">
        <f t="shared" ref="E63:E72" si="16">C63*D63</f>
        <v>181.13568000000001</v>
      </c>
      <c r="F63" s="11">
        <f t="shared" ref="F63:F72" si="17">E63*(1-$B$6)</f>
        <v>153.965328</v>
      </c>
      <c r="G63" s="15">
        <v>7.0000000000000007E-2</v>
      </c>
      <c r="H63" s="11">
        <f t="shared" ref="H63:H72" si="18">C63*G63</f>
        <v>18.646319999999999</v>
      </c>
      <c r="I63" s="15">
        <v>0.17</v>
      </c>
      <c r="J63" s="11">
        <f t="shared" ref="J63:J72" si="19">C63*I63</f>
        <v>45.283920000000002</v>
      </c>
      <c r="K63" s="11">
        <f>(C63-$B$5)*$B$7</f>
        <v>15.982559999999998</v>
      </c>
      <c r="L63" s="11">
        <f t="shared" ref="L63:L72" si="20">F63+H63-J63-K63</f>
        <v>111.34516800000002</v>
      </c>
      <c r="M63" s="9">
        <f>1/(1+$B$60)^1</f>
        <v>0.92165898617511521</v>
      </c>
      <c r="N63" s="11">
        <f t="shared" ref="N63:N72" si="21">L63*M63</f>
        <v>102.62227465437789</v>
      </c>
    </row>
    <row r="64" spans="1:14">
      <c r="A64" s="24">
        <v>2</v>
      </c>
      <c r="B64" s="15">
        <v>-0.25</v>
      </c>
      <c r="C64" s="11">
        <f t="shared" ref="C64:C72" si="22">C63*(1+B64)</f>
        <v>199.78199999999998</v>
      </c>
      <c r="D64" s="15">
        <v>0.55000000000000004</v>
      </c>
      <c r="E64" s="11">
        <f t="shared" si="16"/>
        <v>109.8801</v>
      </c>
      <c r="F64" s="11">
        <f t="shared" si="17"/>
        <v>93.398084999999995</v>
      </c>
      <c r="G64" s="15">
        <v>7.0000000000000007E-2</v>
      </c>
      <c r="H64" s="11">
        <f t="shared" si="18"/>
        <v>13.98474</v>
      </c>
      <c r="I64" s="15">
        <v>0.17</v>
      </c>
      <c r="J64" s="11">
        <f t="shared" si="19"/>
        <v>33.962939999999996</v>
      </c>
      <c r="K64" s="11">
        <f t="shared" ref="K64:K72" si="23">(C64-C63)*$B$7</f>
        <v>-7.9912799999999988</v>
      </c>
      <c r="L64" s="11">
        <f t="shared" si="20"/>
        <v>81.411164999999997</v>
      </c>
      <c r="M64" s="9">
        <f>1/(1+$B$60)^2</f>
        <v>0.84945528679734128</v>
      </c>
      <c r="N64" s="11">
        <f t="shared" si="21"/>
        <v>69.155144513580666</v>
      </c>
    </row>
    <row r="65" spans="1:14">
      <c r="A65" s="24">
        <v>3</v>
      </c>
      <c r="B65" s="15">
        <v>0.05</v>
      </c>
      <c r="C65" s="11">
        <f t="shared" si="22"/>
        <v>209.77109999999999</v>
      </c>
      <c r="D65" s="15">
        <v>0.45</v>
      </c>
      <c r="E65" s="11">
        <f t="shared" si="16"/>
        <v>94.396995000000004</v>
      </c>
      <c r="F65" s="11">
        <f t="shared" si="17"/>
        <v>80.237445750000006</v>
      </c>
      <c r="G65" s="15">
        <v>7.0000000000000007E-2</v>
      </c>
      <c r="H65" s="11">
        <f t="shared" si="18"/>
        <v>14.683977000000001</v>
      </c>
      <c r="I65" s="15">
        <v>0.17</v>
      </c>
      <c r="J65" s="11">
        <f t="shared" si="19"/>
        <v>35.661087000000002</v>
      </c>
      <c r="K65" s="11">
        <f t="shared" si="23"/>
        <v>1.198692000000001</v>
      </c>
      <c r="L65" s="11">
        <f t="shared" si="20"/>
        <v>58.061643750000002</v>
      </c>
      <c r="M65" s="9">
        <f>1/(1+$B$60)^3</f>
        <v>0.78290809843072917</v>
      </c>
      <c r="N65" s="11">
        <f t="shared" si="21"/>
        <v>45.456931100074932</v>
      </c>
    </row>
    <row r="66" spans="1:14">
      <c r="A66" s="24">
        <v>4</v>
      </c>
      <c r="B66" s="15">
        <v>0.15</v>
      </c>
      <c r="C66" s="11">
        <f t="shared" si="22"/>
        <v>241.23676499999996</v>
      </c>
      <c r="D66" s="15">
        <v>0.45</v>
      </c>
      <c r="E66" s="11">
        <f t="shared" si="16"/>
        <v>108.55654424999999</v>
      </c>
      <c r="F66" s="11">
        <f t="shared" si="17"/>
        <v>92.273062612499984</v>
      </c>
      <c r="G66" s="15">
        <v>7.0000000000000007E-2</v>
      </c>
      <c r="H66" s="11">
        <f t="shared" si="18"/>
        <v>16.886573549999998</v>
      </c>
      <c r="I66" s="15">
        <v>0.17</v>
      </c>
      <c r="J66" s="11">
        <f t="shared" si="19"/>
        <v>41.010250049999996</v>
      </c>
      <c r="K66" s="11">
        <f t="shared" si="23"/>
        <v>3.7758797999999967</v>
      </c>
      <c r="L66" s="11">
        <f t="shared" si="20"/>
        <v>64.373506312499984</v>
      </c>
      <c r="M66" s="9">
        <f>1/(1+$B$60)^4</f>
        <v>0.72157428426795334</v>
      </c>
      <c r="N66" s="11">
        <f t="shared" si="21"/>
        <v>46.450266743260755</v>
      </c>
    </row>
    <row r="67" spans="1:14">
      <c r="A67" s="24">
        <v>5</v>
      </c>
      <c r="B67" s="15">
        <v>0.1</v>
      </c>
      <c r="C67" s="11">
        <f t="shared" si="22"/>
        <v>265.36044149999998</v>
      </c>
      <c r="D67" s="15">
        <v>0.45</v>
      </c>
      <c r="E67" s="11">
        <f t="shared" si="16"/>
        <v>119.412198675</v>
      </c>
      <c r="F67" s="11">
        <f t="shared" si="17"/>
        <v>101.50036887374999</v>
      </c>
      <c r="G67" s="15">
        <v>7.0000000000000007E-2</v>
      </c>
      <c r="H67" s="11">
        <f t="shared" si="18"/>
        <v>18.575230905000002</v>
      </c>
      <c r="I67" s="15">
        <v>0.17</v>
      </c>
      <c r="J67" s="11">
        <f t="shared" si="19"/>
        <v>45.111275055</v>
      </c>
      <c r="K67" s="11">
        <f t="shared" si="23"/>
        <v>2.894841180000002</v>
      </c>
      <c r="L67" s="11">
        <f t="shared" si="20"/>
        <v>72.069483543749996</v>
      </c>
      <c r="M67" s="9">
        <f>1/(1+$B$60)^5</f>
        <v>0.66504542328843619</v>
      </c>
      <c r="N67" s="11">
        <f t="shared" si="21"/>
        <v>47.9294801895322</v>
      </c>
    </row>
    <row r="68" spans="1:14">
      <c r="A68" s="24">
        <v>6</v>
      </c>
      <c r="B68" s="15">
        <v>0.08</v>
      </c>
      <c r="C68" s="11">
        <f t="shared" si="22"/>
        <v>286.58927682000001</v>
      </c>
      <c r="D68" s="15">
        <v>0.42</v>
      </c>
      <c r="E68" s="11">
        <f t="shared" si="16"/>
        <v>120.3674962644</v>
      </c>
      <c r="F68" s="11">
        <f t="shared" si="17"/>
        <v>102.31237182474</v>
      </c>
      <c r="G68" s="15">
        <v>7.0000000000000007E-2</v>
      </c>
      <c r="H68" s="11">
        <f t="shared" si="18"/>
        <v>20.061249377400003</v>
      </c>
      <c r="I68" s="15">
        <v>0.17</v>
      </c>
      <c r="J68" s="11">
        <f t="shared" si="19"/>
        <v>48.720177059400008</v>
      </c>
      <c r="K68" s="11">
        <f t="shared" si="23"/>
        <v>2.5474602384000034</v>
      </c>
      <c r="L68" s="11">
        <f t="shared" si="20"/>
        <v>71.105983904339993</v>
      </c>
      <c r="M68" s="9">
        <f>1/(1+$B$60)^6</f>
        <v>0.6129450905884205</v>
      </c>
      <c r="N68" s="11">
        <f t="shared" si="21"/>
        <v>43.584063745624448</v>
      </c>
    </row>
    <row r="69" spans="1:14">
      <c r="A69" s="24">
        <v>7</v>
      </c>
      <c r="B69" s="15">
        <v>0.06</v>
      </c>
      <c r="C69" s="11">
        <f t="shared" si="22"/>
        <v>303.78463342920003</v>
      </c>
      <c r="D69" s="15">
        <v>0.4</v>
      </c>
      <c r="E69" s="11">
        <f t="shared" si="16"/>
        <v>121.51385337168001</v>
      </c>
      <c r="F69" s="11">
        <f t="shared" si="17"/>
        <v>103.28677536592801</v>
      </c>
      <c r="G69" s="15">
        <v>7.0000000000000007E-2</v>
      </c>
      <c r="H69" s="11">
        <f t="shared" si="18"/>
        <v>21.264924340044004</v>
      </c>
      <c r="I69" s="15">
        <v>0.17</v>
      </c>
      <c r="J69" s="11">
        <f t="shared" si="19"/>
        <v>51.643387682964011</v>
      </c>
      <c r="K69" s="11">
        <f t="shared" si="23"/>
        <v>2.0634427931040022</v>
      </c>
      <c r="L69" s="11">
        <f t="shared" si="20"/>
        <v>70.844869229903992</v>
      </c>
      <c r="M69" s="9">
        <f>1/(1+$B$60)^7</f>
        <v>0.56492635077273778</v>
      </c>
      <c r="N69" s="11">
        <f t="shared" si="21"/>
        <v>40.022133445021481</v>
      </c>
    </row>
    <row r="70" spans="1:14">
      <c r="A70" s="24">
        <v>8</v>
      </c>
      <c r="B70" s="15">
        <v>0.04</v>
      </c>
      <c r="C70" s="11">
        <f t="shared" si="22"/>
        <v>315.93601876636802</v>
      </c>
      <c r="D70" s="15">
        <v>0.38</v>
      </c>
      <c r="E70" s="11">
        <f t="shared" si="16"/>
        <v>120.05568713121986</v>
      </c>
      <c r="F70" s="11">
        <f t="shared" si="17"/>
        <v>102.04733406153687</v>
      </c>
      <c r="G70" s="15">
        <v>7.0000000000000007E-2</v>
      </c>
      <c r="H70" s="11">
        <f t="shared" si="18"/>
        <v>22.115521313645765</v>
      </c>
      <c r="I70" s="15">
        <v>0.17</v>
      </c>
      <c r="J70" s="11">
        <f t="shared" si="19"/>
        <v>53.709123190282568</v>
      </c>
      <c r="K70" s="11">
        <f t="shared" si="23"/>
        <v>1.4581662404601592</v>
      </c>
      <c r="L70" s="11">
        <f t="shared" si="20"/>
        <v>68.995565944439903</v>
      </c>
      <c r="M70" s="9">
        <f>1/(1+$B$60)^8</f>
        <v>0.52066944771680901</v>
      </c>
      <c r="N70" s="11">
        <f t="shared" si="21"/>
        <v>35.923883215200199</v>
      </c>
    </row>
    <row r="71" spans="1:14">
      <c r="A71" s="24">
        <v>9</v>
      </c>
      <c r="B71" s="15">
        <v>0.03</v>
      </c>
      <c r="C71" s="11">
        <f t="shared" si="22"/>
        <v>325.41409932935909</v>
      </c>
      <c r="D71" s="15">
        <v>0.36</v>
      </c>
      <c r="E71" s="11">
        <f t="shared" si="16"/>
        <v>117.14907575856927</v>
      </c>
      <c r="F71" s="11">
        <f t="shared" si="17"/>
        <v>99.576714394783878</v>
      </c>
      <c r="G71" s="15">
        <v>7.0000000000000007E-2</v>
      </c>
      <c r="H71" s="11">
        <f t="shared" si="18"/>
        <v>22.778986953055139</v>
      </c>
      <c r="I71" s="15">
        <v>0.17</v>
      </c>
      <c r="J71" s="11">
        <f t="shared" si="19"/>
        <v>55.320396885991052</v>
      </c>
      <c r="K71" s="11">
        <f t="shared" si="23"/>
        <v>1.137369667558928</v>
      </c>
      <c r="L71" s="11">
        <f t="shared" si="20"/>
        <v>65.897934794289043</v>
      </c>
      <c r="M71" s="9">
        <f>1/(1+$B$60)^9</f>
        <v>0.4798796753150314</v>
      </c>
      <c r="N71" s="11">
        <f t="shared" si="21"/>
        <v>31.623079553014534</v>
      </c>
    </row>
    <row r="72" spans="1:14">
      <c r="A72" s="24">
        <v>10</v>
      </c>
      <c r="B72" s="15">
        <v>0.03</v>
      </c>
      <c r="C72" s="11">
        <f t="shared" si="22"/>
        <v>335.17652230923989</v>
      </c>
      <c r="D72" s="15">
        <v>0.35</v>
      </c>
      <c r="E72" s="11">
        <f t="shared" si="16"/>
        <v>117.31178280823396</v>
      </c>
      <c r="F72" s="11">
        <f t="shared" si="17"/>
        <v>99.715015386998857</v>
      </c>
      <c r="G72" s="15">
        <v>7.0000000000000007E-2</v>
      </c>
      <c r="H72" s="11">
        <f t="shared" si="18"/>
        <v>23.462356561646793</v>
      </c>
      <c r="I72" s="15">
        <v>0.17</v>
      </c>
      <c r="J72" s="11">
        <f t="shared" si="19"/>
        <v>56.980008792570786</v>
      </c>
      <c r="K72" s="11">
        <f t="shared" si="23"/>
        <v>1.1714907575856954</v>
      </c>
      <c r="L72" s="11">
        <f t="shared" si="20"/>
        <v>65.02587239848917</v>
      </c>
      <c r="M72" s="9">
        <f>1/(1+$B$60)^10</f>
        <v>0.44228541503689528</v>
      </c>
      <c r="N72" s="11">
        <f t="shared" si="21"/>
        <v>28.759994961901977</v>
      </c>
    </row>
    <row r="73" spans="1:14">
      <c r="A73" s="18" t="s">
        <v>186</v>
      </c>
      <c r="B73" s="11">
        <f>L72*(1+$D$60)/($B$60-$D$60)</f>
        <v>1266.1641568913362</v>
      </c>
    </row>
    <row r="74" spans="1:14">
      <c r="A74" s="6" t="s">
        <v>187</v>
      </c>
      <c r="B74" s="11">
        <f>B73/(1+$B$60)^10</f>
        <v>560.00593963552524</v>
      </c>
    </row>
    <row r="75" spans="1:14">
      <c r="A75" s="18" t="s">
        <v>188</v>
      </c>
      <c r="B75" s="11">
        <f>SUM(N63:N72)+B74</f>
        <v>1051.5331917571143</v>
      </c>
    </row>
    <row r="76" spans="1:14">
      <c r="A76" s="6" t="s">
        <v>189</v>
      </c>
      <c r="B76" s="11">
        <f>$B$8</f>
        <v>-68.274000000000001</v>
      </c>
    </row>
    <row r="77" spans="1:14">
      <c r="A77" s="18" t="s">
        <v>190</v>
      </c>
      <c r="B77" s="11">
        <f>B75-B76</f>
        <v>1119.8071917571142</v>
      </c>
    </row>
    <row r="78" spans="1:14">
      <c r="A78" s="18" t="s">
        <v>191</v>
      </c>
      <c r="B78" s="7">
        <f>B77/$B$10</f>
        <v>979.70882918382688</v>
      </c>
      <c r="C78" s="6" t="s">
        <v>196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197</v>
      </c>
    </row>
    <row r="2" spans="1:7" ht="15.6">
      <c r="A2" s="27" t="s">
        <v>198</v>
      </c>
      <c r="B2" s="28"/>
      <c r="C2" s="28"/>
      <c r="D2" s="28"/>
      <c r="E2" s="28"/>
      <c r="F2" s="28"/>
      <c r="G2" s="28"/>
    </row>
    <row r="4" spans="1:7">
      <c r="A4" s="5" t="s">
        <v>173</v>
      </c>
      <c r="B4" s="5" t="s">
        <v>191</v>
      </c>
    </row>
    <row r="5" spans="1:7">
      <c r="A5" s="15">
        <v>7.3999999999999996E-2</v>
      </c>
      <c r="B5" s="25">
        <v>693</v>
      </c>
    </row>
    <row r="6" spans="1:7">
      <c r="A6" s="15">
        <v>7.6999999999999999E-2</v>
      </c>
      <c r="B6" s="25">
        <v>656</v>
      </c>
    </row>
    <row r="7" spans="1:7">
      <c r="A7" s="15">
        <v>0.08</v>
      </c>
      <c r="B7" s="25">
        <v>624</v>
      </c>
    </row>
    <row r="8" spans="1:7">
      <c r="A8" s="15">
        <v>8.5000000000000006E-2</v>
      </c>
      <c r="B8" s="25">
        <v>578</v>
      </c>
    </row>
    <row r="9" spans="1:7">
      <c r="A9" s="15">
        <v>0.09</v>
      </c>
      <c r="B9" s="25">
        <v>540</v>
      </c>
    </row>
    <row r="10" spans="1:7">
      <c r="A10" s="15">
        <v>9.5000000000000001E-2</v>
      </c>
      <c r="B10" s="25">
        <v>508</v>
      </c>
    </row>
    <row r="11" spans="1:7">
      <c r="A11" s="15">
        <v>0.1</v>
      </c>
      <c r="B11" s="25">
        <v>480</v>
      </c>
    </row>
    <row r="12" spans="1:7">
      <c r="A12" s="15">
        <v>0.105</v>
      </c>
      <c r="B12" s="25">
        <v>456</v>
      </c>
    </row>
    <row r="14" spans="1:7">
      <c r="A14" s="5" t="s">
        <v>199</v>
      </c>
      <c r="B14" s="5" t="s">
        <v>191</v>
      </c>
    </row>
    <row r="15" spans="1:7">
      <c r="A15" s="15">
        <v>0.15</v>
      </c>
      <c r="B15" s="25">
        <v>587</v>
      </c>
    </row>
    <row r="16" spans="1:7">
      <c r="A16" s="15">
        <v>0.16</v>
      </c>
      <c r="B16" s="25">
        <v>572</v>
      </c>
    </row>
    <row r="17" spans="1:3">
      <c r="A17" s="15">
        <v>0.17</v>
      </c>
      <c r="B17" s="25">
        <v>556</v>
      </c>
    </row>
    <row r="18" spans="1:3">
      <c r="A18" s="15">
        <v>0.18</v>
      </c>
      <c r="B18" s="25">
        <v>540</v>
      </c>
    </row>
    <row r="19" spans="1:3">
      <c r="A19" s="15">
        <v>0.19</v>
      </c>
      <c r="B19" s="25">
        <v>524</v>
      </c>
    </row>
    <row r="20" spans="1:3">
      <c r="A20" s="15">
        <v>0.2</v>
      </c>
      <c r="B20" s="25">
        <v>509</v>
      </c>
    </row>
    <row r="23" spans="1:3">
      <c r="A23" s="5" t="s">
        <v>200</v>
      </c>
      <c r="B23" s="5" t="s">
        <v>191</v>
      </c>
    </row>
    <row r="24" spans="1:3">
      <c r="A24" s="15">
        <v>0.26</v>
      </c>
      <c r="B24" s="25">
        <v>460</v>
      </c>
    </row>
    <row r="25" spans="1:3">
      <c r="A25" s="15">
        <v>0.28000000000000003</v>
      </c>
      <c r="B25" s="25">
        <v>486</v>
      </c>
    </row>
    <row r="26" spans="1:3">
      <c r="A26" s="15">
        <v>0.3</v>
      </c>
      <c r="B26" s="25">
        <v>513</v>
      </c>
    </row>
    <row r="27" spans="1:3">
      <c r="A27" s="15">
        <v>0.32</v>
      </c>
      <c r="B27" s="25">
        <v>540</v>
      </c>
    </row>
    <row r="28" spans="1:3">
      <c r="A28" s="15">
        <v>0.34</v>
      </c>
      <c r="B28" s="25">
        <v>567</v>
      </c>
    </row>
    <row r="29" spans="1:3">
      <c r="A29" s="15">
        <v>0.36</v>
      </c>
      <c r="B29" s="25">
        <v>594</v>
      </c>
    </row>
    <row r="30" spans="1:3">
      <c r="A30" s="15">
        <v>0.38</v>
      </c>
      <c r="B30" s="25">
        <v>620</v>
      </c>
    </row>
    <row r="32" spans="1:3" ht="16.2">
      <c r="A32" s="3" t="s">
        <v>201</v>
      </c>
      <c r="B32" s="4"/>
      <c r="C32" s="4"/>
    </row>
    <row r="33" spans="1:7">
      <c r="A33" s="6" t="s">
        <v>202</v>
      </c>
      <c r="B33" s="15">
        <v>0.17136103933296451</v>
      </c>
    </row>
    <row r="34" spans="1:7">
      <c r="A34" s="6" t="s">
        <v>203</v>
      </c>
      <c r="B34" s="15">
        <v>5.8255790042966327E-2</v>
      </c>
    </row>
    <row r="36" spans="1:7" ht="16.2">
      <c r="A36" s="3" t="s">
        <v>204</v>
      </c>
      <c r="B36" s="4"/>
      <c r="C36" s="4"/>
      <c r="D36" s="4"/>
      <c r="E36" s="4"/>
      <c r="F36" s="4"/>
      <c r="G36" s="4"/>
    </row>
    <row r="37" spans="1:7">
      <c r="A37" s="5" t="s">
        <v>205</v>
      </c>
      <c r="B37" s="5" t="s">
        <v>191</v>
      </c>
      <c r="C37" s="5" t="s">
        <v>206</v>
      </c>
      <c r="D37" s="5" t="s">
        <v>207</v>
      </c>
    </row>
    <row r="38" spans="1:7">
      <c r="A38" s="6" t="s">
        <v>208</v>
      </c>
      <c r="B38" s="26" t="s">
        <v>209</v>
      </c>
      <c r="C38" s="26" t="s">
        <v>210</v>
      </c>
      <c r="D38" s="26" t="s">
        <v>211</v>
      </c>
    </row>
    <row r="39" spans="1:7">
      <c r="A39" s="6" t="s">
        <v>212</v>
      </c>
      <c r="B39" s="26" t="s">
        <v>213</v>
      </c>
      <c r="C39" s="26" t="s">
        <v>214</v>
      </c>
      <c r="D39" s="26" t="s">
        <v>215</v>
      </c>
    </row>
    <row r="40" spans="1:7">
      <c r="A40" s="6" t="s">
        <v>216</v>
      </c>
      <c r="B40" s="26" t="s">
        <v>58</v>
      </c>
      <c r="C40" s="26" t="s">
        <v>217</v>
      </c>
      <c r="D40" s="26" t="s">
        <v>218</v>
      </c>
    </row>
    <row r="41" spans="1:7">
      <c r="A41" s="6" t="s">
        <v>219</v>
      </c>
      <c r="B41" s="26" t="s">
        <v>58</v>
      </c>
      <c r="C41" s="26" t="s">
        <v>220</v>
      </c>
      <c r="D41" s="26" t="s">
        <v>221</v>
      </c>
    </row>
    <row r="42" spans="1:7" ht="40.049999999999997" customHeight="1">
      <c r="A42" s="32" t="s">
        <v>222</v>
      </c>
      <c r="B42" s="28"/>
      <c r="C42" s="28"/>
      <c r="D42" s="28"/>
      <c r="E42" s="28"/>
      <c r="F42" s="28"/>
      <c r="G42" s="28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223</v>
      </c>
    </row>
    <row r="2" spans="1:4" ht="15.6">
      <c r="A2" s="27" t="s">
        <v>224</v>
      </c>
      <c r="B2" s="28"/>
      <c r="C2" s="28"/>
      <c r="D2" s="28"/>
    </row>
    <row r="4" spans="1:4">
      <c r="A4" s="5" t="s">
        <v>225</v>
      </c>
      <c r="B4" s="5" t="s">
        <v>226</v>
      </c>
      <c r="C4" s="5" t="s">
        <v>227</v>
      </c>
      <c r="D4" s="5" t="s">
        <v>228</v>
      </c>
    </row>
    <row r="5" spans="1:4">
      <c r="A5" s="6" t="s">
        <v>229</v>
      </c>
      <c r="B5" s="6" t="s">
        <v>230</v>
      </c>
      <c r="C5" s="22" t="s">
        <v>231</v>
      </c>
      <c r="D5" s="8" t="s">
        <v>232</v>
      </c>
    </row>
    <row r="6" spans="1:4">
      <c r="A6" s="6" t="s">
        <v>233</v>
      </c>
      <c r="B6" s="6" t="s">
        <v>230</v>
      </c>
      <c r="C6" s="22" t="s">
        <v>234</v>
      </c>
      <c r="D6" s="8" t="s">
        <v>235</v>
      </c>
    </row>
    <row r="7" spans="1:4">
      <c r="A7" s="6" t="s">
        <v>236</v>
      </c>
      <c r="B7" s="6" t="s">
        <v>237</v>
      </c>
      <c r="C7" s="22" t="s">
        <v>234</v>
      </c>
      <c r="D7" s="8" t="s">
        <v>238</v>
      </c>
    </row>
    <row r="8" spans="1:4">
      <c r="A8" s="6" t="s">
        <v>239</v>
      </c>
      <c r="B8" s="6" t="s">
        <v>240</v>
      </c>
      <c r="C8" s="22" t="s">
        <v>241</v>
      </c>
      <c r="D8" s="8" t="s">
        <v>242</v>
      </c>
    </row>
    <row r="9" spans="1:4">
      <c r="A9" s="6" t="s">
        <v>243</v>
      </c>
      <c r="B9" s="6" t="s">
        <v>244</v>
      </c>
      <c r="C9" s="22" t="s">
        <v>234</v>
      </c>
      <c r="D9" s="8" t="s">
        <v>245</v>
      </c>
    </row>
    <row r="12" spans="1:4" ht="15">
      <c r="A12" s="31" t="s">
        <v>246</v>
      </c>
      <c r="B12" s="28"/>
      <c r="C12" s="28"/>
      <c r="D12" s="28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2026-10-29T09:03:28Z</dcterms:created>
  <dcterms:modified xsi:type="dcterms:W3CDTF">2026-10-29T10:34:36Z</dcterms:modified>
</cp:coreProperties>
</file>