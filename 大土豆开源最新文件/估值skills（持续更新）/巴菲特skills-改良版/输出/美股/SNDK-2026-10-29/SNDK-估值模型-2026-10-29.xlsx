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SNDK-2026-10-29\"/>
    </mc:Choice>
  </mc:AlternateContent>
  <xr:revisionPtr revIDLastSave="0" documentId="13_ncr:1_{695E35FB-F1A1-4421-B039-9F7774723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分部!$A$1:$F$38</definedName>
    <definedName name="_xlnm.Print_Area" localSheetId="0">结论!$A$1:$M$47</definedName>
    <definedName name="_xlnm.Print_Area" localSheetId="6">来源!$A$1:$D$13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5" l="1"/>
  <c r="M72" i="5"/>
  <c r="M71" i="5"/>
  <c r="M70" i="5"/>
  <c r="M69" i="5"/>
  <c r="M68" i="5"/>
  <c r="M67" i="5"/>
  <c r="M66" i="5"/>
  <c r="M65" i="5"/>
  <c r="M64" i="5"/>
  <c r="M63" i="5"/>
  <c r="C63" i="5"/>
  <c r="B53" i="5"/>
  <c r="M49" i="5"/>
  <c r="M48" i="5"/>
  <c r="M47" i="5"/>
  <c r="M46" i="5"/>
  <c r="M45" i="5"/>
  <c r="M44" i="5"/>
  <c r="M43" i="5"/>
  <c r="M42" i="5"/>
  <c r="M41" i="5"/>
  <c r="M40" i="5"/>
  <c r="C40" i="5"/>
  <c r="B30" i="5"/>
  <c r="M26" i="5"/>
  <c r="M25" i="5"/>
  <c r="M24" i="5"/>
  <c r="M23" i="5"/>
  <c r="M22" i="5"/>
  <c r="M21" i="5"/>
  <c r="M20" i="5"/>
  <c r="M19" i="5"/>
  <c r="M18" i="5"/>
  <c r="M17" i="5"/>
  <c r="C17" i="5"/>
  <c r="B18" i="4"/>
  <c r="B17" i="4"/>
  <c r="B15" i="4"/>
  <c r="B7" i="4"/>
  <c r="B12" i="4" s="1"/>
  <c r="B16" i="4" s="1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C64" i="5" l="1"/>
  <c r="K63" i="5"/>
  <c r="J63" i="5"/>
  <c r="H63" i="5"/>
  <c r="E63" i="5"/>
  <c r="F63" i="5" s="1"/>
  <c r="K40" i="5"/>
  <c r="J40" i="5"/>
  <c r="E40" i="5"/>
  <c r="F40" i="5" s="1"/>
  <c r="C41" i="5"/>
  <c r="H40" i="5"/>
  <c r="E17" i="5"/>
  <c r="F17" i="5" s="1"/>
  <c r="J17" i="5"/>
  <c r="C18" i="5"/>
  <c r="K17" i="5"/>
  <c r="H17" i="5"/>
  <c r="B25" i="1"/>
  <c r="B14" i="1"/>
  <c r="L63" i="5" l="1"/>
  <c r="N63" i="5" s="1"/>
  <c r="L40" i="5"/>
  <c r="N40" i="5" s="1"/>
  <c r="E64" i="5"/>
  <c r="F64" i="5" s="1"/>
  <c r="H64" i="5"/>
  <c r="J64" i="5"/>
  <c r="K64" i="5"/>
  <c r="C65" i="5"/>
  <c r="E41" i="5"/>
  <c r="F41" i="5" s="1"/>
  <c r="H41" i="5"/>
  <c r="J41" i="5"/>
  <c r="K41" i="5"/>
  <c r="C42" i="5"/>
  <c r="C19" i="5"/>
  <c r="K18" i="5"/>
  <c r="E18" i="5"/>
  <c r="F18" i="5" s="1"/>
  <c r="J18" i="5"/>
  <c r="H18" i="5"/>
  <c r="B26" i="1"/>
  <c r="B22" i="1"/>
  <c r="L17" i="5"/>
  <c r="N17" i="5" s="1"/>
  <c r="E65" i="5" l="1"/>
  <c r="F65" i="5" s="1"/>
  <c r="H65" i="5"/>
  <c r="J65" i="5"/>
  <c r="K65" i="5"/>
  <c r="C66" i="5"/>
  <c r="E42" i="5"/>
  <c r="F42" i="5" s="1"/>
  <c r="H42" i="5"/>
  <c r="J42" i="5"/>
  <c r="K42" i="5"/>
  <c r="C43" i="5"/>
  <c r="H19" i="5"/>
  <c r="E19" i="5"/>
  <c r="F19" i="5" s="1"/>
  <c r="K19" i="5"/>
  <c r="J19" i="5"/>
  <c r="C20" i="5"/>
  <c r="L64" i="5"/>
  <c r="N64" i="5" s="1"/>
  <c r="L41" i="5"/>
  <c r="N41" i="5" s="1"/>
  <c r="L18" i="5"/>
  <c r="N18" i="5" s="1"/>
  <c r="L19" i="5" l="1"/>
  <c r="N19" i="5" s="1"/>
  <c r="E66" i="5"/>
  <c r="F66" i="5" s="1"/>
  <c r="H66" i="5"/>
  <c r="J66" i="5"/>
  <c r="K66" i="5"/>
  <c r="C67" i="5"/>
  <c r="E43" i="5"/>
  <c r="F43" i="5" s="1"/>
  <c r="H43" i="5"/>
  <c r="J43" i="5"/>
  <c r="K43" i="5"/>
  <c r="C44" i="5"/>
  <c r="H20" i="5"/>
  <c r="K20" i="5"/>
  <c r="E20" i="5"/>
  <c r="F20" i="5" s="1"/>
  <c r="J20" i="5"/>
  <c r="C21" i="5"/>
  <c r="L65" i="5"/>
  <c r="N65" i="5" s="1"/>
  <c r="L42" i="5"/>
  <c r="N42" i="5" s="1"/>
  <c r="L20" i="5" l="1"/>
  <c r="N20" i="5" s="1"/>
  <c r="E67" i="5"/>
  <c r="F67" i="5" s="1"/>
  <c r="H67" i="5"/>
  <c r="J67" i="5"/>
  <c r="K67" i="5"/>
  <c r="C68" i="5"/>
  <c r="E44" i="5"/>
  <c r="F44" i="5" s="1"/>
  <c r="H44" i="5"/>
  <c r="J44" i="5"/>
  <c r="K44" i="5"/>
  <c r="C45" i="5"/>
  <c r="J21" i="5"/>
  <c r="H21" i="5"/>
  <c r="C22" i="5"/>
  <c r="E21" i="5"/>
  <c r="F21" i="5" s="1"/>
  <c r="K21" i="5"/>
  <c r="L66" i="5"/>
  <c r="N66" i="5" s="1"/>
  <c r="L43" i="5"/>
  <c r="N43" i="5" s="1"/>
  <c r="L21" i="5" l="1"/>
  <c r="N21" i="5" s="1"/>
  <c r="E68" i="5"/>
  <c r="F68" i="5" s="1"/>
  <c r="H68" i="5"/>
  <c r="J68" i="5"/>
  <c r="K68" i="5"/>
  <c r="C69" i="5"/>
  <c r="E45" i="5"/>
  <c r="F45" i="5" s="1"/>
  <c r="H45" i="5"/>
  <c r="J45" i="5"/>
  <c r="K45" i="5"/>
  <c r="C46" i="5"/>
  <c r="J22" i="5"/>
  <c r="E22" i="5"/>
  <c r="F22" i="5" s="1"/>
  <c r="K22" i="5"/>
  <c r="H22" i="5"/>
  <c r="C23" i="5"/>
  <c r="L67" i="5"/>
  <c r="N67" i="5" s="1"/>
  <c r="L44" i="5"/>
  <c r="N44" i="5" s="1"/>
  <c r="L68" i="5" l="1"/>
  <c r="N68" i="5" s="1"/>
  <c r="L22" i="5"/>
  <c r="N22" i="5" s="1"/>
  <c r="E69" i="5"/>
  <c r="F69" i="5" s="1"/>
  <c r="H69" i="5"/>
  <c r="J69" i="5"/>
  <c r="K69" i="5"/>
  <c r="C70" i="5"/>
  <c r="K46" i="5"/>
  <c r="E46" i="5"/>
  <c r="F46" i="5" s="1"/>
  <c r="J46" i="5"/>
  <c r="C47" i="5"/>
  <c r="H46" i="5"/>
  <c r="H23" i="5"/>
  <c r="C24" i="5"/>
  <c r="J23" i="5"/>
  <c r="E23" i="5"/>
  <c r="F23" i="5" s="1"/>
  <c r="K23" i="5"/>
  <c r="L45" i="5"/>
  <c r="N45" i="5" s="1"/>
  <c r="L23" i="5" l="1"/>
  <c r="N23" i="5" s="1"/>
  <c r="E70" i="5"/>
  <c r="F70" i="5" s="1"/>
  <c r="H70" i="5"/>
  <c r="J70" i="5"/>
  <c r="K70" i="5"/>
  <c r="C71" i="5"/>
  <c r="H47" i="5"/>
  <c r="K47" i="5"/>
  <c r="C48" i="5"/>
  <c r="E47" i="5"/>
  <c r="F47" i="5" s="1"/>
  <c r="J47" i="5"/>
  <c r="J24" i="5"/>
  <c r="K24" i="5"/>
  <c r="E24" i="5"/>
  <c r="F24" i="5" s="1"/>
  <c r="H24" i="5"/>
  <c r="C25" i="5"/>
  <c r="L69" i="5"/>
  <c r="N69" i="5" s="1"/>
  <c r="L46" i="5"/>
  <c r="N46" i="5" s="1"/>
  <c r="L47" i="5" l="1"/>
  <c r="N47" i="5" s="1"/>
  <c r="L24" i="5"/>
  <c r="N24" i="5" s="1"/>
  <c r="L70" i="5"/>
  <c r="N70" i="5" s="1"/>
  <c r="E71" i="5"/>
  <c r="F71" i="5" s="1"/>
  <c r="H71" i="5"/>
  <c r="J71" i="5"/>
  <c r="K71" i="5"/>
  <c r="C72" i="5"/>
  <c r="E48" i="5"/>
  <c r="F48" i="5" s="1"/>
  <c r="H48" i="5"/>
  <c r="K48" i="5"/>
  <c r="J48" i="5"/>
  <c r="C49" i="5"/>
  <c r="H25" i="5"/>
  <c r="K25" i="5"/>
  <c r="E25" i="5"/>
  <c r="F25" i="5" s="1"/>
  <c r="J25" i="5"/>
  <c r="C26" i="5"/>
  <c r="L48" i="5" l="1"/>
  <c r="N48" i="5" s="1"/>
  <c r="E72" i="5"/>
  <c r="F72" i="5" s="1"/>
  <c r="H72" i="5"/>
  <c r="J72" i="5"/>
  <c r="K72" i="5"/>
  <c r="J49" i="5"/>
  <c r="E49" i="5"/>
  <c r="F49" i="5" s="1"/>
  <c r="H49" i="5"/>
  <c r="K49" i="5"/>
  <c r="K26" i="5"/>
  <c r="E26" i="5"/>
  <c r="F26" i="5" s="1"/>
  <c r="J26" i="5"/>
  <c r="H26" i="5"/>
  <c r="L25" i="5"/>
  <c r="N25" i="5" s="1"/>
  <c r="L71" i="5"/>
  <c r="N71" i="5" s="1"/>
  <c r="L49" i="5" l="1"/>
  <c r="N49" i="5"/>
  <c r="B50" i="5"/>
  <c r="B51" i="5" s="1"/>
  <c r="B52" i="5" s="1"/>
  <c r="B54" i="5" s="1"/>
  <c r="B55" i="5" s="1"/>
  <c r="L26" i="5"/>
  <c r="L72" i="5"/>
  <c r="B27" i="5" l="1"/>
  <c r="B28" i="5" s="1"/>
  <c r="N26" i="5"/>
  <c r="B73" i="5"/>
  <c r="B74" i="5" s="1"/>
  <c r="N72" i="5"/>
  <c r="B75" i="5" l="1"/>
  <c r="B77" i="5" s="1"/>
  <c r="B78" i="5" s="1"/>
  <c r="B29" i="5"/>
  <c r="B31" i="5" s="1"/>
  <c r="B32" i="5" s="1"/>
</calcChain>
</file>

<file path=xl/sharedStrings.xml><?xml version="1.0" encoding="utf-8"?>
<sst xmlns="http://schemas.openxmlformats.org/spreadsheetml/2006/main" count="337" uniqueCount="249">
  <si>
    <t>闪迪（SNDK）巴菲特框架估值</t>
  </si>
  <si>
    <t>研究日 2026-10-29｜收盘价 $1,404.77｜最新财报：FY2026 Q4（2026-07-03）</t>
  </si>
  <si>
    <t>市值按 0.1550B 股计算；净负债 = 债务 + 融资租赁 − 现金及有价证券。数据边界见报告第 1 节。</t>
  </si>
  <si>
    <t>一句话结论</t>
  </si>
  <si>
    <t>极好的周期生意，但当前盈利是 NAND 价格暴涨的结果；现价已高于乐观 DCF。结论：昂贵，等价格周期回落。</t>
  </si>
  <si>
    <t>关键数据（十亿美元 / 倍 / 百分比）</t>
  </si>
  <si>
    <t>项目</t>
  </si>
  <si>
    <t>数值</t>
  </si>
  <si>
    <t>备注</t>
  </si>
  <si>
    <t>收盘价（美元）</t>
  </si>
  <si>
    <t>2026-10-28 收盘</t>
  </si>
  <si>
    <t>期末股数（十亿股）</t>
  </si>
  <si>
    <t>最新 10-Q/10-K 封面</t>
  </si>
  <si>
    <t>市值（十亿美元）</t>
  </si>
  <si>
    <t>价格 × 股数</t>
  </si>
  <si>
    <t>净负债（含融资租赁）</t>
  </si>
  <si>
    <t>正数为净负债，负数为净现金</t>
  </si>
  <si>
    <t>企业价值（十亿美元）</t>
  </si>
  <si>
    <t>市值 + 净负债</t>
  </si>
  <si>
    <t>TTM 收入</t>
  </si>
  <si>
    <t>最近四个季度</t>
  </si>
  <si>
    <t>TTM 经营利润</t>
  </si>
  <si>
    <t>剔除利息与投资收益</t>
  </si>
  <si>
    <t>TTM NOPAT</t>
  </si>
  <si>
    <t>经营利润 × (1−10%)</t>
  </si>
  <si>
    <t>TTM 自由现金流</t>
  </si>
  <si>
    <t>CFO − 现金 capex</t>
  </si>
  <si>
    <t>NTM 收入（DCF 第 1 年）</t>
  </si>
  <si>
    <t>按基准情景第 1 年增速</t>
  </si>
  <si>
    <t>TTM EPS（美元）</t>
  </si>
  <si>
    <t>稀释口径；GAAP；FY2026</t>
  </si>
  <si>
    <t>FY2027E EPS（美元）</t>
  </si>
  <si>
    <t>本文估计/一致预期，见报告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</si>
  <si>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</si>
  <si>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</si>
  <si>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</si>
  <si>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</si>
  <si>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</si>
  <si>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</si>
  <si>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</si>
  <si>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</si>
  <si>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</si>
  <si>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</si>
  <si>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</si>
  <si>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</si>
  <si>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</si>
  <si>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</si>
  <si>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</si>
  <si>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</si>
  <si>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</si>
  <si>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每股价值（美元）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</si>
  <si>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</si>
  <si>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</si>
  <si>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</si>
  <si>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</si>
  <si>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</si>
  <si>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</si>
  <si>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</si>
  <si>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</si>
  <si>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</si>
  <si>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$737，现价 $1,404.77；现价高估 90.7%。</t>
  </si>
  <si>
    <t>• 悲观 $272；基准 $737；乐观 $1,364；概率加权约 $777（25%/50%/25%）。</t>
  </si>
  <si>
    <t>• 反推：现价隐含未来 10 年收入 CAGR 约 18.3%，基准情景约 6.7%。</t>
  </si>
  <si>
    <t>• 若要求 20% 安全边际，观察价约 $589（基准价值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</si>
  <si>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</si>
  <si>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</si>
  <si>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闪迪五年财务与现金流（十亿美元，除每股数据）</t>
  </si>
  <si>
    <t>来源：公司 10-K/10-Q；TTM = 最近四个季度。</t>
  </si>
  <si>
    <t>FY2023</t>
  </si>
  <si>
    <t>FY2024</t>
  </si>
  <si>
    <t>FY2025</t>
  </si>
  <si>
    <t>FY2026</t>
  </si>
  <si>
    <t>收入</t>
  </si>
  <si>
    <t>年度 / TTM</t>
  </si>
  <si>
    <t>经营利润</t>
  </si>
  <si>
    <t>GAAP</t>
  </si>
  <si>
    <t>净利润</t>
  </si>
  <si>
    <t>经营现金流</t>
  </si>
  <si>
    <t>CFO</t>
  </si>
  <si>
    <t>资本开支（现金）</t>
  </si>
  <si>
    <t>现金 capex</t>
  </si>
  <si>
    <t>自由现金流</t>
  </si>
  <si>
    <t>CFO − capex</t>
  </si>
  <si>
    <t>稀释 EPS（美元）</t>
  </si>
  <si>
    <t>稀释</t>
  </si>
  <si>
    <t>稀释股数（十亿）</t>
  </si>
  <si>
    <t>加权平均</t>
  </si>
  <si>
    <t>收入增速</t>
  </si>
  <si>
    <t>经营利润率</t>
  </si>
  <si>
    <t>净利率</t>
  </si>
  <si>
    <t>FCF 利润率</t>
  </si>
  <si>
    <t>关键读数</t>
  </si>
  <si>
    <t>• FY2023–FY2026 收入从 6.09B 增至 20.25B，CAGR 约 49%；FY2026 单年 +175%。</t>
  </si>
  <si>
    <t>• FY2023–FY2025 连续亏损，FY2026 经营利润 12.39B、经营利润率 61.2%；NAND 价格是唯一主变量。</t>
  </si>
  <si>
    <t>• TTM FCF 11.49B，capex 仅 0.18B（占收入 0.9%）；fab-light 模式让现金转化率超过 100%。</t>
  </si>
  <si>
    <t>• 净现金 4.76B；无有息债务；2025 年分拆后首次全年盈利，历史数据仅 4 年。</t>
  </si>
  <si>
    <t>• EPS 73.76 美元是周期峰值；Q1 FY2027 指引 EPS 44–46，已隐含环比回落。</t>
  </si>
  <si>
    <t>闪迪：分部与关键运营数据</t>
  </si>
  <si>
    <t>单位：十亿美元，另有注明除外；同比为公开披露口径。</t>
  </si>
  <si>
    <t>FY2026 Q4 业务单元</t>
  </si>
  <si>
    <t>单位：十亿美元；季度截至 2026-07-03。</t>
  </si>
  <si>
    <t>业务单元</t>
  </si>
  <si>
    <t>Q4 收入</t>
  </si>
  <si>
    <t>占比</t>
  </si>
  <si>
    <t>Datacenter</t>
  </si>
  <si>
    <t>企业级 SSD、AI 存储</t>
  </si>
  <si>
    <t>Edge</t>
  </si>
  <si>
    <t>手机、PC、游戏</t>
  </si>
  <si>
    <t>Consumer</t>
  </si>
  <si>
    <t>零售存储卡、U 盘</t>
  </si>
  <si>
    <t>Total</t>
  </si>
  <si>
    <t>Q4 收入 8.97B，环比 +45%</t>
  </si>
  <si>
    <t>FY2026 全年业务单元</t>
  </si>
  <si>
    <t>单位：十亿美元；财年截至 2026-07-03。</t>
  </si>
  <si>
    <t>AI 服务器拉动企业级 SSD</t>
  </si>
  <si>
    <t>手机/PC 换机与容量升级</t>
  </si>
  <si>
    <t>零售需求平稳</t>
  </si>
  <si>
    <t>FY2026 收入 +175%</t>
  </si>
  <si>
    <t>FY2027 Q1 指引</t>
  </si>
  <si>
    <t>公司指引，2026-08-05 发布。</t>
  </si>
  <si>
    <t>指引</t>
  </si>
  <si>
    <t>Revenue</t>
  </si>
  <si>
    <t>10.3–10.8B</t>
  </si>
  <si>
    <t>环比 +15–20%</t>
  </si>
  <si>
    <t>Non-GAAP EPS</t>
  </si>
  <si>
    <t>44–46</t>
  </si>
  <si>
    <t>稀释股数 155M</t>
  </si>
  <si>
    <t>Gross margin</t>
  </si>
  <si>
    <t>约 68–70%</t>
  </si>
  <si>
    <t>NAND 价格与产品组合</t>
  </si>
  <si>
    <t>Capex</t>
  </si>
  <si>
    <t>低个位数 % 收入</t>
  </si>
  <si>
    <t>Fab-light 模式</t>
  </si>
  <si>
    <t>解读</t>
  </si>
  <si>
    <t>• FY2026 Q4 收入 8.97B：Datacenter 2.98B（33%）、Edge 5.43B（61%）、Consumer 0.56B（6%）。</t>
  </si>
  <si>
    <t>• Datacenter 环比 +45%，AI 服务器企业级 SSD 是增量；Edge 受手机/PC 换机与容量升级拉动。</t>
  </si>
  <si>
    <t>• FY2026 全年收入 20.25B（+175%）；Datacenter 5.15B（25%）、Edge 12.16B（60%）、Consumer 2.94B（15%）。</t>
  </si>
  <si>
    <t>• Q1 FY2027 指引收入 10.3–10.8B（环比 +15–20%），non-GAAP EPS 44–46，毛利率 68–70%。</t>
  </si>
  <si>
    <t>• 与 Kioxia 的合资工厂提供 NAND 供给；fab-light 模式让 capex 仅占收入低个位数。</t>
  </si>
  <si>
    <t>• NAND 价格是唯一重要变量；AI 存储需求真实，但当前价格已远高于现金成本。</t>
  </si>
  <si>
    <t>SNDK TTM FCFF 桥：从经营利润到自由现金流</t>
  </si>
  <si>
    <t>单位：十亿美元；TTM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</si>
  <si>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</si>
  <si>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</si>
  <si>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</si>
  <si>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</si>
  <si>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</si>
  <si>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</si>
  <si>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</si>
  <si>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</si>
  <si>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</si>
  <si>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</si>
  <si>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</si>
  <si>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</si>
  <si>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</si>
  <si>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</si>
  <si>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</si>
  <si>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+0.00B（四舍五入/汇率）</t>
  </si>
  <si>
    <t>现金转化率</t>
  </si>
  <si>
    <t>Capex / D&amp;A</t>
  </si>
  <si>
    <t>资本开支是折旧的倍数</t>
  </si>
  <si>
    <t>• TTM NOPAT 11.15B，D&amp;A 0.15B、SBC 0.23B、capex 0.18B；FCFF 11.49B。</t>
  </si>
  <si>
    <t>• 营运资金及其他 +0.14B；NAND 涨价带来预收款与库存收益，现金转化极好。</t>
  </si>
  <si>
    <t>• Capex/收入仅 0.9%，fab-light 模式由 Kioxia 合资厂承担大部分资本开支。</t>
  </si>
  <si>
    <t>• FCF/NOPAT 103%；但 NAND 价格回落时，营运资金会反向吞噬现金。</t>
  </si>
  <si>
    <t>三情景 FCFF DCF（未来 12 个月起算，10 年明确预测）</t>
  </si>
  <si>
    <t>单位：十亿美元，除每股数据；第 1 年约为未来四个季度；终值用永续增长。</t>
  </si>
  <si>
    <t>FY2026 于 2026-07-03 结束；公司 2025-02 从 Western Digital 分拆。</t>
  </si>
  <si>
    <t>全局输入</t>
  </si>
  <si>
    <t>起始收入（TTM）</t>
  </si>
  <si>
    <t>税率</t>
  </si>
  <si>
    <t>营运资金/增量收入</t>
  </si>
  <si>
    <t>股权投资（非经营）</t>
  </si>
  <si>
    <t>股数（十亿）</t>
  </si>
  <si>
    <t>注：净负债 = 0.000 + 0.000 − 4.762 = -4.762；股权投资仅用于 SOTP，DCF/IRR 不计入。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</si>
  <si>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</si>
  <si>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</si>
  <si>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</si>
  <si>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</si>
  <si>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</si>
  <si>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</si>
  <si>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</si>
  <si>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</si>
  <si>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</si>
  <si>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</si>
  <si>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</si>
  <si>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</si>
  <si>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</si>
  <si>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</si>
  <si>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</si>
  <si>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</si>
  <si>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</si>
  <si>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股权价值</t>
  </si>
  <si>
    <t>每股价值</t>
  </si>
  <si>
    <t>TV 占比 44%；终值 FCF 3.5B；终值收入 19B</t>
  </si>
  <si>
    <t>基准情景</t>
  </si>
  <si>
    <t>TV 占比 47%；终值 FCF 8.0B；终值收入 39B</t>
  </si>
  <si>
    <t>乐观情景</t>
  </si>
  <si>
    <t>TV 占比 52%；终值 FCF 13.6B；终值收入 57B</t>
  </si>
  <si>
    <t>估值敏感性：WACC、终值 capex、终值利润率</t>
  </si>
  <si>
    <t>基准情景；每股价值（美元）；由 Python 独立计算。</t>
  </si>
  <si>
    <t>终值 Capex / 收入</t>
  </si>
  <si>
    <t>终值 EBIT 利润率</t>
  </si>
  <si>
    <t>反推：现价隐含的 10 年收入 CAGR</t>
  </si>
  <si>
    <t>现价 $1,404.77</t>
  </si>
  <si>
    <t>基准情景 10 年 CAGR</t>
  </si>
  <si>
    <t>交叉检查：DCF、中周期盈利、EV/EBIT</t>
  </si>
  <si>
    <t>方法</t>
  </si>
  <si>
    <t>相对现价</t>
  </si>
  <si>
    <t>读数</t>
  </si>
  <si>
    <t>DCF 基准（周期路径）</t>
  </si>
  <si>
    <t>$737</t>
  </si>
  <si>
    <t>现价高 91%</t>
  </si>
  <si>
    <t>昂贵</t>
  </si>
  <si>
    <t>中周期 EPS 55 × 12x</t>
  </si>
  <si>
    <t>$660</t>
  </si>
  <si>
    <t>现价高 113%</t>
  </si>
  <si>
    <t>更保守</t>
  </si>
  <si>
    <t>EV/EBIT 17.2x（峰值）</t>
  </si>
  <si>
    <t>高于 MU</t>
  </si>
  <si>
    <t>NAND 溢价</t>
  </si>
  <si>
    <t>现价 = 乐观 DCF $1,364</t>
  </si>
  <si>
    <t>已计入超级周期</t>
  </si>
  <si>
    <t>无安全边际</t>
  </si>
  <si>
    <t>现价 1,405 美元高于乐观 DCF；市场把 Q1 FY27 的爆发式指引当成常态。</t>
  </si>
  <si>
    <t>数据来源与日期</t>
  </si>
  <si>
    <t>研究截止 2026-10-29；所有链接为 SEC EDGAR 或公司 IR。</t>
  </si>
  <si>
    <t>数据</t>
  </si>
  <si>
    <t>来源</t>
  </si>
  <si>
    <t>日期</t>
  </si>
  <si>
    <t>链接/备注</t>
  </si>
  <si>
    <t>FY2026 10-K</t>
  </si>
  <si>
    <t>SEC EDGAR</t>
  </si>
  <si>
    <t>2026-08-17</t>
  </si>
  <si>
    <t>Accession 0001628280-26-057406；sndk-20260703.htm</t>
  </si>
  <si>
    <t>FY2026 Q4 8-K</t>
  </si>
  <si>
    <t>2026-08-05</t>
  </si>
  <si>
    <t>Accession 0001628280-26-053346</t>
  </si>
  <si>
    <t>FY2026 Q4 业绩发布</t>
  </si>
  <si>
    <t>SEC 8-K Ex. 99.1</t>
  </si>
  <si>
    <t>sndkq4-26ex991xpressrelease.htm</t>
  </si>
  <si>
    <t>股价</t>
  </si>
  <si>
    <t>CNBC quote API</t>
  </si>
  <si>
    <t>2026-10-28</t>
  </si>
  <si>
    <t>收盘 1,404.77 美元，+7.66%</t>
  </si>
  <si>
    <t>数据边界</t>
  </si>
  <si>
    <t>公司披露</t>
  </si>
  <si>
    <t>FY2026 结束于 2026-07-03；Q1 FY2027 未发布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</si>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</sst>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$#,##0.00"/>
    <numFmt numFmtId="177" formatCode="0.0000"/>
    <numFmt numFmtId="178" formatCode="#,##0.0"/>
    <numFmt numFmtId="179" formatCode="0.0&quot;x&quot;"/>
    <numFmt numFmtId="180" formatCode="0.0%"/>
    <numFmt numFmtId="181" formatCode="0.000"/>
    <numFmt numFmtId="182" formatCode="\$#,##0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2" fillId="0" borderId="0" xfId="0" applyFont="1"/>
    <xf numFmtId="0" fontId="0" fillId="0" borderId="0" xfId="0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SNDK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每股价值（美元）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13-46C7-8BBF-F13CBFF06FAA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13-46C7-8BBF-F13CBFF06FAA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13-46C7-8BBF-F13CBFF06FAA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313-46C7-8BBF-F13CBFF06F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\$#,##0.00</c:formatCode>
                <c:ptCount val="4"/>
                <c:pt idx="0">
                  <c:v>272.499633401599</c:v>
                </c:pt>
                <c:pt idx="1">
                  <c:v>736.68127518728829</c:v>
                </c:pt>
                <c:pt idx="2">
                  <c:v>1363.9093485247161</c:v>
                </c:pt>
                <c:pt idx="3">
                  <c:v>1404.77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13-46C7-8BBF-F13CBFF06F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zh-C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美元/股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路径（十亿美元）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18.375060000000001</c:v>
                </c:pt>
                <c:pt idx="1">
                  <c:v>9.0868974400000013</c:v>
                </c:pt>
                <c:pt idx="2">
                  <c:v>5.6287212720000008</c:v>
                </c:pt>
                <c:pt idx="3">
                  <c:v>6.7439051820000007</c:v>
                </c:pt>
                <c:pt idx="4">
                  <c:v>7.8154165857600013</c:v>
                </c:pt>
                <c:pt idx="5">
                  <c:v>8.1983831474160027</c:v>
                </c:pt>
                <c:pt idx="6">
                  <c:v>8.1198209298507873</c:v>
                </c:pt>
                <c:pt idx="7">
                  <c:v>8.1823106372923267</c:v>
                </c:pt>
                <c:pt idx="8">
                  <c:v>8.1244953400988322</c:v>
                </c:pt>
                <c:pt idx="9">
                  <c:v>8.0196949351861146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4E-4AE9-8B80-6208CF14C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7" customWidth="1"/>
    <col min="3" max="3" width="26" customWidth="1"/>
    <col min="4" max="4" width="22" customWidth="1"/>
    <col min="5" max="5" width="14" customWidth="1"/>
  </cols>
  <sheetData>
    <row r="1" spans="1:13" ht="23.4">
      <c r="A1" s="1" t="s">
        <v>0</v>
      </c>
    </row>
    <row r="2" spans="1:13" ht="15.6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15.6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31" t="s">
        <v>4</v>
      </c>
      <c r="B6" s="29"/>
      <c r="C6" s="29"/>
      <c r="D6" s="29"/>
      <c r="E6" s="29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95" customHeight="1">
      <c r="A10" s="6" t="s">
        <v>9</v>
      </c>
      <c r="B10" s="7">
        <v>1404.77</v>
      </c>
      <c r="C10" s="8" t="s">
        <v>10</v>
      </c>
    </row>
    <row r="11" spans="1:13" ht="22.95" customHeight="1">
      <c r="A11" s="6" t="s">
        <v>11</v>
      </c>
      <c r="B11" s="9">
        <v>0.155</v>
      </c>
      <c r="C11" s="8" t="s">
        <v>12</v>
      </c>
    </row>
    <row r="12" spans="1:13" ht="22.95" customHeight="1">
      <c r="A12" s="6" t="s">
        <v>13</v>
      </c>
      <c r="B12" s="10">
        <f>B10*B11</f>
        <v>217.73935</v>
      </c>
      <c r="C12" s="8" t="s">
        <v>14</v>
      </c>
    </row>
    <row r="13" spans="1:13" ht="22.95" customHeight="1">
      <c r="A13" s="6" t="s">
        <v>15</v>
      </c>
      <c r="B13" s="11">
        <v>-4.7619999999999996</v>
      </c>
      <c r="C13" s="8" t="s">
        <v>16</v>
      </c>
    </row>
    <row r="14" spans="1:13" ht="22.95" customHeight="1">
      <c r="A14" s="6" t="s">
        <v>17</v>
      </c>
      <c r="B14" s="10">
        <f>B12+B13</f>
        <v>212.97735</v>
      </c>
      <c r="C14" s="8" t="s">
        <v>18</v>
      </c>
    </row>
    <row r="15" spans="1:13" ht="22.95" customHeight="1">
      <c r="A15" s="6" t="s">
        <v>19</v>
      </c>
      <c r="B15" s="11">
        <v>20.248000000000001</v>
      </c>
      <c r="C15" s="8" t="s">
        <v>20</v>
      </c>
    </row>
    <row r="16" spans="1:13" ht="22.95" customHeight="1">
      <c r="A16" s="6" t="s">
        <v>21</v>
      </c>
      <c r="B16" s="11">
        <v>12.388999999999999</v>
      </c>
      <c r="C16" s="8" t="s">
        <v>22</v>
      </c>
    </row>
    <row r="17" spans="1:5" ht="22.95" customHeight="1">
      <c r="A17" s="6" t="s">
        <v>23</v>
      </c>
      <c r="B17" s="11">
        <v>11.15</v>
      </c>
      <c r="C17" s="8" t="s">
        <v>24</v>
      </c>
    </row>
    <row r="18" spans="1:5" ht="22.95" customHeight="1">
      <c r="A18" s="6" t="s">
        <v>25</v>
      </c>
      <c r="B18" s="11">
        <v>11.494</v>
      </c>
      <c r="C18" s="8" t="s">
        <v>26</v>
      </c>
    </row>
    <row r="19" spans="1:5" ht="22.95" customHeight="1">
      <c r="A19" s="6" t="s">
        <v>27</v>
      </c>
      <c r="B19" s="11">
        <v>38.5</v>
      </c>
      <c r="C19" s="8" t="s">
        <v>28</v>
      </c>
    </row>
    <row r="20" spans="1:5" ht="22.95" customHeight="1">
      <c r="A20" s="6" t="s">
        <v>29</v>
      </c>
      <c r="B20" s="12">
        <v>73.760000000000005</v>
      </c>
      <c r="C20" s="8" t="s">
        <v>30</v>
      </c>
    </row>
    <row r="21" spans="1:5" ht="22.95" customHeight="1">
      <c r="A21" s="6" t="s">
        <v>31</v>
      </c>
      <c r="B21" s="12">
        <v>180</v>
      </c>
      <c r="C21" s="8" t="s">
        <v>32</v>
      </c>
    </row>
    <row r="22" spans="1:5" ht="22.95" customHeight="1">
      <c r="A22" s="6" t="s">
        <v>33</v>
      </c>
      <c r="B22" s="13">
        <f>B14/B16</f>
        <v>17.190842683025267</v>
      </c>
      <c r="C22" s="8" t="s">
        <v>34</v>
      </c>
    </row>
    <row r="23" spans="1:5" ht="22.95" customHeight="1">
      <c r="A23" s="6" t="s">
        <v>35</v>
      </c>
      <c r="B23" s="13">
        <f>B10/B20</f>
        <v>19.045146420824292</v>
      </c>
      <c r="C23" s="8" t="s">
        <v>36</v>
      </c>
    </row>
    <row r="24" spans="1:5" ht="22.95" customHeight="1">
      <c r="A24" s="6" t="s">
        <v>37</v>
      </c>
      <c r="B24" s="13">
        <f>B10/B21</f>
        <v>7.8042777777777781</v>
      </c>
      <c r="C24" s="8" t="s">
        <v>38</v>
      </c>
    </row>
    <row r="25" spans="1:5" ht="22.95" customHeight="1">
      <c r="A25" s="6" t="s">
        <v>39</v>
      </c>
      <c r="B25" s="14">
        <f>B18/B12</f>
        <v>5.2787886066528629E-2</v>
      </c>
      <c r="C25" s="8" t="s">
        <v>40</v>
      </c>
    </row>
    <row r="26" spans="1:5" ht="22.95" customHeight="1">
      <c r="A26" s="6" t="s">
        <v>41</v>
      </c>
      <c r="B26" s="13">
        <f>B14/B18</f>
        <v>18.52943709761615</v>
      </c>
      <c r="C26" s="8" t="s">
        <v>42</v>
      </c>
    </row>
    <row r="27" spans="1:5" ht="22.95" customHeight="1">
      <c r="A27" s="6" t="s">
        <v>43</v>
      </c>
      <c r="B27" s="15">
        <v>8.7416041090478055E-3</v>
      </c>
      <c r="C27" s="8" t="s">
        <v>44</v>
      </c>
    </row>
    <row r="28" spans="1:5" ht="22.95" customHeight="1">
      <c r="A28" s="6" t="s">
        <v>45</v>
      </c>
      <c r="B28" s="16">
        <f>B18/B17</f>
        <v>1.0308520179372196</v>
      </c>
      <c r="C28" s="8" t="s">
        <v>46</v>
      </c>
    </row>
    <row r="29" spans="1:5" ht="22.95" customHeight="1">
      <c r="A29" s="6" t="s">
        <v>47</v>
      </c>
      <c r="B29" s="17">
        <v>0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272.499633401599</v>
      </c>
      <c r="C33" s="15">
        <f>B33/$B$10-1</f>
        <v>-0.8060183279813784</v>
      </c>
      <c r="D33" s="15">
        <f>1-$B$10/B33</f>
        <v>-4.1551262013248529</v>
      </c>
      <c r="E33" s="17">
        <v>3.8399999999999997E-2</v>
      </c>
    </row>
    <row r="34" spans="1:5">
      <c r="A34" s="18" t="s">
        <v>55</v>
      </c>
      <c r="B34" s="19">
        <v>736.68127518728829</v>
      </c>
      <c r="C34" s="15">
        <f>B34/$B$10-1</f>
        <v>-0.47558584310080065</v>
      </c>
      <c r="D34" s="15">
        <f>1-$B$10/B34</f>
        <v>-0.90688978709668144</v>
      </c>
      <c r="E34" s="17">
        <v>6.1199999999999997E-2</v>
      </c>
    </row>
    <row r="35" spans="1:5">
      <c r="A35" s="6" t="s">
        <v>56</v>
      </c>
      <c r="B35" s="7">
        <v>1363.9093485247161</v>
      </c>
      <c r="C35" s="15">
        <f>B35/$B$10-1</f>
        <v>-2.9087075802646689E-2</v>
      </c>
      <c r="D35" s="15">
        <f>1-$B$10/B35</f>
        <v>-2.9958480392763054E-2</v>
      </c>
      <c r="E35" s="17">
        <v>8.6199999999999999E-2</v>
      </c>
    </row>
    <row r="36" spans="1:5">
      <c r="A36" s="20" t="s">
        <v>57</v>
      </c>
      <c r="B36" s="21">
        <v>1404.77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28.05" customHeight="1">
      <c r="A39" s="30" t="s">
        <v>60</v>
      </c>
      <c r="B39" s="29"/>
      <c r="C39" s="29"/>
      <c r="D39" s="29"/>
      <c r="E39" s="29"/>
    </row>
    <row r="40" spans="1:5" ht="28.05" customHeight="1">
      <c r="A40" s="30" t="s">
        <v>61</v>
      </c>
      <c r="B40" s="29"/>
      <c r="C40" s="29"/>
      <c r="D40" s="29"/>
      <c r="E40" s="29"/>
    </row>
    <row r="41" spans="1:5" ht="28.05" customHeight="1">
      <c r="A41" s="30" t="s">
        <v>62</v>
      </c>
      <c r="B41" s="29"/>
      <c r="C41" s="29"/>
      <c r="D41" s="29"/>
      <c r="E41" s="29"/>
    </row>
    <row r="42" spans="1:5" ht="28.05" customHeight="1">
      <c r="A42" s="30" t="s">
        <v>63</v>
      </c>
      <c r="B42" s="29"/>
      <c r="C42" s="29"/>
      <c r="D42" s="29"/>
      <c r="E42" s="29"/>
    </row>
    <row r="43" spans="1:5" ht="28.05" customHeight="1">
      <c r="A43" s="30" t="s">
        <v>64</v>
      </c>
      <c r="B43" s="29"/>
      <c r="C43" s="29"/>
      <c r="D43" s="29"/>
      <c r="E43" s="29"/>
    </row>
    <row r="44" spans="1:5" ht="28.05" customHeight="1">
      <c r="A44" s="30" t="s">
        <v>65</v>
      </c>
      <c r="B44" s="29"/>
      <c r="C44" s="29"/>
      <c r="D44" s="29"/>
      <c r="E44" s="29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30" customWidth="1"/>
    <col min="2" max="6" width="11" customWidth="1"/>
    <col min="7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8" t="s">
        <v>67</v>
      </c>
      <c r="B2" s="29"/>
      <c r="C2" s="29"/>
      <c r="D2" s="29"/>
      <c r="E2" s="29"/>
      <c r="F2" s="29"/>
      <c r="G2" s="29"/>
      <c r="H2" s="29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8</v>
      </c>
    </row>
    <row r="5" spans="1:8">
      <c r="A5" s="6" t="s">
        <v>72</v>
      </c>
      <c r="B5" s="11">
        <v>6.0860000000000003</v>
      </c>
      <c r="C5" s="11">
        <v>6.6630000000000003</v>
      </c>
      <c r="D5" s="11">
        <v>7.3550000000000004</v>
      </c>
      <c r="E5" s="11">
        <v>20.248000000000001</v>
      </c>
      <c r="H5" s="8" t="s">
        <v>73</v>
      </c>
    </row>
    <row r="6" spans="1:8">
      <c r="A6" s="6" t="s">
        <v>74</v>
      </c>
      <c r="B6" s="11">
        <v>-2.0350000000000001</v>
      </c>
      <c r="C6" s="11">
        <v>-0.46800000000000003</v>
      </c>
      <c r="D6" s="11">
        <v>-1.377</v>
      </c>
      <c r="E6" s="11">
        <v>12.388999999999999</v>
      </c>
      <c r="H6" s="8" t="s">
        <v>75</v>
      </c>
    </row>
    <row r="7" spans="1:8">
      <c r="A7" s="6" t="s">
        <v>76</v>
      </c>
      <c r="B7" s="11">
        <v>-2.1429999999999998</v>
      </c>
      <c r="C7" s="11">
        <v>-0.67200000000000004</v>
      </c>
      <c r="D7" s="11">
        <v>-1.641</v>
      </c>
      <c r="E7" s="11">
        <v>11.433</v>
      </c>
      <c r="H7" s="8" t="s">
        <v>75</v>
      </c>
    </row>
    <row r="8" spans="1:8">
      <c r="A8" s="6" t="s">
        <v>77</v>
      </c>
      <c r="B8" s="11">
        <v>-0.71299999999999997</v>
      </c>
      <c r="C8" s="11">
        <v>-0.309</v>
      </c>
      <c r="D8" s="11">
        <v>8.4000000000000005E-2</v>
      </c>
      <c r="E8" s="11">
        <v>11.670999999999999</v>
      </c>
      <c r="H8" s="8" t="s">
        <v>78</v>
      </c>
    </row>
    <row r="9" spans="1:8">
      <c r="A9" s="6" t="s">
        <v>79</v>
      </c>
      <c r="B9" s="11">
        <v>0.219</v>
      </c>
      <c r="C9" s="11">
        <v>0.16600000000000001</v>
      </c>
      <c r="D9" s="11">
        <v>0.20399999999999999</v>
      </c>
      <c r="E9" s="11">
        <v>0.17699999999999999</v>
      </c>
      <c r="H9" s="8" t="s">
        <v>80</v>
      </c>
    </row>
    <row r="10" spans="1:8">
      <c r="A10" s="6" t="s">
        <v>81</v>
      </c>
      <c r="B10" s="11">
        <v>-0.93200000000000005</v>
      </c>
      <c r="C10" s="11">
        <v>-0.47499999999999998</v>
      </c>
      <c r="D10" s="11">
        <v>-0.12</v>
      </c>
      <c r="E10" s="11">
        <v>11.494</v>
      </c>
      <c r="H10" s="8" t="s">
        <v>82</v>
      </c>
    </row>
    <row r="11" spans="1:8">
      <c r="A11" s="6" t="s">
        <v>83</v>
      </c>
      <c r="B11" s="12">
        <v>-14.78</v>
      </c>
      <c r="C11" s="12">
        <v>-4.63</v>
      </c>
      <c r="D11" s="12">
        <v>-11.32</v>
      </c>
      <c r="E11" s="12">
        <v>73.760000000000005</v>
      </c>
      <c r="H11" s="8" t="s">
        <v>84</v>
      </c>
    </row>
    <row r="12" spans="1:8">
      <c r="A12" s="6" t="s">
        <v>85</v>
      </c>
      <c r="B12" s="23">
        <v>0.14499999999999999</v>
      </c>
      <c r="C12" s="23">
        <v>0.14499999999999999</v>
      </c>
      <c r="D12" s="23">
        <v>0.14499999999999999</v>
      </c>
      <c r="E12" s="23">
        <v>0.155</v>
      </c>
      <c r="H12" s="8" t="s">
        <v>86</v>
      </c>
    </row>
    <row r="14" spans="1:8">
      <c r="A14" s="6" t="s">
        <v>87</v>
      </c>
      <c r="C14" s="15">
        <f>C5/B5-1</f>
        <v>9.4807755504436431E-2</v>
      </c>
      <c r="D14" s="15">
        <f>D5/C5-1</f>
        <v>0.10385712141677916</v>
      </c>
      <c r="E14" s="15">
        <f>E5/D5-1</f>
        <v>1.7529571719918424</v>
      </c>
    </row>
    <row r="15" spans="1:8">
      <c r="A15" s="6" t="s">
        <v>88</v>
      </c>
      <c r="B15" s="15">
        <f>B6/B5</f>
        <v>-0.33437397305290834</v>
      </c>
      <c r="C15" s="15">
        <f>C6/C5</f>
        <v>-7.0238631247185948E-2</v>
      </c>
      <c r="D15" s="15">
        <f>D6/D5</f>
        <v>-0.18721957851801493</v>
      </c>
      <c r="E15" s="15">
        <f>E6/E5</f>
        <v>0.61186290003951005</v>
      </c>
    </row>
    <row r="16" spans="1:8">
      <c r="A16" s="6" t="s">
        <v>89</v>
      </c>
      <c r="B16" s="15">
        <f>B7/B5</f>
        <v>-0.35211961879723952</v>
      </c>
      <c r="C16" s="15">
        <f>C7/C5</f>
        <v>-0.10085547050877983</v>
      </c>
      <c r="D16" s="15">
        <f>D7/D5</f>
        <v>-0.22311352821210059</v>
      </c>
      <c r="E16" s="15">
        <f>E7/E5</f>
        <v>0.56464836033188459</v>
      </c>
    </row>
    <row r="17" spans="1:8">
      <c r="A17" s="6" t="s">
        <v>90</v>
      </c>
      <c r="B17" s="15">
        <f>B10/B5</f>
        <v>-0.15313835031219192</v>
      </c>
      <c r="C17" s="15">
        <f>C10/C5</f>
        <v>-7.1289209064985731E-2</v>
      </c>
      <c r="D17" s="15">
        <f>D10/D5</f>
        <v>-1.6315431679129841E-2</v>
      </c>
      <c r="E17" s="15">
        <f>E10/E5</f>
        <v>0.56766100355590676</v>
      </c>
    </row>
    <row r="18" spans="1:8">
      <c r="A18" s="6" t="s">
        <v>43</v>
      </c>
      <c r="B18" s="15">
        <f>B9/B5</f>
        <v>3.5984226092671705E-2</v>
      </c>
      <c r="C18" s="15">
        <f>C9/C5</f>
        <v>2.4913702536395018E-2</v>
      </c>
      <c r="D18" s="15">
        <f>D9/D5</f>
        <v>2.7736233854520731E-2</v>
      </c>
      <c r="E18" s="15">
        <f>E9/E5</f>
        <v>8.7416041090478055E-3</v>
      </c>
    </row>
    <row r="19" spans="1:8">
      <c r="A19" s="6" t="s">
        <v>45</v>
      </c>
      <c r="B19" s="15">
        <f>B10/(B6*(1-0.1))</f>
        <v>0.5088725088725089</v>
      </c>
      <c r="C19" s="15">
        <f>C10/(C6*(1-0.1))</f>
        <v>1.1277302943969609</v>
      </c>
      <c r="D19" s="15">
        <f>D10/(D6*(1-0.1))</f>
        <v>9.6828854998789626E-2</v>
      </c>
      <c r="E19" s="15">
        <f>E10/(E6*(1-0.1))</f>
        <v>1.0308427727105587</v>
      </c>
    </row>
    <row r="21" spans="1:8" ht="16.2">
      <c r="A21" s="3" t="s">
        <v>91</v>
      </c>
      <c r="B21" s="4"/>
      <c r="C21" s="4"/>
      <c r="D21" s="4"/>
      <c r="E21" s="4"/>
      <c r="F21" s="4"/>
      <c r="G21" s="4"/>
      <c r="H21" s="4"/>
    </row>
    <row r="22" spans="1:8" ht="30" customHeight="1">
      <c r="A22" s="30" t="s">
        <v>92</v>
      </c>
      <c r="B22" s="29"/>
      <c r="C22" s="29"/>
      <c r="D22" s="29"/>
      <c r="E22" s="29"/>
      <c r="F22" s="29"/>
      <c r="G22" s="29"/>
      <c r="H22" s="29"/>
    </row>
    <row r="23" spans="1:8" ht="30" customHeight="1">
      <c r="A23" s="30" t="s">
        <v>93</v>
      </c>
      <c r="B23" s="29"/>
      <c r="C23" s="29"/>
      <c r="D23" s="29"/>
      <c r="E23" s="29"/>
      <c r="F23" s="29"/>
      <c r="G23" s="29"/>
      <c r="H23" s="29"/>
    </row>
    <row r="24" spans="1:8" ht="30" customHeight="1">
      <c r="A24" s="30" t="s">
        <v>94</v>
      </c>
      <c r="B24" s="29"/>
      <c r="C24" s="29"/>
      <c r="D24" s="29"/>
      <c r="E24" s="29"/>
      <c r="F24" s="29"/>
      <c r="G24" s="29"/>
      <c r="H24" s="29"/>
    </row>
    <row r="25" spans="1:8" ht="30" customHeight="1">
      <c r="A25" s="30" t="s">
        <v>95</v>
      </c>
      <c r="B25" s="29"/>
      <c r="C25" s="29"/>
      <c r="D25" s="29"/>
      <c r="E25" s="29"/>
      <c r="F25" s="29"/>
      <c r="G25" s="29"/>
      <c r="H25" s="29"/>
    </row>
    <row r="26" spans="1:8" ht="30" customHeight="1">
      <c r="A26" s="30" t="s">
        <v>96</v>
      </c>
      <c r="B26" s="29"/>
      <c r="C26" s="29"/>
      <c r="D26" s="29"/>
      <c r="E26" s="29"/>
      <c r="F26" s="29"/>
      <c r="G26" s="29"/>
      <c r="H26" s="29"/>
    </row>
  </sheetData>
  <mergeCells count="6">
    <mergeCell ref="A26:H26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7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0" customWidth="1"/>
    <col min="6" max="6" width="20" customWidth="1"/>
  </cols>
  <sheetData>
    <row r="1" spans="1:6" ht="23.4">
      <c r="A1" s="1" t="s">
        <v>97</v>
      </c>
    </row>
    <row r="2" spans="1:6" ht="15.6">
      <c r="A2" s="28" t="s">
        <v>98</v>
      </c>
      <c r="B2" s="29"/>
      <c r="C2" s="29"/>
      <c r="D2" s="29"/>
      <c r="E2" s="29"/>
      <c r="F2" s="29"/>
    </row>
    <row r="4" spans="1:6" ht="16.2">
      <c r="A4" s="3" t="s">
        <v>99</v>
      </c>
      <c r="B4" s="4"/>
      <c r="C4" s="4"/>
      <c r="D4" s="4"/>
      <c r="E4" s="4"/>
      <c r="F4" s="4"/>
    </row>
    <row r="5" spans="1:6" ht="15.6">
      <c r="A5" s="2" t="s">
        <v>100</v>
      </c>
    </row>
    <row r="6" spans="1:6">
      <c r="A6" s="5" t="s">
        <v>101</v>
      </c>
      <c r="B6" s="5" t="s">
        <v>102</v>
      </c>
      <c r="C6" s="5" t="s">
        <v>103</v>
      </c>
      <c r="D6" s="5" t="s">
        <v>8</v>
      </c>
      <c r="E6" s="5"/>
    </row>
    <row r="7" spans="1:6">
      <c r="A7" s="6" t="s">
        <v>104</v>
      </c>
      <c r="B7" s="24">
        <v>2.9769999999999999</v>
      </c>
      <c r="C7" s="15">
        <v>0.33200000000000002</v>
      </c>
      <c r="D7" s="6" t="s">
        <v>105</v>
      </c>
      <c r="E7" s="6"/>
    </row>
    <row r="8" spans="1:6">
      <c r="A8" s="6" t="s">
        <v>106</v>
      </c>
      <c r="B8" s="24">
        <v>5.4320000000000004</v>
      </c>
      <c r="C8" s="15">
        <v>0.60599999999999998</v>
      </c>
      <c r="D8" s="6" t="s">
        <v>107</v>
      </c>
      <c r="E8" s="6"/>
    </row>
    <row r="9" spans="1:6">
      <c r="A9" s="6" t="s">
        <v>108</v>
      </c>
      <c r="B9" s="24">
        <v>0.55600000000000005</v>
      </c>
      <c r="C9" s="15">
        <v>6.2E-2</v>
      </c>
      <c r="D9" s="6" t="s">
        <v>109</v>
      </c>
      <c r="E9" s="6"/>
    </row>
    <row r="10" spans="1:6">
      <c r="A10" s="18" t="s">
        <v>110</v>
      </c>
      <c r="B10" s="24">
        <v>8.9649999999999999</v>
      </c>
      <c r="C10" s="15">
        <v>1</v>
      </c>
      <c r="D10" s="6" t="s">
        <v>111</v>
      </c>
      <c r="E10" s="6"/>
    </row>
    <row r="13" spans="1:6" ht="16.2">
      <c r="A13" s="3" t="s">
        <v>112</v>
      </c>
      <c r="B13" s="4"/>
      <c r="C13" s="4"/>
      <c r="D13" s="4"/>
      <c r="E13" s="4"/>
      <c r="F13" s="4"/>
    </row>
    <row r="14" spans="1:6" ht="15.6">
      <c r="A14" s="2" t="s">
        <v>113</v>
      </c>
    </row>
    <row r="15" spans="1:6">
      <c r="A15" s="5" t="s">
        <v>101</v>
      </c>
      <c r="B15" s="5" t="s">
        <v>71</v>
      </c>
      <c r="C15" s="5" t="s">
        <v>103</v>
      </c>
      <c r="D15" s="5" t="s">
        <v>8</v>
      </c>
      <c r="E15" s="5"/>
    </row>
    <row r="16" spans="1:6">
      <c r="A16" s="6" t="s">
        <v>104</v>
      </c>
      <c r="B16" s="24">
        <v>5.1529999999999996</v>
      </c>
      <c r="C16" s="15">
        <v>0.254</v>
      </c>
      <c r="D16" s="6" t="s">
        <v>114</v>
      </c>
      <c r="E16" s="6"/>
    </row>
    <row r="17" spans="1:6">
      <c r="A17" s="6" t="s">
        <v>106</v>
      </c>
      <c r="B17" s="24">
        <v>12.16</v>
      </c>
      <c r="C17" s="15">
        <v>0.60099999999999998</v>
      </c>
      <c r="D17" s="6" t="s">
        <v>115</v>
      </c>
      <c r="E17" s="6"/>
    </row>
    <row r="18" spans="1:6">
      <c r="A18" s="6" t="s">
        <v>108</v>
      </c>
      <c r="B18" s="24">
        <v>2.9350000000000001</v>
      </c>
      <c r="C18" s="15">
        <v>0.14499999999999999</v>
      </c>
      <c r="D18" s="6" t="s">
        <v>116</v>
      </c>
      <c r="E18" s="6"/>
    </row>
    <row r="19" spans="1:6">
      <c r="A19" s="18" t="s">
        <v>110</v>
      </c>
      <c r="B19" s="24">
        <v>20.248000000000001</v>
      </c>
      <c r="C19" s="15">
        <v>1</v>
      </c>
      <c r="D19" s="6" t="s">
        <v>117</v>
      </c>
      <c r="E19" s="6"/>
    </row>
    <row r="22" spans="1:6" ht="16.2">
      <c r="A22" s="3" t="s">
        <v>118</v>
      </c>
      <c r="B22" s="4"/>
      <c r="C22" s="4"/>
      <c r="D22" s="4"/>
      <c r="E22" s="4"/>
      <c r="F22" s="4"/>
    </row>
    <row r="23" spans="1:6" ht="15.6">
      <c r="A23" s="2" t="s">
        <v>119</v>
      </c>
    </row>
    <row r="24" spans="1:6">
      <c r="A24" s="5" t="s">
        <v>6</v>
      </c>
      <c r="B24" s="5" t="s">
        <v>120</v>
      </c>
      <c r="C24" s="5" t="s">
        <v>8</v>
      </c>
      <c r="D24" s="5"/>
      <c r="E24" s="5"/>
    </row>
    <row r="25" spans="1:6">
      <c r="A25" s="6" t="s">
        <v>121</v>
      </c>
      <c r="B25" s="6" t="s">
        <v>122</v>
      </c>
      <c r="C25" s="6" t="s">
        <v>123</v>
      </c>
      <c r="D25" s="6"/>
      <c r="E25" s="6"/>
    </row>
    <row r="26" spans="1:6">
      <c r="A26" s="6" t="s">
        <v>124</v>
      </c>
      <c r="B26" s="6" t="s">
        <v>125</v>
      </c>
      <c r="C26" s="6" t="s">
        <v>126</v>
      </c>
      <c r="D26" s="6"/>
      <c r="E26" s="6"/>
    </row>
    <row r="27" spans="1:6">
      <c r="A27" s="6" t="s">
        <v>127</v>
      </c>
      <c r="B27" s="6" t="s">
        <v>128</v>
      </c>
      <c r="C27" s="6" t="s">
        <v>129</v>
      </c>
      <c r="D27" s="6"/>
      <c r="E27" s="6"/>
    </row>
    <row r="28" spans="1:6">
      <c r="A28" s="6" t="s">
        <v>130</v>
      </c>
      <c r="B28" s="6" t="s">
        <v>131</v>
      </c>
      <c r="C28" s="6" t="s">
        <v>132</v>
      </c>
      <c r="D28" s="6"/>
      <c r="E28" s="6"/>
    </row>
    <row r="31" spans="1:6" ht="16.2">
      <c r="A31" s="3" t="s">
        <v>133</v>
      </c>
      <c r="B31" s="4"/>
      <c r="C31" s="4"/>
      <c r="D31" s="4"/>
      <c r="E31" s="4"/>
      <c r="F31" s="4"/>
    </row>
    <row r="32" spans="1:6" ht="30" customHeight="1">
      <c r="A32" s="30" t="s">
        <v>134</v>
      </c>
      <c r="B32" s="29"/>
      <c r="C32" s="29"/>
      <c r="D32" s="29"/>
      <c r="E32" s="29"/>
      <c r="F32" s="29"/>
    </row>
    <row r="33" spans="1:6" ht="30" customHeight="1">
      <c r="A33" s="30" t="s">
        <v>135</v>
      </c>
      <c r="B33" s="29"/>
      <c r="C33" s="29"/>
      <c r="D33" s="29"/>
      <c r="E33" s="29"/>
      <c r="F33" s="29"/>
    </row>
    <row r="34" spans="1:6" ht="30" customHeight="1">
      <c r="A34" s="30" t="s">
        <v>136</v>
      </c>
      <c r="B34" s="29"/>
      <c r="C34" s="29"/>
      <c r="D34" s="29"/>
      <c r="E34" s="29"/>
      <c r="F34" s="29"/>
    </row>
    <row r="35" spans="1:6" ht="30" customHeight="1">
      <c r="A35" s="30" t="s">
        <v>137</v>
      </c>
      <c r="B35" s="29"/>
      <c r="C35" s="29"/>
      <c r="D35" s="29"/>
      <c r="E35" s="29"/>
      <c r="F35" s="29"/>
    </row>
    <row r="36" spans="1:6" ht="30" customHeight="1">
      <c r="A36" s="30" t="s">
        <v>138</v>
      </c>
      <c r="B36" s="29"/>
      <c r="C36" s="29"/>
      <c r="D36" s="29"/>
      <c r="E36" s="29"/>
      <c r="F36" s="29"/>
    </row>
    <row r="37" spans="1:6" ht="30" customHeight="1">
      <c r="A37" s="30" t="s">
        <v>139</v>
      </c>
      <c r="B37" s="29"/>
      <c r="C37" s="29"/>
      <c r="D37" s="29"/>
      <c r="E37" s="29"/>
      <c r="F37" s="29"/>
    </row>
  </sheetData>
  <mergeCells count="7">
    <mergeCell ref="A33:F33"/>
    <mergeCell ref="A2:F2"/>
    <mergeCell ref="A36:F36"/>
    <mergeCell ref="A37:F37"/>
    <mergeCell ref="A32:F32"/>
    <mergeCell ref="A34:F34"/>
    <mergeCell ref="A35:F35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140</v>
      </c>
    </row>
    <row r="2" spans="1:3" ht="15.6">
      <c r="A2" s="28" t="s">
        <v>141</v>
      </c>
      <c r="B2" s="29"/>
      <c r="C2" s="29"/>
    </row>
    <row r="4" spans="1:3">
      <c r="A4" s="5" t="s">
        <v>6</v>
      </c>
      <c r="B4" s="5" t="s">
        <v>7</v>
      </c>
      <c r="C4" s="5" t="s">
        <v>142</v>
      </c>
    </row>
    <row r="5" spans="1:3">
      <c r="A5" s="6" t="s">
        <v>143</v>
      </c>
      <c r="B5" s="11">
        <v>12.388999999999999</v>
      </c>
      <c r="C5" s="8" t="s">
        <v>44</v>
      </c>
    </row>
    <row r="6" spans="1:3">
      <c r="A6" s="6" t="s">
        <v>144</v>
      </c>
      <c r="B6" s="15">
        <v>0.1</v>
      </c>
      <c r="C6" s="8" t="s">
        <v>145</v>
      </c>
    </row>
    <row r="7" spans="1:3">
      <c r="A7" s="6" t="s">
        <v>146</v>
      </c>
      <c r="B7" s="10">
        <f>B5*(1-B6)</f>
        <v>11.1501</v>
      </c>
      <c r="C7" s="8" t="s">
        <v>147</v>
      </c>
    </row>
    <row r="8" spans="1:3">
      <c r="A8" s="6" t="s">
        <v>148</v>
      </c>
      <c r="B8" s="11">
        <v>0.14899999999999999</v>
      </c>
      <c r="C8" s="8" t="s">
        <v>44</v>
      </c>
    </row>
    <row r="9" spans="1:3">
      <c r="A9" s="6" t="s">
        <v>149</v>
      </c>
      <c r="B9" s="11">
        <v>0.23200000000000001</v>
      </c>
      <c r="C9" s="8" t="s">
        <v>150</v>
      </c>
    </row>
    <row r="10" spans="1:3">
      <c r="A10" s="6" t="s">
        <v>151</v>
      </c>
      <c r="B10" s="11">
        <v>0.17699999999999999</v>
      </c>
      <c r="C10" s="8" t="s">
        <v>44</v>
      </c>
    </row>
    <row r="11" spans="1:3">
      <c r="A11" s="6" t="s">
        <v>152</v>
      </c>
      <c r="B11" s="11">
        <v>0.13500000000000001</v>
      </c>
      <c r="C11" s="8" t="s">
        <v>153</v>
      </c>
    </row>
    <row r="12" spans="1:3">
      <c r="A12" s="18" t="s">
        <v>154</v>
      </c>
      <c r="B12" s="10">
        <f>B7+B8+B9-B10+B11</f>
        <v>11.489099999999999</v>
      </c>
      <c r="C12" s="8" t="s">
        <v>155</v>
      </c>
    </row>
    <row r="13" spans="1:3">
      <c r="A13" s="6" t="s">
        <v>156</v>
      </c>
      <c r="B13" s="11">
        <v>11.670999999999999</v>
      </c>
      <c r="C13" s="8" t="s">
        <v>44</v>
      </c>
    </row>
    <row r="14" spans="1:3">
      <c r="A14" s="6" t="s">
        <v>151</v>
      </c>
      <c r="B14" s="11">
        <v>0.17699999999999999</v>
      </c>
      <c r="C14" s="8" t="s">
        <v>44</v>
      </c>
    </row>
    <row r="15" spans="1:3">
      <c r="A15" s="18" t="s">
        <v>26</v>
      </c>
      <c r="B15" s="10">
        <f>B13-B14</f>
        <v>11.494</v>
      </c>
      <c r="C15" s="8" t="s">
        <v>157</v>
      </c>
    </row>
    <row r="16" spans="1:3">
      <c r="A16" s="6" t="s">
        <v>45</v>
      </c>
      <c r="B16" s="16">
        <f>B12/B7</f>
        <v>1.0304033147684772</v>
      </c>
      <c r="C16" s="8" t="s">
        <v>158</v>
      </c>
    </row>
    <row r="17" spans="1:3">
      <c r="A17" s="6" t="s">
        <v>43</v>
      </c>
      <c r="B17" s="16">
        <f>B10/20.248</f>
        <v>8.7416041090478055E-3</v>
      </c>
      <c r="C17" s="8" t="s">
        <v>44</v>
      </c>
    </row>
    <row r="18" spans="1:3">
      <c r="A18" s="6" t="s">
        <v>159</v>
      </c>
      <c r="B18" s="13">
        <f>B10/B8</f>
        <v>1.1879194630872483</v>
      </c>
      <c r="C18" s="8" t="s">
        <v>160</v>
      </c>
    </row>
    <row r="20" spans="1:3" ht="16.2">
      <c r="A20" s="3" t="s">
        <v>133</v>
      </c>
      <c r="B20" s="4"/>
      <c r="C20" s="4"/>
    </row>
    <row r="21" spans="1:3" ht="34.049999999999997" customHeight="1">
      <c r="A21" s="30" t="s">
        <v>161</v>
      </c>
      <c r="B21" s="29"/>
      <c r="C21" s="29"/>
    </row>
    <row r="22" spans="1:3" ht="34.049999999999997" customHeight="1">
      <c r="A22" s="30" t="s">
        <v>162</v>
      </c>
      <c r="B22" s="29"/>
      <c r="C22" s="29"/>
    </row>
    <row r="23" spans="1:3" ht="34.049999999999997" customHeight="1">
      <c r="A23" s="30" t="s">
        <v>163</v>
      </c>
      <c r="B23" s="29"/>
      <c r="C23" s="29"/>
    </row>
    <row r="24" spans="1:3" ht="34.049999999999997" customHeight="1">
      <c r="A24" s="30" t="s">
        <v>164</v>
      </c>
      <c r="B24" s="29"/>
      <c r="C24" s="29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8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165</v>
      </c>
    </row>
    <row r="2" spans="1:14" ht="15.6">
      <c r="A2" s="28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.6">
      <c r="A3" s="28" t="s">
        <v>167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6.2">
      <c r="A4" s="3" t="s">
        <v>168</v>
      </c>
      <c r="B4" s="4"/>
      <c r="C4" s="4"/>
      <c r="D4" s="4"/>
      <c r="E4" s="4"/>
    </row>
    <row r="5" spans="1:14">
      <c r="A5" s="6" t="s">
        <v>169</v>
      </c>
      <c r="B5" s="11">
        <v>20.248000000000001</v>
      </c>
    </row>
    <row r="6" spans="1:14">
      <c r="A6" s="6" t="s">
        <v>170</v>
      </c>
      <c r="B6" s="15">
        <v>0.1</v>
      </c>
    </row>
    <row r="7" spans="1:14">
      <c r="A7" s="6" t="s">
        <v>171</v>
      </c>
      <c r="B7" s="15">
        <v>0.1</v>
      </c>
    </row>
    <row r="8" spans="1:14">
      <c r="A8" s="6" t="s">
        <v>15</v>
      </c>
      <c r="B8" s="11">
        <v>-4.7619999999999996</v>
      </c>
    </row>
    <row r="9" spans="1:14">
      <c r="A9" s="6" t="s">
        <v>172</v>
      </c>
      <c r="B9" s="11">
        <v>0</v>
      </c>
    </row>
    <row r="10" spans="1:14">
      <c r="A10" s="6" t="s">
        <v>173</v>
      </c>
      <c r="B10" s="9">
        <v>0.155</v>
      </c>
    </row>
    <row r="11" spans="1:14" ht="15">
      <c r="A11" s="32" t="s">
        <v>174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3" spans="1:14" ht="16.2">
      <c r="A13" s="3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176</v>
      </c>
      <c r="B14" s="15">
        <v>0.105</v>
      </c>
      <c r="C14" s="6" t="s">
        <v>177</v>
      </c>
      <c r="D14" s="15">
        <v>2.5000000000000001E-2</v>
      </c>
    </row>
    <row r="16" spans="1:14">
      <c r="A16" s="5" t="s">
        <v>178</v>
      </c>
      <c r="B16" s="5" t="s">
        <v>87</v>
      </c>
      <c r="C16" s="5" t="s">
        <v>72</v>
      </c>
      <c r="D16" s="5" t="s">
        <v>179</v>
      </c>
      <c r="E16" s="5" t="s">
        <v>180</v>
      </c>
      <c r="F16" s="5" t="s">
        <v>146</v>
      </c>
      <c r="G16" s="5" t="s">
        <v>181</v>
      </c>
      <c r="H16" s="5" t="s">
        <v>182</v>
      </c>
      <c r="I16" s="5" t="s">
        <v>183</v>
      </c>
      <c r="J16" s="5" t="s">
        <v>130</v>
      </c>
      <c r="K16" s="5" t="s">
        <v>184</v>
      </c>
      <c r="L16" s="5" t="s">
        <v>185</v>
      </c>
      <c r="M16" s="5" t="s">
        <v>186</v>
      </c>
      <c r="N16" s="5" t="s">
        <v>187</v>
      </c>
    </row>
    <row r="17" spans="1:14">
      <c r="A17" s="25">
        <v>1</v>
      </c>
      <c r="B17" s="15">
        <v>0.45</v>
      </c>
      <c r="C17" s="11">
        <f>$B$5*(1+B17)</f>
        <v>29.3596</v>
      </c>
      <c r="D17" s="15">
        <v>0.45</v>
      </c>
      <c r="E17" s="11">
        <f t="shared" ref="E17:E26" si="0">C17*D17</f>
        <v>13.211820000000001</v>
      </c>
      <c r="F17" s="11">
        <f t="shared" ref="F17:F26" si="1">E17*(1-$B$6)</f>
        <v>11.890638000000001</v>
      </c>
      <c r="G17" s="15">
        <v>1.4999999999999999E-2</v>
      </c>
      <c r="H17" s="11">
        <f t="shared" ref="H17:H26" si="2">C17*G17</f>
        <v>0.44039400000000001</v>
      </c>
      <c r="I17" s="15">
        <v>4.4999999999999998E-2</v>
      </c>
      <c r="J17" s="11">
        <f t="shared" ref="J17:J26" si="3">C17*I17</f>
        <v>1.3211819999999999</v>
      </c>
      <c r="K17" s="11">
        <f>(C17-$B$5)*$B$7</f>
        <v>0.91115999999999997</v>
      </c>
      <c r="L17" s="11">
        <f t="shared" ref="L17:L26" si="4">F17+H17-J17-K17</f>
        <v>10.09869</v>
      </c>
      <c r="M17" s="23">
        <f>1/(1+$B$14)^1</f>
        <v>0.90497737556561086</v>
      </c>
      <c r="N17" s="11">
        <f t="shared" ref="N17:N26" si="5">L17*M17</f>
        <v>9.1390859728506779</v>
      </c>
    </row>
    <row r="18" spans="1:14">
      <c r="A18" s="25">
        <v>2</v>
      </c>
      <c r="B18" s="15">
        <v>-0.55000000000000004</v>
      </c>
      <c r="C18" s="11">
        <f t="shared" ref="C18:C26" si="6">C17*(1+B18)</f>
        <v>13.211819999999999</v>
      </c>
      <c r="D18" s="15">
        <v>0.1</v>
      </c>
      <c r="E18" s="11">
        <f t="shared" si="0"/>
        <v>1.3211820000000001</v>
      </c>
      <c r="F18" s="11">
        <f t="shared" si="1"/>
        <v>1.1890638</v>
      </c>
      <c r="G18" s="15">
        <v>1.4999999999999999E-2</v>
      </c>
      <c r="H18" s="11">
        <f t="shared" si="2"/>
        <v>0.19817729999999997</v>
      </c>
      <c r="I18" s="15">
        <v>4.4999999999999998E-2</v>
      </c>
      <c r="J18" s="11">
        <f t="shared" si="3"/>
        <v>0.5945319</v>
      </c>
      <c r="K18" s="11">
        <f t="shared" ref="K18:K26" si="7">(C18-C17)*$B$7</f>
        <v>-1.6147780000000003</v>
      </c>
      <c r="L18" s="11">
        <f t="shared" si="4"/>
        <v>2.4074872000000003</v>
      </c>
      <c r="M18" s="23">
        <f>1/(1+$B$14)^2</f>
        <v>0.81898405028562071</v>
      </c>
      <c r="N18" s="11">
        <f t="shared" si="5"/>
        <v>1.9716936180667883</v>
      </c>
    </row>
    <row r="19" spans="1:14">
      <c r="A19" s="25">
        <v>3</v>
      </c>
      <c r="B19" s="15">
        <v>0.02</v>
      </c>
      <c r="C19" s="11">
        <f t="shared" si="6"/>
        <v>13.476056399999999</v>
      </c>
      <c r="D19" s="15">
        <v>0.05</v>
      </c>
      <c r="E19" s="11">
        <f t="shared" si="0"/>
        <v>0.67380282000000002</v>
      </c>
      <c r="F19" s="11">
        <f t="shared" si="1"/>
        <v>0.60642253800000001</v>
      </c>
      <c r="G19" s="15">
        <v>1.4999999999999999E-2</v>
      </c>
      <c r="H19" s="11">
        <f t="shared" si="2"/>
        <v>0.20214084599999999</v>
      </c>
      <c r="I19" s="15">
        <v>4.4999999999999998E-2</v>
      </c>
      <c r="J19" s="11">
        <f t="shared" si="3"/>
        <v>0.6064225379999999</v>
      </c>
      <c r="K19" s="11">
        <f t="shared" si="7"/>
        <v>2.642363999999997E-2</v>
      </c>
      <c r="L19" s="11">
        <f t="shared" si="4"/>
        <v>0.17571720600000007</v>
      </c>
      <c r="M19" s="23">
        <f>1/(1+$B$14)^3</f>
        <v>0.74116203645757528</v>
      </c>
      <c r="N19" s="11">
        <f t="shared" si="5"/>
        <v>0.13023492223959532</v>
      </c>
    </row>
    <row r="20" spans="1:14">
      <c r="A20" s="25">
        <v>4</v>
      </c>
      <c r="B20" s="15">
        <v>0.1</v>
      </c>
      <c r="C20" s="11">
        <f t="shared" si="6"/>
        <v>14.82366204</v>
      </c>
      <c r="D20" s="15">
        <v>0.15</v>
      </c>
      <c r="E20" s="11">
        <f t="shared" si="0"/>
        <v>2.2235493059999998</v>
      </c>
      <c r="F20" s="11">
        <f t="shared" si="1"/>
        <v>2.0011943753999999</v>
      </c>
      <c r="G20" s="15">
        <v>1.4999999999999999E-2</v>
      </c>
      <c r="H20" s="11">
        <f t="shared" si="2"/>
        <v>0.2223549306</v>
      </c>
      <c r="I20" s="15">
        <v>4.4999999999999998E-2</v>
      </c>
      <c r="J20" s="11">
        <f t="shared" si="3"/>
        <v>0.6670647918</v>
      </c>
      <c r="K20" s="11">
        <f t="shared" si="7"/>
        <v>0.13476056400000011</v>
      </c>
      <c r="L20" s="11">
        <f t="shared" si="4"/>
        <v>1.4217239501999996</v>
      </c>
      <c r="M20" s="23">
        <f>1/(1+$B$14)^4</f>
        <v>0.67073487462224002</v>
      </c>
      <c r="N20" s="11">
        <f t="shared" si="5"/>
        <v>0.95359983548483263</v>
      </c>
    </row>
    <row r="21" spans="1:14">
      <c r="A21" s="25">
        <v>5</v>
      </c>
      <c r="B21" s="15">
        <v>0.08</v>
      </c>
      <c r="C21" s="11">
        <f t="shared" si="6"/>
        <v>16.009555003200003</v>
      </c>
      <c r="D21" s="15">
        <v>0.2</v>
      </c>
      <c r="E21" s="11">
        <f t="shared" si="0"/>
        <v>3.2019110006400009</v>
      </c>
      <c r="F21" s="11">
        <f t="shared" si="1"/>
        <v>2.8817199005760008</v>
      </c>
      <c r="G21" s="15">
        <v>1.4999999999999999E-2</v>
      </c>
      <c r="H21" s="11">
        <f t="shared" si="2"/>
        <v>0.24014332504800004</v>
      </c>
      <c r="I21" s="15">
        <v>4.4999999999999998E-2</v>
      </c>
      <c r="J21" s="11">
        <f t="shared" si="3"/>
        <v>0.72042997514400009</v>
      </c>
      <c r="K21" s="11">
        <f t="shared" si="7"/>
        <v>0.11858929632000025</v>
      </c>
      <c r="L21" s="11">
        <f t="shared" si="4"/>
        <v>2.2828439541600005</v>
      </c>
      <c r="M21" s="23">
        <f>1/(1+$B$14)^5</f>
        <v>0.60699988653596382</v>
      </c>
      <c r="N21" s="11">
        <f t="shared" si="5"/>
        <v>1.3856860211544313</v>
      </c>
    </row>
    <row r="22" spans="1:14">
      <c r="A22" s="25">
        <v>6</v>
      </c>
      <c r="B22" s="15">
        <v>0.06</v>
      </c>
      <c r="C22" s="11">
        <f t="shared" si="6"/>
        <v>16.970128303392002</v>
      </c>
      <c r="D22" s="15">
        <v>0.22</v>
      </c>
      <c r="E22" s="11">
        <f t="shared" si="0"/>
        <v>3.7334282267462404</v>
      </c>
      <c r="F22" s="11">
        <f t="shared" si="1"/>
        <v>3.3600854040716164</v>
      </c>
      <c r="G22" s="15">
        <v>1.4999999999999999E-2</v>
      </c>
      <c r="H22" s="11">
        <f t="shared" si="2"/>
        <v>0.25455192455088005</v>
      </c>
      <c r="I22" s="15">
        <v>4.4999999999999998E-2</v>
      </c>
      <c r="J22" s="11">
        <f t="shared" si="3"/>
        <v>0.76365577365264004</v>
      </c>
      <c r="K22" s="11">
        <f t="shared" si="7"/>
        <v>9.6057330019199944E-2</v>
      </c>
      <c r="L22" s="11">
        <f t="shared" si="4"/>
        <v>2.7549242249506563</v>
      </c>
      <c r="M22" s="23">
        <f>1/(1+$B$14)^6</f>
        <v>0.54932116428594002</v>
      </c>
      <c r="N22" s="11">
        <f t="shared" si="5"/>
        <v>1.5133381827694354</v>
      </c>
    </row>
    <row r="23" spans="1:14">
      <c r="A23" s="25">
        <v>7</v>
      </c>
      <c r="B23" s="15">
        <v>0.04</v>
      </c>
      <c r="C23" s="11">
        <f t="shared" si="6"/>
        <v>17.648933435527681</v>
      </c>
      <c r="D23" s="15">
        <v>0.23</v>
      </c>
      <c r="E23" s="11">
        <f t="shared" si="0"/>
        <v>4.0592546901713664</v>
      </c>
      <c r="F23" s="11">
        <f t="shared" si="1"/>
        <v>3.6533292211542299</v>
      </c>
      <c r="G23" s="15">
        <v>1.4999999999999999E-2</v>
      </c>
      <c r="H23" s="11">
        <f t="shared" si="2"/>
        <v>0.26473400153291521</v>
      </c>
      <c r="I23" s="15">
        <v>4.4999999999999998E-2</v>
      </c>
      <c r="J23" s="11">
        <f t="shared" si="3"/>
        <v>0.79420200459874557</v>
      </c>
      <c r="K23" s="11">
        <f t="shared" si="7"/>
        <v>6.7880513213567903E-2</v>
      </c>
      <c r="L23" s="11">
        <f t="shared" si="4"/>
        <v>3.0559807048748318</v>
      </c>
      <c r="M23" s="23">
        <f>1/(1+$B$14)^7</f>
        <v>0.49712322559813582</v>
      </c>
      <c r="N23" s="11">
        <f t="shared" si="5"/>
        <v>1.5191989853730412</v>
      </c>
    </row>
    <row r="24" spans="1:14">
      <c r="A24" s="25">
        <v>8</v>
      </c>
      <c r="B24" s="15">
        <v>0.03</v>
      </c>
      <c r="C24" s="11">
        <f t="shared" si="6"/>
        <v>18.178401438593511</v>
      </c>
      <c r="D24" s="15">
        <v>0.24</v>
      </c>
      <c r="E24" s="11">
        <f t="shared" si="0"/>
        <v>4.3628163452624422</v>
      </c>
      <c r="F24" s="11">
        <f t="shared" si="1"/>
        <v>3.9265347107361981</v>
      </c>
      <c r="G24" s="15">
        <v>1.4999999999999999E-2</v>
      </c>
      <c r="H24" s="11">
        <f t="shared" si="2"/>
        <v>0.27267602157890264</v>
      </c>
      <c r="I24" s="15">
        <v>4.4999999999999998E-2</v>
      </c>
      <c r="J24" s="11">
        <f t="shared" si="3"/>
        <v>0.81802806473670797</v>
      </c>
      <c r="K24" s="11">
        <f t="shared" si="7"/>
        <v>5.294680030658299E-2</v>
      </c>
      <c r="L24" s="11">
        <f t="shared" si="4"/>
        <v>3.3282358672718098</v>
      </c>
      <c r="M24" s="23">
        <f>1/(1+$B$14)^8</f>
        <v>0.44988527203451206</v>
      </c>
      <c r="N24" s="11">
        <f t="shared" si="5"/>
        <v>1.4973242985425983</v>
      </c>
    </row>
    <row r="25" spans="1:14">
      <c r="A25" s="25">
        <v>9</v>
      </c>
      <c r="B25" s="15">
        <v>0.03</v>
      </c>
      <c r="C25" s="11">
        <f t="shared" si="6"/>
        <v>18.723753481751316</v>
      </c>
      <c r="D25" s="15">
        <v>0.24</v>
      </c>
      <c r="E25" s="11">
        <f t="shared" si="0"/>
        <v>4.4937008356203156</v>
      </c>
      <c r="F25" s="11">
        <f t="shared" si="1"/>
        <v>4.0443307520582845</v>
      </c>
      <c r="G25" s="15">
        <v>1.4999999999999999E-2</v>
      </c>
      <c r="H25" s="11">
        <f t="shared" si="2"/>
        <v>0.28085630222626973</v>
      </c>
      <c r="I25" s="15">
        <v>4.4999999999999998E-2</v>
      </c>
      <c r="J25" s="11">
        <f t="shared" si="3"/>
        <v>0.84256890667880924</v>
      </c>
      <c r="K25" s="11">
        <f t="shared" si="7"/>
        <v>5.4535204315780565E-2</v>
      </c>
      <c r="L25" s="11">
        <f t="shared" si="4"/>
        <v>3.4280829432899642</v>
      </c>
      <c r="M25" s="23">
        <f>1/(1+$B$14)^9</f>
        <v>0.40713599279141366</v>
      </c>
      <c r="N25" s="11">
        <f t="shared" si="5"/>
        <v>1.3956959524876711</v>
      </c>
    </row>
    <row r="26" spans="1:14">
      <c r="A26" s="25">
        <v>10</v>
      </c>
      <c r="B26" s="15">
        <v>0.03</v>
      </c>
      <c r="C26" s="11">
        <f t="shared" si="6"/>
        <v>19.285466086203858</v>
      </c>
      <c r="D26" s="15">
        <v>0.24</v>
      </c>
      <c r="E26" s="11">
        <f t="shared" si="0"/>
        <v>4.6285118606889259</v>
      </c>
      <c r="F26" s="11">
        <f t="shared" si="1"/>
        <v>4.1656606746200335</v>
      </c>
      <c r="G26" s="15">
        <v>1.4999999999999999E-2</v>
      </c>
      <c r="H26" s="11">
        <f t="shared" si="2"/>
        <v>0.28928199129305787</v>
      </c>
      <c r="I26" s="15">
        <v>4.4999999999999998E-2</v>
      </c>
      <c r="J26" s="11">
        <f t="shared" si="3"/>
        <v>0.86784597387917362</v>
      </c>
      <c r="K26" s="11">
        <f t="shared" si="7"/>
        <v>5.617126044525414E-2</v>
      </c>
      <c r="L26" s="11">
        <f t="shared" si="4"/>
        <v>3.5309254315886638</v>
      </c>
      <c r="M26" s="23">
        <f>1/(1+$B$14)^10</f>
        <v>0.36844886225467294</v>
      </c>
      <c r="N26" s="11">
        <f t="shared" si="5"/>
        <v>1.3009654579749332</v>
      </c>
    </row>
    <row r="27" spans="1:14">
      <c r="A27" s="18" t="s">
        <v>188</v>
      </c>
      <c r="B27" s="11">
        <f>L26*(1+$D$14)/($B$14-$D$14)</f>
        <v>45.239982092229759</v>
      </c>
    </row>
    <row r="28" spans="1:14">
      <c r="A28" s="6" t="s">
        <v>189</v>
      </c>
      <c r="B28" s="11">
        <f>B27/(1+$B$14)^10</f>
        <v>16.668619930303834</v>
      </c>
    </row>
    <row r="29" spans="1:14">
      <c r="A29" s="18" t="s">
        <v>190</v>
      </c>
      <c r="B29" s="11">
        <f>SUM(N17:N26)+B28</f>
        <v>37.47544317724784</v>
      </c>
    </row>
    <row r="30" spans="1:14">
      <c r="A30" s="6" t="s">
        <v>191</v>
      </c>
      <c r="B30" s="11">
        <f>$B$8</f>
        <v>-4.7619999999999996</v>
      </c>
    </row>
    <row r="31" spans="1:14">
      <c r="A31" s="18" t="s">
        <v>192</v>
      </c>
      <c r="B31" s="11">
        <f>B29-B30</f>
        <v>42.23744317724784</v>
      </c>
    </row>
    <row r="32" spans="1:14">
      <c r="A32" s="18" t="s">
        <v>193</v>
      </c>
      <c r="B32" s="7">
        <f>B31/$B$10</f>
        <v>272.499633401599</v>
      </c>
      <c r="C32" s="6" t="s">
        <v>194</v>
      </c>
    </row>
    <row r="36" spans="1:14" ht="16.2">
      <c r="A36" s="3" t="s">
        <v>195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176</v>
      </c>
      <c r="B37" s="15">
        <v>9.5000000000000001E-2</v>
      </c>
      <c r="C37" s="6" t="s">
        <v>177</v>
      </c>
      <c r="D37" s="15">
        <v>0.03</v>
      </c>
    </row>
    <row r="39" spans="1:14">
      <c r="A39" s="5" t="s">
        <v>178</v>
      </c>
      <c r="B39" s="5" t="s">
        <v>87</v>
      </c>
      <c r="C39" s="5" t="s">
        <v>72</v>
      </c>
      <c r="D39" s="5" t="s">
        <v>179</v>
      </c>
      <c r="E39" s="5" t="s">
        <v>180</v>
      </c>
      <c r="F39" s="5" t="s">
        <v>146</v>
      </c>
      <c r="G39" s="5" t="s">
        <v>181</v>
      </c>
      <c r="H39" s="5" t="s">
        <v>182</v>
      </c>
      <c r="I39" s="5" t="s">
        <v>183</v>
      </c>
      <c r="J39" s="5" t="s">
        <v>130</v>
      </c>
      <c r="K39" s="5" t="s">
        <v>184</v>
      </c>
      <c r="L39" s="5" t="s">
        <v>185</v>
      </c>
      <c r="M39" s="5" t="s">
        <v>186</v>
      </c>
      <c r="N39" s="5" t="s">
        <v>187</v>
      </c>
    </row>
    <row r="40" spans="1:14">
      <c r="A40" s="25">
        <v>1</v>
      </c>
      <c r="B40" s="15">
        <v>0.9</v>
      </c>
      <c r="C40" s="11">
        <f>$B$5*(1+B40)</f>
        <v>38.471200000000003</v>
      </c>
      <c r="D40" s="15">
        <v>0.6</v>
      </c>
      <c r="E40" s="11">
        <f t="shared" ref="E40:E49" si="8">C40*D40</f>
        <v>23.082720000000002</v>
      </c>
      <c r="F40" s="11">
        <f t="shared" ref="F40:F49" si="9">E40*(1-$B$6)</f>
        <v>20.774448000000003</v>
      </c>
      <c r="G40" s="15">
        <v>1.4999999999999999E-2</v>
      </c>
      <c r="H40" s="11">
        <f t="shared" ref="H40:H49" si="10">C40*G40</f>
        <v>0.57706800000000003</v>
      </c>
      <c r="I40" s="15">
        <v>0.03</v>
      </c>
      <c r="J40" s="11">
        <f t="shared" ref="J40:J49" si="11">C40*I40</f>
        <v>1.1541360000000001</v>
      </c>
      <c r="K40" s="11">
        <f>(C40-$B$5)*$B$7</f>
        <v>1.8223200000000004</v>
      </c>
      <c r="L40" s="11">
        <f t="shared" ref="L40:L49" si="12">F40+H40-J40-K40</f>
        <v>18.375060000000001</v>
      </c>
      <c r="M40" s="23">
        <f>1/(1+$B$37)^1</f>
        <v>0.91324200913242015</v>
      </c>
      <c r="N40" s="11">
        <f t="shared" ref="N40:N49" si="13">L40*M40</f>
        <v>16.780876712328769</v>
      </c>
    </row>
    <row r="41" spans="1:14">
      <c r="A41" s="25">
        <v>2</v>
      </c>
      <c r="B41" s="15">
        <v>-0.4</v>
      </c>
      <c r="C41" s="11">
        <f t="shared" ref="C41:C49" si="14">C40*(1+B41)</f>
        <v>23.082720000000002</v>
      </c>
      <c r="D41" s="15">
        <v>0.38</v>
      </c>
      <c r="E41" s="11">
        <f t="shared" si="8"/>
        <v>8.7714335999999999</v>
      </c>
      <c r="F41" s="11">
        <f t="shared" si="9"/>
        <v>7.8942902400000001</v>
      </c>
      <c r="G41" s="15">
        <v>1.4999999999999999E-2</v>
      </c>
      <c r="H41" s="11">
        <f t="shared" si="10"/>
        <v>0.34624080000000002</v>
      </c>
      <c r="I41" s="15">
        <v>0.03</v>
      </c>
      <c r="J41" s="11">
        <f t="shared" si="11"/>
        <v>0.69248160000000003</v>
      </c>
      <c r="K41" s="11">
        <f t="shared" ref="K41:K49" si="15">(C41-C40)*$B$7</f>
        <v>-1.5388480000000002</v>
      </c>
      <c r="L41" s="11">
        <f t="shared" si="12"/>
        <v>9.0868974400000013</v>
      </c>
      <c r="M41" s="23">
        <f>1/(1+$B$37)^2</f>
        <v>0.8340109672442193</v>
      </c>
      <c r="N41" s="11">
        <f t="shared" si="13"/>
        <v>7.5785721231834211</v>
      </c>
    </row>
    <row r="42" spans="1:14">
      <c r="A42" s="25">
        <v>3</v>
      </c>
      <c r="B42" s="15">
        <v>0.05</v>
      </c>
      <c r="C42" s="11">
        <f t="shared" si="14"/>
        <v>24.236856000000003</v>
      </c>
      <c r="D42" s="15">
        <v>0.28000000000000003</v>
      </c>
      <c r="E42" s="11">
        <f t="shared" si="8"/>
        <v>6.7863196800000019</v>
      </c>
      <c r="F42" s="11">
        <f t="shared" si="9"/>
        <v>6.1076877120000015</v>
      </c>
      <c r="G42" s="15">
        <v>1.4999999999999999E-2</v>
      </c>
      <c r="H42" s="11">
        <f t="shared" si="10"/>
        <v>0.36355284000000004</v>
      </c>
      <c r="I42" s="15">
        <v>0.03</v>
      </c>
      <c r="J42" s="11">
        <f t="shared" si="11"/>
        <v>0.72710568000000009</v>
      </c>
      <c r="K42" s="11">
        <f t="shared" si="15"/>
        <v>0.11541360000000012</v>
      </c>
      <c r="L42" s="11">
        <f t="shared" si="12"/>
        <v>5.6287212720000008</v>
      </c>
      <c r="M42" s="23">
        <f>1/(1+$B$37)^3</f>
        <v>0.76165385136458386</v>
      </c>
      <c r="N42" s="11">
        <f t="shared" si="13"/>
        <v>4.2871372350765604</v>
      </c>
    </row>
    <row r="43" spans="1:14">
      <c r="A43" s="25">
        <v>4</v>
      </c>
      <c r="B43" s="15">
        <v>0.15</v>
      </c>
      <c r="C43" s="11">
        <f t="shared" si="14"/>
        <v>27.872384400000001</v>
      </c>
      <c r="D43" s="15">
        <v>0.3</v>
      </c>
      <c r="E43" s="11">
        <f t="shared" si="8"/>
        <v>8.3617153200000001</v>
      </c>
      <c r="F43" s="11">
        <f t="shared" si="9"/>
        <v>7.5255437880000002</v>
      </c>
      <c r="G43" s="15">
        <v>1.4999999999999999E-2</v>
      </c>
      <c r="H43" s="11">
        <f t="shared" si="10"/>
        <v>0.41808576600000003</v>
      </c>
      <c r="I43" s="15">
        <v>0.03</v>
      </c>
      <c r="J43" s="11">
        <f t="shared" si="11"/>
        <v>0.83617153200000005</v>
      </c>
      <c r="K43" s="11">
        <f t="shared" si="15"/>
        <v>0.36355283999999988</v>
      </c>
      <c r="L43" s="11">
        <f t="shared" si="12"/>
        <v>6.7439051820000007</v>
      </c>
      <c r="M43" s="23">
        <f>1/(1+$B$37)^4</f>
        <v>0.6955742934836382</v>
      </c>
      <c r="N43" s="11">
        <f t="shared" si="13"/>
        <v>4.6908870822902973</v>
      </c>
    </row>
    <row r="44" spans="1:14">
      <c r="A44" s="25">
        <v>5</v>
      </c>
      <c r="B44" s="15">
        <v>0.1</v>
      </c>
      <c r="C44" s="11">
        <f t="shared" si="14"/>
        <v>30.659622840000004</v>
      </c>
      <c r="D44" s="15">
        <v>0.31</v>
      </c>
      <c r="E44" s="11">
        <f t="shared" si="8"/>
        <v>9.5044830804000018</v>
      </c>
      <c r="F44" s="11">
        <f t="shared" si="9"/>
        <v>8.5540347723600014</v>
      </c>
      <c r="G44" s="15">
        <v>1.4999999999999999E-2</v>
      </c>
      <c r="H44" s="11">
        <f t="shared" si="10"/>
        <v>0.45989434260000006</v>
      </c>
      <c r="I44" s="15">
        <v>0.03</v>
      </c>
      <c r="J44" s="11">
        <f t="shared" si="11"/>
        <v>0.91978868520000012</v>
      </c>
      <c r="K44" s="11">
        <f t="shared" si="15"/>
        <v>0.27872384400000033</v>
      </c>
      <c r="L44" s="11">
        <f t="shared" si="12"/>
        <v>7.8154165857600013</v>
      </c>
      <c r="M44" s="23">
        <f>1/(1+$B$37)^5</f>
        <v>0.63522766528186136</v>
      </c>
      <c r="N44" s="11">
        <f t="shared" si="13"/>
        <v>4.9645688309774618</v>
      </c>
    </row>
    <row r="45" spans="1:14">
      <c r="A45" s="25">
        <v>6</v>
      </c>
      <c r="B45" s="15">
        <v>0.08</v>
      </c>
      <c r="C45" s="11">
        <f t="shared" si="14"/>
        <v>33.112392667200005</v>
      </c>
      <c r="D45" s="15">
        <v>0.3</v>
      </c>
      <c r="E45" s="11">
        <f t="shared" si="8"/>
        <v>9.9337178001600019</v>
      </c>
      <c r="F45" s="11">
        <f t="shared" si="9"/>
        <v>8.9403460201440019</v>
      </c>
      <c r="G45" s="15">
        <v>1.4999999999999999E-2</v>
      </c>
      <c r="H45" s="11">
        <f t="shared" si="10"/>
        <v>0.49668589000800006</v>
      </c>
      <c r="I45" s="15">
        <v>0.03</v>
      </c>
      <c r="J45" s="11">
        <f t="shared" si="11"/>
        <v>0.99337178001600013</v>
      </c>
      <c r="K45" s="11">
        <f t="shared" si="15"/>
        <v>0.24527698272000009</v>
      </c>
      <c r="L45" s="11">
        <f t="shared" si="12"/>
        <v>8.1983831474160027</v>
      </c>
      <c r="M45" s="23">
        <f>1/(1+$B$37)^6</f>
        <v>0.58011658929850352</v>
      </c>
      <c r="N45" s="11">
        <f t="shared" si="13"/>
        <v>4.7560180692413017</v>
      </c>
    </row>
    <row r="46" spans="1:14">
      <c r="A46" s="25">
        <v>7</v>
      </c>
      <c r="B46" s="15">
        <v>0.06</v>
      </c>
      <c r="C46" s="11">
        <f t="shared" si="14"/>
        <v>35.099136227232009</v>
      </c>
      <c r="D46" s="15">
        <v>0.28000000000000003</v>
      </c>
      <c r="E46" s="11">
        <f t="shared" si="8"/>
        <v>9.8277581436249637</v>
      </c>
      <c r="F46" s="11">
        <f t="shared" si="9"/>
        <v>8.8449823292624679</v>
      </c>
      <c r="G46" s="15">
        <v>1.4999999999999999E-2</v>
      </c>
      <c r="H46" s="11">
        <f t="shared" si="10"/>
        <v>0.52648704340848007</v>
      </c>
      <c r="I46" s="15">
        <v>0.03</v>
      </c>
      <c r="J46" s="11">
        <f t="shared" si="11"/>
        <v>1.0529740868169601</v>
      </c>
      <c r="K46" s="11">
        <f t="shared" si="15"/>
        <v>0.19867435600320038</v>
      </c>
      <c r="L46" s="11">
        <f t="shared" si="12"/>
        <v>8.1198209298507873</v>
      </c>
      <c r="M46" s="23">
        <f>1/(1+$B$37)^7</f>
        <v>0.52978683954201233</v>
      </c>
      <c r="N46" s="11">
        <f t="shared" si="13"/>
        <v>4.301774268072732</v>
      </c>
    </row>
    <row r="47" spans="1:14">
      <c r="A47" s="25">
        <v>8</v>
      </c>
      <c r="B47" s="15">
        <v>0.04</v>
      </c>
      <c r="C47" s="11">
        <f t="shared" si="14"/>
        <v>36.503101676321293</v>
      </c>
      <c r="D47" s="15">
        <v>0.27</v>
      </c>
      <c r="E47" s="11">
        <f t="shared" si="8"/>
        <v>9.8558374526067496</v>
      </c>
      <c r="F47" s="11">
        <f t="shared" si="9"/>
        <v>8.870253707346075</v>
      </c>
      <c r="G47" s="15">
        <v>1.4999999999999999E-2</v>
      </c>
      <c r="H47" s="11">
        <f t="shared" si="10"/>
        <v>0.54754652514481938</v>
      </c>
      <c r="I47" s="15">
        <v>0.03</v>
      </c>
      <c r="J47" s="11">
        <f t="shared" si="11"/>
        <v>1.0950930502896388</v>
      </c>
      <c r="K47" s="11">
        <f t="shared" si="15"/>
        <v>0.14039654490892844</v>
      </c>
      <c r="L47" s="11">
        <f t="shared" si="12"/>
        <v>8.1823106372923267</v>
      </c>
      <c r="M47" s="23">
        <f>1/(1+$B$37)^8</f>
        <v>0.4838235977552624</v>
      </c>
      <c r="N47" s="11">
        <f t="shared" si="13"/>
        <v>3.9587949704859273</v>
      </c>
    </row>
    <row r="48" spans="1:14">
      <c r="A48" s="25">
        <v>9</v>
      </c>
      <c r="B48" s="15">
        <v>0.03</v>
      </c>
      <c r="C48" s="11">
        <f t="shared" si="14"/>
        <v>37.598194726610934</v>
      </c>
      <c r="D48" s="15">
        <v>0.26</v>
      </c>
      <c r="E48" s="11">
        <f t="shared" si="8"/>
        <v>9.7755306289188439</v>
      </c>
      <c r="F48" s="11">
        <f t="shared" si="9"/>
        <v>8.7979775660269599</v>
      </c>
      <c r="G48" s="15">
        <v>1.4999999999999999E-2</v>
      </c>
      <c r="H48" s="11">
        <f t="shared" si="10"/>
        <v>0.56397292089916395</v>
      </c>
      <c r="I48" s="15">
        <v>0.03</v>
      </c>
      <c r="J48" s="11">
        <f t="shared" si="11"/>
        <v>1.1279458417983279</v>
      </c>
      <c r="K48" s="11">
        <f t="shared" si="15"/>
        <v>0.10950930502896412</v>
      </c>
      <c r="L48" s="11">
        <f t="shared" si="12"/>
        <v>8.1244953400988322</v>
      </c>
      <c r="M48" s="23">
        <f>1/(1+$B$37)^9</f>
        <v>0.44184803447969173</v>
      </c>
      <c r="N48" s="11">
        <f t="shared" si="13"/>
        <v>3.5897922971620835</v>
      </c>
    </row>
    <row r="49" spans="1:14">
      <c r="A49" s="25">
        <v>10</v>
      </c>
      <c r="B49" s="15">
        <v>0.03</v>
      </c>
      <c r="C49" s="11">
        <f t="shared" si="14"/>
        <v>38.726140568409264</v>
      </c>
      <c r="D49" s="15">
        <v>0.25</v>
      </c>
      <c r="E49" s="11">
        <f t="shared" si="8"/>
        <v>9.6815351421023159</v>
      </c>
      <c r="F49" s="11">
        <f t="shared" si="9"/>
        <v>8.713381627892085</v>
      </c>
      <c r="G49" s="15">
        <v>1.4999999999999999E-2</v>
      </c>
      <c r="H49" s="11">
        <f t="shared" si="10"/>
        <v>0.58089210852613893</v>
      </c>
      <c r="I49" s="15">
        <v>0.03</v>
      </c>
      <c r="J49" s="11">
        <f t="shared" si="11"/>
        <v>1.1617842170522779</v>
      </c>
      <c r="K49" s="11">
        <f t="shared" si="15"/>
        <v>0.11279458417983293</v>
      </c>
      <c r="L49" s="11">
        <f t="shared" si="12"/>
        <v>8.0196949351861146</v>
      </c>
      <c r="M49" s="23">
        <f>1/(1+$B$37)^10</f>
        <v>0.40351418673944445</v>
      </c>
      <c r="N49" s="11">
        <f t="shared" si="13"/>
        <v>3.2360606796700666</v>
      </c>
    </row>
    <row r="50" spans="1:14">
      <c r="A50" s="18" t="s">
        <v>188</v>
      </c>
      <c r="B50" s="11">
        <f>L49*(1+$D$37)/($B$37-$D$37)</f>
        <v>127.08131974217997</v>
      </c>
    </row>
    <row r="51" spans="1:14">
      <c r="A51" s="6" t="s">
        <v>189</v>
      </c>
      <c r="B51" s="11">
        <f>B50/(1+$B$37)^10</f>
        <v>51.279115385541054</v>
      </c>
    </row>
    <row r="52" spans="1:14">
      <c r="A52" s="18" t="s">
        <v>190</v>
      </c>
      <c r="B52" s="11">
        <f>SUM(N40:N49)+B51</f>
        <v>109.42359765402968</v>
      </c>
    </row>
    <row r="53" spans="1:14">
      <c r="A53" s="6" t="s">
        <v>191</v>
      </c>
      <c r="B53" s="11">
        <f>$B$8</f>
        <v>-4.7619999999999996</v>
      </c>
    </row>
    <row r="54" spans="1:14">
      <c r="A54" s="18" t="s">
        <v>192</v>
      </c>
      <c r="B54" s="11">
        <f>B52-B53</f>
        <v>114.18559765402968</v>
      </c>
    </row>
    <row r="55" spans="1:14">
      <c r="A55" s="18" t="s">
        <v>193</v>
      </c>
      <c r="B55" s="7">
        <f>B54/$B$10</f>
        <v>736.68127518728829</v>
      </c>
      <c r="C55" s="6" t="s">
        <v>196</v>
      </c>
    </row>
    <row r="59" spans="1:14" ht="16.2">
      <c r="A59" s="3" t="s">
        <v>197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176</v>
      </c>
      <c r="B60" s="15">
        <v>8.7999999999999995E-2</v>
      </c>
      <c r="C60" s="6" t="s">
        <v>177</v>
      </c>
      <c r="D60" s="15">
        <v>3.2000000000000001E-2</v>
      </c>
    </row>
    <row r="62" spans="1:14">
      <c r="A62" s="5" t="s">
        <v>178</v>
      </c>
      <c r="B62" s="5" t="s">
        <v>87</v>
      </c>
      <c r="C62" s="5" t="s">
        <v>72</v>
      </c>
      <c r="D62" s="5" t="s">
        <v>179</v>
      </c>
      <c r="E62" s="5" t="s">
        <v>180</v>
      </c>
      <c r="F62" s="5" t="s">
        <v>146</v>
      </c>
      <c r="G62" s="5" t="s">
        <v>181</v>
      </c>
      <c r="H62" s="5" t="s">
        <v>182</v>
      </c>
      <c r="I62" s="5" t="s">
        <v>183</v>
      </c>
      <c r="J62" s="5" t="s">
        <v>130</v>
      </c>
      <c r="K62" s="5" t="s">
        <v>184</v>
      </c>
      <c r="L62" s="5" t="s">
        <v>185</v>
      </c>
      <c r="M62" s="5" t="s">
        <v>186</v>
      </c>
      <c r="N62" s="5" t="s">
        <v>187</v>
      </c>
    </row>
    <row r="63" spans="1:14">
      <c r="A63" s="25">
        <v>1</v>
      </c>
      <c r="B63" s="15">
        <v>1.1000000000000001</v>
      </c>
      <c r="C63" s="11">
        <f>$B$5*(1+B63)</f>
        <v>42.520800000000001</v>
      </c>
      <c r="D63" s="15">
        <v>0.65</v>
      </c>
      <c r="E63" s="11">
        <f t="shared" ref="E63:E72" si="16">C63*D63</f>
        <v>27.638520000000003</v>
      </c>
      <c r="F63" s="11">
        <f t="shared" ref="F63:F72" si="17">E63*(1-$B$6)</f>
        <v>24.874668000000003</v>
      </c>
      <c r="G63" s="15">
        <v>1.4999999999999999E-2</v>
      </c>
      <c r="H63" s="11">
        <f t="shared" ref="H63:H72" si="18">C63*G63</f>
        <v>0.63781200000000005</v>
      </c>
      <c r="I63" s="15">
        <v>2.5000000000000001E-2</v>
      </c>
      <c r="J63" s="11">
        <f t="shared" ref="J63:J72" si="19">C63*I63</f>
        <v>1.0630200000000001</v>
      </c>
      <c r="K63" s="11">
        <f>(C63-$B$5)*$B$7</f>
        <v>2.2272799999999999</v>
      </c>
      <c r="L63" s="11">
        <f t="shared" ref="L63:L72" si="20">F63+H63-J63-K63</f>
        <v>22.222180000000002</v>
      </c>
      <c r="M63" s="23">
        <f>1/(1+$B$60)^1</f>
        <v>0.91911764705882348</v>
      </c>
      <c r="N63" s="11">
        <f t="shared" ref="N63:N72" si="21">L63*M63</f>
        <v>20.424797794117648</v>
      </c>
    </row>
    <row r="64" spans="1:14">
      <c r="A64" s="25">
        <v>2</v>
      </c>
      <c r="B64" s="15">
        <v>-0.2</v>
      </c>
      <c r="C64" s="11">
        <f t="shared" ref="C64:C72" si="22">C63*(1+B64)</f>
        <v>34.016640000000002</v>
      </c>
      <c r="D64" s="15">
        <v>0.5</v>
      </c>
      <c r="E64" s="11">
        <f t="shared" si="16"/>
        <v>17.008320000000001</v>
      </c>
      <c r="F64" s="11">
        <f t="shared" si="17"/>
        <v>15.307488000000001</v>
      </c>
      <c r="G64" s="15">
        <v>1.4999999999999999E-2</v>
      </c>
      <c r="H64" s="11">
        <f t="shared" si="18"/>
        <v>0.51024959999999997</v>
      </c>
      <c r="I64" s="15">
        <v>2.5000000000000001E-2</v>
      </c>
      <c r="J64" s="11">
        <f t="shared" si="19"/>
        <v>0.85041600000000006</v>
      </c>
      <c r="K64" s="11">
        <f t="shared" ref="K64:K72" si="23">(C64-C63)*$B$7</f>
        <v>-0.85041599999999995</v>
      </c>
      <c r="L64" s="11">
        <f t="shared" si="20"/>
        <v>15.817737600000001</v>
      </c>
      <c r="M64" s="23">
        <f>1/(1+$B$60)^2</f>
        <v>0.84477724913494801</v>
      </c>
      <c r="N64" s="11">
        <f t="shared" si="21"/>
        <v>13.362464857266435</v>
      </c>
    </row>
    <row r="65" spans="1:14">
      <c r="A65" s="25">
        <v>3</v>
      </c>
      <c r="B65" s="15">
        <v>0.05</v>
      </c>
      <c r="C65" s="11">
        <f t="shared" si="22"/>
        <v>35.717472000000001</v>
      </c>
      <c r="D65" s="15">
        <v>0.4</v>
      </c>
      <c r="E65" s="11">
        <f t="shared" si="16"/>
        <v>14.286988800000001</v>
      </c>
      <c r="F65" s="11">
        <f t="shared" si="17"/>
        <v>12.858289920000001</v>
      </c>
      <c r="G65" s="15">
        <v>1.4999999999999999E-2</v>
      </c>
      <c r="H65" s="11">
        <f t="shared" si="18"/>
        <v>0.53576208000000003</v>
      </c>
      <c r="I65" s="15">
        <v>2.5000000000000001E-2</v>
      </c>
      <c r="J65" s="11">
        <f t="shared" si="19"/>
        <v>0.89293680000000009</v>
      </c>
      <c r="K65" s="11">
        <f t="shared" si="23"/>
        <v>0.17008319999999985</v>
      </c>
      <c r="L65" s="11">
        <f t="shared" si="20"/>
        <v>12.331032</v>
      </c>
      <c r="M65" s="23">
        <f>1/(1+$B$60)^3</f>
        <v>0.77644967751373895</v>
      </c>
      <c r="N65" s="11">
        <f t="shared" si="21"/>
        <v>9.5744258198115961</v>
      </c>
    </row>
    <row r="66" spans="1:14">
      <c r="A66" s="25">
        <v>4</v>
      </c>
      <c r="B66" s="15">
        <v>0.15</v>
      </c>
      <c r="C66" s="11">
        <f t="shared" si="22"/>
        <v>41.0750928</v>
      </c>
      <c r="D66" s="15">
        <v>0.4</v>
      </c>
      <c r="E66" s="11">
        <f t="shared" si="16"/>
        <v>16.430037120000001</v>
      </c>
      <c r="F66" s="11">
        <f t="shared" si="17"/>
        <v>14.787033408000001</v>
      </c>
      <c r="G66" s="15">
        <v>1.4999999999999999E-2</v>
      </c>
      <c r="H66" s="11">
        <f t="shared" si="18"/>
        <v>0.61612639199999997</v>
      </c>
      <c r="I66" s="15">
        <v>2.5000000000000001E-2</v>
      </c>
      <c r="J66" s="11">
        <f t="shared" si="19"/>
        <v>1.0268773200000001</v>
      </c>
      <c r="K66" s="11">
        <f t="shared" si="23"/>
        <v>0.53576207999999992</v>
      </c>
      <c r="L66" s="11">
        <f t="shared" si="20"/>
        <v>13.840520400000001</v>
      </c>
      <c r="M66" s="23">
        <f>1/(1+$B$60)^4</f>
        <v>0.71364860065600999</v>
      </c>
      <c r="N66" s="11">
        <f t="shared" si="21"/>
        <v>9.8772680158109605</v>
      </c>
    </row>
    <row r="67" spans="1:14">
      <c r="A67" s="25">
        <v>5</v>
      </c>
      <c r="B67" s="15">
        <v>0.1</v>
      </c>
      <c r="C67" s="11">
        <f t="shared" si="22"/>
        <v>45.182602080000002</v>
      </c>
      <c r="D67" s="15">
        <v>0.38</v>
      </c>
      <c r="E67" s="11">
        <f t="shared" si="16"/>
        <v>17.169388790399999</v>
      </c>
      <c r="F67" s="11">
        <f t="shared" si="17"/>
        <v>15.45244991136</v>
      </c>
      <c r="G67" s="15">
        <v>1.4999999999999999E-2</v>
      </c>
      <c r="H67" s="11">
        <f t="shared" si="18"/>
        <v>0.67773903120000001</v>
      </c>
      <c r="I67" s="15">
        <v>2.5000000000000001E-2</v>
      </c>
      <c r="J67" s="11">
        <f t="shared" si="19"/>
        <v>1.129565052</v>
      </c>
      <c r="K67" s="11">
        <f t="shared" si="23"/>
        <v>0.41075092800000024</v>
      </c>
      <c r="L67" s="11">
        <f t="shared" si="20"/>
        <v>14.589872962559999</v>
      </c>
      <c r="M67" s="23">
        <f>1/(1+$B$60)^5</f>
        <v>0.65592702266177383</v>
      </c>
      <c r="N67" s="11">
        <f t="shared" si="21"/>
        <v>9.5698919333454935</v>
      </c>
    </row>
    <row r="68" spans="1:14">
      <c r="A68" s="25">
        <v>6</v>
      </c>
      <c r="B68" s="15">
        <v>0.08</v>
      </c>
      <c r="C68" s="11">
        <f t="shared" si="22"/>
        <v>48.797210246400006</v>
      </c>
      <c r="D68" s="15">
        <v>0.35</v>
      </c>
      <c r="E68" s="11">
        <f t="shared" si="16"/>
        <v>17.079023586240002</v>
      </c>
      <c r="F68" s="11">
        <f t="shared" si="17"/>
        <v>15.371121227616001</v>
      </c>
      <c r="G68" s="15">
        <v>1.4999999999999999E-2</v>
      </c>
      <c r="H68" s="11">
        <f t="shared" si="18"/>
        <v>0.73195815369600004</v>
      </c>
      <c r="I68" s="15">
        <v>2.5000000000000001E-2</v>
      </c>
      <c r="J68" s="11">
        <f t="shared" si="19"/>
        <v>1.2199302561600003</v>
      </c>
      <c r="K68" s="11">
        <f t="shared" si="23"/>
        <v>0.3614608166400004</v>
      </c>
      <c r="L68" s="11">
        <f t="shared" si="20"/>
        <v>14.521688308511999</v>
      </c>
      <c r="M68" s="23">
        <f>1/(1+$B$60)^6</f>
        <v>0.60287410171118916</v>
      </c>
      <c r="N68" s="11">
        <f t="shared" si="21"/>
        <v>8.7547497943240487</v>
      </c>
    </row>
    <row r="69" spans="1:14">
      <c r="A69" s="25">
        <v>7</v>
      </c>
      <c r="B69" s="15">
        <v>0.06</v>
      </c>
      <c r="C69" s="11">
        <f t="shared" si="22"/>
        <v>51.725042861184008</v>
      </c>
      <c r="D69" s="15">
        <v>0.32</v>
      </c>
      <c r="E69" s="11">
        <f t="shared" si="16"/>
        <v>16.552013715578884</v>
      </c>
      <c r="F69" s="11">
        <f t="shared" si="17"/>
        <v>14.896812344020995</v>
      </c>
      <c r="G69" s="15">
        <v>1.4999999999999999E-2</v>
      </c>
      <c r="H69" s="11">
        <f t="shared" si="18"/>
        <v>0.77587564291776012</v>
      </c>
      <c r="I69" s="15">
        <v>2.5000000000000001E-2</v>
      </c>
      <c r="J69" s="11">
        <f t="shared" si="19"/>
        <v>1.2931260715296002</v>
      </c>
      <c r="K69" s="11">
        <f t="shared" si="23"/>
        <v>0.29278326147840023</v>
      </c>
      <c r="L69" s="11">
        <f t="shared" si="20"/>
        <v>14.086778653930756</v>
      </c>
      <c r="M69" s="23">
        <f>1/(1+$B$60)^7</f>
        <v>0.55411222583748998</v>
      </c>
      <c r="N69" s="11">
        <f t="shared" si="21"/>
        <v>7.8056562748096123</v>
      </c>
    </row>
    <row r="70" spans="1:14">
      <c r="A70" s="25">
        <v>8</v>
      </c>
      <c r="B70" s="15">
        <v>0.04</v>
      </c>
      <c r="C70" s="11">
        <f t="shared" si="22"/>
        <v>53.794044575631368</v>
      </c>
      <c r="D70" s="15">
        <v>0.3</v>
      </c>
      <c r="E70" s="11">
        <f t="shared" si="16"/>
        <v>16.13821337268941</v>
      </c>
      <c r="F70" s="11">
        <f t="shared" si="17"/>
        <v>14.524392035420469</v>
      </c>
      <c r="G70" s="15">
        <v>1.4999999999999999E-2</v>
      </c>
      <c r="H70" s="11">
        <f t="shared" si="18"/>
        <v>0.80691066863447047</v>
      </c>
      <c r="I70" s="15">
        <v>2.5000000000000001E-2</v>
      </c>
      <c r="J70" s="11">
        <f t="shared" si="19"/>
        <v>1.3448511143907842</v>
      </c>
      <c r="K70" s="11">
        <f t="shared" si="23"/>
        <v>0.20690017144473602</v>
      </c>
      <c r="L70" s="11">
        <f t="shared" si="20"/>
        <v>13.77955141821942</v>
      </c>
      <c r="M70" s="23">
        <f>1/(1+$B$60)^8</f>
        <v>0.50929432521828111</v>
      </c>
      <c r="N70" s="11">
        <f t="shared" si="21"/>
        <v>7.0178473413526676</v>
      </c>
    </row>
    <row r="71" spans="1:14">
      <c r="A71" s="25">
        <v>9</v>
      </c>
      <c r="B71" s="15">
        <v>0.03</v>
      </c>
      <c r="C71" s="11">
        <f t="shared" si="22"/>
        <v>55.407865912900313</v>
      </c>
      <c r="D71" s="15">
        <v>0.28000000000000003</v>
      </c>
      <c r="E71" s="11">
        <f t="shared" si="16"/>
        <v>15.514202455612089</v>
      </c>
      <c r="F71" s="11">
        <f t="shared" si="17"/>
        <v>13.96278221005088</v>
      </c>
      <c r="G71" s="15">
        <v>1.4999999999999999E-2</v>
      </c>
      <c r="H71" s="11">
        <f t="shared" si="18"/>
        <v>0.83111798869350462</v>
      </c>
      <c r="I71" s="15">
        <v>2.5000000000000001E-2</v>
      </c>
      <c r="J71" s="11">
        <f t="shared" si="19"/>
        <v>1.385196647822508</v>
      </c>
      <c r="K71" s="11">
        <f t="shared" si="23"/>
        <v>0.1613821337268945</v>
      </c>
      <c r="L71" s="11">
        <f t="shared" si="20"/>
        <v>13.247321417194984</v>
      </c>
      <c r="M71" s="23">
        <f>1/(1+$B$60)^9</f>
        <v>0.46810140185503785</v>
      </c>
      <c r="N71" s="11">
        <f t="shared" si="21"/>
        <v>6.2010897262132385</v>
      </c>
    </row>
    <row r="72" spans="1:14">
      <c r="A72" s="25">
        <v>10</v>
      </c>
      <c r="B72" s="15">
        <v>0.03</v>
      </c>
      <c r="C72" s="11">
        <f t="shared" si="22"/>
        <v>57.070101890287326</v>
      </c>
      <c r="D72" s="15">
        <v>0.28000000000000003</v>
      </c>
      <c r="E72" s="11">
        <f t="shared" si="16"/>
        <v>15.979628529280452</v>
      </c>
      <c r="F72" s="11">
        <f t="shared" si="17"/>
        <v>14.381665676352407</v>
      </c>
      <c r="G72" s="15">
        <v>1.4999999999999999E-2</v>
      </c>
      <c r="H72" s="11">
        <f t="shared" si="18"/>
        <v>0.85605152835430987</v>
      </c>
      <c r="I72" s="15">
        <v>2.5000000000000001E-2</v>
      </c>
      <c r="J72" s="11">
        <f t="shared" si="19"/>
        <v>1.4267525472571831</v>
      </c>
      <c r="K72" s="11">
        <f t="shared" si="23"/>
        <v>0.16622359773870132</v>
      </c>
      <c r="L72" s="11">
        <f t="shared" si="20"/>
        <v>13.644741059710833</v>
      </c>
      <c r="M72" s="23">
        <f>1/(1+$B$60)^10</f>
        <v>0.43024025905793917</v>
      </c>
      <c r="N72" s="11">
        <f t="shared" si="21"/>
        <v>5.8705169283084881</v>
      </c>
    </row>
    <row r="73" spans="1:14">
      <c r="A73" s="18" t="s">
        <v>188</v>
      </c>
      <c r="B73" s="11">
        <f>L72*(1+$D$60)/($B$60-$D$60)</f>
        <v>251.45308524324255</v>
      </c>
    </row>
    <row r="74" spans="1:14">
      <c r="A74" s="6" t="s">
        <v>189</v>
      </c>
      <c r="B74" s="11">
        <f>B73/(1+$B$60)^10</f>
        <v>108.18524053597073</v>
      </c>
    </row>
    <row r="75" spans="1:14">
      <c r="A75" s="18" t="s">
        <v>190</v>
      </c>
      <c r="B75" s="11">
        <f>SUM(N63:N72)+B74</f>
        <v>206.64394902133091</v>
      </c>
    </row>
    <row r="76" spans="1:14">
      <c r="A76" s="6" t="s">
        <v>191</v>
      </c>
      <c r="B76" s="11">
        <f>$B$8</f>
        <v>-4.7619999999999996</v>
      </c>
    </row>
    <row r="77" spans="1:14">
      <c r="A77" s="18" t="s">
        <v>192</v>
      </c>
      <c r="B77" s="11">
        <f>B75-B76</f>
        <v>211.40594902133091</v>
      </c>
    </row>
    <row r="78" spans="1:14">
      <c r="A78" s="18" t="s">
        <v>193</v>
      </c>
      <c r="B78" s="7">
        <f>B77/$B$10</f>
        <v>1363.9093485247156</v>
      </c>
      <c r="C78" s="6" t="s">
        <v>198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8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199</v>
      </c>
    </row>
    <row r="2" spans="1:7" ht="15.6">
      <c r="A2" s="28" t="s">
        <v>200</v>
      </c>
      <c r="B2" s="29"/>
      <c r="C2" s="29"/>
      <c r="D2" s="29"/>
      <c r="E2" s="29"/>
      <c r="F2" s="29"/>
      <c r="G2" s="29"/>
    </row>
    <row r="4" spans="1:7">
      <c r="A4" s="5" t="s">
        <v>176</v>
      </c>
      <c r="B4" s="5" t="s">
        <v>193</v>
      </c>
    </row>
    <row r="5" spans="1:7">
      <c r="A5" s="15">
        <v>7.9000000000000001E-2</v>
      </c>
      <c r="B5" s="26">
        <v>939</v>
      </c>
    </row>
    <row r="6" spans="1:7">
      <c r="A6" s="15">
        <v>8.2000000000000003E-2</v>
      </c>
      <c r="B6" s="26">
        <v>891</v>
      </c>
    </row>
    <row r="7" spans="1:7">
      <c r="A7" s="15">
        <v>8.5000000000000006E-2</v>
      </c>
      <c r="B7" s="26">
        <v>849</v>
      </c>
    </row>
    <row r="8" spans="1:7">
      <c r="A8" s="15">
        <v>0.09</v>
      </c>
      <c r="B8" s="26">
        <v>788</v>
      </c>
    </row>
    <row r="9" spans="1:7">
      <c r="A9" s="15">
        <v>9.5000000000000001E-2</v>
      </c>
      <c r="B9" s="26">
        <v>737</v>
      </c>
    </row>
    <row r="10" spans="1:7">
      <c r="A10" s="15">
        <v>0.1</v>
      </c>
      <c r="B10" s="26">
        <v>692</v>
      </c>
    </row>
    <row r="11" spans="1:7">
      <c r="A11" s="15">
        <v>0.105</v>
      </c>
      <c r="B11" s="26">
        <v>654</v>
      </c>
    </row>
    <row r="12" spans="1:7">
      <c r="A12" s="15">
        <v>0.11</v>
      </c>
      <c r="B12" s="26">
        <v>620</v>
      </c>
    </row>
    <row r="14" spans="1:7">
      <c r="A14" s="5" t="s">
        <v>201</v>
      </c>
      <c r="B14" s="5" t="s">
        <v>193</v>
      </c>
    </row>
    <row r="15" spans="1:7">
      <c r="A15" s="15">
        <v>0</v>
      </c>
      <c r="B15" s="26">
        <v>788</v>
      </c>
    </row>
    <row r="16" spans="1:7">
      <c r="A16" s="15">
        <v>0.01</v>
      </c>
      <c r="B16" s="26">
        <v>771</v>
      </c>
    </row>
    <row r="17" spans="1:3">
      <c r="A17" s="15">
        <v>0.02</v>
      </c>
      <c r="B17" s="26">
        <v>754</v>
      </c>
    </row>
    <row r="18" spans="1:3">
      <c r="A18" s="15">
        <v>0.03</v>
      </c>
      <c r="B18" s="26">
        <v>737</v>
      </c>
    </row>
    <row r="19" spans="1:3">
      <c r="A19" s="15">
        <v>0.04</v>
      </c>
      <c r="B19" s="26">
        <v>720</v>
      </c>
    </row>
    <row r="20" spans="1:3">
      <c r="A20" s="15">
        <v>0.05</v>
      </c>
      <c r="B20" s="26">
        <v>703</v>
      </c>
    </row>
    <row r="23" spans="1:3">
      <c r="A23" s="5" t="s">
        <v>202</v>
      </c>
      <c r="B23" s="5" t="s">
        <v>193</v>
      </c>
    </row>
    <row r="24" spans="1:3">
      <c r="A24" s="15">
        <v>0.19</v>
      </c>
      <c r="B24" s="26">
        <v>645</v>
      </c>
    </row>
    <row r="25" spans="1:3">
      <c r="A25" s="15">
        <v>0.21</v>
      </c>
      <c r="B25" s="26">
        <v>676</v>
      </c>
    </row>
    <row r="26" spans="1:3">
      <c r="A26" s="15">
        <v>0.23</v>
      </c>
      <c r="B26" s="26">
        <v>706</v>
      </c>
    </row>
    <row r="27" spans="1:3">
      <c r="A27" s="15">
        <v>0.25</v>
      </c>
      <c r="B27" s="26">
        <v>737</v>
      </c>
    </row>
    <row r="28" spans="1:3">
      <c r="A28" s="15">
        <v>0.27</v>
      </c>
      <c r="B28" s="26">
        <v>767</v>
      </c>
    </row>
    <row r="29" spans="1:3">
      <c r="A29" s="15">
        <v>0.28999999999999998</v>
      </c>
      <c r="B29" s="26">
        <v>798</v>
      </c>
    </row>
    <row r="30" spans="1:3">
      <c r="A30" s="15">
        <v>0.31</v>
      </c>
      <c r="B30" s="26">
        <v>828</v>
      </c>
    </row>
    <row r="32" spans="1:3" ht="16.2">
      <c r="A32" s="3" t="s">
        <v>203</v>
      </c>
      <c r="B32" s="4"/>
      <c r="C32" s="4"/>
    </row>
    <row r="33" spans="1:7">
      <c r="A33" s="6" t="s">
        <v>204</v>
      </c>
      <c r="B33" s="15">
        <v>0.18257476799135469</v>
      </c>
    </row>
    <row r="34" spans="1:7">
      <c r="A34" s="6" t="s">
        <v>205</v>
      </c>
      <c r="B34" s="15">
        <v>6.6994568178841973E-2</v>
      </c>
    </row>
    <row r="36" spans="1:7" ht="16.2">
      <c r="A36" s="3" t="s">
        <v>206</v>
      </c>
      <c r="B36" s="4"/>
      <c r="C36" s="4"/>
      <c r="D36" s="4"/>
      <c r="E36" s="4"/>
      <c r="F36" s="4"/>
      <c r="G36" s="4"/>
    </row>
    <row r="37" spans="1:7">
      <c r="A37" s="5" t="s">
        <v>207</v>
      </c>
      <c r="B37" s="5" t="s">
        <v>193</v>
      </c>
      <c r="C37" s="5" t="s">
        <v>208</v>
      </c>
      <c r="D37" s="5" t="s">
        <v>209</v>
      </c>
    </row>
    <row r="38" spans="1:7">
      <c r="A38" s="6" t="s">
        <v>210</v>
      </c>
      <c r="B38" s="27" t="s">
        <v>211</v>
      </c>
      <c r="C38" s="27" t="s">
        <v>212</v>
      </c>
      <c r="D38" s="27" t="s">
        <v>213</v>
      </c>
    </row>
    <row r="39" spans="1:7">
      <c r="A39" s="6" t="s">
        <v>214</v>
      </c>
      <c r="B39" s="27" t="s">
        <v>215</v>
      </c>
      <c r="C39" s="27" t="s">
        <v>216</v>
      </c>
      <c r="D39" s="27" t="s">
        <v>217</v>
      </c>
    </row>
    <row r="40" spans="1:7">
      <c r="A40" s="6" t="s">
        <v>218</v>
      </c>
      <c r="B40" s="27" t="s">
        <v>58</v>
      </c>
      <c r="C40" s="27" t="s">
        <v>219</v>
      </c>
      <c r="D40" s="27" t="s">
        <v>220</v>
      </c>
    </row>
    <row r="41" spans="1:7">
      <c r="A41" s="6" t="s">
        <v>221</v>
      </c>
      <c r="B41" s="27" t="s">
        <v>58</v>
      </c>
      <c r="C41" s="27" t="s">
        <v>222</v>
      </c>
      <c r="D41" s="27" t="s">
        <v>223</v>
      </c>
    </row>
    <row r="42" spans="1:7" ht="40.049999999999997" customHeight="1">
      <c r="A42" s="33" t="s">
        <v>224</v>
      </c>
      <c r="B42" s="29"/>
      <c r="C42" s="29"/>
      <c r="D42" s="29"/>
      <c r="E42" s="29"/>
      <c r="F42" s="29"/>
      <c r="G42" s="29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225</v>
      </c>
    </row>
    <row r="2" spans="1:4" ht="15.6">
      <c r="A2" s="28" t="s">
        <v>226</v>
      </c>
      <c r="B2" s="29"/>
      <c r="C2" s="29"/>
      <c r="D2" s="29"/>
    </row>
    <row r="4" spans="1:4">
      <c r="A4" s="5" t="s">
        <v>227</v>
      </c>
      <c r="B4" s="5" t="s">
        <v>228</v>
      </c>
      <c r="C4" s="5" t="s">
        <v>229</v>
      </c>
      <c r="D4" s="5" t="s">
        <v>230</v>
      </c>
    </row>
    <row r="5" spans="1:4">
      <c r="A5" s="6" t="s">
        <v>231</v>
      </c>
      <c r="B5" s="6" t="s">
        <v>232</v>
      </c>
      <c r="C5" s="22" t="s">
        <v>233</v>
      </c>
      <c r="D5" s="8" t="s">
        <v>234</v>
      </c>
    </row>
    <row r="6" spans="1:4">
      <c r="A6" s="6" t="s">
        <v>235</v>
      </c>
      <c r="B6" s="6" t="s">
        <v>232</v>
      </c>
      <c r="C6" s="22" t="s">
        <v>236</v>
      </c>
      <c r="D6" s="8" t="s">
        <v>237</v>
      </c>
    </row>
    <row r="7" spans="1:4">
      <c r="A7" s="6" t="s">
        <v>238</v>
      </c>
      <c r="B7" s="6" t="s">
        <v>239</v>
      </c>
      <c r="C7" s="22" t="s">
        <v>236</v>
      </c>
      <c r="D7" s="8" t="s">
        <v>240</v>
      </c>
    </row>
    <row r="8" spans="1:4">
      <c r="A8" s="6" t="s">
        <v>241</v>
      </c>
      <c r="B8" s="6" t="s">
        <v>242</v>
      </c>
      <c r="C8" s="22" t="s">
        <v>243</v>
      </c>
      <c r="D8" s="8" t="s">
        <v>244</v>
      </c>
    </row>
    <row r="9" spans="1:4">
      <c r="A9" s="6" t="s">
        <v>245</v>
      </c>
      <c r="B9" s="6" t="s">
        <v>246</v>
      </c>
      <c r="C9" s="22" t="s">
        <v>236</v>
      </c>
      <c r="D9" s="8" t="s">
        <v>247</v>
      </c>
    </row>
    <row r="12" spans="1:4" ht="15">
      <c r="A12" s="32" t="s">
        <v>248</v>
      </c>
      <c r="B12" s="29"/>
      <c r="C12" s="29"/>
      <c r="D12" s="29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2026-10-29T09:03:28Z</dcterms:created>
  <dcterms:modified xsi:type="dcterms:W3CDTF">2026-10-29T10:34:39Z</dcterms:modified>
</cp:coreProperties>
</file>