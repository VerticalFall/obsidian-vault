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LITE-2026-10-29\"/>
    </mc:Choice>
  </mc:AlternateContent>
  <xr:revisionPtr revIDLastSave="0" documentId="13_ncr:1_{B971F608-A218-4E12-B82D-7FF36E850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分部!$A$1:$F$29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B25" i="1" l="1"/>
  <c r="B14" i="1"/>
  <c r="C64" i="5"/>
  <c r="K63" i="5"/>
  <c r="J63" i="5"/>
  <c r="H63" i="5"/>
  <c r="E63" i="5"/>
  <c r="F63" i="5" s="1"/>
  <c r="C41" i="5"/>
  <c r="K40" i="5"/>
  <c r="J40" i="5"/>
  <c r="H40" i="5"/>
  <c r="E40" i="5"/>
  <c r="F40" i="5" s="1"/>
  <c r="L40" i="5" s="1"/>
  <c r="N40" i="5" s="1"/>
  <c r="E17" i="5"/>
  <c r="F17" i="5" s="1"/>
  <c r="C18" i="5"/>
  <c r="K17" i="5"/>
  <c r="J17" i="5"/>
  <c r="H17" i="5"/>
  <c r="L63" i="5" l="1"/>
  <c r="N63" i="5" s="1"/>
  <c r="B22" i="1"/>
  <c r="B26" i="1"/>
  <c r="E64" i="5"/>
  <c r="F64" i="5" s="1"/>
  <c r="H64" i="5"/>
  <c r="J64" i="5"/>
  <c r="K64" i="5"/>
  <c r="C65" i="5"/>
  <c r="E41" i="5"/>
  <c r="F41" i="5" s="1"/>
  <c r="H41" i="5"/>
  <c r="J41" i="5"/>
  <c r="K41" i="5"/>
  <c r="C42" i="5"/>
  <c r="E18" i="5"/>
  <c r="F18" i="5" s="1"/>
  <c r="H18" i="5"/>
  <c r="J18" i="5"/>
  <c r="K18" i="5"/>
  <c r="C19" i="5"/>
  <c r="L17" i="5"/>
  <c r="N17" i="5" s="1"/>
  <c r="L41" i="5" l="1"/>
  <c r="N41" i="5" s="1"/>
  <c r="E65" i="5"/>
  <c r="F65" i="5" s="1"/>
  <c r="L65" i="5" s="1"/>
  <c r="N65" i="5" s="1"/>
  <c r="H65" i="5"/>
  <c r="J65" i="5"/>
  <c r="K65" i="5"/>
  <c r="C66" i="5"/>
  <c r="E42" i="5"/>
  <c r="F42" i="5" s="1"/>
  <c r="H42" i="5"/>
  <c r="J42" i="5"/>
  <c r="K42" i="5"/>
  <c r="C43" i="5"/>
  <c r="E19" i="5"/>
  <c r="F19" i="5" s="1"/>
  <c r="H19" i="5"/>
  <c r="J19" i="5"/>
  <c r="K19" i="5"/>
  <c r="C20" i="5"/>
  <c r="L18" i="5"/>
  <c r="N18" i="5" s="1"/>
  <c r="L64" i="5"/>
  <c r="N64" i="5" s="1"/>
  <c r="L42" i="5" l="1"/>
  <c r="N42" i="5" s="1"/>
  <c r="E66" i="5"/>
  <c r="F66" i="5" s="1"/>
  <c r="H66" i="5"/>
  <c r="J66" i="5"/>
  <c r="K66" i="5"/>
  <c r="C67" i="5"/>
  <c r="H43" i="5"/>
  <c r="J43" i="5"/>
  <c r="E43" i="5"/>
  <c r="F43" i="5" s="1"/>
  <c r="K43" i="5"/>
  <c r="C44" i="5"/>
  <c r="E20" i="5"/>
  <c r="F20" i="5" s="1"/>
  <c r="H20" i="5"/>
  <c r="J20" i="5"/>
  <c r="K20" i="5"/>
  <c r="C21" i="5"/>
  <c r="L19" i="5"/>
  <c r="N19" i="5" s="1"/>
  <c r="L66" i="5" l="1"/>
  <c r="N66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K21" i="5"/>
  <c r="H21" i="5"/>
  <c r="J21" i="5"/>
  <c r="C22" i="5"/>
  <c r="E21" i="5"/>
  <c r="F21" i="5" s="1"/>
  <c r="L43" i="5"/>
  <c r="N43" i="5" s="1"/>
  <c r="L20" i="5"/>
  <c r="N20" i="5" s="1"/>
  <c r="E68" i="5" l="1"/>
  <c r="F68" i="5" s="1"/>
  <c r="H68" i="5"/>
  <c r="J68" i="5"/>
  <c r="K68" i="5"/>
  <c r="C69" i="5"/>
  <c r="E45" i="5"/>
  <c r="F45" i="5" s="1"/>
  <c r="H45" i="5"/>
  <c r="J45" i="5"/>
  <c r="K45" i="5"/>
  <c r="C46" i="5"/>
  <c r="K22" i="5"/>
  <c r="H22" i="5"/>
  <c r="J22" i="5"/>
  <c r="E22" i="5"/>
  <c r="F22" i="5" s="1"/>
  <c r="C23" i="5"/>
  <c r="L21" i="5"/>
  <c r="N21" i="5" s="1"/>
  <c r="L67" i="5"/>
  <c r="N67" i="5" s="1"/>
  <c r="L44" i="5"/>
  <c r="N44" i="5" s="1"/>
  <c r="E69" i="5" l="1"/>
  <c r="F69" i="5" s="1"/>
  <c r="H69" i="5"/>
  <c r="J69" i="5"/>
  <c r="K69" i="5"/>
  <c r="C70" i="5"/>
  <c r="E46" i="5"/>
  <c r="F46" i="5" s="1"/>
  <c r="H46" i="5"/>
  <c r="J46" i="5"/>
  <c r="K46" i="5"/>
  <c r="C47" i="5"/>
  <c r="C24" i="5"/>
  <c r="K23" i="5"/>
  <c r="J23" i="5"/>
  <c r="E23" i="5"/>
  <c r="F23" i="5" s="1"/>
  <c r="H23" i="5"/>
  <c r="L22" i="5"/>
  <c r="N22" i="5" s="1"/>
  <c r="L68" i="5"/>
  <c r="N68" i="5" s="1"/>
  <c r="L45" i="5"/>
  <c r="N45" i="5" s="1"/>
  <c r="E70" i="5" l="1"/>
  <c r="F70" i="5" s="1"/>
  <c r="H70" i="5"/>
  <c r="J70" i="5"/>
  <c r="K70" i="5"/>
  <c r="C71" i="5"/>
  <c r="E47" i="5"/>
  <c r="F47" i="5" s="1"/>
  <c r="H47" i="5"/>
  <c r="J47" i="5"/>
  <c r="K47" i="5"/>
  <c r="C48" i="5"/>
  <c r="E24" i="5"/>
  <c r="F24" i="5" s="1"/>
  <c r="K24" i="5"/>
  <c r="J24" i="5"/>
  <c r="C25" i="5"/>
  <c r="H24" i="5"/>
  <c r="L46" i="5"/>
  <c r="N46" i="5" s="1"/>
  <c r="L23" i="5"/>
  <c r="N23" i="5" s="1"/>
  <c r="L69" i="5"/>
  <c r="N69" i="5" s="1"/>
  <c r="L47" i="5" l="1"/>
  <c r="N47" i="5" s="1"/>
  <c r="E71" i="5"/>
  <c r="F71" i="5" s="1"/>
  <c r="H71" i="5"/>
  <c r="J71" i="5"/>
  <c r="K71" i="5"/>
  <c r="C72" i="5"/>
  <c r="E48" i="5"/>
  <c r="F48" i="5" s="1"/>
  <c r="H48" i="5"/>
  <c r="J48" i="5"/>
  <c r="K48" i="5"/>
  <c r="C49" i="5"/>
  <c r="K25" i="5"/>
  <c r="E25" i="5"/>
  <c r="F25" i="5" s="1"/>
  <c r="J25" i="5"/>
  <c r="C26" i="5"/>
  <c r="H25" i="5"/>
  <c r="L24" i="5"/>
  <c r="N24" i="5" s="1"/>
  <c r="L70" i="5"/>
  <c r="N70" i="5" s="1"/>
  <c r="L48" i="5" l="1"/>
  <c r="N48" i="5" s="1"/>
  <c r="E72" i="5"/>
  <c r="F72" i="5" s="1"/>
  <c r="H72" i="5"/>
  <c r="J72" i="5"/>
  <c r="K72" i="5"/>
  <c r="J49" i="5"/>
  <c r="E49" i="5"/>
  <c r="F49" i="5" s="1"/>
  <c r="H49" i="5"/>
  <c r="K49" i="5"/>
  <c r="H26" i="5"/>
  <c r="E26" i="5"/>
  <c r="F26" i="5" s="1"/>
  <c r="L26" i="5" s="1"/>
  <c r="K26" i="5"/>
  <c r="J26" i="5"/>
  <c r="L71" i="5"/>
  <c r="N71" i="5" s="1"/>
  <c r="L25" i="5"/>
  <c r="N25" i="5" s="1"/>
  <c r="N26" i="5" l="1"/>
  <c r="B27" i="5"/>
  <c r="B28" i="5" s="1"/>
  <c r="B29" i="5" s="1"/>
  <c r="B31" i="5" s="1"/>
  <c r="B32" i="5" s="1"/>
  <c r="L72" i="5"/>
  <c r="L49" i="5"/>
  <c r="B73" i="5" l="1"/>
  <c r="B74" i="5" s="1"/>
  <c r="B75" i="5" s="1"/>
  <c r="B77" i="5" s="1"/>
  <c r="B78" i="5" s="1"/>
  <c r="N72" i="5"/>
  <c r="N49" i="5"/>
  <c r="B50" i="5"/>
  <c r="B51" i="5" s="1"/>
  <c r="B52" i="5" s="1"/>
  <c r="B54" i="5" s="1"/>
  <c r="B55" i="5" s="1"/>
</calcChain>
</file>

<file path=xl/sharedStrings.xml><?xml version="1.0" encoding="utf-8"?>
<sst xmlns="http://schemas.openxmlformats.org/spreadsheetml/2006/main" count="326" uniqueCount="246">
  <si>
    <t>Lumentum（LITE）巴菲特框架估值</t>
  </si>
  <si>
    <t>研究日 2026-10-29｜收盘价 $913.95｜最新财报：FY2026 Q4（2026-06-27）</t>
  </si>
  <si>
    <t>市值按 0.0897B 股计算；净负债 = 债务 + 融资租赁 − 现金及有价证券。数据边界见报告第 1 节。</t>
  </si>
  <si>
    <t>一句话结论</t>
  </si>
  <si>
    <t>AI 光模块需求是真的，但现价是乐观 DCF 的 1.6 倍；估值把连续多年的翻倍增长当成基准。结论：极度昂贵，不追高。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</si>
  <si>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</si>
  <si>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</si>
  <si>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</si>
  <si>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</si>
  <si>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</si>
  <si>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</si>
  <si>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</si>
  <si>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</si>
  <si>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</si>
  <si>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</si>
  <si>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</si>
  <si>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</si>
  <si>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</si>
  <si>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</si>
  <si>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</si>
  <si>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</si>
  <si>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</si>
  <si>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</si>
  <si>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</si>
  <si>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(1−21%)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</si>
  <si>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</si>
  <si>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</si>
  <si>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</si>
  <si>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</si>
  <si>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</si>
  <si>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非 GAAP；GAAP 受 7.8B 清偿损失扭曲</t>
  </si>
  <si>
    <t>FY2027E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</si>
  <si>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</si>
  <si>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</si>
  <si>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</si>
  <si>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</si>
  <si>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</si>
  <si>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</si>
  <si>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</si>
  <si>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</si>
  <si>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</si>
  <si>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</si>
  <si>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</si>
  <si>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</si>
  <si>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</si>
  <si>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</si>
  <si>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</si>
  <si>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</si>
  <si>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</si>
  <si>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</si>
  <si>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</si>
  <si>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</si>
  <si>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</si>
  <si>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</si>
  <si>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</si>
  <si>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</si>
  <si>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</si>
  <si>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</si>
  <si>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</si>
  <si>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</si>
  <si>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$259，现价 $913.95；现价高估 253.0%。</t>
  </si>
  <si>
    <t>• 悲观 $78；基准 $259；乐观 $557；概率加权约 $288（25%/50%/25%）。</t>
  </si>
  <si>
    <t>• P/E 采用 non-GAAP EPS 8.67；GAAP 净亏损 6.94B 受 7.8B 债务清偿损失扭曲。</t>
  </si>
  <si>
    <t>• 反推：现价隐含未来 10 年收入 CAGR 约 40.9%，基准情景约 17.1%。</t>
  </si>
  <si>
    <t>• 若要求 20% 安全边际，观察价约 $207（基准价值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</si>
  <si>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</si>
  <si>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</si>
  <si>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Lumentum五年财务与现金流（十亿美元，除每股数据）</t>
  </si>
  <si>
    <t>来源：公司 10-K/10-Q；TTM = 最近四个季度。</t>
  </si>
  <si>
    <t>FY2022</t>
  </si>
  <si>
    <t>FY2023</t>
  </si>
  <si>
    <t>FY2024</t>
  </si>
  <si>
    <t>FY2025</t>
  </si>
  <si>
    <t>FY2026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</si>
  <si>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</si>
  <si>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</si>
  <si>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</si>
  <si>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</si>
  <si>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</si>
  <si>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</si>
  <si>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</si>
  <si>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</si>
  <si>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</si>
  <si>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</si>
  <si>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</si>
  <si>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</si>
  <si>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</si>
  <si>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</si>
  <si>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</si>
  <si>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</si>
  <si>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</si>
  <si>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</si>
  <si>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</si>
  <si>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</si>
  <si>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FY2022–FY2026 收入从 1.71B 增至 3.01B，CAGR 约 15%；FY2026 +83%，AI 光器件是主引擎。</t>
  </si>
  <si>
    <t>• FY2026 经营利润 0.525B，经营利润率 17.4%；non-GAAP 经营利润率约 30%，GAAP 受重组与摊销拖累。</t>
  </si>
  <si>
    <t>• GAAP 净亏损 6.94B，主因 7.8B 可转债清偿损失（非现金）；不要用 GAAP EPS 做 P/E。</t>
  </si>
  <si>
    <t>• TTM FCF 仅 0.30B，capex 0.45B（占收入 15.0%）；FCF/NOPAT 约 72%，扩产吞掉现金。</t>
  </si>
  <si>
    <t>• 净现金 1.10B；Q1 FY2027 指引收入 1.225–1.275B、non-GAAP 经营利润率 39.5–40.5%。</t>
  </si>
  <si>
    <t>Lumentum：分部与关键运营数据</t>
  </si>
  <si>
    <t>单位：十亿美元，另有注明除外；同比为公开披露口径。</t>
  </si>
  <si>
    <t>FY2026 业务分部</t>
  </si>
  <si>
    <t>单位：十亿美元；财年截至 2026-06-27。</t>
  </si>
  <si>
    <t>分部</t>
  </si>
  <si>
    <t>FY2026 收入</t>
  </si>
  <si>
    <t>占比</t>
  </si>
  <si>
    <t>Components</t>
  </si>
  <si>
    <t>光芯片、激光器、数据中心器件</t>
  </si>
  <si>
    <t>Systems</t>
  </si>
  <si>
    <t>光传输系统、ROADM</t>
  </si>
  <si>
    <t>Total</t>
  </si>
  <si>
    <t>FY2026 收入 +83%</t>
  </si>
  <si>
    <t>FY2026 Q4 与 FY2027 Q1 指引</t>
  </si>
  <si>
    <t>GAAP 与 non-GAAP 分列；Q1 FY2027 为公司指引中值。</t>
  </si>
  <si>
    <t>Q4 FY2026 revenue</t>
  </si>
  <si>
    <t>1.006B</t>
  </si>
  <si>
    <t>同比 +66%</t>
  </si>
  <si>
    <t>Q4 GAAP operating margin</t>
  </si>
  <si>
    <t>27.8%</t>
  </si>
  <si>
    <t>non-GAAP 36.6%</t>
  </si>
  <si>
    <t>Q4 non-GAAP EPS</t>
  </si>
  <si>
    <t>3.23</t>
  </si>
  <si>
    <t>稀释口径</t>
  </si>
  <si>
    <t>Q1 FY2027 revenue guide</t>
  </si>
  <si>
    <t>1.225–1.275B</t>
  </si>
  <si>
    <t>中值 1.25B</t>
  </si>
  <si>
    <t>Q1 FY2027 non-GAAP EPS guide</t>
  </si>
  <si>
    <t>4.05–4.35</t>
  </si>
  <si>
    <t>中值 4.20</t>
  </si>
  <si>
    <t>解读</t>
  </si>
  <si>
    <t>• FY2026 收入 3.01B（+83%）：Components 2.01B（66.5%）、Systems 1.01B（33.5%）。</t>
  </si>
  <si>
    <t>• Components 包括光芯片、激光器、数据中心器件；AI 集群的 800G/1.6T 光模块是主拉动。</t>
  </si>
  <si>
    <t>• Q4 收入 1.01B（+66%），GAAP 经营利润率 27.8%，non-GAAP 36.6%，non-GAAP EPS 3.23。</t>
  </si>
  <si>
    <t>• Q1 FY2027 指引收入 1.225–1.275B，non-GAAP 经营利润率 39.5–40.5%，EPS 4.05–4.35。</t>
  </si>
  <si>
    <t>• 客户集中度高：少数超大规模云厂商占大部分数据中心收入；订单可见度通常只有 1–2 个季度。</t>
  </si>
  <si>
    <t>• 产能扩张（磷化铟晶圆、激光器）需要提前 12–18 个月；供给释放可能压低 2027 年价格。</t>
  </si>
  <si>
    <t>LITE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</si>
  <si>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</si>
  <si>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</si>
  <si>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</si>
  <si>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</si>
  <si>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</si>
  <si>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</si>
  <si>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</si>
  <si>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</si>
  <si>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</si>
  <si>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</si>
  <si>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</si>
  <si>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</si>
  <si>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</si>
  <si>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</si>
  <si>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</si>
  <si>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</si>
  <si>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+0.00B（四舍五入/汇率）</t>
  </si>
  <si>
    <t>现金转化率</t>
  </si>
  <si>
    <t>Capex / D&amp;A</t>
  </si>
  <si>
    <t>资本开支是折旧的倍数</t>
  </si>
  <si>
    <t>• TTM NOPAT 0.415B，D&amp;A 0.267B、SBC 0.170B、capex 0.451B；FCFF 0.300B。</t>
  </si>
  <si>
    <t>• Capex/NOPAT 109%，公司正在扩磷化铟晶圆与激光器产能；FCF 被扩张吞掉。</t>
  </si>
  <si>
    <t>• 营运资金及其他 -0.100B，库存与应收随收入上升；现金转化率 72%。</t>
  </si>
  <si>
    <t>• 若 capex 见顶、产能利用率提升，2028 年 FCF 可望超过 1B；这是乐观情景的核心。</t>
  </si>
  <si>
    <t>三情景 FCFF DCF（未来 12 个月起算，10 年明确预测）</t>
  </si>
  <si>
    <t>单位：十亿美元，除每股数据；第 1 年约为未来四个季度；终值用永续增长。</t>
  </si>
  <si>
    <t>FY2026 于 2026-06-27 结束；EBIT 为 GAAP，EPS 对比用 non-GAAP。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</si>
  <si>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</si>
  <si>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</si>
  <si>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</si>
  <si>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</si>
  <si>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</si>
  <si>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</si>
  <si>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1.637 + 0.000 − 2.738 = -1.101；股权投资仅用于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</si>
  <si>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</si>
  <si>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</si>
  <si>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</si>
  <si>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</si>
  <si>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</si>
  <si>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</si>
  <si>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</si>
  <si>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</si>
  <si>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</si>
  <si>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</si>
  <si>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</si>
  <si>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</si>
  <si>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</si>
  <si>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</si>
  <si>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</si>
  <si>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</si>
  <si>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</si>
  <si>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</si>
  <si>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</si>
  <si>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</si>
  <si>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58%；终值 FCF 0.6B；终值收入 6B</t>
  </si>
  <si>
    <t>基准情景</t>
  </si>
  <si>
    <t>TV 占比 59%；终值 FCF 1.8B；终值收入 15B</t>
  </si>
  <si>
    <t>乐观情景</t>
  </si>
  <si>
    <t>TV 占比 65%；终值 FCF 3.6B；终值收入 22B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</si>
  <si>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</si>
  <si>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</si>
  <si>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</si>
  <si>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</si>
  <si>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</si>
  <si>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$913.95</t>
  </si>
  <si>
    <t>基准情景 10 年 CAGR</t>
  </si>
  <si>
    <t>交叉检查：DCF、P/E、EV/EBIT</t>
  </si>
  <si>
    <t>方法</t>
  </si>
  <si>
    <t>相对现价</t>
  </si>
  <si>
    <t>读数</t>
  </si>
  <si>
    <t>DCF 基准（GAAP EBIT）</t>
  </si>
  <si>
    <t>$259</t>
  </si>
  <si>
    <t>现价高 253%</t>
  </si>
  <si>
    <t>极度昂贵</t>
  </si>
  <si>
    <t>30x FY2027E EPS 17</t>
  </si>
  <si>
    <t>$510</t>
  </si>
  <si>
    <t>现价高 79%</t>
  </si>
  <si>
    <t>P/E 视角也贵</t>
  </si>
  <si>
    <t>EV/EBIT 154x（TTM）</t>
  </si>
  <si>
    <t>极高</t>
  </si>
  <si>
    <t>需连续多年翻倍</t>
  </si>
  <si>
    <t>现价是乐观 DCF 的 1.6 倍</t>
  </si>
  <si>
    <t>超出乐观</t>
  </si>
  <si>
    <t>定价完美</t>
  </si>
  <si>
    <t>即使给予 30x FY2027E EPS，价值也只有 510 美元；现价 914 美元需要约 40% 的 10 年收入 CAGR。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</si>
  <si>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</si>
  <si>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</si>
  <si>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</si>
  <si>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</si>
  <si>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</si>
  <si>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</si>
  <si>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FY2026 10-K</t>
  </si>
  <si>
    <t>SEC EDGAR</t>
  </si>
  <si>
    <t>2026-08-17</t>
  </si>
  <si>
    <t>Accession 0001628280-26-057358；lite-20260627.htm</t>
  </si>
  <si>
    <t>FY2026 Q4 8-K</t>
  </si>
  <si>
    <t>2026-08-11</t>
  </si>
  <si>
    <t>Accession 0001628280-26-055726</t>
  </si>
  <si>
    <t>FY2026 Q4 业绩发布</t>
  </si>
  <si>
    <t>SEC 8-K Ex. 99.1</t>
  </si>
  <si>
    <t>lite_ex991xq4fy26.htm</t>
  </si>
  <si>
    <t>股价</t>
  </si>
  <si>
    <t>CNBC quote API</t>
  </si>
  <si>
    <t>2026-10-28</t>
  </si>
  <si>
    <t>收盘 913.95 美元，+5.52%</t>
  </si>
  <si>
    <t>数据边界</t>
  </si>
  <si>
    <t>公司披露</t>
  </si>
  <si>
    <t>FY2026 结束于 2026-06-27；Q1 FY2027 未发布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</si>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</sst>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\$#,##0.00"/>
    <numFmt numFmtId="177" formatCode="0.0000"/>
    <numFmt numFmtId="178" formatCode="#,##0.0"/>
    <numFmt numFmtId="179" formatCode="0.0&quot;x&quot;"/>
    <numFmt numFmtId="180" formatCode="0.0%"/>
    <numFmt numFmtId="181" formatCode="0.000"/>
    <numFmt numFmtId="182" formatCode="#,##0.000"/>
    <numFmt numFmtId="183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LITE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44-4BD1-A52C-81BB9B59860E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44-4BD1-A52C-81BB9B59860E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44-4BD1-A52C-81BB9B59860E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44-4BD1-A52C-81BB9B5986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78.001202403134457</c:v>
                </c:pt>
                <c:pt idx="1">
                  <c:v>258.90696198718922</c:v>
                </c:pt>
                <c:pt idx="2">
                  <c:v>557.43754669905502</c:v>
                </c:pt>
                <c:pt idx="3">
                  <c:v>913.95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44-4BD1-A52C-81BB9B5986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0.57055020000000001</c:v>
                </c:pt>
                <c:pt idx="1">
                  <c:v>1.01280949</c:v>
                </c:pt>
                <c:pt idx="2">
                  <c:v>1.343668326</c:v>
                </c:pt>
                <c:pt idx="3">
                  <c:v>1.5116062961999996</c:v>
                </c:pt>
                <c:pt idx="4">
                  <c:v>1.6388968596</c:v>
                </c:pt>
                <c:pt idx="5">
                  <c:v>1.7334002702015996</c:v>
                </c:pt>
                <c:pt idx="6">
                  <c:v>1.798043509918656</c:v>
                </c:pt>
                <c:pt idx="7">
                  <c:v>1.8284730146473189</c:v>
                </c:pt>
                <c:pt idx="8">
                  <c:v>1.8243018278944023</c:v>
                </c:pt>
                <c:pt idx="9">
                  <c:v>1.7981574387006123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85-4C77-BD09-31B7FA277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15.6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1" t="s">
        <v>4</v>
      </c>
      <c r="B6" s="29"/>
      <c r="C6" s="29"/>
      <c r="D6" s="29"/>
      <c r="E6" s="29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913.95</v>
      </c>
      <c r="C10" s="8" t="s">
        <v>10</v>
      </c>
    </row>
    <row r="11" spans="1:13" ht="22.95" customHeight="1">
      <c r="A11" s="6" t="s">
        <v>11</v>
      </c>
      <c r="B11" s="9">
        <v>8.9700000000000002E-2</v>
      </c>
      <c r="C11" s="8" t="s">
        <v>12</v>
      </c>
    </row>
    <row r="12" spans="1:13" ht="22.95" customHeight="1">
      <c r="A12" s="6" t="s">
        <v>13</v>
      </c>
      <c r="B12" s="10">
        <f>B10*B11</f>
        <v>81.981315000000009</v>
      </c>
      <c r="C12" s="8" t="s">
        <v>14</v>
      </c>
    </row>
    <row r="13" spans="1:13" ht="22.95" customHeight="1">
      <c r="A13" s="6" t="s">
        <v>15</v>
      </c>
      <c r="B13" s="11">
        <v>-1.101</v>
      </c>
      <c r="C13" s="8" t="s">
        <v>16</v>
      </c>
    </row>
    <row r="14" spans="1:13" ht="22.95" customHeight="1">
      <c r="A14" s="6" t="s">
        <v>17</v>
      </c>
      <c r="B14" s="10">
        <f>B12+B13</f>
        <v>80.88031500000001</v>
      </c>
      <c r="C14" s="8" t="s">
        <v>18</v>
      </c>
    </row>
    <row r="15" spans="1:13" ht="22.95" customHeight="1">
      <c r="A15" s="6" t="s">
        <v>19</v>
      </c>
      <c r="B15" s="11">
        <v>3.0139999999999998</v>
      </c>
      <c r="C15" s="8" t="s">
        <v>20</v>
      </c>
    </row>
    <row r="16" spans="1:13" ht="22.95" customHeight="1">
      <c r="A16" s="6" t="s">
        <v>21</v>
      </c>
      <c r="B16" s="11">
        <v>0.52480000000000004</v>
      </c>
      <c r="C16" s="8" t="s">
        <v>22</v>
      </c>
    </row>
    <row r="17" spans="1:5" ht="22.95" customHeight="1">
      <c r="A17" s="6" t="s">
        <v>23</v>
      </c>
      <c r="B17" s="11">
        <v>0.41499999999999998</v>
      </c>
      <c r="C17" s="8" t="s">
        <v>24</v>
      </c>
    </row>
    <row r="18" spans="1:5" ht="22.95" customHeight="1">
      <c r="A18" s="6" t="s">
        <v>25</v>
      </c>
      <c r="B18" s="11">
        <v>0.30009999999999998</v>
      </c>
      <c r="C18" s="8" t="s">
        <v>26</v>
      </c>
    </row>
    <row r="19" spans="1:5" ht="22.95" customHeight="1">
      <c r="A19" s="6" t="s">
        <v>27</v>
      </c>
      <c r="B19" s="11">
        <v>5.3</v>
      </c>
      <c r="C19" s="8" t="s">
        <v>28</v>
      </c>
    </row>
    <row r="20" spans="1:5" ht="22.95" customHeight="1">
      <c r="A20" s="6" t="s">
        <v>29</v>
      </c>
      <c r="B20" s="12">
        <v>8.67</v>
      </c>
      <c r="C20" s="8" t="s">
        <v>30</v>
      </c>
    </row>
    <row r="21" spans="1:5" ht="22.95" customHeight="1">
      <c r="A21" s="6" t="s">
        <v>31</v>
      </c>
      <c r="B21" s="12">
        <v>17</v>
      </c>
      <c r="C21" s="8" t="s">
        <v>32</v>
      </c>
    </row>
    <row r="22" spans="1:5" ht="22.95" customHeight="1">
      <c r="A22" s="6" t="s">
        <v>33</v>
      </c>
      <c r="B22" s="13">
        <f>B14/B16</f>
        <v>154.11645388719512</v>
      </c>
      <c r="C22" s="8" t="s">
        <v>34</v>
      </c>
    </row>
    <row r="23" spans="1:5" ht="22.95" customHeight="1">
      <c r="A23" s="6" t="s">
        <v>35</v>
      </c>
      <c r="B23" s="13">
        <f>B10/B20</f>
        <v>105.41522491349481</v>
      </c>
      <c r="C23" s="8" t="s">
        <v>36</v>
      </c>
    </row>
    <row r="24" spans="1:5" ht="22.95" customHeight="1">
      <c r="A24" s="6" t="s">
        <v>37</v>
      </c>
      <c r="B24" s="13">
        <f>B10/B21</f>
        <v>53.761764705882356</v>
      </c>
      <c r="C24" s="8" t="s">
        <v>38</v>
      </c>
    </row>
    <row r="25" spans="1:5" ht="22.95" customHeight="1">
      <c r="A25" s="6" t="s">
        <v>39</v>
      </c>
      <c r="B25" s="14">
        <f>B18/B12</f>
        <v>3.6605902210765946E-3</v>
      </c>
      <c r="C25" s="8" t="s">
        <v>40</v>
      </c>
    </row>
    <row r="26" spans="1:5" ht="22.95" customHeight="1">
      <c r="A26" s="6" t="s">
        <v>41</v>
      </c>
      <c r="B26" s="13">
        <f>B14/B18</f>
        <v>269.51121292902371</v>
      </c>
      <c r="C26" s="8" t="s">
        <v>42</v>
      </c>
    </row>
    <row r="27" spans="1:5" ht="22.95" customHeight="1">
      <c r="A27" s="6" t="s">
        <v>43</v>
      </c>
      <c r="B27" s="15">
        <v>0.14973457199734569</v>
      </c>
      <c r="C27" s="8" t="s">
        <v>44</v>
      </c>
    </row>
    <row r="28" spans="1:5" ht="22.95" customHeight="1">
      <c r="A28" s="6" t="s">
        <v>45</v>
      </c>
      <c r="B28" s="16">
        <f>B18/B17</f>
        <v>0.72313253012048195</v>
      </c>
      <c r="C28" s="8" t="s">
        <v>46</v>
      </c>
    </row>
    <row r="29" spans="1:5" ht="22.95" customHeight="1">
      <c r="A29" s="6" t="s">
        <v>47</v>
      </c>
      <c r="B29" s="17">
        <v>0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78.001202403134457</v>
      </c>
      <c r="C33" s="15">
        <f>B33/$B$10-1</f>
        <v>-0.91465484719827728</v>
      </c>
      <c r="D33" s="15">
        <f>1-$B$10/B33</f>
        <v>-10.717127067816499</v>
      </c>
      <c r="E33" s="17">
        <v>3.1300000000000001E-2</v>
      </c>
    </row>
    <row r="34" spans="1:5">
      <c r="A34" s="18" t="s">
        <v>55</v>
      </c>
      <c r="B34" s="19">
        <v>258.90696198718922</v>
      </c>
      <c r="C34" s="15">
        <f>B34/$B$10-1</f>
        <v>-0.7167164921634781</v>
      </c>
      <c r="D34" s="15">
        <f>1-$B$10/B34</f>
        <v>-2.530032537499793</v>
      </c>
      <c r="E34" s="17">
        <v>4.6899999999999997E-2</v>
      </c>
    </row>
    <row r="35" spans="1:5">
      <c r="A35" s="6" t="s">
        <v>56</v>
      </c>
      <c r="B35" s="7">
        <v>557.43754669905502</v>
      </c>
      <c r="C35" s="15">
        <f>B35/$B$10-1</f>
        <v>-0.39007872783078401</v>
      </c>
      <c r="D35" s="15">
        <f>1-$B$10/B35</f>
        <v>-0.63955586668333297</v>
      </c>
      <c r="E35" s="17">
        <v>6.4199999999999993E-2</v>
      </c>
    </row>
    <row r="36" spans="1:5">
      <c r="A36" s="20" t="s">
        <v>57</v>
      </c>
      <c r="B36" s="21">
        <v>913.95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30" t="s">
        <v>60</v>
      </c>
      <c r="B39" s="29"/>
      <c r="C39" s="29"/>
      <c r="D39" s="29"/>
      <c r="E39" s="29"/>
    </row>
    <row r="40" spans="1:5" ht="28.05" customHeight="1">
      <c r="A40" s="30" t="s">
        <v>61</v>
      </c>
      <c r="B40" s="29"/>
      <c r="C40" s="29"/>
      <c r="D40" s="29"/>
      <c r="E40" s="29"/>
    </row>
    <row r="41" spans="1:5" ht="28.05" customHeight="1">
      <c r="A41" s="30" t="s">
        <v>62</v>
      </c>
      <c r="B41" s="29"/>
      <c r="C41" s="29"/>
      <c r="D41" s="29"/>
      <c r="E41" s="29"/>
    </row>
    <row r="42" spans="1:5" ht="28.05" customHeight="1">
      <c r="A42" s="30" t="s">
        <v>63</v>
      </c>
      <c r="B42" s="29"/>
      <c r="C42" s="29"/>
      <c r="D42" s="29"/>
      <c r="E42" s="29"/>
    </row>
    <row r="43" spans="1:5" ht="28.05" customHeight="1">
      <c r="A43" s="30" t="s">
        <v>64</v>
      </c>
      <c r="B43" s="29"/>
      <c r="C43" s="29"/>
      <c r="D43" s="29"/>
      <c r="E43" s="29"/>
    </row>
    <row r="44" spans="1:5" ht="28.05" customHeight="1">
      <c r="A44" s="30" t="s">
        <v>65</v>
      </c>
      <c r="B44" s="29"/>
      <c r="C44" s="29"/>
      <c r="D44" s="29"/>
      <c r="E44" s="29"/>
    </row>
    <row r="45" spans="1:5" ht="28.05" customHeight="1">
      <c r="A45" s="30" t="s">
        <v>66</v>
      </c>
      <c r="B45" s="29"/>
      <c r="C45" s="29"/>
      <c r="D45" s="29"/>
      <c r="E45" s="29"/>
    </row>
  </sheetData>
  <mergeCells count="10">
    <mergeCell ref="A3:M3"/>
    <mergeCell ref="A45:E45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67</v>
      </c>
    </row>
    <row r="2" spans="1:8" ht="15.6">
      <c r="A2" s="28" t="s">
        <v>68</v>
      </c>
      <c r="B2" s="29"/>
      <c r="C2" s="29"/>
      <c r="D2" s="29"/>
      <c r="E2" s="29"/>
      <c r="F2" s="29"/>
      <c r="G2" s="29"/>
      <c r="H2" s="29"/>
    </row>
    <row r="4" spans="1:8">
      <c r="A4" s="5" t="s">
        <v>6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8</v>
      </c>
    </row>
    <row r="5" spans="1:8">
      <c r="A5" s="6" t="s">
        <v>74</v>
      </c>
      <c r="B5" s="11">
        <v>1.7125999999999999</v>
      </c>
      <c r="C5" s="11">
        <v>1.7669999999999999</v>
      </c>
      <c r="D5" s="11">
        <v>1.3592</v>
      </c>
      <c r="E5" s="11">
        <v>1.645</v>
      </c>
      <c r="F5" s="11">
        <v>3.0139999999999998</v>
      </c>
      <c r="H5" s="8" t="s">
        <v>75</v>
      </c>
    </row>
    <row r="6" spans="1:8">
      <c r="A6" s="6" t="s">
        <v>76</v>
      </c>
      <c r="B6" s="11">
        <v>0.30330000000000001</v>
      </c>
      <c r="C6" s="11">
        <v>-0.1157</v>
      </c>
      <c r="D6" s="11">
        <v>-0.434</v>
      </c>
      <c r="E6" s="11">
        <v>-0.18010000000000001</v>
      </c>
      <c r="F6" s="11">
        <v>0.52480000000000004</v>
      </c>
      <c r="H6" s="8" t="s">
        <v>77</v>
      </c>
    </row>
    <row r="7" spans="1:8">
      <c r="A7" s="6" t="s">
        <v>78</v>
      </c>
      <c r="B7" s="11">
        <v>0.19889999999999999</v>
      </c>
      <c r="C7" s="11">
        <v>-0.13159999999999999</v>
      </c>
      <c r="D7" s="11">
        <v>-0.54649999999999999</v>
      </c>
      <c r="E7" s="11">
        <v>2.5899999999999999E-2</v>
      </c>
      <c r="F7" s="11">
        <v>-6.9351000000000003</v>
      </c>
      <c r="H7" s="8" t="s">
        <v>77</v>
      </c>
    </row>
    <row r="8" spans="1:8">
      <c r="A8" s="6" t="s">
        <v>79</v>
      </c>
      <c r="B8" s="11">
        <v>0.45929999999999999</v>
      </c>
      <c r="C8" s="11">
        <v>0.17979999999999999</v>
      </c>
      <c r="D8" s="11">
        <v>2.47E-2</v>
      </c>
      <c r="E8" s="11">
        <v>0.1263</v>
      </c>
      <c r="F8" s="11">
        <v>0.75139999999999996</v>
      </c>
      <c r="H8" s="8" t="s">
        <v>80</v>
      </c>
    </row>
    <row r="9" spans="1:8">
      <c r="A9" s="6" t="s">
        <v>81</v>
      </c>
      <c r="B9" s="11">
        <v>9.1200000000000003E-2</v>
      </c>
      <c r="C9" s="11">
        <v>0.1285</v>
      </c>
      <c r="D9" s="11">
        <v>0.13300000000000001</v>
      </c>
      <c r="E9" s="11">
        <v>0.23100000000000001</v>
      </c>
      <c r="F9" s="11">
        <v>0.45129999999999998</v>
      </c>
      <c r="H9" s="8" t="s">
        <v>82</v>
      </c>
    </row>
    <row r="10" spans="1:8">
      <c r="A10" s="6" t="s">
        <v>83</v>
      </c>
      <c r="B10" s="11">
        <v>0.36809999999999998</v>
      </c>
      <c r="C10" s="11">
        <v>5.1299999999999998E-2</v>
      </c>
      <c r="D10" s="11">
        <v>-0.10829999999999999</v>
      </c>
      <c r="E10" s="11">
        <v>-0.1047</v>
      </c>
      <c r="F10" s="11">
        <v>0.30009999999999998</v>
      </c>
      <c r="H10" s="8" t="s">
        <v>84</v>
      </c>
    </row>
    <row r="11" spans="1:8">
      <c r="A11" s="6" t="s">
        <v>85</v>
      </c>
      <c r="B11" s="12">
        <v>2.68</v>
      </c>
      <c r="C11" s="12">
        <v>-1.93</v>
      </c>
      <c r="D11" s="12">
        <v>-8.1199999999999992</v>
      </c>
      <c r="E11" s="12">
        <v>0.37</v>
      </c>
      <c r="F11" s="12">
        <v>-92.96</v>
      </c>
      <c r="H11" s="8" t="s">
        <v>86</v>
      </c>
    </row>
    <row r="12" spans="1:8">
      <c r="A12" s="6" t="s">
        <v>87</v>
      </c>
      <c r="B12" s="23">
        <v>7.3999999999999996E-2</v>
      </c>
      <c r="C12" s="23">
        <v>6.8000000000000005E-2</v>
      </c>
      <c r="D12" s="23">
        <v>6.7000000000000004E-2</v>
      </c>
      <c r="E12" s="23">
        <v>6.9000000000000006E-2</v>
      </c>
      <c r="F12" s="23">
        <v>7.46E-2</v>
      </c>
      <c r="H12" s="8" t="s">
        <v>88</v>
      </c>
    </row>
    <row r="14" spans="1:8">
      <c r="A14" s="6" t="s">
        <v>89</v>
      </c>
      <c r="C14" s="15">
        <f>C5/B5-1</f>
        <v>3.1764568492350875E-2</v>
      </c>
      <c r="D14" s="15">
        <f>D5/C5-1</f>
        <v>-0.23078664402942839</v>
      </c>
      <c r="E14" s="15">
        <f>E5/D5-1</f>
        <v>0.21027074749852859</v>
      </c>
      <c r="F14" s="15">
        <f>F5/E5-1</f>
        <v>0.83221884498480225</v>
      </c>
    </row>
    <row r="15" spans="1:8">
      <c r="A15" s="6" t="s">
        <v>90</v>
      </c>
      <c r="B15" s="15">
        <f>B6/B5</f>
        <v>0.1770991474950368</v>
      </c>
      <c r="C15" s="15">
        <f>C6/C5</f>
        <v>-6.5478211658177701E-2</v>
      </c>
      <c r="D15" s="15">
        <f>D6/D5</f>
        <v>-0.31930547380812241</v>
      </c>
      <c r="E15" s="15">
        <f>E6/E5</f>
        <v>-0.10948328267477205</v>
      </c>
      <c r="F15" s="15">
        <f>F6/F5</f>
        <v>0.17412076974120771</v>
      </c>
    </row>
    <row r="16" spans="1:8">
      <c r="A16" s="6" t="s">
        <v>91</v>
      </c>
      <c r="B16" s="15">
        <f>B7/B5</f>
        <v>0.11613920355015765</v>
      </c>
      <c r="C16" s="15">
        <f>C7/C5</f>
        <v>-7.447651386530843E-2</v>
      </c>
      <c r="D16" s="15">
        <f>D7/D5</f>
        <v>-0.40207474985285463</v>
      </c>
      <c r="E16" s="15">
        <f>E7/E5</f>
        <v>1.5744680851063828E-2</v>
      </c>
      <c r="F16" s="15">
        <f>F7/F5</f>
        <v>-2.3009621765096222</v>
      </c>
    </row>
    <row r="17" spans="1:8">
      <c r="A17" s="6" t="s">
        <v>92</v>
      </c>
      <c r="B17" s="15">
        <f>B10/B5</f>
        <v>0.21493635408151349</v>
      </c>
      <c r="C17" s="15">
        <f>C10/C5</f>
        <v>2.903225806451613E-2</v>
      </c>
      <c r="D17" s="15">
        <f>D10/D5</f>
        <v>-7.9679223072395527E-2</v>
      </c>
      <c r="E17" s="15">
        <f>E10/E5</f>
        <v>-6.3647416413373861E-2</v>
      </c>
      <c r="F17" s="15">
        <f>F10/F5</f>
        <v>9.956867949568679E-2</v>
      </c>
    </row>
    <row r="18" spans="1:8">
      <c r="A18" s="6" t="s">
        <v>43</v>
      </c>
      <c r="B18" s="15">
        <f>B9/B5</f>
        <v>5.3252364825411659E-2</v>
      </c>
      <c r="C18" s="15">
        <f>C9/C5</f>
        <v>7.2722127900396158E-2</v>
      </c>
      <c r="D18" s="15">
        <f>D9/D5</f>
        <v>9.7851677457327854E-2</v>
      </c>
      <c r="E18" s="15">
        <f>E9/E5</f>
        <v>0.14042553191489363</v>
      </c>
      <c r="F18" s="15">
        <f>F9/F5</f>
        <v>0.14973457199734572</v>
      </c>
    </row>
    <row r="19" spans="1:8">
      <c r="A19" s="6" t="s">
        <v>45</v>
      </c>
      <c r="B19" s="15">
        <f>B10/(B6*(1-0.21))</f>
        <v>1.5362656349772752</v>
      </c>
      <c r="C19" s="15">
        <f>C10/(C6*(1-0.21))</f>
        <v>-0.56125072481209592</v>
      </c>
      <c r="D19" s="15">
        <f>D10/(D6*(1-0.21))</f>
        <v>0.31587236773026889</v>
      </c>
      <c r="E19" s="15">
        <f>E10/(E6*(1-0.21))</f>
        <v>0.73587809866529841</v>
      </c>
      <c r="F19" s="15">
        <f>F10/(F6*(1-0.21))</f>
        <v>0.72384416486569914</v>
      </c>
    </row>
    <row r="21" spans="1:8" ht="16.2">
      <c r="A21" s="3" t="s">
        <v>93</v>
      </c>
      <c r="B21" s="4"/>
      <c r="C21" s="4"/>
      <c r="D21" s="4"/>
      <c r="E21" s="4"/>
      <c r="F21" s="4"/>
      <c r="G21" s="4"/>
      <c r="H21" s="4"/>
    </row>
    <row r="22" spans="1:8" ht="30" customHeight="1">
      <c r="A22" s="30" t="s">
        <v>94</v>
      </c>
      <c r="B22" s="29"/>
      <c r="C22" s="29"/>
      <c r="D22" s="29"/>
      <c r="E22" s="29"/>
      <c r="F22" s="29"/>
      <c r="G22" s="29"/>
      <c r="H22" s="29"/>
    </row>
    <row r="23" spans="1:8" ht="30" customHeight="1">
      <c r="A23" s="30" t="s">
        <v>95</v>
      </c>
      <c r="B23" s="29"/>
      <c r="C23" s="29"/>
      <c r="D23" s="29"/>
      <c r="E23" s="29"/>
      <c r="F23" s="29"/>
      <c r="G23" s="29"/>
      <c r="H23" s="29"/>
    </row>
    <row r="24" spans="1:8" ht="30" customHeight="1">
      <c r="A24" s="30" t="s">
        <v>96</v>
      </c>
      <c r="B24" s="29"/>
      <c r="C24" s="29"/>
      <c r="D24" s="29"/>
      <c r="E24" s="29"/>
      <c r="F24" s="29"/>
      <c r="G24" s="29"/>
      <c r="H24" s="29"/>
    </row>
    <row r="25" spans="1:8" ht="30" customHeight="1">
      <c r="A25" s="30" t="s">
        <v>97</v>
      </c>
      <c r="B25" s="29"/>
      <c r="C25" s="29"/>
      <c r="D25" s="29"/>
      <c r="E25" s="29"/>
      <c r="F25" s="29"/>
      <c r="G25" s="29"/>
      <c r="H25" s="29"/>
    </row>
    <row r="26" spans="1:8" ht="30" customHeight="1">
      <c r="A26" s="30" t="s">
        <v>98</v>
      </c>
      <c r="B26" s="29"/>
      <c r="C26" s="29"/>
      <c r="D26" s="29"/>
      <c r="E26" s="29"/>
      <c r="F26" s="29"/>
      <c r="G26" s="29"/>
      <c r="H26" s="29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99</v>
      </c>
    </row>
    <row r="2" spans="1:6" ht="15.6">
      <c r="A2" s="28" t="s">
        <v>100</v>
      </c>
      <c r="B2" s="29"/>
      <c r="C2" s="29"/>
      <c r="D2" s="29"/>
      <c r="E2" s="29"/>
      <c r="F2" s="29"/>
    </row>
    <row r="4" spans="1:6" ht="16.2">
      <c r="A4" s="3" t="s">
        <v>101</v>
      </c>
      <c r="B4" s="4"/>
      <c r="C4" s="4"/>
      <c r="D4" s="4"/>
      <c r="E4" s="4"/>
      <c r="F4" s="4"/>
    </row>
    <row r="5" spans="1:6" ht="15.6">
      <c r="A5" s="2" t="s">
        <v>102</v>
      </c>
    </row>
    <row r="6" spans="1:6">
      <c r="A6" s="5" t="s">
        <v>103</v>
      </c>
      <c r="B6" s="5" t="s">
        <v>104</v>
      </c>
      <c r="C6" s="5" t="s">
        <v>105</v>
      </c>
      <c r="D6" s="5" t="s">
        <v>8</v>
      </c>
      <c r="E6" s="5"/>
    </row>
    <row r="7" spans="1:6">
      <c r="A7" s="6" t="s">
        <v>106</v>
      </c>
      <c r="B7" s="24">
        <v>2.0055999999999998</v>
      </c>
      <c r="C7" s="15">
        <v>0.66500000000000004</v>
      </c>
      <c r="D7" s="6" t="s">
        <v>107</v>
      </c>
      <c r="E7" s="6"/>
    </row>
    <row r="8" spans="1:6">
      <c r="A8" s="6" t="s">
        <v>108</v>
      </c>
      <c r="B8" s="24">
        <v>1.0084</v>
      </c>
      <c r="C8" s="15">
        <v>0.33500000000000002</v>
      </c>
      <c r="D8" s="6" t="s">
        <v>109</v>
      </c>
      <c r="E8" s="6"/>
    </row>
    <row r="9" spans="1:6">
      <c r="A9" s="18" t="s">
        <v>110</v>
      </c>
      <c r="B9" s="24">
        <v>3.0139999999999998</v>
      </c>
      <c r="C9" s="15">
        <v>1</v>
      </c>
      <c r="D9" s="6" t="s">
        <v>111</v>
      </c>
      <c r="E9" s="6"/>
    </row>
    <row r="12" spans="1:6" ht="16.2">
      <c r="A12" s="3" t="s">
        <v>112</v>
      </c>
      <c r="B12" s="4"/>
      <c r="C12" s="4"/>
      <c r="D12" s="4"/>
      <c r="E12" s="4"/>
      <c r="F12" s="4"/>
    </row>
    <row r="13" spans="1:6" ht="15.6">
      <c r="A13" s="2" t="s">
        <v>113</v>
      </c>
    </row>
    <row r="14" spans="1:6">
      <c r="A14" s="5" t="s">
        <v>6</v>
      </c>
      <c r="B14" s="5" t="s">
        <v>7</v>
      </c>
      <c r="C14" s="5" t="s">
        <v>8</v>
      </c>
      <c r="D14" s="5"/>
      <c r="E14" s="5"/>
    </row>
    <row r="15" spans="1:6">
      <c r="A15" s="6" t="s">
        <v>114</v>
      </c>
      <c r="B15" s="6" t="s">
        <v>115</v>
      </c>
      <c r="C15" s="6" t="s">
        <v>116</v>
      </c>
      <c r="D15" s="6"/>
      <c r="E15" s="6"/>
    </row>
    <row r="16" spans="1:6">
      <c r="A16" s="6" t="s">
        <v>117</v>
      </c>
      <c r="B16" s="6" t="s">
        <v>118</v>
      </c>
      <c r="C16" s="6" t="s">
        <v>119</v>
      </c>
      <c r="D16" s="6"/>
      <c r="E16" s="6"/>
    </row>
    <row r="17" spans="1:6">
      <c r="A17" s="6" t="s">
        <v>120</v>
      </c>
      <c r="B17" s="6" t="s">
        <v>121</v>
      </c>
      <c r="C17" s="6" t="s">
        <v>122</v>
      </c>
      <c r="D17" s="6"/>
      <c r="E17" s="6"/>
    </row>
    <row r="18" spans="1:6">
      <c r="A18" s="6" t="s">
        <v>123</v>
      </c>
      <c r="B18" s="6" t="s">
        <v>124</v>
      </c>
      <c r="C18" s="6" t="s">
        <v>125</v>
      </c>
      <c r="D18" s="6"/>
      <c r="E18" s="6"/>
    </row>
    <row r="19" spans="1:6">
      <c r="A19" s="6" t="s">
        <v>126</v>
      </c>
      <c r="B19" s="6" t="s">
        <v>127</v>
      </c>
      <c r="C19" s="6" t="s">
        <v>128</v>
      </c>
      <c r="D19" s="6"/>
      <c r="E19" s="6"/>
    </row>
    <row r="22" spans="1:6" ht="16.2">
      <c r="A22" s="3" t="s">
        <v>129</v>
      </c>
      <c r="B22" s="4"/>
      <c r="C22" s="4"/>
      <c r="D22" s="4"/>
      <c r="E22" s="4"/>
      <c r="F22" s="4"/>
    </row>
    <row r="23" spans="1:6" ht="30" customHeight="1">
      <c r="A23" s="30" t="s">
        <v>130</v>
      </c>
      <c r="B23" s="29"/>
      <c r="C23" s="29"/>
      <c r="D23" s="29"/>
      <c r="E23" s="29"/>
      <c r="F23" s="29"/>
    </row>
    <row r="24" spans="1:6" ht="30" customHeight="1">
      <c r="A24" s="30" t="s">
        <v>131</v>
      </c>
      <c r="B24" s="29"/>
      <c r="C24" s="29"/>
      <c r="D24" s="29"/>
      <c r="E24" s="29"/>
      <c r="F24" s="29"/>
    </row>
    <row r="25" spans="1:6" ht="30" customHeight="1">
      <c r="A25" s="30" t="s">
        <v>132</v>
      </c>
      <c r="B25" s="29"/>
      <c r="C25" s="29"/>
      <c r="D25" s="29"/>
      <c r="E25" s="29"/>
      <c r="F25" s="29"/>
    </row>
    <row r="26" spans="1:6" ht="30" customHeight="1">
      <c r="A26" s="30" t="s">
        <v>133</v>
      </c>
      <c r="B26" s="29"/>
      <c r="C26" s="29"/>
      <c r="D26" s="29"/>
      <c r="E26" s="29"/>
      <c r="F26" s="29"/>
    </row>
    <row r="27" spans="1:6" ht="30" customHeight="1">
      <c r="A27" s="30" t="s">
        <v>134</v>
      </c>
      <c r="B27" s="29"/>
      <c r="C27" s="29"/>
      <c r="D27" s="29"/>
      <c r="E27" s="29"/>
      <c r="F27" s="29"/>
    </row>
    <row r="28" spans="1:6" ht="30" customHeight="1">
      <c r="A28" s="30" t="s">
        <v>135</v>
      </c>
      <c r="B28" s="29"/>
      <c r="C28" s="29"/>
      <c r="D28" s="29"/>
      <c r="E28" s="29"/>
      <c r="F28" s="29"/>
    </row>
  </sheetData>
  <mergeCells count="7">
    <mergeCell ref="A24:F24"/>
    <mergeCell ref="A2:F2"/>
    <mergeCell ref="A28:F28"/>
    <mergeCell ref="A23:F23"/>
    <mergeCell ref="A27:F27"/>
    <mergeCell ref="A26:F26"/>
    <mergeCell ref="A25:F25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136</v>
      </c>
    </row>
    <row r="2" spans="1:3" ht="15.6">
      <c r="A2" s="28" t="s">
        <v>137</v>
      </c>
      <c r="B2" s="29"/>
      <c r="C2" s="29"/>
    </row>
    <row r="4" spans="1:3">
      <c r="A4" s="5" t="s">
        <v>6</v>
      </c>
      <c r="B4" s="5" t="s">
        <v>7</v>
      </c>
      <c r="C4" s="5" t="s">
        <v>138</v>
      </c>
    </row>
    <row r="5" spans="1:3">
      <c r="A5" s="6" t="s">
        <v>139</v>
      </c>
      <c r="B5" s="11">
        <v>0.52480000000000004</v>
      </c>
      <c r="C5" s="8" t="s">
        <v>44</v>
      </c>
    </row>
    <row r="6" spans="1:3">
      <c r="A6" s="6" t="s">
        <v>140</v>
      </c>
      <c r="B6" s="15">
        <v>0.21</v>
      </c>
      <c r="C6" s="8" t="s">
        <v>141</v>
      </c>
    </row>
    <row r="7" spans="1:3">
      <c r="A7" s="6" t="s">
        <v>142</v>
      </c>
      <c r="B7" s="10">
        <f>B5*(1-B6)</f>
        <v>0.41459200000000007</v>
      </c>
      <c r="C7" s="8" t="s">
        <v>143</v>
      </c>
    </row>
    <row r="8" spans="1:3">
      <c r="A8" s="6" t="s">
        <v>144</v>
      </c>
      <c r="B8" s="11">
        <v>0.26700000000000002</v>
      </c>
      <c r="C8" s="8" t="s">
        <v>44</v>
      </c>
    </row>
    <row r="9" spans="1:3">
      <c r="A9" s="6" t="s">
        <v>145</v>
      </c>
      <c r="B9" s="11">
        <v>0.17</v>
      </c>
      <c r="C9" s="8" t="s">
        <v>146</v>
      </c>
    </row>
    <row r="10" spans="1:3">
      <c r="A10" s="6" t="s">
        <v>147</v>
      </c>
      <c r="B10" s="11">
        <v>0.45129999999999998</v>
      </c>
      <c r="C10" s="8" t="s">
        <v>44</v>
      </c>
    </row>
    <row r="11" spans="1:3">
      <c r="A11" s="6" t="s">
        <v>148</v>
      </c>
      <c r="B11" s="11">
        <v>-0.1004</v>
      </c>
      <c r="C11" s="8" t="s">
        <v>149</v>
      </c>
    </row>
    <row r="12" spans="1:3">
      <c r="A12" s="18" t="s">
        <v>150</v>
      </c>
      <c r="B12" s="10">
        <f>B7+B8+B9-B10+B11</f>
        <v>0.29989200000000016</v>
      </c>
      <c r="C12" s="8" t="s">
        <v>151</v>
      </c>
    </row>
    <row r="13" spans="1:3">
      <c r="A13" s="6" t="s">
        <v>152</v>
      </c>
      <c r="B13" s="11">
        <v>0.75139999999999996</v>
      </c>
      <c r="C13" s="8" t="s">
        <v>44</v>
      </c>
    </row>
    <row r="14" spans="1:3">
      <c r="A14" s="6" t="s">
        <v>147</v>
      </c>
      <c r="B14" s="11">
        <v>0.45129999999999998</v>
      </c>
      <c r="C14" s="8" t="s">
        <v>44</v>
      </c>
    </row>
    <row r="15" spans="1:3">
      <c r="A15" s="18" t="s">
        <v>26</v>
      </c>
      <c r="B15" s="10">
        <f>B13-B14</f>
        <v>0.30009999999999998</v>
      </c>
      <c r="C15" s="8" t="s">
        <v>153</v>
      </c>
    </row>
    <row r="16" spans="1:3">
      <c r="A16" s="6" t="s">
        <v>45</v>
      </c>
      <c r="B16" s="16">
        <f>B12/B7</f>
        <v>0.72334246681074432</v>
      </c>
      <c r="C16" s="8" t="s">
        <v>154</v>
      </c>
    </row>
    <row r="17" spans="1:3">
      <c r="A17" s="6" t="s">
        <v>43</v>
      </c>
      <c r="B17" s="16">
        <f>B10/3.014</f>
        <v>0.14973457199734572</v>
      </c>
      <c r="C17" s="8" t="s">
        <v>44</v>
      </c>
    </row>
    <row r="18" spans="1:3">
      <c r="A18" s="6" t="s">
        <v>155</v>
      </c>
      <c r="B18" s="13">
        <f>B10/B8</f>
        <v>1.690262172284644</v>
      </c>
      <c r="C18" s="8" t="s">
        <v>156</v>
      </c>
    </row>
    <row r="20" spans="1:3" ht="16.2">
      <c r="A20" s="3" t="s">
        <v>129</v>
      </c>
      <c r="B20" s="4"/>
      <c r="C20" s="4"/>
    </row>
    <row r="21" spans="1:3" ht="34.049999999999997" customHeight="1">
      <c r="A21" s="30" t="s">
        <v>157</v>
      </c>
      <c r="B21" s="29"/>
      <c r="C21" s="29"/>
    </row>
    <row r="22" spans="1:3" ht="34.049999999999997" customHeight="1">
      <c r="A22" s="30" t="s">
        <v>158</v>
      </c>
      <c r="B22" s="29"/>
      <c r="C22" s="29"/>
    </row>
    <row r="23" spans="1:3" ht="34.049999999999997" customHeight="1">
      <c r="A23" s="30" t="s">
        <v>159</v>
      </c>
      <c r="B23" s="29"/>
      <c r="C23" s="29"/>
    </row>
    <row r="24" spans="1:3" ht="34.049999999999997" customHeight="1">
      <c r="A24" s="30" t="s">
        <v>160</v>
      </c>
      <c r="B24" s="29"/>
      <c r="C24" s="29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161</v>
      </c>
    </row>
    <row r="2" spans="1:14" ht="15.6">
      <c r="A2" s="28" t="s">
        <v>162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.6">
      <c r="A3" s="28" t="s">
        <v>163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6.2">
      <c r="A4" s="3" t="s">
        <v>164</v>
      </c>
      <c r="B4" s="4"/>
      <c r="C4" s="4"/>
      <c r="D4" s="4"/>
      <c r="E4" s="4"/>
    </row>
    <row r="5" spans="1:14">
      <c r="A5" s="6" t="s">
        <v>165</v>
      </c>
      <c r="B5" s="11">
        <v>3.0139999999999998</v>
      </c>
    </row>
    <row r="6" spans="1:14">
      <c r="A6" s="6" t="s">
        <v>166</v>
      </c>
      <c r="B6" s="15">
        <v>0.21</v>
      </c>
    </row>
    <row r="7" spans="1:14">
      <c r="A7" s="6" t="s">
        <v>167</v>
      </c>
      <c r="B7" s="15">
        <v>0.12</v>
      </c>
    </row>
    <row r="8" spans="1:14">
      <c r="A8" s="6" t="s">
        <v>15</v>
      </c>
      <c r="B8" s="11">
        <v>-1.101</v>
      </c>
    </row>
    <row r="9" spans="1:14">
      <c r="A9" s="6" t="s">
        <v>168</v>
      </c>
      <c r="B9" s="11">
        <v>0</v>
      </c>
    </row>
    <row r="10" spans="1:14">
      <c r="A10" s="6" t="s">
        <v>169</v>
      </c>
      <c r="B10" s="9">
        <v>8.9700000000000002E-2</v>
      </c>
    </row>
    <row r="11" spans="1:14" ht="15">
      <c r="A11" s="32" t="s">
        <v>170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3" spans="1:14" ht="16.2">
      <c r="A13" s="3" t="s">
        <v>171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172</v>
      </c>
      <c r="B14" s="15">
        <v>0.1</v>
      </c>
      <c r="C14" s="6" t="s">
        <v>173</v>
      </c>
      <c r="D14" s="15">
        <v>2.5000000000000001E-2</v>
      </c>
    </row>
    <row r="16" spans="1:14">
      <c r="A16" s="5" t="s">
        <v>174</v>
      </c>
      <c r="B16" s="5" t="s">
        <v>89</v>
      </c>
      <c r="C16" s="5" t="s">
        <v>74</v>
      </c>
      <c r="D16" s="5" t="s">
        <v>175</v>
      </c>
      <c r="E16" s="5" t="s">
        <v>176</v>
      </c>
      <c r="F16" s="5" t="s">
        <v>142</v>
      </c>
      <c r="G16" s="5" t="s">
        <v>177</v>
      </c>
      <c r="H16" s="5" t="s">
        <v>178</v>
      </c>
      <c r="I16" s="5" t="s">
        <v>179</v>
      </c>
      <c r="J16" s="5" t="s">
        <v>180</v>
      </c>
      <c r="K16" s="5" t="s">
        <v>181</v>
      </c>
      <c r="L16" s="5" t="s">
        <v>182</v>
      </c>
      <c r="M16" s="5" t="s">
        <v>183</v>
      </c>
      <c r="N16" s="5" t="s">
        <v>184</v>
      </c>
    </row>
    <row r="17" spans="1:14">
      <c r="A17" s="25">
        <v>1</v>
      </c>
      <c r="B17" s="15">
        <v>0.45</v>
      </c>
      <c r="C17" s="11">
        <f>$B$5*(1+B17)</f>
        <v>4.3702999999999994</v>
      </c>
      <c r="D17" s="15">
        <v>0.16</v>
      </c>
      <c r="E17" s="11">
        <f t="shared" ref="E17:E26" si="0">C17*D17</f>
        <v>0.69924799999999987</v>
      </c>
      <c r="F17" s="11">
        <f t="shared" ref="F17:F26" si="1">E17*(1-$B$6)</f>
        <v>0.55240591999999988</v>
      </c>
      <c r="G17" s="15">
        <v>0.06</v>
      </c>
      <c r="H17" s="11">
        <f t="shared" ref="H17:H26" si="2">C17*G17</f>
        <v>0.26221799999999995</v>
      </c>
      <c r="I17" s="15">
        <v>0.1</v>
      </c>
      <c r="J17" s="11">
        <f t="shared" ref="J17:J26" si="3">C17*I17</f>
        <v>0.43702999999999997</v>
      </c>
      <c r="K17" s="11">
        <f>(C17-$B$5)*$B$7</f>
        <v>0.16275599999999996</v>
      </c>
      <c r="L17" s="11">
        <f t="shared" ref="L17:L26" si="4">F17+H17-J17-K17</f>
        <v>0.2148379199999999</v>
      </c>
      <c r="M17" s="23">
        <f>1/(1+$B$14)^1</f>
        <v>0.90909090909090906</v>
      </c>
      <c r="N17" s="11">
        <f t="shared" ref="N17:N26" si="5">L17*M17</f>
        <v>0.1953071999999999</v>
      </c>
    </row>
    <row r="18" spans="1:14">
      <c r="A18" s="25">
        <v>2</v>
      </c>
      <c r="B18" s="15">
        <v>0.1</v>
      </c>
      <c r="C18" s="11">
        <f t="shared" ref="C18:C26" si="6">C17*(1+B18)</f>
        <v>4.8073299999999994</v>
      </c>
      <c r="D18" s="15">
        <v>0.14000000000000001</v>
      </c>
      <c r="E18" s="11">
        <f t="shared" si="0"/>
        <v>0.67302620000000002</v>
      </c>
      <c r="F18" s="11">
        <f t="shared" si="1"/>
        <v>0.53169069800000002</v>
      </c>
      <c r="G18" s="15">
        <v>0.06</v>
      </c>
      <c r="H18" s="11">
        <f t="shared" si="2"/>
        <v>0.28843979999999997</v>
      </c>
      <c r="I18" s="15">
        <v>0.1</v>
      </c>
      <c r="J18" s="11">
        <f t="shared" si="3"/>
        <v>0.48073299999999997</v>
      </c>
      <c r="K18" s="11">
        <f t="shared" ref="K18:K26" si="7">(C18-C17)*$B$7</f>
        <v>5.24436E-2</v>
      </c>
      <c r="L18" s="11">
        <f t="shared" si="4"/>
        <v>0.28695389799999999</v>
      </c>
      <c r="M18" s="23">
        <f>1/(1+$B$14)^2</f>
        <v>0.82644628099173545</v>
      </c>
      <c r="N18" s="11">
        <f t="shared" si="5"/>
        <v>0.23715198181818178</v>
      </c>
    </row>
    <row r="19" spans="1:14">
      <c r="A19" s="25">
        <v>3</v>
      </c>
      <c r="B19" s="15">
        <v>-0.1</v>
      </c>
      <c r="C19" s="11">
        <f t="shared" si="6"/>
        <v>4.3265969999999996</v>
      </c>
      <c r="D19" s="15">
        <v>0.12</v>
      </c>
      <c r="E19" s="11">
        <f t="shared" si="0"/>
        <v>0.51919163999999995</v>
      </c>
      <c r="F19" s="11">
        <f t="shared" si="1"/>
        <v>0.41016139559999998</v>
      </c>
      <c r="G19" s="15">
        <v>0.06</v>
      </c>
      <c r="H19" s="11">
        <f t="shared" si="2"/>
        <v>0.25959581999999998</v>
      </c>
      <c r="I19" s="15">
        <v>0.1</v>
      </c>
      <c r="J19" s="11">
        <f t="shared" si="3"/>
        <v>0.43265969999999998</v>
      </c>
      <c r="K19" s="11">
        <f t="shared" si="7"/>
        <v>-5.7687959999999983E-2</v>
      </c>
      <c r="L19" s="11">
        <f t="shared" si="4"/>
        <v>0.29478547560000001</v>
      </c>
      <c r="M19" s="23">
        <f>1/(1+$B$14)^3</f>
        <v>0.75131480090157754</v>
      </c>
      <c r="N19" s="11">
        <f t="shared" si="5"/>
        <v>0.22147669090909086</v>
      </c>
    </row>
    <row r="20" spans="1:14">
      <c r="A20" s="25">
        <v>4</v>
      </c>
      <c r="B20" s="15">
        <v>0.05</v>
      </c>
      <c r="C20" s="11">
        <f t="shared" si="6"/>
        <v>4.5429268499999997</v>
      </c>
      <c r="D20" s="15">
        <v>0.14000000000000001</v>
      </c>
      <c r="E20" s="11">
        <f t="shared" si="0"/>
        <v>0.63600975900000001</v>
      </c>
      <c r="F20" s="11">
        <f t="shared" si="1"/>
        <v>0.50244770961000007</v>
      </c>
      <c r="G20" s="15">
        <v>0.06</v>
      </c>
      <c r="H20" s="11">
        <f t="shared" si="2"/>
        <v>0.272575611</v>
      </c>
      <c r="I20" s="15">
        <v>0.1</v>
      </c>
      <c r="J20" s="11">
        <f t="shared" si="3"/>
        <v>0.45429268499999997</v>
      </c>
      <c r="K20" s="11">
        <f t="shared" si="7"/>
        <v>2.5959582000000019E-2</v>
      </c>
      <c r="L20" s="11">
        <f t="shared" si="4"/>
        <v>0.29477105361000011</v>
      </c>
      <c r="M20" s="23">
        <f>1/(1+$B$14)^4</f>
        <v>0.68301345536507052</v>
      </c>
      <c r="N20" s="11">
        <f t="shared" si="5"/>
        <v>0.20133259586776861</v>
      </c>
    </row>
    <row r="21" spans="1:14">
      <c r="A21" s="25">
        <v>5</v>
      </c>
      <c r="B21" s="15">
        <v>0.08</v>
      </c>
      <c r="C21" s="11">
        <f t="shared" si="6"/>
        <v>4.9063609980000003</v>
      </c>
      <c r="D21" s="15">
        <v>0.17</v>
      </c>
      <c r="E21" s="11">
        <f t="shared" si="0"/>
        <v>0.83408136966000013</v>
      </c>
      <c r="F21" s="11">
        <f t="shared" si="1"/>
        <v>0.65892428203140008</v>
      </c>
      <c r="G21" s="15">
        <v>0.06</v>
      </c>
      <c r="H21" s="11">
        <f t="shared" si="2"/>
        <v>0.29438165987999998</v>
      </c>
      <c r="I21" s="15">
        <v>0.1</v>
      </c>
      <c r="J21" s="11">
        <f t="shared" si="3"/>
        <v>0.49063609980000006</v>
      </c>
      <c r="K21" s="11">
        <f t="shared" si="7"/>
        <v>4.3612097760000058E-2</v>
      </c>
      <c r="L21" s="11">
        <f t="shared" si="4"/>
        <v>0.41905774435139992</v>
      </c>
      <c r="M21" s="23">
        <f>1/(1+$B$14)^5</f>
        <v>0.62092132305915493</v>
      </c>
      <c r="N21" s="11">
        <f t="shared" si="5"/>
        <v>0.26020188906085634</v>
      </c>
    </row>
    <row r="22" spans="1:14">
      <c r="A22" s="25">
        <v>6</v>
      </c>
      <c r="B22" s="15">
        <v>0.06</v>
      </c>
      <c r="C22" s="11">
        <f t="shared" si="6"/>
        <v>5.2007426578800002</v>
      </c>
      <c r="D22" s="15">
        <v>0.18</v>
      </c>
      <c r="E22" s="11">
        <f t="shared" si="0"/>
        <v>0.93613367841840001</v>
      </c>
      <c r="F22" s="11">
        <f t="shared" si="1"/>
        <v>0.73954560595053609</v>
      </c>
      <c r="G22" s="15">
        <v>0.06</v>
      </c>
      <c r="H22" s="11">
        <f t="shared" si="2"/>
        <v>0.31204455947280002</v>
      </c>
      <c r="I22" s="15">
        <v>0.1</v>
      </c>
      <c r="J22" s="11">
        <f t="shared" si="3"/>
        <v>0.52007426578800009</v>
      </c>
      <c r="K22" s="11">
        <f t="shared" si="7"/>
        <v>3.5325799185599999E-2</v>
      </c>
      <c r="L22" s="11">
        <f t="shared" si="4"/>
        <v>0.4961901004497361</v>
      </c>
      <c r="M22" s="23">
        <f>1/(1+$B$14)^6</f>
        <v>0.56447393005377722</v>
      </c>
      <c r="N22" s="11">
        <f t="shared" si="5"/>
        <v>0.28008637605464104</v>
      </c>
    </row>
    <row r="23" spans="1:14">
      <c r="A23" s="25">
        <v>7</v>
      </c>
      <c r="B23" s="15">
        <v>0.05</v>
      </c>
      <c r="C23" s="11">
        <f t="shared" si="6"/>
        <v>5.4607797907740006</v>
      </c>
      <c r="D23" s="15">
        <v>0.19</v>
      </c>
      <c r="E23" s="11">
        <f t="shared" si="0"/>
        <v>1.0375481602470602</v>
      </c>
      <c r="F23" s="11">
        <f t="shared" si="1"/>
        <v>0.81966304659517764</v>
      </c>
      <c r="G23" s="15">
        <v>0.06</v>
      </c>
      <c r="H23" s="11">
        <f t="shared" si="2"/>
        <v>0.32764678744644005</v>
      </c>
      <c r="I23" s="15">
        <v>0.1</v>
      </c>
      <c r="J23" s="11">
        <f t="shared" si="3"/>
        <v>0.54607797907740008</v>
      </c>
      <c r="K23" s="11">
        <f t="shared" si="7"/>
        <v>3.1204455947280038E-2</v>
      </c>
      <c r="L23" s="11">
        <f t="shared" si="4"/>
        <v>0.57002739901693755</v>
      </c>
      <c r="M23" s="23">
        <f>1/(1+$B$14)^7</f>
        <v>0.51315811823070645</v>
      </c>
      <c r="N23" s="11">
        <f t="shared" si="5"/>
        <v>0.29251418741947571</v>
      </c>
    </row>
    <row r="24" spans="1:14">
      <c r="A24" s="25">
        <v>8</v>
      </c>
      <c r="B24" s="15">
        <v>0.04</v>
      </c>
      <c r="C24" s="11">
        <f t="shared" si="6"/>
        <v>5.6792109824049604</v>
      </c>
      <c r="D24" s="15">
        <v>0.19</v>
      </c>
      <c r="E24" s="11">
        <f t="shared" si="0"/>
        <v>1.0790500866569426</v>
      </c>
      <c r="F24" s="11">
        <f t="shared" si="1"/>
        <v>0.85244956845898467</v>
      </c>
      <c r="G24" s="15">
        <v>0.06</v>
      </c>
      <c r="H24" s="11">
        <f t="shared" si="2"/>
        <v>0.34075265894429763</v>
      </c>
      <c r="I24" s="15">
        <v>0.1</v>
      </c>
      <c r="J24" s="11">
        <f t="shared" si="3"/>
        <v>0.56792109824049608</v>
      </c>
      <c r="K24" s="11">
        <f t="shared" si="7"/>
        <v>2.6211742995715177E-2</v>
      </c>
      <c r="L24" s="11">
        <f t="shared" si="4"/>
        <v>0.59906938616707106</v>
      </c>
      <c r="M24" s="23">
        <f>1/(1+$B$14)^8</f>
        <v>0.46650738020973315</v>
      </c>
      <c r="N24" s="11">
        <f t="shared" si="5"/>
        <v>0.27947028990465328</v>
      </c>
    </row>
    <row r="25" spans="1:14">
      <c r="A25" s="25">
        <v>9</v>
      </c>
      <c r="B25" s="15">
        <v>0.04</v>
      </c>
      <c r="C25" s="11">
        <f t="shared" si="6"/>
        <v>5.9063794217011587</v>
      </c>
      <c r="D25" s="15">
        <v>0.19</v>
      </c>
      <c r="E25" s="11">
        <f t="shared" si="0"/>
        <v>1.1222120901232202</v>
      </c>
      <c r="F25" s="11">
        <f t="shared" si="1"/>
        <v>0.88654755119734396</v>
      </c>
      <c r="G25" s="15">
        <v>0.06</v>
      </c>
      <c r="H25" s="11">
        <f t="shared" si="2"/>
        <v>0.35438276530206952</v>
      </c>
      <c r="I25" s="15">
        <v>0.1</v>
      </c>
      <c r="J25" s="11">
        <f t="shared" si="3"/>
        <v>0.59063794217011589</v>
      </c>
      <c r="K25" s="11">
        <f t="shared" si="7"/>
        <v>2.72602127155438E-2</v>
      </c>
      <c r="L25" s="11">
        <f t="shared" si="4"/>
        <v>0.62303216161375374</v>
      </c>
      <c r="M25" s="23">
        <f>1/(1+$B$14)^9</f>
        <v>0.42409761837248466</v>
      </c>
      <c r="N25" s="11">
        <f t="shared" si="5"/>
        <v>0.26422645590985394</v>
      </c>
    </row>
    <row r="26" spans="1:14">
      <c r="A26" s="25">
        <v>10</v>
      </c>
      <c r="B26" s="15">
        <v>0.04</v>
      </c>
      <c r="C26" s="11">
        <f t="shared" si="6"/>
        <v>6.142634598569205</v>
      </c>
      <c r="D26" s="15">
        <v>0.19</v>
      </c>
      <c r="E26" s="11">
        <f t="shared" si="0"/>
        <v>1.167100573728149</v>
      </c>
      <c r="F26" s="11">
        <f t="shared" si="1"/>
        <v>0.92200945324523775</v>
      </c>
      <c r="G26" s="15">
        <v>0.06</v>
      </c>
      <c r="H26" s="11">
        <f t="shared" si="2"/>
        <v>0.36855807591415229</v>
      </c>
      <c r="I26" s="15">
        <v>0.1</v>
      </c>
      <c r="J26" s="11">
        <f t="shared" si="3"/>
        <v>0.61426345985692055</v>
      </c>
      <c r="K26" s="11">
        <f t="shared" si="7"/>
        <v>2.8350621224165557E-2</v>
      </c>
      <c r="L26" s="11">
        <f t="shared" si="4"/>
        <v>0.64795344807830402</v>
      </c>
      <c r="M26" s="23">
        <f>1/(1+$B$14)^10</f>
        <v>0.38554328942953148</v>
      </c>
      <c r="N26" s="11">
        <f t="shared" si="5"/>
        <v>0.24981410376931645</v>
      </c>
    </row>
    <row r="27" spans="1:14">
      <c r="A27" s="18" t="s">
        <v>185</v>
      </c>
      <c r="B27" s="11">
        <f>L26*(1+$D$14)/($B$14-$D$14)</f>
        <v>8.8553637904034854</v>
      </c>
    </row>
    <row r="28" spans="1:14">
      <c r="A28" s="6" t="s">
        <v>186</v>
      </c>
      <c r="B28" s="11">
        <f>B27/(1+$B$14)^10</f>
        <v>3.4141260848473238</v>
      </c>
    </row>
    <row r="29" spans="1:14">
      <c r="A29" s="18" t="s">
        <v>187</v>
      </c>
      <c r="B29" s="11">
        <f>SUM(N17:N26)+B28</f>
        <v>5.8957078555611613</v>
      </c>
    </row>
    <row r="30" spans="1:14">
      <c r="A30" s="6" t="s">
        <v>188</v>
      </c>
      <c r="B30" s="11">
        <f>$B$8</f>
        <v>-1.101</v>
      </c>
    </row>
    <row r="31" spans="1:14">
      <c r="A31" s="18" t="s">
        <v>189</v>
      </c>
      <c r="B31" s="11">
        <f>B29-B30</f>
        <v>6.9967078555611613</v>
      </c>
    </row>
    <row r="32" spans="1:14">
      <c r="A32" s="18" t="s">
        <v>190</v>
      </c>
      <c r="B32" s="7">
        <f>B31/$B$10</f>
        <v>78.001202403134457</v>
      </c>
      <c r="C32" s="6" t="s">
        <v>191</v>
      </c>
    </row>
    <row r="36" spans="1:14" ht="16.2">
      <c r="A36" s="3" t="s">
        <v>192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172</v>
      </c>
      <c r="B37" s="15">
        <v>0.09</v>
      </c>
      <c r="C37" s="6" t="s">
        <v>173</v>
      </c>
      <c r="D37" s="15">
        <v>0.03</v>
      </c>
    </row>
    <row r="39" spans="1:14">
      <c r="A39" s="5" t="s">
        <v>174</v>
      </c>
      <c r="B39" s="5" t="s">
        <v>89</v>
      </c>
      <c r="C39" s="5" t="s">
        <v>74</v>
      </c>
      <c r="D39" s="5" t="s">
        <v>175</v>
      </c>
      <c r="E39" s="5" t="s">
        <v>176</v>
      </c>
      <c r="F39" s="5" t="s">
        <v>142</v>
      </c>
      <c r="G39" s="5" t="s">
        <v>177</v>
      </c>
      <c r="H39" s="5" t="s">
        <v>178</v>
      </c>
      <c r="I39" s="5" t="s">
        <v>179</v>
      </c>
      <c r="J39" s="5" t="s">
        <v>180</v>
      </c>
      <c r="K39" s="5" t="s">
        <v>181</v>
      </c>
      <c r="L39" s="5" t="s">
        <v>182</v>
      </c>
      <c r="M39" s="5" t="s">
        <v>183</v>
      </c>
      <c r="N39" s="5" t="s">
        <v>184</v>
      </c>
    </row>
    <row r="40" spans="1:14">
      <c r="A40" s="25">
        <v>1</v>
      </c>
      <c r="B40" s="15">
        <v>0.75</v>
      </c>
      <c r="C40" s="11">
        <f>$B$5*(1+B40)</f>
        <v>5.2744999999999997</v>
      </c>
      <c r="D40" s="15">
        <v>0.24</v>
      </c>
      <c r="E40" s="11">
        <f t="shared" ref="E40:E49" si="8">C40*D40</f>
        <v>1.2658799999999999</v>
      </c>
      <c r="F40" s="11">
        <f t="shared" ref="F40:F49" si="9">E40*(1-$B$6)</f>
        <v>1.0000452</v>
      </c>
      <c r="G40" s="15">
        <v>0.06</v>
      </c>
      <c r="H40" s="11">
        <f t="shared" ref="H40:H49" si="10">C40*G40</f>
        <v>0.31646999999999997</v>
      </c>
      <c r="I40" s="15">
        <v>0.09</v>
      </c>
      <c r="J40" s="11">
        <f t="shared" ref="J40:J49" si="11">C40*I40</f>
        <v>0.47470499999999993</v>
      </c>
      <c r="K40" s="11">
        <f>(C40-$B$5)*$B$7</f>
        <v>0.27126</v>
      </c>
      <c r="L40" s="11">
        <f t="shared" ref="L40:L49" si="12">F40+H40-J40-K40</f>
        <v>0.57055020000000001</v>
      </c>
      <c r="M40" s="23">
        <f>1/(1+$B$37)^1</f>
        <v>0.9174311926605504</v>
      </c>
      <c r="N40" s="11">
        <f t="shared" ref="N40:N49" si="13">L40*M40</f>
        <v>0.52344055045871551</v>
      </c>
    </row>
    <row r="41" spans="1:14">
      <c r="A41" s="25">
        <v>2</v>
      </c>
      <c r="B41" s="15">
        <v>0.3</v>
      </c>
      <c r="C41" s="11">
        <f t="shared" ref="C41:C49" si="14">C40*(1+B41)</f>
        <v>6.8568499999999997</v>
      </c>
      <c r="D41" s="15">
        <v>0.26</v>
      </c>
      <c r="E41" s="11">
        <f t="shared" si="8"/>
        <v>1.7827809999999999</v>
      </c>
      <c r="F41" s="11">
        <f t="shared" si="9"/>
        <v>1.40839699</v>
      </c>
      <c r="G41" s="15">
        <v>0.06</v>
      </c>
      <c r="H41" s="11">
        <f t="shared" si="10"/>
        <v>0.41141099999999997</v>
      </c>
      <c r="I41" s="15">
        <v>0.09</v>
      </c>
      <c r="J41" s="11">
        <f t="shared" si="11"/>
        <v>0.61711649999999996</v>
      </c>
      <c r="K41" s="11">
        <f t="shared" ref="K41:K49" si="15">(C41-C40)*$B$7</f>
        <v>0.189882</v>
      </c>
      <c r="L41" s="11">
        <f t="shared" si="12"/>
        <v>1.01280949</v>
      </c>
      <c r="M41" s="23">
        <f>1/(1+$B$37)^2</f>
        <v>0.84167999326655996</v>
      </c>
      <c r="N41" s="11">
        <f t="shared" si="13"/>
        <v>0.85246148472350802</v>
      </c>
    </row>
    <row r="42" spans="1:14">
      <c r="A42" s="25">
        <v>3</v>
      </c>
      <c r="B42" s="15">
        <v>0.2</v>
      </c>
      <c r="C42" s="11">
        <f t="shared" si="14"/>
        <v>8.2282199999999985</v>
      </c>
      <c r="D42" s="15">
        <v>0.27</v>
      </c>
      <c r="E42" s="11">
        <f t="shared" si="8"/>
        <v>2.2216193999999998</v>
      </c>
      <c r="F42" s="11">
        <f t="shared" si="9"/>
        <v>1.7550793259999999</v>
      </c>
      <c r="G42" s="15">
        <v>0.06</v>
      </c>
      <c r="H42" s="11">
        <f t="shared" si="10"/>
        <v>0.49369319999999989</v>
      </c>
      <c r="I42" s="15">
        <v>0.09</v>
      </c>
      <c r="J42" s="11">
        <f t="shared" si="11"/>
        <v>0.74053979999999986</v>
      </c>
      <c r="K42" s="11">
        <f t="shared" si="15"/>
        <v>0.16456439999999986</v>
      </c>
      <c r="L42" s="11">
        <f t="shared" si="12"/>
        <v>1.343668326</v>
      </c>
      <c r="M42" s="23">
        <f>1/(1+$B$37)^3</f>
        <v>0.77218348006106419</v>
      </c>
      <c r="N42" s="11">
        <f t="shared" si="13"/>
        <v>1.0375584840185044</v>
      </c>
    </row>
    <row r="43" spans="1:14">
      <c r="A43" s="25">
        <v>4</v>
      </c>
      <c r="B43" s="15">
        <v>0.15</v>
      </c>
      <c r="C43" s="11">
        <f t="shared" si="14"/>
        <v>9.4624529999999982</v>
      </c>
      <c r="D43" s="15">
        <v>0.26</v>
      </c>
      <c r="E43" s="11">
        <f t="shared" si="8"/>
        <v>2.4602377799999995</v>
      </c>
      <c r="F43" s="11">
        <f t="shared" si="9"/>
        <v>1.9435878461999996</v>
      </c>
      <c r="G43" s="15">
        <v>0.06</v>
      </c>
      <c r="H43" s="11">
        <f t="shared" si="10"/>
        <v>0.56774717999999991</v>
      </c>
      <c r="I43" s="15">
        <v>0.09</v>
      </c>
      <c r="J43" s="11">
        <f t="shared" si="11"/>
        <v>0.8516207699999998</v>
      </c>
      <c r="K43" s="11">
        <f t="shared" si="15"/>
        <v>0.14810795999999996</v>
      </c>
      <c r="L43" s="11">
        <f t="shared" si="12"/>
        <v>1.5116062961999996</v>
      </c>
      <c r="M43" s="23">
        <f>1/(1+$B$37)^4</f>
        <v>0.7084252110651964</v>
      </c>
      <c r="N43" s="11">
        <f t="shared" si="13"/>
        <v>1.0708600094329646</v>
      </c>
    </row>
    <row r="44" spans="1:14">
      <c r="A44" s="25">
        <v>5</v>
      </c>
      <c r="B44" s="15">
        <v>0.12</v>
      </c>
      <c r="C44" s="11">
        <f t="shared" si="14"/>
        <v>10.597947359999999</v>
      </c>
      <c r="D44" s="15">
        <v>0.25</v>
      </c>
      <c r="E44" s="11">
        <f t="shared" si="8"/>
        <v>2.6494868399999998</v>
      </c>
      <c r="F44" s="11">
        <f t="shared" si="9"/>
        <v>2.0930946036</v>
      </c>
      <c r="G44" s="15">
        <v>0.06</v>
      </c>
      <c r="H44" s="11">
        <f t="shared" si="10"/>
        <v>0.63587684159999991</v>
      </c>
      <c r="I44" s="15">
        <v>0.09</v>
      </c>
      <c r="J44" s="11">
        <f t="shared" si="11"/>
        <v>0.95381526239999992</v>
      </c>
      <c r="K44" s="11">
        <f t="shared" si="15"/>
        <v>0.13625932320000012</v>
      </c>
      <c r="L44" s="11">
        <f t="shared" si="12"/>
        <v>1.6388968596</v>
      </c>
      <c r="M44" s="23">
        <f>1/(1+$B$37)^5</f>
        <v>0.64993138629834524</v>
      </c>
      <c r="N44" s="11">
        <f t="shared" si="13"/>
        <v>1.0651705079598324</v>
      </c>
    </row>
    <row r="45" spans="1:14">
      <c r="A45" s="25">
        <v>6</v>
      </c>
      <c r="B45" s="15">
        <v>0.1</v>
      </c>
      <c r="C45" s="11">
        <f t="shared" si="14"/>
        <v>11.657742096</v>
      </c>
      <c r="D45" s="15">
        <v>0.24</v>
      </c>
      <c r="E45" s="11">
        <f t="shared" si="8"/>
        <v>2.7978581030399998</v>
      </c>
      <c r="F45" s="11">
        <f t="shared" si="9"/>
        <v>2.2103079014015998</v>
      </c>
      <c r="G45" s="15">
        <v>0.06</v>
      </c>
      <c r="H45" s="11">
        <f t="shared" si="10"/>
        <v>0.69946452575999996</v>
      </c>
      <c r="I45" s="15">
        <v>0.09</v>
      </c>
      <c r="J45" s="11">
        <f t="shared" si="11"/>
        <v>1.04919678864</v>
      </c>
      <c r="K45" s="11">
        <f t="shared" si="15"/>
        <v>0.12717536832000007</v>
      </c>
      <c r="L45" s="11">
        <f t="shared" si="12"/>
        <v>1.7334002702015996</v>
      </c>
      <c r="M45" s="23">
        <f>1/(1+$B$37)^6</f>
        <v>0.5962673268792158</v>
      </c>
      <c r="N45" s="11">
        <f t="shared" si="13"/>
        <v>1.0335699455248182</v>
      </c>
    </row>
    <row r="46" spans="1:14">
      <c r="A46" s="25">
        <v>7</v>
      </c>
      <c r="B46" s="15">
        <v>0.08</v>
      </c>
      <c r="C46" s="11">
        <f t="shared" si="14"/>
        <v>12.590361463680001</v>
      </c>
      <c r="D46" s="15">
        <v>0.23</v>
      </c>
      <c r="E46" s="11">
        <f t="shared" si="8"/>
        <v>2.8957831366464002</v>
      </c>
      <c r="F46" s="11">
        <f t="shared" si="9"/>
        <v>2.2876686779506561</v>
      </c>
      <c r="G46" s="15">
        <v>0.06</v>
      </c>
      <c r="H46" s="11">
        <f t="shared" si="10"/>
        <v>0.75542168782079999</v>
      </c>
      <c r="I46" s="15">
        <v>0.09</v>
      </c>
      <c r="J46" s="11">
        <f t="shared" si="11"/>
        <v>1.1331325317312</v>
      </c>
      <c r="K46" s="11">
        <f t="shared" si="15"/>
        <v>0.11191432412160011</v>
      </c>
      <c r="L46" s="11">
        <f t="shared" si="12"/>
        <v>1.798043509918656</v>
      </c>
      <c r="M46" s="23">
        <f>1/(1+$B$37)^7</f>
        <v>0.54703424484331731</v>
      </c>
      <c r="N46" s="11">
        <f t="shared" si="13"/>
        <v>0.98359137364377969</v>
      </c>
    </row>
    <row r="47" spans="1:14">
      <c r="A47" s="25">
        <v>8</v>
      </c>
      <c r="B47" s="15">
        <v>0.06</v>
      </c>
      <c r="C47" s="11">
        <f t="shared" si="14"/>
        <v>13.345783151500802</v>
      </c>
      <c r="D47" s="15">
        <v>0.22</v>
      </c>
      <c r="E47" s="11">
        <f t="shared" si="8"/>
        <v>2.9360722933301764</v>
      </c>
      <c r="F47" s="11">
        <f t="shared" si="9"/>
        <v>2.3194971117308394</v>
      </c>
      <c r="G47" s="15">
        <v>0.06</v>
      </c>
      <c r="H47" s="11">
        <f t="shared" si="10"/>
        <v>0.80074698909004804</v>
      </c>
      <c r="I47" s="15">
        <v>0.09</v>
      </c>
      <c r="J47" s="11">
        <f t="shared" si="11"/>
        <v>1.2011204836350722</v>
      </c>
      <c r="K47" s="11">
        <f t="shared" si="15"/>
        <v>9.0650602538496161E-2</v>
      </c>
      <c r="L47" s="11">
        <f t="shared" si="12"/>
        <v>1.8284730146473189</v>
      </c>
      <c r="M47" s="23">
        <f>1/(1+$B$37)^8</f>
        <v>0.50186627967276809</v>
      </c>
      <c r="N47" s="11">
        <f t="shared" si="13"/>
        <v>0.91764894934310071</v>
      </c>
    </row>
    <row r="48" spans="1:14">
      <c r="A48" s="25">
        <v>9</v>
      </c>
      <c r="B48" s="15">
        <v>0.05</v>
      </c>
      <c r="C48" s="11">
        <f t="shared" si="14"/>
        <v>14.013072309075843</v>
      </c>
      <c r="D48" s="15">
        <v>0.21</v>
      </c>
      <c r="E48" s="11">
        <f t="shared" si="8"/>
        <v>2.942745184905927</v>
      </c>
      <c r="F48" s="11">
        <f t="shared" si="9"/>
        <v>2.3247686960756826</v>
      </c>
      <c r="G48" s="15">
        <v>0.06</v>
      </c>
      <c r="H48" s="11">
        <f t="shared" si="10"/>
        <v>0.84078433854455059</v>
      </c>
      <c r="I48" s="15">
        <v>0.09</v>
      </c>
      <c r="J48" s="11">
        <f t="shared" si="11"/>
        <v>1.2611765078168258</v>
      </c>
      <c r="K48" s="11">
        <f t="shared" si="15"/>
        <v>8.0074698909004954E-2</v>
      </c>
      <c r="L48" s="11">
        <f t="shared" si="12"/>
        <v>1.8243018278944023</v>
      </c>
      <c r="M48" s="23">
        <f>1/(1+$B$37)^9</f>
        <v>0.46042777951630098</v>
      </c>
      <c r="N48" s="11">
        <f t="shared" si="13"/>
        <v>0.83995923978494869</v>
      </c>
    </row>
    <row r="49" spans="1:14">
      <c r="A49" s="25">
        <v>10</v>
      </c>
      <c r="B49" s="15">
        <v>0.04</v>
      </c>
      <c r="C49" s="11">
        <f t="shared" si="14"/>
        <v>14.573595201438877</v>
      </c>
      <c r="D49" s="15">
        <v>0.2</v>
      </c>
      <c r="E49" s="11">
        <f t="shared" si="8"/>
        <v>2.9147190402877756</v>
      </c>
      <c r="F49" s="11">
        <f t="shared" si="9"/>
        <v>2.3026280418273428</v>
      </c>
      <c r="G49" s="15">
        <v>0.06</v>
      </c>
      <c r="H49" s="11">
        <f t="shared" si="10"/>
        <v>0.87441571208633262</v>
      </c>
      <c r="I49" s="15">
        <v>0.09</v>
      </c>
      <c r="J49" s="11">
        <f t="shared" si="11"/>
        <v>1.311623568129499</v>
      </c>
      <c r="K49" s="11">
        <f t="shared" si="15"/>
        <v>6.7262747083564056E-2</v>
      </c>
      <c r="L49" s="11">
        <f t="shared" si="12"/>
        <v>1.7981574387006123</v>
      </c>
      <c r="M49" s="23">
        <f>1/(1+$B$37)^10</f>
        <v>0.42241080689568894</v>
      </c>
      <c r="N49" s="11">
        <f t="shared" si="13"/>
        <v>0.75956113460701091</v>
      </c>
    </row>
    <row r="50" spans="1:14">
      <c r="A50" s="18" t="s">
        <v>185</v>
      </c>
      <c r="B50" s="11">
        <f>L49*(1+$D$37)/($B$37-$D$37)</f>
        <v>30.868369364360511</v>
      </c>
    </row>
    <row r="51" spans="1:14">
      <c r="A51" s="6" t="s">
        <v>186</v>
      </c>
      <c r="B51" s="11">
        <f>B50/(1+$B$37)^10</f>
        <v>13.039132810753687</v>
      </c>
    </row>
    <row r="52" spans="1:14">
      <c r="A52" s="18" t="s">
        <v>187</v>
      </c>
      <c r="B52" s="11">
        <f>SUM(N40:N49)+B51</f>
        <v>22.122954490250869</v>
      </c>
    </row>
    <row r="53" spans="1:14">
      <c r="A53" s="6" t="s">
        <v>188</v>
      </c>
      <c r="B53" s="11">
        <f>$B$8</f>
        <v>-1.101</v>
      </c>
    </row>
    <row r="54" spans="1:14">
      <c r="A54" s="18" t="s">
        <v>189</v>
      </c>
      <c r="B54" s="11">
        <f>B52-B53</f>
        <v>23.223954490250868</v>
      </c>
    </row>
    <row r="55" spans="1:14">
      <c r="A55" s="18" t="s">
        <v>190</v>
      </c>
      <c r="B55" s="7">
        <f>B54/$B$10</f>
        <v>258.90696198718916</v>
      </c>
      <c r="C55" s="6" t="s">
        <v>193</v>
      </c>
    </row>
    <row r="59" spans="1:14" ht="16.2">
      <c r="A59" s="3" t="s">
        <v>194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172</v>
      </c>
      <c r="B60" s="15">
        <v>8.4000000000000005E-2</v>
      </c>
      <c r="C60" s="6" t="s">
        <v>173</v>
      </c>
      <c r="D60" s="15">
        <v>3.2000000000000001E-2</v>
      </c>
    </row>
    <row r="62" spans="1:14">
      <c r="A62" s="5" t="s">
        <v>174</v>
      </c>
      <c r="B62" s="5" t="s">
        <v>89</v>
      </c>
      <c r="C62" s="5" t="s">
        <v>74</v>
      </c>
      <c r="D62" s="5" t="s">
        <v>175</v>
      </c>
      <c r="E62" s="5" t="s">
        <v>176</v>
      </c>
      <c r="F62" s="5" t="s">
        <v>142</v>
      </c>
      <c r="G62" s="5" t="s">
        <v>177</v>
      </c>
      <c r="H62" s="5" t="s">
        <v>178</v>
      </c>
      <c r="I62" s="5" t="s">
        <v>179</v>
      </c>
      <c r="J62" s="5" t="s">
        <v>180</v>
      </c>
      <c r="K62" s="5" t="s">
        <v>181</v>
      </c>
      <c r="L62" s="5" t="s">
        <v>182</v>
      </c>
      <c r="M62" s="5" t="s">
        <v>183</v>
      </c>
      <c r="N62" s="5" t="s">
        <v>184</v>
      </c>
    </row>
    <row r="63" spans="1:14">
      <c r="A63" s="25">
        <v>1</v>
      </c>
      <c r="B63" s="15">
        <v>0.9</v>
      </c>
      <c r="C63" s="11">
        <f>$B$5*(1+B63)</f>
        <v>5.7265999999999995</v>
      </c>
      <c r="D63" s="15">
        <v>0.26</v>
      </c>
      <c r="E63" s="11">
        <f t="shared" ref="E63:E72" si="16">C63*D63</f>
        <v>1.4889159999999999</v>
      </c>
      <c r="F63" s="11">
        <f t="shared" ref="F63:F72" si="17">E63*(1-$B$6)</f>
        <v>1.17624364</v>
      </c>
      <c r="G63" s="15">
        <v>0.06</v>
      </c>
      <c r="H63" s="11">
        <f t="shared" ref="H63:H72" si="18">C63*G63</f>
        <v>0.34359599999999996</v>
      </c>
      <c r="I63" s="15">
        <v>0.08</v>
      </c>
      <c r="J63" s="11">
        <f t="shared" ref="J63:J72" si="19">C63*I63</f>
        <v>0.45812799999999998</v>
      </c>
      <c r="K63" s="11">
        <f>(C63-$B$5)*$B$7</f>
        <v>0.32551199999999997</v>
      </c>
      <c r="L63" s="11">
        <f t="shared" ref="L63:L72" si="20">F63+H63-J63-K63</f>
        <v>0.73619963999999993</v>
      </c>
      <c r="M63" s="23">
        <f>1/(1+$B$60)^1</f>
        <v>0.92250922509225086</v>
      </c>
      <c r="N63" s="11">
        <f t="shared" ref="N63:N72" si="21">L63*M63</f>
        <v>0.67915095940959402</v>
      </c>
    </row>
    <row r="64" spans="1:14">
      <c r="A64" s="25">
        <v>2</v>
      </c>
      <c r="B64" s="15">
        <v>0.45</v>
      </c>
      <c r="C64" s="11">
        <f t="shared" ref="C64:C72" si="22">C63*(1+B64)</f>
        <v>8.3035699999999988</v>
      </c>
      <c r="D64" s="15">
        <v>0.3</v>
      </c>
      <c r="E64" s="11">
        <f t="shared" si="16"/>
        <v>2.4910709999999994</v>
      </c>
      <c r="F64" s="11">
        <f t="shared" si="17"/>
        <v>1.9679460899999996</v>
      </c>
      <c r="G64" s="15">
        <v>0.06</v>
      </c>
      <c r="H64" s="11">
        <f t="shared" si="18"/>
        <v>0.49821419999999988</v>
      </c>
      <c r="I64" s="15">
        <v>0.08</v>
      </c>
      <c r="J64" s="11">
        <f t="shared" si="19"/>
        <v>0.66428559999999992</v>
      </c>
      <c r="K64" s="11">
        <f t="shared" ref="K64:K72" si="23">(C64-C63)*$B$7</f>
        <v>0.30923639999999991</v>
      </c>
      <c r="L64" s="11">
        <f t="shared" si="20"/>
        <v>1.4926382899999997</v>
      </c>
      <c r="M64" s="23">
        <f>1/(1+$B$60)^2</f>
        <v>0.85102327038030523</v>
      </c>
      <c r="N64" s="11">
        <f t="shared" si="21"/>
        <v>1.2702699190506661</v>
      </c>
    </row>
    <row r="65" spans="1:14">
      <c r="A65" s="25">
        <v>3</v>
      </c>
      <c r="B65" s="15">
        <v>0.3</v>
      </c>
      <c r="C65" s="11">
        <f t="shared" si="22"/>
        <v>10.794640999999999</v>
      </c>
      <c r="D65" s="15">
        <v>0.32</v>
      </c>
      <c r="E65" s="11">
        <f t="shared" si="16"/>
        <v>3.4542851199999998</v>
      </c>
      <c r="F65" s="11">
        <f t="shared" si="17"/>
        <v>2.7288852447999998</v>
      </c>
      <c r="G65" s="15">
        <v>0.06</v>
      </c>
      <c r="H65" s="11">
        <f t="shared" si="18"/>
        <v>0.64767845999999984</v>
      </c>
      <c r="I65" s="15">
        <v>0.08</v>
      </c>
      <c r="J65" s="11">
        <f t="shared" si="19"/>
        <v>0.86357127999999994</v>
      </c>
      <c r="K65" s="11">
        <f t="shared" si="23"/>
        <v>0.29892851999999998</v>
      </c>
      <c r="L65" s="11">
        <f t="shared" si="20"/>
        <v>2.2140639047999997</v>
      </c>
      <c r="M65" s="23">
        <f>1/(1+$B$60)^3</f>
        <v>0.78507681769400839</v>
      </c>
      <c r="N65" s="11">
        <f t="shared" si="21"/>
        <v>1.7382102445515537</v>
      </c>
    </row>
    <row r="66" spans="1:14">
      <c r="A66" s="25">
        <v>4</v>
      </c>
      <c r="B66" s="15">
        <v>0.2</v>
      </c>
      <c r="C66" s="11">
        <f t="shared" si="22"/>
        <v>12.953569199999999</v>
      </c>
      <c r="D66" s="15">
        <v>0.32</v>
      </c>
      <c r="E66" s="11">
        <f t="shared" si="16"/>
        <v>4.1451421439999994</v>
      </c>
      <c r="F66" s="11">
        <f t="shared" si="17"/>
        <v>3.2746622937599996</v>
      </c>
      <c r="G66" s="15">
        <v>0.06</v>
      </c>
      <c r="H66" s="11">
        <f t="shared" si="18"/>
        <v>0.77721415199999988</v>
      </c>
      <c r="I66" s="15">
        <v>0.08</v>
      </c>
      <c r="J66" s="11">
        <f t="shared" si="19"/>
        <v>1.0362855359999998</v>
      </c>
      <c r="K66" s="11">
        <f t="shared" si="23"/>
        <v>0.25907138400000002</v>
      </c>
      <c r="L66" s="11">
        <f t="shared" si="20"/>
        <v>2.7565195257599999</v>
      </c>
      <c r="M66" s="23">
        <f>1/(1+$B$60)^4</f>
        <v>0.72424060672879009</v>
      </c>
      <c r="N66" s="11">
        <f t="shared" si="21"/>
        <v>1.9963833737961791</v>
      </c>
    </row>
    <row r="67" spans="1:14">
      <c r="A67" s="25">
        <v>5</v>
      </c>
      <c r="B67" s="15">
        <v>0.15</v>
      </c>
      <c r="C67" s="11">
        <f t="shared" si="22"/>
        <v>14.896604579999998</v>
      </c>
      <c r="D67" s="15">
        <v>0.31</v>
      </c>
      <c r="E67" s="11">
        <f t="shared" si="16"/>
        <v>4.6179474197999992</v>
      </c>
      <c r="F67" s="11">
        <f t="shared" si="17"/>
        <v>3.6481784616419994</v>
      </c>
      <c r="G67" s="15">
        <v>0.06</v>
      </c>
      <c r="H67" s="11">
        <f t="shared" si="18"/>
        <v>0.8937962747999999</v>
      </c>
      <c r="I67" s="15">
        <v>0.08</v>
      </c>
      <c r="J67" s="11">
        <f t="shared" si="19"/>
        <v>1.1917283663999998</v>
      </c>
      <c r="K67" s="11">
        <f t="shared" si="23"/>
        <v>0.23316424559999993</v>
      </c>
      <c r="L67" s="11">
        <f t="shared" si="20"/>
        <v>3.1170821244420002</v>
      </c>
      <c r="M67" s="23">
        <f>1/(1+$B$60)^5</f>
        <v>0.66811864089371786</v>
      </c>
      <c r="N67" s="11">
        <f t="shared" si="21"/>
        <v>2.0825806725362921</v>
      </c>
    </row>
    <row r="68" spans="1:14">
      <c r="A68" s="25">
        <v>6</v>
      </c>
      <c r="B68" s="15">
        <v>0.12</v>
      </c>
      <c r="C68" s="11">
        <f t="shared" si="22"/>
        <v>16.684197129600001</v>
      </c>
      <c r="D68" s="15">
        <v>0.28999999999999998</v>
      </c>
      <c r="E68" s="11">
        <f t="shared" si="16"/>
        <v>4.8384171675839998</v>
      </c>
      <c r="F68" s="11">
        <f t="shared" si="17"/>
        <v>3.8223495623913601</v>
      </c>
      <c r="G68" s="15">
        <v>0.06</v>
      </c>
      <c r="H68" s="11">
        <f t="shared" si="18"/>
        <v>1.0010518277760001</v>
      </c>
      <c r="I68" s="15">
        <v>0.08</v>
      </c>
      <c r="J68" s="11">
        <f t="shared" si="19"/>
        <v>1.3347357703680001</v>
      </c>
      <c r="K68" s="11">
        <f t="shared" si="23"/>
        <v>0.21451110595200035</v>
      </c>
      <c r="L68" s="11">
        <f t="shared" si="20"/>
        <v>3.27415451384736</v>
      </c>
      <c r="M68" s="23">
        <f>1/(1+$B$60)^6</f>
        <v>0.61634560968055141</v>
      </c>
      <c r="N68" s="11">
        <f t="shared" si="21"/>
        <v>2.0180107600255806</v>
      </c>
    </row>
    <row r="69" spans="1:14">
      <c r="A69" s="25">
        <v>7</v>
      </c>
      <c r="B69" s="15">
        <v>0.1</v>
      </c>
      <c r="C69" s="11">
        <f t="shared" si="22"/>
        <v>18.352616842560003</v>
      </c>
      <c r="D69" s="15">
        <v>0.27</v>
      </c>
      <c r="E69" s="11">
        <f t="shared" si="16"/>
        <v>4.9552065474912013</v>
      </c>
      <c r="F69" s="11">
        <f t="shared" si="17"/>
        <v>3.9146131725180493</v>
      </c>
      <c r="G69" s="15">
        <v>0.06</v>
      </c>
      <c r="H69" s="11">
        <f t="shared" si="18"/>
        <v>1.1011570105536002</v>
      </c>
      <c r="I69" s="15">
        <v>0.08</v>
      </c>
      <c r="J69" s="11">
        <f t="shared" si="19"/>
        <v>1.4682093474048004</v>
      </c>
      <c r="K69" s="11">
        <f t="shared" si="23"/>
        <v>0.20021036555520025</v>
      </c>
      <c r="L69" s="11">
        <f t="shared" si="20"/>
        <v>3.3473504701116488</v>
      </c>
      <c r="M69" s="23">
        <f>1/(1+$B$60)^7</f>
        <v>0.56858451077541639</v>
      </c>
      <c r="N69" s="11">
        <f t="shared" si="21"/>
        <v>1.9032516294422919</v>
      </c>
    </row>
    <row r="70" spans="1:14">
      <c r="A70" s="25">
        <v>8</v>
      </c>
      <c r="B70" s="15">
        <v>0.08</v>
      </c>
      <c r="C70" s="11">
        <f t="shared" si="22"/>
        <v>19.820826189964805</v>
      </c>
      <c r="D70" s="15">
        <v>0.26</v>
      </c>
      <c r="E70" s="11">
        <f t="shared" si="16"/>
        <v>5.1534148093908492</v>
      </c>
      <c r="F70" s="11">
        <f t="shared" si="17"/>
        <v>4.0711976994187706</v>
      </c>
      <c r="G70" s="15">
        <v>0.06</v>
      </c>
      <c r="H70" s="11">
        <f t="shared" si="18"/>
        <v>1.1892495713978883</v>
      </c>
      <c r="I70" s="15">
        <v>0.08</v>
      </c>
      <c r="J70" s="11">
        <f t="shared" si="19"/>
        <v>1.5856660951971844</v>
      </c>
      <c r="K70" s="11">
        <f t="shared" si="23"/>
        <v>0.1761851216885762</v>
      </c>
      <c r="L70" s="11">
        <f t="shared" si="20"/>
        <v>3.4985960539308985</v>
      </c>
      <c r="M70" s="23">
        <f>1/(1+$B$60)^8</f>
        <v>0.5245244564348861</v>
      </c>
      <c r="N70" s="11">
        <f t="shared" si="21"/>
        <v>1.835099193473342</v>
      </c>
    </row>
    <row r="71" spans="1:14">
      <c r="A71" s="25">
        <v>9</v>
      </c>
      <c r="B71" s="15">
        <v>0.06</v>
      </c>
      <c r="C71" s="11">
        <f t="shared" si="22"/>
        <v>21.010075761362696</v>
      </c>
      <c r="D71" s="15">
        <v>0.25</v>
      </c>
      <c r="E71" s="11">
        <f t="shared" si="16"/>
        <v>5.252518940340674</v>
      </c>
      <c r="F71" s="11">
        <f t="shared" si="17"/>
        <v>4.1494899628691329</v>
      </c>
      <c r="G71" s="15">
        <v>0.06</v>
      </c>
      <c r="H71" s="11">
        <f t="shared" si="18"/>
        <v>1.2606045456817616</v>
      </c>
      <c r="I71" s="15">
        <v>0.08</v>
      </c>
      <c r="J71" s="11">
        <f t="shared" si="19"/>
        <v>1.6808060609090156</v>
      </c>
      <c r="K71" s="11">
        <f t="shared" si="23"/>
        <v>0.14270994856774691</v>
      </c>
      <c r="L71" s="11">
        <f t="shared" si="20"/>
        <v>3.5865784990741321</v>
      </c>
      <c r="M71" s="23">
        <f>1/(1+$B$60)^9</f>
        <v>0.48387864984768086</v>
      </c>
      <c r="N71" s="11">
        <f t="shared" si="21"/>
        <v>1.7354687617047126</v>
      </c>
    </row>
    <row r="72" spans="1:14">
      <c r="A72" s="25">
        <v>10</v>
      </c>
      <c r="B72" s="15">
        <v>0.05</v>
      </c>
      <c r="C72" s="11">
        <f t="shared" si="22"/>
        <v>22.06057954943083</v>
      </c>
      <c r="D72" s="15">
        <v>0.24</v>
      </c>
      <c r="E72" s="11">
        <f t="shared" si="16"/>
        <v>5.294539091863399</v>
      </c>
      <c r="F72" s="11">
        <f t="shared" si="17"/>
        <v>4.182685882572085</v>
      </c>
      <c r="G72" s="15">
        <v>0.06</v>
      </c>
      <c r="H72" s="11">
        <f t="shared" si="18"/>
        <v>1.3236347729658497</v>
      </c>
      <c r="I72" s="15">
        <v>0.08</v>
      </c>
      <c r="J72" s="11">
        <f t="shared" si="19"/>
        <v>1.7648463639544665</v>
      </c>
      <c r="K72" s="11">
        <f t="shared" si="23"/>
        <v>0.12606045456817611</v>
      </c>
      <c r="L72" s="11">
        <f t="shared" si="20"/>
        <v>3.615413837015292</v>
      </c>
      <c r="M72" s="23">
        <f>1/(1+$B$60)^10</f>
        <v>0.44638251830966863</v>
      </c>
      <c r="N72" s="11">
        <f t="shared" si="21"/>
        <v>1.6138575332985079</v>
      </c>
    </row>
    <row r="73" spans="1:14">
      <c r="A73" s="18" t="s">
        <v>185</v>
      </c>
      <c r="B73" s="11">
        <f>L72*(1+$D$60)/($B$60-$D$60)</f>
        <v>71.75205922691886</v>
      </c>
    </row>
    <row r="74" spans="1:14">
      <c r="A74" s="6" t="s">
        <v>186</v>
      </c>
      <c r="B74" s="11">
        <f>B73/(1+$B$60)^10</f>
        <v>32.028864891616536</v>
      </c>
    </row>
    <row r="75" spans="1:14">
      <c r="A75" s="18" t="s">
        <v>187</v>
      </c>
      <c r="B75" s="11">
        <f>SUM(N63:N72)+B74</f>
        <v>48.901147938905254</v>
      </c>
    </row>
    <row r="76" spans="1:14">
      <c r="A76" s="6" t="s">
        <v>188</v>
      </c>
      <c r="B76" s="11">
        <f>$B$8</f>
        <v>-1.101</v>
      </c>
    </row>
    <row r="77" spans="1:14">
      <c r="A77" s="18" t="s">
        <v>189</v>
      </c>
      <c r="B77" s="11">
        <f>B75-B76</f>
        <v>50.002147938905253</v>
      </c>
    </row>
    <row r="78" spans="1:14">
      <c r="A78" s="18" t="s">
        <v>190</v>
      </c>
      <c r="B78" s="7">
        <f>B77/$B$10</f>
        <v>557.43754669905525</v>
      </c>
      <c r="C78" s="6" t="s">
        <v>195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196</v>
      </c>
    </row>
    <row r="2" spans="1:7" ht="15.6">
      <c r="A2" s="28" t="s">
        <v>197</v>
      </c>
      <c r="B2" s="29"/>
      <c r="C2" s="29"/>
      <c r="D2" s="29"/>
      <c r="E2" s="29"/>
      <c r="F2" s="29"/>
      <c r="G2" s="29"/>
    </row>
    <row r="4" spans="1:7">
      <c r="A4" s="5" t="s">
        <v>172</v>
      </c>
      <c r="B4" s="5" t="s">
        <v>190</v>
      </c>
    </row>
    <row r="5" spans="1:7">
      <c r="A5" s="15">
        <v>7.3999999999999996E-2</v>
      </c>
      <c r="B5" s="26">
        <v>352</v>
      </c>
    </row>
    <row r="6" spans="1:7">
      <c r="A6" s="15">
        <v>7.6999999999999999E-2</v>
      </c>
      <c r="B6" s="26">
        <v>330</v>
      </c>
    </row>
    <row r="7" spans="1:7">
      <c r="A7" s="15">
        <v>0.08</v>
      </c>
      <c r="B7" s="26">
        <v>310</v>
      </c>
    </row>
    <row r="8" spans="1:7">
      <c r="A8" s="15">
        <v>8.5000000000000006E-2</v>
      </c>
      <c r="B8" s="26">
        <v>282</v>
      </c>
    </row>
    <row r="9" spans="1:7">
      <c r="A9" s="15">
        <v>0.09</v>
      </c>
      <c r="B9" s="26">
        <v>259</v>
      </c>
    </row>
    <row r="10" spans="1:7">
      <c r="A10" s="15">
        <v>9.5000000000000001E-2</v>
      </c>
      <c r="B10" s="26">
        <v>239</v>
      </c>
    </row>
    <row r="11" spans="1:7">
      <c r="A11" s="15">
        <v>0.1</v>
      </c>
      <c r="B11" s="26">
        <v>222</v>
      </c>
    </row>
    <row r="12" spans="1:7">
      <c r="A12" s="15">
        <v>0.105</v>
      </c>
      <c r="B12" s="26">
        <v>208</v>
      </c>
    </row>
    <row r="14" spans="1:7">
      <c r="A14" s="5" t="s">
        <v>198</v>
      </c>
      <c r="B14" s="5" t="s">
        <v>190</v>
      </c>
    </row>
    <row r="15" spans="1:7">
      <c r="A15" s="15">
        <v>0.06</v>
      </c>
      <c r="B15" s="26">
        <v>296</v>
      </c>
    </row>
    <row r="16" spans="1:7">
      <c r="A16" s="15">
        <v>7.0000000000000007E-2</v>
      </c>
      <c r="B16" s="26">
        <v>284</v>
      </c>
    </row>
    <row r="17" spans="1:3">
      <c r="A17" s="15">
        <v>0.08</v>
      </c>
      <c r="B17" s="26">
        <v>271</v>
      </c>
    </row>
    <row r="18" spans="1:3">
      <c r="A18" s="15">
        <v>0.09</v>
      </c>
      <c r="B18" s="26">
        <v>259</v>
      </c>
    </row>
    <row r="19" spans="1:3">
      <c r="A19" s="15">
        <v>0.1</v>
      </c>
      <c r="B19" s="26">
        <v>246</v>
      </c>
    </row>
    <row r="20" spans="1:3">
      <c r="A20" s="15">
        <v>0.11</v>
      </c>
      <c r="B20" s="26">
        <v>234</v>
      </c>
    </row>
    <row r="23" spans="1:3">
      <c r="A23" s="5" t="s">
        <v>199</v>
      </c>
      <c r="B23" s="5" t="s">
        <v>190</v>
      </c>
    </row>
    <row r="24" spans="1:3">
      <c r="A24" s="15">
        <v>0.14000000000000001</v>
      </c>
      <c r="B24" s="26">
        <v>200</v>
      </c>
    </row>
    <row r="25" spans="1:3">
      <c r="A25" s="15">
        <v>0.16</v>
      </c>
      <c r="B25" s="26">
        <v>220</v>
      </c>
    </row>
    <row r="26" spans="1:3">
      <c r="A26" s="15">
        <v>0.18</v>
      </c>
      <c r="B26" s="26">
        <v>239</v>
      </c>
    </row>
    <row r="27" spans="1:3">
      <c r="A27" s="15">
        <v>0.2</v>
      </c>
      <c r="B27" s="26">
        <v>259</v>
      </c>
    </row>
    <row r="28" spans="1:3">
      <c r="A28" s="15">
        <v>0.22</v>
      </c>
      <c r="B28" s="26">
        <v>279</v>
      </c>
    </row>
    <row r="29" spans="1:3">
      <c r="A29" s="15">
        <v>0.24</v>
      </c>
      <c r="B29" s="26">
        <v>298</v>
      </c>
    </row>
    <row r="30" spans="1:3">
      <c r="A30" s="15">
        <v>0.26</v>
      </c>
      <c r="B30" s="26">
        <v>318</v>
      </c>
    </row>
    <row r="32" spans="1:3" ht="16.2">
      <c r="A32" s="3" t="s">
        <v>200</v>
      </c>
      <c r="B32" s="4"/>
      <c r="C32" s="4"/>
    </row>
    <row r="33" spans="1:7">
      <c r="A33" s="6" t="s">
        <v>201</v>
      </c>
      <c r="B33" s="15">
        <v>0.40926762623603302</v>
      </c>
    </row>
    <row r="34" spans="1:7">
      <c r="A34" s="6" t="s">
        <v>202</v>
      </c>
      <c r="B34" s="15">
        <v>0.17069117743097981</v>
      </c>
    </row>
    <row r="36" spans="1:7" ht="16.2">
      <c r="A36" s="3" t="s">
        <v>203</v>
      </c>
      <c r="B36" s="4"/>
      <c r="C36" s="4"/>
      <c r="D36" s="4"/>
      <c r="E36" s="4"/>
      <c r="F36" s="4"/>
      <c r="G36" s="4"/>
    </row>
    <row r="37" spans="1:7">
      <c r="A37" s="5" t="s">
        <v>204</v>
      </c>
      <c r="B37" s="5" t="s">
        <v>190</v>
      </c>
      <c r="C37" s="5" t="s">
        <v>205</v>
      </c>
      <c r="D37" s="5" t="s">
        <v>206</v>
      </c>
    </row>
    <row r="38" spans="1:7">
      <c r="A38" s="6" t="s">
        <v>207</v>
      </c>
      <c r="B38" s="27" t="s">
        <v>208</v>
      </c>
      <c r="C38" s="27" t="s">
        <v>209</v>
      </c>
      <c r="D38" s="27" t="s">
        <v>210</v>
      </c>
    </row>
    <row r="39" spans="1:7">
      <c r="A39" s="6" t="s">
        <v>211</v>
      </c>
      <c r="B39" s="27" t="s">
        <v>212</v>
      </c>
      <c r="C39" s="27" t="s">
        <v>213</v>
      </c>
      <c r="D39" s="27" t="s">
        <v>214</v>
      </c>
    </row>
    <row r="40" spans="1:7">
      <c r="A40" s="6" t="s">
        <v>215</v>
      </c>
      <c r="B40" s="27" t="s">
        <v>58</v>
      </c>
      <c r="C40" s="27" t="s">
        <v>216</v>
      </c>
      <c r="D40" s="27" t="s">
        <v>217</v>
      </c>
    </row>
    <row r="41" spans="1:7">
      <c r="A41" s="6" t="s">
        <v>218</v>
      </c>
      <c r="B41" s="27" t="s">
        <v>58</v>
      </c>
      <c r="C41" s="27" t="s">
        <v>219</v>
      </c>
      <c r="D41" s="27" t="s">
        <v>220</v>
      </c>
    </row>
    <row r="42" spans="1:7" ht="40.049999999999997" customHeight="1">
      <c r="A42" s="33" t="s">
        <v>221</v>
      </c>
      <c r="B42" s="29"/>
      <c r="C42" s="29"/>
      <c r="D42" s="29"/>
      <c r="E42" s="29"/>
      <c r="F42" s="29"/>
      <c r="G42" s="29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222</v>
      </c>
    </row>
    <row r="2" spans="1:4" ht="15.6">
      <c r="A2" s="28" t="s">
        <v>223</v>
      </c>
      <c r="B2" s="29"/>
      <c r="C2" s="29"/>
      <c r="D2" s="29"/>
    </row>
    <row r="4" spans="1:4">
      <c r="A4" s="5" t="s">
        <v>224</v>
      </c>
      <c r="B4" s="5" t="s">
        <v>225</v>
      </c>
      <c r="C4" s="5" t="s">
        <v>226</v>
      </c>
      <c r="D4" s="5" t="s">
        <v>227</v>
      </c>
    </row>
    <row r="5" spans="1:4">
      <c r="A5" s="6" t="s">
        <v>228</v>
      </c>
      <c r="B5" s="6" t="s">
        <v>229</v>
      </c>
      <c r="C5" s="22" t="s">
        <v>230</v>
      </c>
      <c r="D5" s="8" t="s">
        <v>231</v>
      </c>
    </row>
    <row r="6" spans="1:4">
      <c r="A6" s="6" t="s">
        <v>232</v>
      </c>
      <c r="B6" s="6" t="s">
        <v>229</v>
      </c>
      <c r="C6" s="22" t="s">
        <v>233</v>
      </c>
      <c r="D6" s="8" t="s">
        <v>234</v>
      </c>
    </row>
    <row r="7" spans="1:4">
      <c r="A7" s="6" t="s">
        <v>235</v>
      </c>
      <c r="B7" s="6" t="s">
        <v>236</v>
      </c>
      <c r="C7" s="22" t="s">
        <v>233</v>
      </c>
      <c r="D7" s="8" t="s">
        <v>237</v>
      </c>
    </row>
    <row r="8" spans="1:4">
      <c r="A8" s="6" t="s">
        <v>238</v>
      </c>
      <c r="B8" s="6" t="s">
        <v>239</v>
      </c>
      <c r="C8" s="22" t="s">
        <v>240</v>
      </c>
      <c r="D8" s="8" t="s">
        <v>241</v>
      </c>
    </row>
    <row r="9" spans="1:4">
      <c r="A9" s="6" t="s">
        <v>242</v>
      </c>
      <c r="B9" s="6" t="s">
        <v>243</v>
      </c>
      <c r="C9" s="22" t="s">
        <v>233</v>
      </c>
      <c r="D9" s="8" t="s">
        <v>244</v>
      </c>
    </row>
    <row r="12" spans="1:4" ht="15">
      <c r="A12" s="32" t="s">
        <v>245</v>
      </c>
      <c r="B12" s="29"/>
      <c r="C12" s="29"/>
      <c r="D12" s="29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2026-10-29T09:14:54Z</dcterms:created>
  <dcterms:modified xsi:type="dcterms:W3CDTF">2026-10-29T10:34:29Z</dcterms:modified>
</cp:coreProperties>
</file>