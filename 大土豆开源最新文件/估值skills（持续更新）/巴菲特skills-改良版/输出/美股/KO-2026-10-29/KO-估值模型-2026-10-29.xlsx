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KO-2026-10-29\"/>
    </mc:Choice>
  </mc:AlternateContent>
  <xr:revisionPtr revIDLastSave="0" documentId="13_ncr:1_{6B925EE2-5F50-46A8-9A20-55A8FE04A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分部!$A$1:$F$23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C41" i="5"/>
  <c r="J40" i="5"/>
  <c r="K40" i="5"/>
  <c r="H40" i="5"/>
  <c r="E40" i="5"/>
  <c r="F40" i="5" s="1"/>
  <c r="C18" i="5"/>
  <c r="K17" i="5"/>
  <c r="J17" i="5"/>
  <c r="H17" i="5"/>
  <c r="E17" i="5"/>
  <c r="F17" i="5" s="1"/>
  <c r="L17" i="5" s="1"/>
  <c r="N17" i="5" s="1"/>
  <c r="B25" i="1"/>
  <c r="B14" i="1"/>
  <c r="E64" i="5" l="1"/>
  <c r="F64" i="5" s="1"/>
  <c r="C65" i="5"/>
  <c r="H64" i="5"/>
  <c r="J64" i="5"/>
  <c r="K64" i="5"/>
  <c r="J41" i="5"/>
  <c r="C42" i="5"/>
  <c r="E41" i="5"/>
  <c r="F41" i="5" s="1"/>
  <c r="H41" i="5"/>
  <c r="K41" i="5"/>
  <c r="E18" i="5"/>
  <c r="F18" i="5" s="1"/>
  <c r="H18" i="5"/>
  <c r="J18" i="5"/>
  <c r="K18" i="5"/>
  <c r="C19" i="5"/>
  <c r="B22" i="1"/>
  <c r="B26" i="1"/>
  <c r="L63" i="5"/>
  <c r="N63" i="5" s="1"/>
  <c r="L40" i="5"/>
  <c r="N40" i="5" s="1"/>
  <c r="L64" i="5" l="1"/>
  <c r="N64" i="5" s="1"/>
  <c r="J65" i="5"/>
  <c r="C66" i="5"/>
  <c r="E65" i="5"/>
  <c r="F65" i="5" s="1"/>
  <c r="H65" i="5"/>
  <c r="K65" i="5"/>
  <c r="E42" i="5"/>
  <c r="F42" i="5" s="1"/>
  <c r="H42" i="5"/>
  <c r="C43" i="5"/>
  <c r="J42" i="5"/>
  <c r="K42" i="5"/>
  <c r="E19" i="5"/>
  <c r="F19" i="5" s="1"/>
  <c r="H19" i="5"/>
  <c r="J19" i="5"/>
  <c r="K19" i="5"/>
  <c r="C20" i="5"/>
  <c r="L18" i="5"/>
  <c r="N18" i="5" s="1"/>
  <c r="L41" i="5"/>
  <c r="N41" i="5" s="1"/>
  <c r="C67" i="5" l="1"/>
  <c r="E66" i="5"/>
  <c r="F66" i="5" s="1"/>
  <c r="H66" i="5"/>
  <c r="J66" i="5"/>
  <c r="K66" i="5"/>
  <c r="E43" i="5"/>
  <c r="F43" i="5" s="1"/>
  <c r="H43" i="5"/>
  <c r="J43" i="5"/>
  <c r="K43" i="5"/>
  <c r="C44" i="5"/>
  <c r="E20" i="5"/>
  <c r="F20" i="5" s="1"/>
  <c r="H20" i="5"/>
  <c r="J20" i="5"/>
  <c r="K20" i="5"/>
  <c r="C21" i="5"/>
  <c r="L19" i="5"/>
  <c r="N19" i="5" s="1"/>
  <c r="L65" i="5"/>
  <c r="N65" i="5" s="1"/>
  <c r="L42" i="5"/>
  <c r="N42" i="5" s="1"/>
  <c r="L20" i="5" l="1"/>
  <c r="N20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E21" i="5"/>
  <c r="F21" i="5" s="1"/>
  <c r="H21" i="5"/>
  <c r="J21" i="5"/>
  <c r="K21" i="5"/>
  <c r="C22" i="5"/>
  <c r="L66" i="5"/>
  <c r="N66" i="5" s="1"/>
  <c r="L43" i="5"/>
  <c r="N43" i="5" s="1"/>
  <c r="L67" i="5" l="1"/>
  <c r="N67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E22" i="5"/>
  <c r="F22" i="5" s="1"/>
  <c r="H22" i="5"/>
  <c r="J22" i="5"/>
  <c r="K22" i="5"/>
  <c r="C23" i="5"/>
  <c r="L44" i="5"/>
  <c r="N44" i="5" s="1"/>
  <c r="L21" i="5"/>
  <c r="N21" i="5" s="1"/>
  <c r="L45" i="5" l="1"/>
  <c r="N45" i="5" s="1"/>
  <c r="L22" i="5"/>
  <c r="N22" i="5" s="1"/>
  <c r="E69" i="5"/>
  <c r="F69" i="5" s="1"/>
  <c r="H69" i="5"/>
  <c r="J69" i="5"/>
  <c r="K69" i="5"/>
  <c r="C70" i="5"/>
  <c r="E46" i="5"/>
  <c r="F46" i="5" s="1"/>
  <c r="H46" i="5"/>
  <c r="J46" i="5"/>
  <c r="K46" i="5"/>
  <c r="C47" i="5"/>
  <c r="E23" i="5"/>
  <c r="F23" i="5" s="1"/>
  <c r="H23" i="5"/>
  <c r="J23" i="5"/>
  <c r="K23" i="5"/>
  <c r="C24" i="5"/>
  <c r="L68" i="5"/>
  <c r="N68" i="5" s="1"/>
  <c r="L46" i="5" l="1"/>
  <c r="N46" i="5" s="1"/>
  <c r="E70" i="5"/>
  <c r="F70" i="5" s="1"/>
  <c r="H70" i="5"/>
  <c r="J70" i="5"/>
  <c r="K70" i="5"/>
  <c r="C71" i="5"/>
  <c r="E47" i="5"/>
  <c r="F47" i="5" s="1"/>
  <c r="H47" i="5"/>
  <c r="J47" i="5"/>
  <c r="K47" i="5"/>
  <c r="C48" i="5"/>
  <c r="E24" i="5"/>
  <c r="F24" i="5" s="1"/>
  <c r="H24" i="5"/>
  <c r="J24" i="5"/>
  <c r="K24" i="5"/>
  <c r="C25" i="5"/>
  <c r="L23" i="5"/>
  <c r="N23" i="5" s="1"/>
  <c r="L69" i="5"/>
  <c r="N69" i="5" s="1"/>
  <c r="E71" i="5" l="1"/>
  <c r="F71" i="5" s="1"/>
  <c r="H71" i="5"/>
  <c r="J71" i="5"/>
  <c r="K71" i="5"/>
  <c r="C72" i="5"/>
  <c r="E48" i="5"/>
  <c r="F48" i="5" s="1"/>
  <c r="H48" i="5"/>
  <c r="J48" i="5"/>
  <c r="K48" i="5"/>
  <c r="C49" i="5"/>
  <c r="E25" i="5"/>
  <c r="F25" i="5" s="1"/>
  <c r="H25" i="5"/>
  <c r="J25" i="5"/>
  <c r="K25" i="5"/>
  <c r="C26" i="5"/>
  <c r="L24" i="5"/>
  <c r="N24" i="5" s="1"/>
  <c r="L70" i="5"/>
  <c r="N70" i="5" s="1"/>
  <c r="L47" i="5"/>
  <c r="N47" i="5" s="1"/>
  <c r="L25" i="5" l="1"/>
  <c r="N25" i="5" s="1"/>
  <c r="E72" i="5"/>
  <c r="F72" i="5" s="1"/>
  <c r="H72" i="5"/>
  <c r="J72" i="5"/>
  <c r="K72" i="5"/>
  <c r="E49" i="5"/>
  <c r="F49" i="5" s="1"/>
  <c r="H49" i="5"/>
  <c r="J49" i="5"/>
  <c r="K49" i="5"/>
  <c r="E26" i="5"/>
  <c r="F26" i="5" s="1"/>
  <c r="H26" i="5"/>
  <c r="J26" i="5"/>
  <c r="K26" i="5"/>
  <c r="L71" i="5"/>
  <c r="N71" i="5" s="1"/>
  <c r="L48" i="5"/>
  <c r="N48" i="5" s="1"/>
  <c r="L72" i="5" l="1"/>
  <c r="N72" i="5"/>
  <c r="B73" i="5"/>
  <c r="B74" i="5" s="1"/>
  <c r="B75" i="5" s="1"/>
  <c r="B77" i="5" s="1"/>
  <c r="B78" i="5" s="1"/>
  <c r="L49" i="5"/>
  <c r="L26" i="5"/>
  <c r="B50" i="5" l="1"/>
  <c r="B51" i="5" s="1"/>
  <c r="N49" i="5"/>
  <c r="N26" i="5"/>
  <c r="B27" i="5"/>
  <c r="B28" i="5" s="1"/>
  <c r="B29" i="5" s="1"/>
  <c r="B31" i="5" s="1"/>
  <c r="B32" i="5" s="1"/>
  <c r="B52" i="5" l="1"/>
  <c r="B54" i="5" s="1"/>
  <c r="B55" i="5" s="1"/>
</calcChain>
</file>

<file path=xl/sharedStrings.xml><?xml version="1.0" encoding="utf-8"?>
<sst xmlns="http://schemas.openxmlformats.org/spreadsheetml/2006/main" count="316" uniqueCount="236">
  <si>
    <t>可口可乐（KO）巴菲特框架估值</t>
  </si>
  <si>
    <t>研究日 2026-10-29｜收盘价 $91.73｜最新财报：2026 Q3（2026-10-02）</t>
  </si>
  <si>
    <t>市值按 4.3020B 股计算；净负债 = 债务 + 融资租赁 − 现金及有价证券。数据边界见报告第 1 节。</t>
  </si>
  <si>
    <t>一句话结论</t>
  </si>
  <si>
    <t>好生意，品牌护城河仍在，但 27 倍市盈率把“复苏”提前定价；现价略贵，安全边际不足。结论：观察，等估值回落或 EPS 上修。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</si>
  <si>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</si>
  <si>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</si>
  <si>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</si>
  <si>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</si>
  <si>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</si>
  <si>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</si>
  <si>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</si>
  <si>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</si>
  <si>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</si>
  <si>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</si>
  <si>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</si>
  <si>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</si>
  <si>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</si>
  <si>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</si>
  <si>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</si>
  <si>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</si>
  <si>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</si>
  <si>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</si>
  <si>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</si>
  <si>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(1−20%)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</si>
  <si>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</si>
  <si>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</si>
  <si>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</si>
  <si>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</si>
  <si>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</si>
  <si>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稀释口径；GAAP；含权益法投资收益</t>
  </si>
  <si>
    <t>FY2026E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</si>
  <si>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</si>
  <si>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</si>
  <si>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</si>
  <si>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</si>
  <si>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</si>
  <si>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</si>
  <si>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</si>
  <si>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</si>
  <si>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</si>
  <si>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</si>
  <si>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</si>
  <si>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</si>
  <si>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</si>
  <si>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</si>
  <si>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</si>
  <si>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</si>
  <si>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</si>
  <si>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</si>
  <si>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</si>
  <si>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</si>
  <si>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</si>
  <si>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</si>
  <si>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</si>
  <si>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</si>
  <si>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</si>
  <si>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</si>
  <si>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</si>
  <si>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注：每股价值 = DCF + 20.7B 权益投资/股（约 $4.81）；IRR 列仅为核心 DCF，不含权益投资。</t>
  </si>
  <si>
    <t>结论与观察条件</t>
  </si>
  <si>
    <t>• 基准价值 $86，现价 $91.73；现价高估 6.4%。</t>
  </si>
  <si>
    <t>• 悲观 $42；基准 $86；乐观 $119；概率加权约 $79（30%/50%/20%）。</t>
  </si>
  <si>
    <t>• 反推：现价隐含未来 10 年收入 CAGR 约 5.2%，基准情景约 3.8%。</t>
  </si>
  <si>
    <t>• 若要求 20% 安全边际，观察价约 $69（基准价值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</si>
  <si>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</si>
  <si>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</si>
  <si>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可口可乐五年财务与现金流（十亿美元，除每股数据）</t>
  </si>
  <si>
    <t>来源：公司 10-K/10-Q；TTM = 最近四个季度。</t>
  </si>
  <si>
    <t>2021</t>
  </si>
  <si>
    <t>2022</t>
  </si>
  <si>
    <t>2023</t>
  </si>
  <si>
    <t>2024</t>
  </si>
  <si>
    <t>2025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</si>
  <si>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</si>
  <si>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</si>
  <si>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</si>
  <si>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</si>
  <si>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</si>
  <si>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</si>
  <si>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</si>
  <si>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</si>
  <si>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</si>
  <si>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</si>
  <si>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</si>
  <si>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</si>
  <si>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</si>
  <si>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</si>
  <si>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</si>
  <si>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</si>
  <si>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</si>
  <si>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</si>
  <si>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</si>
  <si>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</si>
  <si>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2021–2025 收入 CAGR 约 5.5%，EPS 从 2.25 升至 3.04，CAGR 约 7.8%；增长主要来自价格与产品组合。</t>
  </si>
  <si>
    <t>• 2024 年经营利润 -11.6%，受装瓶业务重组与减值影响；2025 年经营利润 +37.7%，利润率修复至 28.7%。</t>
  </si>
  <si>
    <t>• TTM 收入 51.1B（+6.5%），经营利润 15.3B，经营利润率 30.0%；净利率 28.6%，含权益法投资收益。</t>
  </si>
  <si>
    <t>• TTM capex 仅 1.95B，占收入 3.8%；FCF 14.3B，FCF/NOPAT 约 116%，是典型的轻资产现金牛。</t>
  </si>
  <si>
    <t>• 净负债 28.2B；年股息 2.04 美元，派息率约 60%；过去十年股息连续增长，但增速已降至中个位数。</t>
  </si>
  <si>
    <t>可口可乐：分部与关键运营数据</t>
  </si>
  <si>
    <t>单位：十亿美元，另有注明除外；同比为公开披露口径。</t>
  </si>
  <si>
    <t>2026 Q3 地区收入与经营利润</t>
  </si>
  <si>
    <t>单位：十亿美元；季度截至 2026-10-02。</t>
  </si>
  <si>
    <t>地区</t>
  </si>
  <si>
    <t>利润率</t>
  </si>
  <si>
    <t>EMEA</t>
  </si>
  <si>
    <t>欧洲、中东、非洲；利润率最高</t>
  </si>
  <si>
    <t>Latin America</t>
  </si>
  <si>
    <t>拉美；提价与组合改善</t>
  </si>
  <si>
    <t>North America</t>
  </si>
  <si>
    <t>最大市场；恢复正常增长</t>
  </si>
  <si>
    <t>Asia Pacific</t>
  </si>
  <si>
    <t>亚太；中国仍在调整</t>
  </si>
  <si>
    <t>Bottling Investments</t>
  </si>
  <si>
    <t>装瓶业务；低利润率</t>
  </si>
  <si>
    <t>Corporate</t>
  </si>
  <si>
    <t>总部费用</t>
  </si>
  <si>
    <t>Total</t>
  </si>
  <si>
    <t>Q3 收入 +7%，有机 +7%</t>
  </si>
  <si>
    <t>解读</t>
  </si>
  <si>
    <t>• Q3 收入 13.38B（+7%），有机增长 +7%；价格/组合 +6%，浓缩液销量 +1%。</t>
  </si>
  <si>
    <t>• 北美收入 5.38B、经营利润 1.77B，利润率 32.8%；仍是最大利润池。</t>
  </si>
  <si>
    <t>• 拉美收入 1.96B、经营利润 1.15B，利润率 58.8%；高通胀下的提价能力最强。</t>
  </si>
  <si>
    <t>• EMEA 收入 2.98B、经营利润 1.17B，利润率 39.3%；亚太收入 1.50B、利润率 37.6%，中国仍在调整。</t>
  </si>
  <si>
    <t>• 装瓶投资收入 1.52B、经营利润仅 0.21B（13.5%）；公司持续把装瓶资产特许经营化。</t>
  </si>
  <si>
    <t>• 品类上，起泡软饮仍占销量约 70%；零糖/无糖是主要增量，但不足以改变整体低增长。</t>
  </si>
  <si>
    <t>KO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</si>
  <si>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</si>
  <si>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</si>
  <si>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</si>
  <si>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</si>
  <si>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</si>
  <si>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</si>
  <si>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</si>
  <si>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</si>
  <si>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</si>
  <si>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</si>
  <si>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</si>
  <si>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</si>
  <si>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</si>
  <si>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</si>
  <si>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</si>
  <si>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</si>
  <si>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+0.00B（四舍五入/汇率）</t>
  </si>
  <si>
    <t>现金转化率</t>
  </si>
  <si>
    <t>Capex / D&amp;A</t>
  </si>
  <si>
    <t>资本开支是折旧的倍数</t>
  </si>
  <si>
    <t>• TTM NOPAT 12.27B，capex 仅 1.95B，D&amp;A 1.05B；理论上 FCF 应约 11.6B，实际 14.3B。</t>
  </si>
  <si>
    <t>• 差额主要来自营运资金与权益投资分红（+2.65B）；这是可持续的现金来源，但会随装瓶重组波动。</t>
  </si>
  <si>
    <t>• Capex/D&amp;A 约 1.85x，公司仍在投资冷柜、装瓶与数字化；资本强度仍低。</t>
  </si>
  <si>
    <t>• FCF/NOPAT 116%，现金转化率优秀；股息 8.8B/年，回购空间取决于资产负债表。</t>
  </si>
  <si>
    <t>三情景 FCFF DCF（未来 12 个月起算，10 年明确预测）</t>
  </si>
  <si>
    <t>单位：十亿美元，除每股数据；第 1 年约为未来四个季度；终值用永续增长。</t>
  </si>
  <si>
    <t>DCF 不含 20.7B 权益投资；headline 每股价值 = DCF + 权益投资/股（约 $4.81）。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</si>
  <si>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</si>
  <si>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</si>
  <si>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</si>
  <si>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</si>
  <si>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</si>
  <si>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</si>
  <si>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41.619 + 0.000 − 13.454 = 28.165；20.7B 股权投资仅用于 headline，DCF/IRR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</si>
  <si>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</si>
  <si>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</si>
  <si>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</si>
  <si>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</si>
  <si>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</si>
  <si>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</si>
  <si>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</si>
  <si>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</si>
  <si>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</si>
  <si>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</si>
  <si>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</si>
  <si>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</si>
  <si>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</si>
  <si>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</si>
  <si>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</si>
  <si>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</si>
  <si>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</si>
  <si>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</si>
  <si>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</si>
  <si>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</si>
  <si>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59%；终值 FCF 12.0B；终值收入 63B</t>
  </si>
  <si>
    <t>基准情景</t>
  </si>
  <si>
    <t>TV 占比 70%；终值 FCF 17.8B；终值收入 74B</t>
  </si>
  <si>
    <t>乐观情景</t>
  </si>
  <si>
    <t>TV 占比 75%；终值 FCF 21.1B；终值收入 80B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</si>
  <si>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</si>
  <si>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</si>
  <si>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</si>
  <si>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</si>
  <si>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</si>
  <si>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$91.73</t>
  </si>
  <si>
    <t>基准情景 10 年 CAGR</t>
  </si>
  <si>
    <t>交叉检查：DCF、正常化 FCF、股息贴现</t>
  </si>
  <si>
    <t>方法</t>
  </si>
  <si>
    <t>相对现价</t>
  </si>
  <si>
    <t>读数</t>
  </si>
  <si>
    <t>DCF 基准（含 20.7B 权益投资）</t>
  </si>
  <si>
    <t>$86</t>
  </si>
  <si>
    <t>现价高 6%</t>
  </si>
  <si>
    <t>略贵</t>
  </si>
  <si>
    <t>正常化 FCF 13.0B，g 3%，WACC 6.45%</t>
  </si>
  <si>
    <t>与 DCF 一致</t>
  </si>
  <si>
    <t>互相验证</t>
  </si>
  <si>
    <t>股息贴现：DPS 2.04，g 4%，r 6.45%</t>
  </si>
  <si>
    <t>$88</t>
  </si>
  <si>
    <t>现价高 4%</t>
  </si>
  <si>
    <t>股息视角也偏贵</t>
  </si>
  <si>
    <t>EV/EBIT 27.6x vs 消费巨头 20–25x</t>
  </si>
  <si>
    <t>高于区间</t>
  </si>
  <si>
    <t>需要增长加速</t>
  </si>
  <si>
    <t>三种方法均指向 85–88 美元；现价 91.73 美元约高 4–7%，安全边际不足。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</si>
  <si>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</si>
  <si>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</si>
  <si>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</si>
  <si>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</si>
  <si>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</si>
  <si>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</si>
  <si>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Q3 10-Q</t>
  </si>
  <si>
    <t>SEC EDGAR</t>
  </si>
  <si>
    <t>2026-10-28</t>
  </si>
  <si>
    <t>Accession 0001628280-26-067844；ko-20261002.htm</t>
  </si>
  <si>
    <t>2026 Q3 业绩发布</t>
  </si>
  <si>
    <t>SEC 8-K Ex. 99.1</t>
  </si>
  <si>
    <t>2026-10-27</t>
  </si>
  <si>
    <t>Accession 0001628280-26-067403</t>
  </si>
  <si>
    <t>FY2025 10-K / companyfacts</t>
  </si>
  <si>
    <t>2026-02</t>
  </si>
  <si>
    <t>CIK 0000021344</t>
  </si>
  <si>
    <t>股价</t>
  </si>
  <si>
    <t>CNBC quote API</t>
  </si>
  <si>
    <t>收盘 91.73 美元，+0.60%</t>
  </si>
  <si>
    <t>汇率</t>
  </si>
  <si>
    <t>不适用</t>
  </si>
  <si>
    <t>全部美元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</si>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</sst>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KO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83-4311-8CEC-F5C5A2499EBA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83-4311-8CEC-F5C5A2499EBA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83-4311-8CEC-F5C5A2499EBA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83-4311-8CEC-F5C5A2499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41.91</c:v>
                </c:pt>
                <c:pt idx="1">
                  <c:v>86.22</c:v>
                </c:pt>
                <c:pt idx="2">
                  <c:v>118.87</c:v>
                </c:pt>
                <c:pt idx="3">
                  <c:v>91.73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83-4311-8CEC-F5C5A2499E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13.345515600000002</c:v>
                </c:pt>
                <c:pt idx="1">
                  <c:v>14.237939519999999</c:v>
                </c:pt>
                <c:pt idx="2">
                  <c:v>14.873286128399998</c:v>
                </c:pt>
                <c:pt idx="3">
                  <c:v>15.462588870036001</c:v>
                </c:pt>
                <c:pt idx="4">
                  <c:v>16.08109242483744</c:v>
                </c:pt>
                <c:pt idx="5">
                  <c:v>16.374427993901577</c:v>
                </c:pt>
                <c:pt idx="6">
                  <c:v>16.947532973688126</c:v>
                </c:pt>
                <c:pt idx="7">
                  <c:v>17.168592332221294</c:v>
                </c:pt>
                <c:pt idx="8">
                  <c:v>17.683650102187936</c:v>
                </c:pt>
                <c:pt idx="9">
                  <c:v>17.822286212666739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49-45DE-BCFA-C2E35BB7E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.6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1" t="s">
        <v>4</v>
      </c>
      <c r="B6" s="28"/>
      <c r="C6" s="28"/>
      <c r="D6" s="28"/>
      <c r="E6" s="28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91.73</v>
      </c>
      <c r="C10" s="8" t="s">
        <v>10</v>
      </c>
    </row>
    <row r="11" spans="1:13" ht="22.95" customHeight="1">
      <c r="A11" s="6" t="s">
        <v>11</v>
      </c>
      <c r="B11" s="9">
        <v>4.3019999999999996</v>
      </c>
      <c r="C11" s="8" t="s">
        <v>12</v>
      </c>
    </row>
    <row r="12" spans="1:13" ht="22.95" customHeight="1">
      <c r="A12" s="6" t="s">
        <v>13</v>
      </c>
      <c r="B12" s="10">
        <f>B10*B11</f>
        <v>394.62245999999999</v>
      </c>
      <c r="C12" s="8" t="s">
        <v>14</v>
      </c>
    </row>
    <row r="13" spans="1:13" ht="22.95" customHeight="1">
      <c r="A13" s="6" t="s">
        <v>15</v>
      </c>
      <c r="B13" s="11">
        <v>28.164999999999999</v>
      </c>
      <c r="C13" s="8" t="s">
        <v>16</v>
      </c>
    </row>
    <row r="14" spans="1:13" ht="22.95" customHeight="1">
      <c r="A14" s="6" t="s">
        <v>17</v>
      </c>
      <c r="B14" s="10">
        <f>B12+B13</f>
        <v>422.78746000000001</v>
      </c>
      <c r="C14" s="8" t="s">
        <v>18</v>
      </c>
    </row>
    <row r="15" spans="1:13" ht="22.95" customHeight="1">
      <c r="A15" s="6" t="s">
        <v>19</v>
      </c>
      <c r="B15" s="11">
        <v>51.054000000000002</v>
      </c>
      <c r="C15" s="8" t="s">
        <v>20</v>
      </c>
    </row>
    <row r="16" spans="1:13" ht="22.95" customHeight="1">
      <c r="A16" s="6" t="s">
        <v>21</v>
      </c>
      <c r="B16" s="11">
        <v>15.337</v>
      </c>
      <c r="C16" s="8" t="s">
        <v>22</v>
      </c>
    </row>
    <row r="17" spans="1:5" ht="22.95" customHeight="1">
      <c r="A17" s="6" t="s">
        <v>23</v>
      </c>
      <c r="B17" s="11">
        <v>12.27</v>
      </c>
      <c r="C17" s="8" t="s">
        <v>24</v>
      </c>
    </row>
    <row r="18" spans="1:5" ht="22.95" customHeight="1">
      <c r="A18" s="6" t="s">
        <v>25</v>
      </c>
      <c r="B18" s="11">
        <v>14.282</v>
      </c>
      <c r="C18" s="8" t="s">
        <v>26</v>
      </c>
    </row>
    <row r="19" spans="1:5" ht="22.95" customHeight="1">
      <c r="A19" s="6" t="s">
        <v>27</v>
      </c>
      <c r="B19" s="11">
        <v>53.6</v>
      </c>
      <c r="C19" s="8" t="s">
        <v>28</v>
      </c>
    </row>
    <row r="20" spans="1:5" ht="22.95" customHeight="1">
      <c r="A20" s="6" t="s">
        <v>29</v>
      </c>
      <c r="B20" s="12">
        <v>3.39</v>
      </c>
      <c r="C20" s="8" t="s">
        <v>30</v>
      </c>
    </row>
    <row r="21" spans="1:5" ht="22.95" customHeight="1">
      <c r="A21" s="6" t="s">
        <v>31</v>
      </c>
      <c r="B21" s="12">
        <v>3.4</v>
      </c>
      <c r="C21" s="8" t="s">
        <v>32</v>
      </c>
    </row>
    <row r="22" spans="1:5" ht="22.95" customHeight="1">
      <c r="A22" s="6" t="s">
        <v>33</v>
      </c>
      <c r="B22" s="13">
        <f>B14/B16</f>
        <v>27.566503227489079</v>
      </c>
      <c r="C22" s="8" t="s">
        <v>34</v>
      </c>
    </row>
    <row r="23" spans="1:5" ht="22.95" customHeight="1">
      <c r="A23" s="6" t="s">
        <v>35</v>
      </c>
      <c r="B23" s="13">
        <f>B10/B20</f>
        <v>27.058997050147493</v>
      </c>
      <c r="C23" s="8" t="s">
        <v>36</v>
      </c>
    </row>
    <row r="24" spans="1:5" ht="22.95" customHeight="1">
      <c r="A24" s="6" t="s">
        <v>37</v>
      </c>
      <c r="B24" s="13">
        <f>B10/B21</f>
        <v>26.979411764705883</v>
      </c>
      <c r="C24" s="8" t="s">
        <v>38</v>
      </c>
    </row>
    <row r="25" spans="1:5" ht="22.95" customHeight="1">
      <c r="A25" s="6" t="s">
        <v>39</v>
      </c>
      <c r="B25" s="14">
        <f>B18/B12</f>
        <v>3.6191553820834221E-2</v>
      </c>
      <c r="C25" s="8" t="s">
        <v>40</v>
      </c>
    </row>
    <row r="26" spans="1:5" ht="22.95" customHeight="1">
      <c r="A26" s="6" t="s">
        <v>41</v>
      </c>
      <c r="B26" s="13">
        <f>B14/B18</f>
        <v>29.60281893292256</v>
      </c>
      <c r="C26" s="8" t="s">
        <v>42</v>
      </c>
    </row>
    <row r="27" spans="1:5" ht="22.95" customHeight="1">
      <c r="A27" s="6" t="s">
        <v>43</v>
      </c>
      <c r="B27" s="15">
        <v>3.8096916989853881E-2</v>
      </c>
      <c r="C27" s="8" t="s">
        <v>44</v>
      </c>
    </row>
    <row r="28" spans="1:5" ht="22.95" customHeight="1">
      <c r="A28" s="6" t="s">
        <v>45</v>
      </c>
      <c r="B28" s="16">
        <f>B18/B17</f>
        <v>1.1639771801140995</v>
      </c>
      <c r="C28" s="8" t="s">
        <v>46</v>
      </c>
    </row>
    <row r="29" spans="1:5" ht="22.95" customHeight="1">
      <c r="A29" s="6" t="s">
        <v>47</v>
      </c>
      <c r="B29" s="17">
        <v>2.2239180202769E-2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41.91</v>
      </c>
      <c r="C33" s="15">
        <f>B33/$B$10-1</f>
        <v>-0.54311566554017232</v>
      </c>
      <c r="D33" s="15">
        <f>1-$B$10/B33</f>
        <v>-1.188737771414937</v>
      </c>
      <c r="E33" s="17">
        <v>4.3799999999999999E-2</v>
      </c>
    </row>
    <row r="34" spans="1:5">
      <c r="A34" s="18" t="s">
        <v>55</v>
      </c>
      <c r="B34" s="19">
        <v>86.22</v>
      </c>
      <c r="C34" s="15">
        <f>B34/$B$10-1</f>
        <v>-6.0067589665322219E-2</v>
      </c>
      <c r="D34" s="15">
        <f>1-$B$10/B34</f>
        <v>-6.3906286244490795E-2</v>
      </c>
      <c r="E34" s="17">
        <v>6.0600000000000001E-2</v>
      </c>
    </row>
    <row r="35" spans="1:5">
      <c r="A35" s="6" t="s">
        <v>56</v>
      </c>
      <c r="B35" s="7">
        <v>118.87</v>
      </c>
      <c r="C35" s="15">
        <f>B35/$B$10-1</f>
        <v>0.29586830916821105</v>
      </c>
      <c r="D35" s="15">
        <f>1-$B$10/B35</f>
        <v>0.22831664843947164</v>
      </c>
      <c r="E35" s="17">
        <v>6.8000000000000005E-2</v>
      </c>
    </row>
    <row r="36" spans="1:5">
      <c r="A36" s="20" t="s">
        <v>57</v>
      </c>
      <c r="B36" s="21">
        <v>91.73</v>
      </c>
      <c r="C36" s="15">
        <v>0</v>
      </c>
      <c r="D36" s="15">
        <v>0</v>
      </c>
      <c r="E36" s="22" t="s">
        <v>58</v>
      </c>
    </row>
    <row r="37" spans="1:5" ht="28.05" customHeight="1">
      <c r="A37" s="29" t="s">
        <v>59</v>
      </c>
      <c r="B37" s="28"/>
      <c r="C37" s="28"/>
      <c r="D37" s="28"/>
      <c r="E37" s="28"/>
    </row>
    <row r="38" spans="1:5" ht="16.2">
      <c r="A38" s="3" t="s">
        <v>60</v>
      </c>
      <c r="B38" s="4"/>
      <c r="C38" s="4"/>
      <c r="D38" s="4"/>
      <c r="E38" s="4"/>
    </row>
    <row r="39" spans="1:5" ht="28.05" customHeight="1">
      <c r="A39" s="30" t="s">
        <v>61</v>
      </c>
      <c r="B39" s="28"/>
      <c r="C39" s="28"/>
      <c r="D39" s="28"/>
      <c r="E39" s="28"/>
    </row>
    <row r="40" spans="1:5" ht="28.05" customHeight="1">
      <c r="A40" s="30" t="s">
        <v>62</v>
      </c>
      <c r="B40" s="28"/>
      <c r="C40" s="28"/>
      <c r="D40" s="28"/>
      <c r="E40" s="28"/>
    </row>
    <row r="41" spans="1:5" ht="28.05" customHeight="1">
      <c r="A41" s="30" t="s">
        <v>63</v>
      </c>
      <c r="B41" s="28"/>
      <c r="C41" s="28"/>
      <c r="D41" s="28"/>
      <c r="E41" s="28"/>
    </row>
    <row r="42" spans="1:5" ht="28.05" customHeight="1">
      <c r="A42" s="30" t="s">
        <v>64</v>
      </c>
      <c r="B42" s="28"/>
      <c r="C42" s="28"/>
      <c r="D42" s="28"/>
      <c r="E42" s="28"/>
    </row>
    <row r="43" spans="1:5" ht="28.05" customHeight="1">
      <c r="A43" s="30" t="s">
        <v>65</v>
      </c>
      <c r="B43" s="28"/>
      <c r="C43" s="28"/>
      <c r="D43" s="28"/>
      <c r="E43" s="28"/>
    </row>
    <row r="44" spans="1:5" ht="28.05" customHeight="1">
      <c r="A44" s="30" t="s">
        <v>66</v>
      </c>
      <c r="B44" s="28"/>
      <c r="C44" s="28"/>
      <c r="D44" s="28"/>
      <c r="E44" s="28"/>
    </row>
  </sheetData>
  <mergeCells count="10">
    <mergeCell ref="A3:M3"/>
    <mergeCell ref="A37:E37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67</v>
      </c>
    </row>
    <row r="2" spans="1:8" ht="15.6">
      <c r="A2" s="27" t="s">
        <v>68</v>
      </c>
      <c r="B2" s="28"/>
      <c r="C2" s="28"/>
      <c r="D2" s="28"/>
      <c r="E2" s="28"/>
      <c r="F2" s="28"/>
      <c r="G2" s="28"/>
      <c r="H2" s="28"/>
    </row>
    <row r="4" spans="1:8">
      <c r="A4" s="5" t="s">
        <v>6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44</v>
      </c>
      <c r="H4" s="5" t="s">
        <v>8</v>
      </c>
    </row>
    <row r="5" spans="1:8">
      <c r="A5" s="6" t="s">
        <v>74</v>
      </c>
      <c r="B5" s="11">
        <v>38.655000000000001</v>
      </c>
      <c r="C5" s="11">
        <v>43.003999999999998</v>
      </c>
      <c r="D5" s="11">
        <v>45.753999999999998</v>
      </c>
      <c r="E5" s="11">
        <v>47.061</v>
      </c>
      <c r="F5" s="11">
        <v>47.941000000000003</v>
      </c>
      <c r="G5" s="11">
        <v>51.054000000000002</v>
      </c>
      <c r="H5" s="8" t="s">
        <v>75</v>
      </c>
    </row>
    <row r="6" spans="1:8">
      <c r="A6" s="6" t="s">
        <v>76</v>
      </c>
      <c r="B6" s="11">
        <v>10.308</v>
      </c>
      <c r="C6" s="11">
        <v>10.909000000000001</v>
      </c>
      <c r="D6" s="11">
        <v>11.311</v>
      </c>
      <c r="E6" s="11">
        <v>9.9920000000000009</v>
      </c>
      <c r="F6" s="11">
        <v>13.762</v>
      </c>
      <c r="G6" s="11">
        <v>15.337</v>
      </c>
      <c r="H6" s="8" t="s">
        <v>77</v>
      </c>
    </row>
    <row r="7" spans="1:8">
      <c r="A7" s="6" t="s">
        <v>78</v>
      </c>
      <c r="B7" s="11">
        <v>9.7710000000000008</v>
      </c>
      <c r="C7" s="11">
        <v>9.5419999999999998</v>
      </c>
      <c r="D7" s="11">
        <v>10.714</v>
      </c>
      <c r="E7" s="11">
        <v>10.631</v>
      </c>
      <c r="F7" s="11">
        <v>13.106999999999999</v>
      </c>
      <c r="G7" s="11">
        <v>14.629</v>
      </c>
      <c r="H7" s="8" t="s">
        <v>77</v>
      </c>
    </row>
    <row r="8" spans="1:8">
      <c r="A8" s="6" t="s">
        <v>79</v>
      </c>
      <c r="B8" s="11">
        <v>12.625</v>
      </c>
      <c r="C8" s="11">
        <v>11.018000000000001</v>
      </c>
      <c r="D8" s="11">
        <v>11.599</v>
      </c>
      <c r="E8" s="11">
        <v>6.8049999999999997</v>
      </c>
      <c r="F8" s="11">
        <v>7.4080000000000004</v>
      </c>
      <c r="G8" s="11">
        <v>16.227</v>
      </c>
      <c r="H8" s="8" t="s">
        <v>80</v>
      </c>
    </row>
    <row r="9" spans="1:8">
      <c r="A9" s="6" t="s">
        <v>81</v>
      </c>
      <c r="B9" s="11">
        <v>1.367</v>
      </c>
      <c r="C9" s="11">
        <v>1.484</v>
      </c>
      <c r="D9" s="11">
        <v>1.8520000000000001</v>
      </c>
      <c r="E9" s="11">
        <v>2.0640000000000001</v>
      </c>
      <c r="F9" s="11">
        <v>2.1120000000000001</v>
      </c>
      <c r="G9" s="11">
        <v>1.9450000000000001</v>
      </c>
      <c r="H9" s="8" t="s">
        <v>82</v>
      </c>
    </row>
    <row r="10" spans="1:8">
      <c r="A10" s="6" t="s">
        <v>83</v>
      </c>
      <c r="B10" s="11">
        <v>11.257999999999999</v>
      </c>
      <c r="C10" s="11">
        <v>9.5340000000000007</v>
      </c>
      <c r="D10" s="11">
        <v>9.7469999999999999</v>
      </c>
      <c r="E10" s="11">
        <v>4.7409999999999997</v>
      </c>
      <c r="F10" s="11">
        <v>5.2960000000000003</v>
      </c>
      <c r="G10" s="11">
        <v>14.282</v>
      </c>
      <c r="H10" s="8" t="s">
        <v>84</v>
      </c>
    </row>
    <row r="11" spans="1:8">
      <c r="A11" s="6" t="s">
        <v>85</v>
      </c>
      <c r="B11" s="12">
        <v>2.25</v>
      </c>
      <c r="C11" s="12">
        <v>2.19</v>
      </c>
      <c r="D11" s="12">
        <v>2.4700000000000002</v>
      </c>
      <c r="E11" s="12">
        <v>2.46</v>
      </c>
      <c r="F11" s="12">
        <v>3.04</v>
      </c>
      <c r="G11" s="12">
        <v>3.39</v>
      </c>
      <c r="H11" s="8" t="s">
        <v>86</v>
      </c>
    </row>
    <row r="12" spans="1:8">
      <c r="A12" s="6" t="s">
        <v>87</v>
      </c>
      <c r="B12" s="9">
        <v>4.33</v>
      </c>
      <c r="C12" s="9">
        <v>4.33</v>
      </c>
      <c r="D12" s="9">
        <v>4.33</v>
      </c>
      <c r="E12" s="9">
        <v>4.32</v>
      </c>
      <c r="F12" s="9">
        <v>4.3099999999999996</v>
      </c>
      <c r="G12" s="9">
        <v>4.3</v>
      </c>
      <c r="H12" s="8" t="s">
        <v>88</v>
      </c>
    </row>
    <row r="14" spans="1:8">
      <c r="A14" s="6" t="s">
        <v>89</v>
      </c>
      <c r="C14" s="15">
        <f>C5/B5-1</f>
        <v>0.11250808433579085</v>
      </c>
      <c r="D14" s="15">
        <f>D5/C5-1</f>
        <v>6.3947539763743011E-2</v>
      </c>
      <c r="E14" s="15">
        <f>E5/D5-1</f>
        <v>2.8565808453905772E-2</v>
      </c>
      <c r="F14" s="15">
        <f>F5/E5-1</f>
        <v>1.869913516499877E-2</v>
      </c>
      <c r="G14" s="15">
        <f>G5/F5-1</f>
        <v>6.4933981352078618E-2</v>
      </c>
    </row>
    <row r="15" spans="1:8">
      <c r="A15" s="6" t="s">
        <v>90</v>
      </c>
      <c r="B15" s="15">
        <f t="shared" ref="B15:G15" si="0">B6/B5</f>
        <v>0.26666666666666666</v>
      </c>
      <c r="C15" s="15">
        <f t="shared" si="0"/>
        <v>0.25367407683006232</v>
      </c>
      <c r="D15" s="15">
        <f t="shared" si="0"/>
        <v>0.24721335839489444</v>
      </c>
      <c r="E15" s="15">
        <f t="shared" si="0"/>
        <v>0.21232018019166615</v>
      </c>
      <c r="F15" s="15">
        <f t="shared" si="0"/>
        <v>0.28706117936630443</v>
      </c>
      <c r="G15" s="15">
        <f t="shared" si="0"/>
        <v>0.30040741176009711</v>
      </c>
    </row>
    <row r="16" spans="1:8">
      <c r="A16" s="6" t="s">
        <v>91</v>
      </c>
      <c r="B16" s="15">
        <f t="shared" ref="B16:G16" si="1">B7/B5</f>
        <v>0.25277454404346139</v>
      </c>
      <c r="C16" s="15">
        <f t="shared" si="1"/>
        <v>0.22188633615477632</v>
      </c>
      <c r="D16" s="15">
        <f t="shared" si="1"/>
        <v>0.23416531887922371</v>
      </c>
      <c r="E16" s="15">
        <f t="shared" si="1"/>
        <v>0.22589830220352308</v>
      </c>
      <c r="F16" s="15">
        <f t="shared" si="1"/>
        <v>0.27339855238730937</v>
      </c>
      <c r="G16" s="15">
        <f t="shared" si="1"/>
        <v>0.28653974223371331</v>
      </c>
    </row>
    <row r="17" spans="1:8">
      <c r="A17" s="6" t="s">
        <v>92</v>
      </c>
      <c r="B17" s="15">
        <f t="shared" ref="B17:G17" si="2">B10/B5</f>
        <v>0.29124304747121971</v>
      </c>
      <c r="C17" s="15">
        <f t="shared" si="2"/>
        <v>0.2217003069481909</v>
      </c>
      <c r="D17" s="15">
        <f t="shared" si="2"/>
        <v>0.21303055470559951</v>
      </c>
      <c r="E17" s="15">
        <f t="shared" si="2"/>
        <v>0.10074159070143004</v>
      </c>
      <c r="F17" s="15">
        <f t="shared" si="2"/>
        <v>0.11046911829123297</v>
      </c>
      <c r="G17" s="15">
        <f t="shared" si="2"/>
        <v>0.27974301719747718</v>
      </c>
    </row>
    <row r="18" spans="1:8">
      <c r="A18" s="6" t="s">
        <v>43</v>
      </c>
      <c r="B18" s="15">
        <f t="shared" ref="B18:G18" si="3">B9/B5</f>
        <v>3.5364118484025354E-2</v>
      </c>
      <c r="C18" s="15">
        <f t="shared" si="3"/>
        <v>3.4508417821597991E-2</v>
      </c>
      <c r="D18" s="15">
        <f t="shared" si="3"/>
        <v>4.0477335314945143E-2</v>
      </c>
      <c r="E18" s="15">
        <f t="shared" si="3"/>
        <v>4.3857971568814942E-2</v>
      </c>
      <c r="F18" s="15">
        <f t="shared" si="3"/>
        <v>4.4054149892576291E-2</v>
      </c>
      <c r="G18" s="15">
        <f t="shared" si="3"/>
        <v>3.8096916989853881E-2</v>
      </c>
    </row>
    <row r="19" spans="1:8">
      <c r="A19" s="6" t="s">
        <v>45</v>
      </c>
      <c r="B19" s="15">
        <f t="shared" ref="B19:G19" si="4">B10/(B6*(1-0.2))</f>
        <v>1.3652017850213427</v>
      </c>
      <c r="C19" s="15">
        <f t="shared" si="4"/>
        <v>1.0924466037216976</v>
      </c>
      <c r="D19" s="15">
        <f t="shared" si="4"/>
        <v>1.0771594023516931</v>
      </c>
      <c r="E19" s="15">
        <f t="shared" si="4"/>
        <v>0.59309947958366682</v>
      </c>
      <c r="F19" s="15">
        <f t="shared" si="4"/>
        <v>0.48103473332364483</v>
      </c>
      <c r="G19" s="15">
        <f t="shared" si="4"/>
        <v>1.1640151268175001</v>
      </c>
    </row>
    <row r="21" spans="1:8" ht="16.2">
      <c r="A21" s="3" t="s">
        <v>93</v>
      </c>
      <c r="B21" s="4"/>
      <c r="C21" s="4"/>
      <c r="D21" s="4"/>
      <c r="E21" s="4"/>
      <c r="F21" s="4"/>
      <c r="G21" s="4"/>
      <c r="H21" s="4"/>
    </row>
    <row r="22" spans="1:8" ht="30" customHeight="1">
      <c r="A22" s="30" t="s">
        <v>94</v>
      </c>
      <c r="B22" s="28"/>
      <c r="C22" s="28"/>
      <c r="D22" s="28"/>
      <c r="E22" s="28"/>
      <c r="F22" s="28"/>
      <c r="G22" s="28"/>
      <c r="H22" s="28"/>
    </row>
    <row r="23" spans="1:8" ht="30" customHeight="1">
      <c r="A23" s="30" t="s">
        <v>95</v>
      </c>
      <c r="B23" s="28"/>
      <c r="C23" s="28"/>
      <c r="D23" s="28"/>
      <c r="E23" s="28"/>
      <c r="F23" s="28"/>
      <c r="G23" s="28"/>
      <c r="H23" s="28"/>
    </row>
    <row r="24" spans="1:8" ht="30" customHeight="1">
      <c r="A24" s="30" t="s">
        <v>96</v>
      </c>
      <c r="B24" s="28"/>
      <c r="C24" s="28"/>
      <c r="D24" s="28"/>
      <c r="E24" s="28"/>
      <c r="F24" s="28"/>
      <c r="G24" s="28"/>
      <c r="H24" s="28"/>
    </row>
    <row r="25" spans="1:8" ht="30" customHeight="1">
      <c r="A25" s="30" t="s">
        <v>97</v>
      </c>
      <c r="B25" s="28"/>
      <c r="C25" s="28"/>
      <c r="D25" s="28"/>
      <c r="E25" s="28"/>
      <c r="F25" s="28"/>
      <c r="G25" s="28"/>
      <c r="H25" s="28"/>
    </row>
    <row r="26" spans="1:8" ht="30" customHeight="1">
      <c r="A26" s="30" t="s">
        <v>98</v>
      </c>
      <c r="B26" s="28"/>
      <c r="C26" s="28"/>
      <c r="D26" s="28"/>
      <c r="E26" s="28"/>
      <c r="F26" s="28"/>
      <c r="G26" s="28"/>
      <c r="H26" s="28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99</v>
      </c>
    </row>
    <row r="2" spans="1:6" ht="15.6">
      <c r="A2" s="27" t="s">
        <v>100</v>
      </c>
      <c r="B2" s="28"/>
      <c r="C2" s="28"/>
      <c r="D2" s="28"/>
      <c r="E2" s="28"/>
      <c r="F2" s="28"/>
    </row>
    <row r="4" spans="1:6" ht="16.2">
      <c r="A4" s="3" t="s">
        <v>101</v>
      </c>
      <c r="B4" s="4"/>
      <c r="C4" s="4"/>
      <c r="D4" s="4"/>
      <c r="E4" s="4"/>
      <c r="F4" s="4"/>
    </row>
    <row r="5" spans="1:6" ht="15.6">
      <c r="A5" s="2" t="s">
        <v>102</v>
      </c>
    </row>
    <row r="6" spans="1:6">
      <c r="A6" s="5" t="s">
        <v>103</v>
      </c>
      <c r="B6" s="5" t="s">
        <v>74</v>
      </c>
      <c r="C6" s="5" t="s">
        <v>76</v>
      </c>
      <c r="D6" s="5" t="s">
        <v>104</v>
      </c>
      <c r="E6" s="5" t="s">
        <v>8</v>
      </c>
    </row>
    <row r="7" spans="1:6">
      <c r="A7" s="6" t="s">
        <v>105</v>
      </c>
      <c r="B7" s="23">
        <v>2.9820000000000002</v>
      </c>
      <c r="C7" s="23">
        <v>1.171</v>
      </c>
      <c r="D7" s="15">
        <v>0.39300000000000002</v>
      </c>
      <c r="E7" s="6" t="s">
        <v>106</v>
      </c>
    </row>
    <row r="8" spans="1:6">
      <c r="A8" s="6" t="s">
        <v>107</v>
      </c>
      <c r="B8" s="23">
        <v>1.958</v>
      </c>
      <c r="C8" s="23">
        <v>1.1519999999999999</v>
      </c>
      <c r="D8" s="15">
        <v>0.58799999999999997</v>
      </c>
      <c r="E8" s="6" t="s">
        <v>108</v>
      </c>
    </row>
    <row r="9" spans="1:6">
      <c r="A9" s="6" t="s">
        <v>109</v>
      </c>
      <c r="B9" s="23">
        <v>5.3840000000000003</v>
      </c>
      <c r="C9" s="23">
        <v>1.766</v>
      </c>
      <c r="D9" s="15">
        <v>0.32800000000000001</v>
      </c>
      <c r="E9" s="6" t="s">
        <v>110</v>
      </c>
    </row>
    <row r="10" spans="1:6">
      <c r="A10" s="6" t="s">
        <v>111</v>
      </c>
      <c r="B10" s="23">
        <v>1.498</v>
      </c>
      <c r="C10" s="23">
        <v>0.56299999999999994</v>
      </c>
      <c r="D10" s="15">
        <v>0.376</v>
      </c>
      <c r="E10" s="6" t="s">
        <v>112</v>
      </c>
    </row>
    <row r="11" spans="1:6">
      <c r="A11" s="6" t="s">
        <v>113</v>
      </c>
      <c r="B11" s="23">
        <v>1.52</v>
      </c>
      <c r="C11" s="23">
        <v>0.20499999999999999</v>
      </c>
      <c r="D11" s="15">
        <v>0.13500000000000001</v>
      </c>
      <c r="E11" s="6" t="s">
        <v>114</v>
      </c>
    </row>
    <row r="12" spans="1:6">
      <c r="A12" s="6" t="s">
        <v>115</v>
      </c>
      <c r="B12" s="23">
        <v>0</v>
      </c>
      <c r="C12" s="23">
        <v>-0.39200000000000002</v>
      </c>
      <c r="D12" s="15"/>
      <c r="E12" s="6" t="s">
        <v>116</v>
      </c>
    </row>
    <row r="13" spans="1:6">
      <c r="A13" s="18" t="s">
        <v>117</v>
      </c>
      <c r="B13" s="23">
        <v>13.38</v>
      </c>
      <c r="C13" s="23">
        <v>4.4649999999999999</v>
      </c>
      <c r="D13" s="15">
        <v>0.33400000000000002</v>
      </c>
      <c r="E13" s="6" t="s">
        <v>118</v>
      </c>
    </row>
    <row r="16" spans="1:6" ht="16.2">
      <c r="A16" s="3" t="s">
        <v>119</v>
      </c>
      <c r="B16" s="4"/>
      <c r="C16" s="4"/>
      <c r="D16" s="4"/>
      <c r="E16" s="4"/>
      <c r="F16" s="4"/>
    </row>
    <row r="17" spans="1:6" ht="30" customHeight="1">
      <c r="A17" s="30" t="s">
        <v>120</v>
      </c>
      <c r="B17" s="28"/>
      <c r="C17" s="28"/>
      <c r="D17" s="28"/>
      <c r="E17" s="28"/>
      <c r="F17" s="28"/>
    </row>
    <row r="18" spans="1:6" ht="30" customHeight="1">
      <c r="A18" s="30" t="s">
        <v>121</v>
      </c>
      <c r="B18" s="28"/>
      <c r="C18" s="28"/>
      <c r="D18" s="28"/>
      <c r="E18" s="28"/>
      <c r="F18" s="28"/>
    </row>
    <row r="19" spans="1:6" ht="30" customHeight="1">
      <c r="A19" s="30" t="s">
        <v>122</v>
      </c>
      <c r="B19" s="28"/>
      <c r="C19" s="28"/>
      <c r="D19" s="28"/>
      <c r="E19" s="28"/>
      <c r="F19" s="28"/>
    </row>
    <row r="20" spans="1:6" ht="30" customHeight="1">
      <c r="A20" s="30" t="s">
        <v>123</v>
      </c>
      <c r="B20" s="28"/>
      <c r="C20" s="28"/>
      <c r="D20" s="28"/>
      <c r="E20" s="28"/>
      <c r="F20" s="28"/>
    </row>
    <row r="21" spans="1:6" ht="30" customHeight="1">
      <c r="A21" s="30" t="s">
        <v>124</v>
      </c>
      <c r="B21" s="28"/>
      <c r="C21" s="28"/>
      <c r="D21" s="28"/>
      <c r="E21" s="28"/>
      <c r="F21" s="28"/>
    </row>
    <row r="22" spans="1:6" ht="30" customHeight="1">
      <c r="A22" s="30" t="s">
        <v>125</v>
      </c>
      <c r="B22" s="28"/>
      <c r="C22" s="28"/>
      <c r="D22" s="28"/>
      <c r="E22" s="28"/>
      <c r="F22" s="28"/>
    </row>
  </sheetData>
  <mergeCells count="7">
    <mergeCell ref="A2:F2"/>
    <mergeCell ref="A19:F19"/>
    <mergeCell ref="A22:F22"/>
    <mergeCell ref="A17:F17"/>
    <mergeCell ref="A18:F18"/>
    <mergeCell ref="A20:F20"/>
    <mergeCell ref="A21:F21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126</v>
      </c>
    </row>
    <row r="2" spans="1:3" ht="15.6">
      <c r="A2" s="27" t="s">
        <v>127</v>
      </c>
      <c r="B2" s="28"/>
      <c r="C2" s="28"/>
    </row>
    <row r="4" spans="1:3">
      <c r="A4" s="5" t="s">
        <v>6</v>
      </c>
      <c r="B4" s="5" t="s">
        <v>7</v>
      </c>
      <c r="C4" s="5" t="s">
        <v>128</v>
      </c>
    </row>
    <row r="5" spans="1:3">
      <c r="A5" s="6" t="s">
        <v>129</v>
      </c>
      <c r="B5" s="11">
        <v>15.337</v>
      </c>
      <c r="C5" s="8" t="s">
        <v>44</v>
      </c>
    </row>
    <row r="6" spans="1:3">
      <c r="A6" s="6" t="s">
        <v>130</v>
      </c>
      <c r="B6" s="15">
        <v>0.2</v>
      </c>
      <c r="C6" s="8" t="s">
        <v>131</v>
      </c>
    </row>
    <row r="7" spans="1:3">
      <c r="A7" s="6" t="s">
        <v>132</v>
      </c>
      <c r="B7" s="10">
        <f>B5*(1-B6)</f>
        <v>12.269600000000001</v>
      </c>
      <c r="C7" s="8" t="s">
        <v>133</v>
      </c>
    </row>
    <row r="8" spans="1:3">
      <c r="A8" s="6" t="s">
        <v>134</v>
      </c>
      <c r="B8" s="11">
        <v>1.05</v>
      </c>
      <c r="C8" s="8" t="s">
        <v>44</v>
      </c>
    </row>
    <row r="9" spans="1:3">
      <c r="A9" s="6" t="s">
        <v>135</v>
      </c>
      <c r="B9" s="11">
        <v>0.26</v>
      </c>
      <c r="C9" s="8" t="s">
        <v>136</v>
      </c>
    </row>
    <row r="10" spans="1:3">
      <c r="A10" s="6" t="s">
        <v>137</v>
      </c>
      <c r="B10" s="11">
        <v>1.9450000000000001</v>
      </c>
      <c r="C10" s="8" t="s">
        <v>44</v>
      </c>
    </row>
    <row r="11" spans="1:3">
      <c r="A11" s="6" t="s">
        <v>138</v>
      </c>
      <c r="B11" s="11">
        <v>2.6469999999999998</v>
      </c>
      <c r="C11" s="8" t="s">
        <v>139</v>
      </c>
    </row>
    <row r="12" spans="1:3">
      <c r="A12" s="18" t="s">
        <v>140</v>
      </c>
      <c r="B12" s="10">
        <f>B7+B8+B9-B10+B11</f>
        <v>14.281600000000001</v>
      </c>
      <c r="C12" s="8" t="s">
        <v>141</v>
      </c>
    </row>
    <row r="13" spans="1:3">
      <c r="A13" s="6" t="s">
        <v>142</v>
      </c>
      <c r="B13" s="11">
        <v>16.227</v>
      </c>
      <c r="C13" s="8" t="s">
        <v>44</v>
      </c>
    </row>
    <row r="14" spans="1:3">
      <c r="A14" s="6" t="s">
        <v>137</v>
      </c>
      <c r="B14" s="11">
        <v>1.9450000000000001</v>
      </c>
      <c r="C14" s="8" t="s">
        <v>44</v>
      </c>
    </row>
    <row r="15" spans="1:3">
      <c r="A15" s="18" t="s">
        <v>26</v>
      </c>
      <c r="B15" s="10">
        <f>B13-B14</f>
        <v>14.282</v>
      </c>
      <c r="C15" s="8" t="s">
        <v>143</v>
      </c>
    </row>
    <row r="16" spans="1:3">
      <c r="A16" s="6" t="s">
        <v>45</v>
      </c>
      <c r="B16" s="16">
        <f>B12/B7</f>
        <v>1.1639825259177154</v>
      </c>
      <c r="C16" s="8" t="s">
        <v>144</v>
      </c>
    </row>
    <row r="17" spans="1:3">
      <c r="A17" s="6" t="s">
        <v>43</v>
      </c>
      <c r="B17" s="16">
        <f>B10/51.054</f>
        <v>3.8096916989853881E-2</v>
      </c>
      <c r="C17" s="8" t="s">
        <v>44</v>
      </c>
    </row>
    <row r="18" spans="1:3">
      <c r="A18" s="6" t="s">
        <v>145</v>
      </c>
      <c r="B18" s="13">
        <f>B10/B8</f>
        <v>1.8523809523809525</v>
      </c>
      <c r="C18" s="8" t="s">
        <v>146</v>
      </c>
    </row>
    <row r="20" spans="1:3" ht="16.2">
      <c r="A20" s="3" t="s">
        <v>119</v>
      </c>
      <c r="B20" s="4"/>
      <c r="C20" s="4"/>
    </row>
    <row r="21" spans="1:3" ht="34.049999999999997" customHeight="1">
      <c r="A21" s="30" t="s">
        <v>147</v>
      </c>
      <c r="B21" s="28"/>
      <c r="C21" s="28"/>
    </row>
    <row r="22" spans="1:3" ht="34.049999999999997" customHeight="1">
      <c r="A22" s="30" t="s">
        <v>148</v>
      </c>
      <c r="B22" s="28"/>
      <c r="C22" s="28"/>
    </row>
    <row r="23" spans="1:3" ht="34.049999999999997" customHeight="1">
      <c r="A23" s="30" t="s">
        <v>149</v>
      </c>
      <c r="B23" s="28"/>
      <c r="C23" s="28"/>
    </row>
    <row r="24" spans="1:3" ht="34.049999999999997" customHeight="1">
      <c r="A24" s="30" t="s">
        <v>150</v>
      </c>
      <c r="B24" s="28"/>
      <c r="C24" s="28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151</v>
      </c>
    </row>
    <row r="2" spans="1:14" ht="15.6">
      <c r="A2" s="27" t="s">
        <v>152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.6">
      <c r="A3" s="27" t="s">
        <v>153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6.2">
      <c r="A4" s="3" t="s">
        <v>154</v>
      </c>
      <c r="B4" s="4"/>
      <c r="C4" s="4"/>
      <c r="D4" s="4"/>
      <c r="E4" s="4"/>
    </row>
    <row r="5" spans="1:14">
      <c r="A5" s="6" t="s">
        <v>155</v>
      </c>
      <c r="B5" s="11">
        <v>51.054000000000002</v>
      </c>
    </row>
    <row r="6" spans="1:14">
      <c r="A6" s="6" t="s">
        <v>156</v>
      </c>
      <c r="B6" s="15">
        <v>0.2</v>
      </c>
    </row>
    <row r="7" spans="1:14">
      <c r="A7" s="6" t="s">
        <v>157</v>
      </c>
      <c r="B7" s="15">
        <v>-0.02</v>
      </c>
    </row>
    <row r="8" spans="1:14">
      <c r="A8" s="6" t="s">
        <v>15</v>
      </c>
      <c r="B8" s="11">
        <v>28.164999999999999</v>
      </c>
    </row>
    <row r="9" spans="1:14">
      <c r="A9" s="6" t="s">
        <v>158</v>
      </c>
      <c r="B9" s="11">
        <v>20.71</v>
      </c>
    </row>
    <row r="10" spans="1:14">
      <c r="A10" s="6" t="s">
        <v>159</v>
      </c>
      <c r="B10" s="9">
        <v>4.3019999999999996</v>
      </c>
    </row>
    <row r="11" spans="1:14" ht="15">
      <c r="A11" s="32" t="s">
        <v>160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3" spans="1:14" ht="16.2">
      <c r="A13" s="3" t="s">
        <v>161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162</v>
      </c>
      <c r="B14" s="15">
        <v>7.3999999999999996E-2</v>
      </c>
      <c r="C14" s="6" t="s">
        <v>163</v>
      </c>
      <c r="D14" s="15">
        <v>0.02</v>
      </c>
    </row>
    <row r="16" spans="1:14">
      <c r="A16" s="5" t="s">
        <v>164</v>
      </c>
      <c r="B16" s="5" t="s">
        <v>89</v>
      </c>
      <c r="C16" s="5" t="s">
        <v>74</v>
      </c>
      <c r="D16" s="5" t="s">
        <v>165</v>
      </c>
      <c r="E16" s="5" t="s">
        <v>166</v>
      </c>
      <c r="F16" s="5" t="s">
        <v>132</v>
      </c>
      <c r="G16" s="5" t="s">
        <v>167</v>
      </c>
      <c r="H16" s="5" t="s">
        <v>168</v>
      </c>
      <c r="I16" s="5" t="s">
        <v>169</v>
      </c>
      <c r="J16" s="5" t="s">
        <v>170</v>
      </c>
      <c r="K16" s="5" t="s">
        <v>171</v>
      </c>
      <c r="L16" s="5" t="s">
        <v>172</v>
      </c>
      <c r="M16" s="5" t="s">
        <v>173</v>
      </c>
      <c r="N16" s="5" t="s">
        <v>174</v>
      </c>
    </row>
    <row r="17" spans="1:14">
      <c r="A17" s="24">
        <v>1</v>
      </c>
      <c r="B17" s="15">
        <v>0.03</v>
      </c>
      <c r="C17" s="11">
        <f>$B$5*(1+B17)</f>
        <v>52.585620000000006</v>
      </c>
      <c r="D17" s="15">
        <v>0.28999999999999998</v>
      </c>
      <c r="E17" s="11">
        <f t="shared" ref="E17:E26" si="0">C17*D17</f>
        <v>15.249829800000001</v>
      </c>
      <c r="F17" s="11">
        <f t="shared" ref="F17:F26" si="1">E17*(1-$B$6)</f>
        <v>12.199863840000001</v>
      </c>
      <c r="G17" s="15">
        <v>2.1999999999999999E-2</v>
      </c>
      <c r="H17" s="11">
        <f t="shared" ref="H17:H26" si="2">C17*G17</f>
        <v>1.15688364</v>
      </c>
      <c r="I17" s="15">
        <v>4.8000000000000001E-2</v>
      </c>
      <c r="J17" s="11">
        <f t="shared" ref="J17:J26" si="3">C17*I17</f>
        <v>2.5241097600000004</v>
      </c>
      <c r="K17" s="11">
        <f>(C17-$B$5)*$B$7</f>
        <v>-3.0632400000000077E-2</v>
      </c>
      <c r="L17" s="11">
        <f t="shared" ref="L17:L26" si="4">F17+H17-J17-K17</f>
        <v>10.863270120000001</v>
      </c>
      <c r="M17" s="9">
        <f>1/(1+$B$14)^1</f>
        <v>0.93109869646182486</v>
      </c>
      <c r="N17" s="11">
        <f t="shared" ref="N17:N26" si="5">L17*M17</f>
        <v>10.114776648044693</v>
      </c>
    </row>
    <row r="18" spans="1:14">
      <c r="A18" s="24">
        <v>2</v>
      </c>
      <c r="B18" s="15">
        <v>0.02</v>
      </c>
      <c r="C18" s="11">
        <f t="shared" ref="C18:C26" si="6">C17*(1+B18)</f>
        <v>53.637332400000005</v>
      </c>
      <c r="D18" s="15">
        <v>0.28499999999999998</v>
      </c>
      <c r="E18" s="11">
        <f t="shared" si="0"/>
        <v>15.286639734</v>
      </c>
      <c r="F18" s="11">
        <f t="shared" si="1"/>
        <v>12.2293117872</v>
      </c>
      <c r="G18" s="15">
        <v>2.1999999999999999E-2</v>
      </c>
      <c r="H18" s="11">
        <f t="shared" si="2"/>
        <v>1.1800213128000001</v>
      </c>
      <c r="I18" s="15">
        <v>4.8000000000000001E-2</v>
      </c>
      <c r="J18" s="11">
        <f t="shared" si="3"/>
        <v>2.5745919552000003</v>
      </c>
      <c r="K18" s="11">
        <f t="shared" ref="K18:K26" si="7">(C18-C17)*$B$7</f>
        <v>-2.1034247999999992E-2</v>
      </c>
      <c r="L18" s="11">
        <f t="shared" si="4"/>
        <v>10.8557753928</v>
      </c>
      <c r="M18" s="9">
        <f>1/(1+$B$14)^2</f>
        <v>0.86694478255290952</v>
      </c>
      <c r="N18" s="11">
        <f t="shared" si="5"/>
        <v>9.4113578373542222</v>
      </c>
    </row>
    <row r="19" spans="1:14">
      <c r="A19" s="24">
        <v>3</v>
      </c>
      <c r="B19" s="15">
        <v>0.02</v>
      </c>
      <c r="C19" s="11">
        <f t="shared" si="6"/>
        <v>54.710079048000004</v>
      </c>
      <c r="D19" s="15">
        <v>0.28000000000000003</v>
      </c>
      <c r="E19" s="11">
        <f t="shared" si="0"/>
        <v>15.318822133440003</v>
      </c>
      <c r="F19" s="11">
        <f t="shared" si="1"/>
        <v>12.255057706752003</v>
      </c>
      <c r="G19" s="15">
        <v>2.1999999999999999E-2</v>
      </c>
      <c r="H19" s="11">
        <f t="shared" si="2"/>
        <v>1.203621739056</v>
      </c>
      <c r="I19" s="15">
        <v>4.8000000000000001E-2</v>
      </c>
      <c r="J19" s="11">
        <f t="shared" si="3"/>
        <v>2.6260837943040003</v>
      </c>
      <c r="K19" s="11">
        <f t="shared" si="7"/>
        <v>-2.1454932959999978E-2</v>
      </c>
      <c r="L19" s="11">
        <f t="shared" si="4"/>
        <v>10.854050584464003</v>
      </c>
      <c r="M19" s="9">
        <f>1/(1+$B$14)^3</f>
        <v>0.80721115693939438</v>
      </c>
      <c r="N19" s="11">
        <f t="shared" si="5"/>
        <v>8.7615107297638986</v>
      </c>
    </row>
    <row r="20" spans="1:14">
      <c r="A20" s="24">
        <v>4</v>
      </c>
      <c r="B20" s="15">
        <v>0.02</v>
      </c>
      <c r="C20" s="11">
        <f t="shared" si="6"/>
        <v>55.804280628960008</v>
      </c>
      <c r="D20" s="15">
        <v>0.28000000000000003</v>
      </c>
      <c r="E20" s="11">
        <f t="shared" si="0"/>
        <v>15.625198576108804</v>
      </c>
      <c r="F20" s="11">
        <f t="shared" si="1"/>
        <v>12.500158860887044</v>
      </c>
      <c r="G20" s="15">
        <v>2.1999999999999999E-2</v>
      </c>
      <c r="H20" s="11">
        <f t="shared" si="2"/>
        <v>1.2276941738371201</v>
      </c>
      <c r="I20" s="15">
        <v>4.8000000000000001E-2</v>
      </c>
      <c r="J20" s="11">
        <f t="shared" si="3"/>
        <v>2.6786054701900803</v>
      </c>
      <c r="K20" s="11">
        <f t="shared" si="7"/>
        <v>-2.1884031619200075E-2</v>
      </c>
      <c r="L20" s="11">
        <f t="shared" si="4"/>
        <v>11.071131596153284</v>
      </c>
      <c r="M20" s="9">
        <f>1/(1+$B$14)^4</f>
        <v>0.75159325599571147</v>
      </c>
      <c r="N20" s="11">
        <f t="shared" si="5"/>
        <v>8.3209878439098457</v>
      </c>
    </row>
    <row r="21" spans="1:14">
      <c r="A21" s="24">
        <v>5</v>
      </c>
      <c r="B21" s="15">
        <v>0.02</v>
      </c>
      <c r="C21" s="11">
        <f t="shared" si="6"/>
        <v>56.920366241539206</v>
      </c>
      <c r="D21" s="15">
        <v>0.27500000000000002</v>
      </c>
      <c r="E21" s="11">
        <f t="shared" si="0"/>
        <v>15.653100716423284</v>
      </c>
      <c r="F21" s="11">
        <f t="shared" si="1"/>
        <v>12.522480573138628</v>
      </c>
      <c r="G21" s="15">
        <v>2.1999999999999999E-2</v>
      </c>
      <c r="H21" s="11">
        <f t="shared" si="2"/>
        <v>1.2522480573138624</v>
      </c>
      <c r="I21" s="15">
        <v>4.8000000000000001E-2</v>
      </c>
      <c r="J21" s="11">
        <f t="shared" si="3"/>
        <v>2.7321775795938819</v>
      </c>
      <c r="K21" s="11">
        <f t="shared" si="7"/>
        <v>-2.2321712251583962E-2</v>
      </c>
      <c r="L21" s="11">
        <f t="shared" si="4"/>
        <v>11.064872763110191</v>
      </c>
      <c r="M21" s="9">
        <f>1/(1+$B$14)^5</f>
        <v>0.69980750092710564</v>
      </c>
      <c r="N21" s="11">
        <f t="shared" si="5"/>
        <v>7.7432809564285412</v>
      </c>
    </row>
    <row r="22" spans="1:14">
      <c r="A22" s="24">
        <v>6</v>
      </c>
      <c r="B22" s="15">
        <v>0.02</v>
      </c>
      <c r="C22" s="11">
        <f t="shared" si="6"/>
        <v>58.058773566369993</v>
      </c>
      <c r="D22" s="15">
        <v>0.27500000000000002</v>
      </c>
      <c r="E22" s="11">
        <f t="shared" si="0"/>
        <v>15.96616273075175</v>
      </c>
      <c r="F22" s="11">
        <f t="shared" si="1"/>
        <v>12.7729301846014</v>
      </c>
      <c r="G22" s="15">
        <v>2.1999999999999999E-2</v>
      </c>
      <c r="H22" s="11">
        <f t="shared" si="2"/>
        <v>1.2772930184601399</v>
      </c>
      <c r="I22" s="15">
        <v>4.8000000000000001E-2</v>
      </c>
      <c r="J22" s="11">
        <f t="shared" si="3"/>
        <v>2.7868211311857598</v>
      </c>
      <c r="K22" s="11">
        <f t="shared" si="7"/>
        <v>-2.2768146496615741E-2</v>
      </c>
      <c r="L22" s="11">
        <f t="shared" si="4"/>
        <v>11.286170218372396</v>
      </c>
      <c r="M22" s="9">
        <f>1/(1+$B$14)^6</f>
        <v>0.65158985188743546</v>
      </c>
      <c r="N22" s="11">
        <f t="shared" si="5"/>
        <v>7.3539539809656542</v>
      </c>
    </row>
    <row r="23" spans="1:14">
      <c r="A23" s="24">
        <v>7</v>
      </c>
      <c r="B23" s="15">
        <v>0.02</v>
      </c>
      <c r="C23" s="11">
        <f t="shared" si="6"/>
        <v>59.219949037697397</v>
      </c>
      <c r="D23" s="15">
        <v>0.27</v>
      </c>
      <c r="E23" s="11">
        <f t="shared" si="0"/>
        <v>15.989386240178298</v>
      </c>
      <c r="F23" s="11">
        <f t="shared" si="1"/>
        <v>12.791508992142639</v>
      </c>
      <c r="G23" s="15">
        <v>2.1999999999999999E-2</v>
      </c>
      <c r="H23" s="11">
        <f t="shared" si="2"/>
        <v>1.3028388788293426</v>
      </c>
      <c r="I23" s="15">
        <v>4.8000000000000001E-2</v>
      </c>
      <c r="J23" s="11">
        <f t="shared" si="3"/>
        <v>2.8425575538094749</v>
      </c>
      <c r="K23" s="11">
        <f t="shared" si="7"/>
        <v>-2.3223509426548078E-2</v>
      </c>
      <c r="L23" s="11">
        <f t="shared" si="4"/>
        <v>11.275013826589054</v>
      </c>
      <c r="M23" s="9">
        <f>1/(1+$B$14)^7</f>
        <v>0.60669446172014474</v>
      </c>
      <c r="N23" s="11">
        <f t="shared" si="5"/>
        <v>6.8404884444096359</v>
      </c>
    </row>
    <row r="24" spans="1:14">
      <c r="A24" s="24">
        <v>8</v>
      </c>
      <c r="B24" s="15">
        <v>0.02</v>
      </c>
      <c r="C24" s="11">
        <f t="shared" si="6"/>
        <v>60.404348018451344</v>
      </c>
      <c r="D24" s="15">
        <v>0.27</v>
      </c>
      <c r="E24" s="11">
        <f t="shared" si="0"/>
        <v>16.309173964981863</v>
      </c>
      <c r="F24" s="11">
        <f t="shared" si="1"/>
        <v>13.047339171985492</v>
      </c>
      <c r="G24" s="15">
        <v>2.1999999999999999E-2</v>
      </c>
      <c r="H24" s="11">
        <f t="shared" si="2"/>
        <v>1.3288956564059295</v>
      </c>
      <c r="I24" s="15">
        <v>4.8000000000000001E-2</v>
      </c>
      <c r="J24" s="11">
        <f t="shared" si="3"/>
        <v>2.8994087048856647</v>
      </c>
      <c r="K24" s="11">
        <f t="shared" si="7"/>
        <v>-2.3687979615078944E-2</v>
      </c>
      <c r="L24" s="11">
        <f t="shared" si="4"/>
        <v>11.500514103120835</v>
      </c>
      <c r="M24" s="9">
        <f>1/(1+$B$14)^8</f>
        <v>0.56489242245823512</v>
      </c>
      <c r="N24" s="11">
        <f t="shared" si="5"/>
        <v>6.4965532712270262</v>
      </c>
    </row>
    <row r="25" spans="1:14">
      <c r="A25" s="24">
        <v>9</v>
      </c>
      <c r="B25" s="15">
        <v>0.02</v>
      </c>
      <c r="C25" s="11">
        <f t="shared" si="6"/>
        <v>61.612434978820374</v>
      </c>
      <c r="D25" s="15">
        <v>0.27</v>
      </c>
      <c r="E25" s="11">
        <f t="shared" si="0"/>
        <v>16.635357444281503</v>
      </c>
      <c r="F25" s="11">
        <f t="shared" si="1"/>
        <v>13.308285955425204</v>
      </c>
      <c r="G25" s="15">
        <v>2.1999999999999999E-2</v>
      </c>
      <c r="H25" s="11">
        <f t="shared" si="2"/>
        <v>1.3554735695340481</v>
      </c>
      <c r="I25" s="15">
        <v>4.8000000000000001E-2</v>
      </c>
      <c r="J25" s="11">
        <f t="shared" si="3"/>
        <v>2.9573968789833782</v>
      </c>
      <c r="K25" s="11">
        <f t="shared" si="7"/>
        <v>-2.4161739207380607E-2</v>
      </c>
      <c r="L25" s="11">
        <f t="shared" si="4"/>
        <v>11.730524385183255</v>
      </c>
      <c r="M25" s="9">
        <f>1/(1+$B$14)^9</f>
        <v>0.5259705981920253</v>
      </c>
      <c r="N25" s="11">
        <f t="shared" si="5"/>
        <v>6.1699109279809763</v>
      </c>
    </row>
    <row r="26" spans="1:14">
      <c r="A26" s="24">
        <v>10</v>
      </c>
      <c r="B26" s="15">
        <v>0.02</v>
      </c>
      <c r="C26" s="11">
        <f t="shared" si="6"/>
        <v>62.844683678396784</v>
      </c>
      <c r="D26" s="15">
        <v>0.27</v>
      </c>
      <c r="E26" s="11">
        <f t="shared" si="0"/>
        <v>16.968064593167131</v>
      </c>
      <c r="F26" s="11">
        <f t="shared" si="1"/>
        <v>13.574451674533705</v>
      </c>
      <c r="G26" s="15">
        <v>2.1999999999999999E-2</v>
      </c>
      <c r="H26" s="11">
        <f t="shared" si="2"/>
        <v>1.3825830409247291</v>
      </c>
      <c r="I26" s="15">
        <v>4.8000000000000001E-2</v>
      </c>
      <c r="J26" s="11">
        <f t="shared" si="3"/>
        <v>3.0165448165630457</v>
      </c>
      <c r="K26" s="11">
        <f t="shared" si="7"/>
        <v>-2.464497399152819E-2</v>
      </c>
      <c r="L26" s="11">
        <f t="shared" si="4"/>
        <v>11.965134872886916</v>
      </c>
      <c r="M26" s="9">
        <f>1/(1+$B$14)^10</f>
        <v>0.48973053835384101</v>
      </c>
      <c r="N26" s="11">
        <f t="shared" si="5"/>
        <v>5.8596919427752265</v>
      </c>
    </row>
    <row r="27" spans="1:14">
      <c r="A27" s="18" t="s">
        <v>175</v>
      </c>
      <c r="B27" s="11">
        <f>L26*(1+$D$14)/($B$14-$D$14)</f>
        <v>226.00810315453066</v>
      </c>
    </row>
    <row r="28" spans="1:14">
      <c r="A28" s="6" t="s">
        <v>176</v>
      </c>
      <c r="B28" s="11">
        <f>B27/(1+$B$14)^10</f>
        <v>110.68307003019873</v>
      </c>
    </row>
    <row r="29" spans="1:14">
      <c r="A29" s="18" t="s">
        <v>177</v>
      </c>
      <c r="B29" s="11">
        <f>SUM(N17:N26)+B28</f>
        <v>187.75558261305846</v>
      </c>
    </row>
    <row r="30" spans="1:14">
      <c r="A30" s="6" t="s">
        <v>178</v>
      </c>
      <c r="B30" s="11">
        <f>$B$8</f>
        <v>28.164999999999999</v>
      </c>
    </row>
    <row r="31" spans="1:14">
      <c r="A31" s="18" t="s">
        <v>179</v>
      </c>
      <c r="B31" s="11">
        <f>B29-B30</f>
        <v>159.59058261305847</v>
      </c>
    </row>
    <row r="32" spans="1:14">
      <c r="A32" s="18" t="s">
        <v>180</v>
      </c>
      <c r="B32" s="7">
        <f>B31/$B$10</f>
        <v>37.096834638088907</v>
      </c>
      <c r="C32" s="6" t="s">
        <v>181</v>
      </c>
    </row>
    <row r="36" spans="1:14" ht="16.2">
      <c r="A36" s="3" t="s">
        <v>182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162</v>
      </c>
      <c r="B37" s="15">
        <v>6.4500000000000002E-2</v>
      </c>
      <c r="C37" s="6" t="s">
        <v>163</v>
      </c>
      <c r="D37" s="15">
        <v>2.75E-2</v>
      </c>
    </row>
    <row r="39" spans="1:14">
      <c r="A39" s="5" t="s">
        <v>164</v>
      </c>
      <c r="B39" s="5" t="s">
        <v>89</v>
      </c>
      <c r="C39" s="5" t="s">
        <v>74</v>
      </c>
      <c r="D39" s="5" t="s">
        <v>165</v>
      </c>
      <c r="E39" s="5" t="s">
        <v>166</v>
      </c>
      <c r="F39" s="5" t="s">
        <v>132</v>
      </c>
      <c r="G39" s="5" t="s">
        <v>167</v>
      </c>
      <c r="H39" s="5" t="s">
        <v>168</v>
      </c>
      <c r="I39" s="5" t="s">
        <v>169</v>
      </c>
      <c r="J39" s="5" t="s">
        <v>170</v>
      </c>
      <c r="K39" s="5" t="s">
        <v>171</v>
      </c>
      <c r="L39" s="5" t="s">
        <v>172</v>
      </c>
      <c r="M39" s="5" t="s">
        <v>173</v>
      </c>
      <c r="N39" s="5" t="s">
        <v>174</v>
      </c>
    </row>
    <row r="40" spans="1:14">
      <c r="A40" s="24">
        <v>1</v>
      </c>
      <c r="B40" s="15">
        <v>0.05</v>
      </c>
      <c r="C40" s="11">
        <f>$B$5*(1+B40)</f>
        <v>53.606700000000004</v>
      </c>
      <c r="D40" s="15">
        <v>0.33</v>
      </c>
      <c r="E40" s="11">
        <f t="shared" ref="E40:E49" si="8">C40*D40</f>
        <v>17.690211000000001</v>
      </c>
      <c r="F40" s="11">
        <f t="shared" ref="F40:F49" si="9">E40*(1-$B$6)</f>
        <v>14.152168800000002</v>
      </c>
      <c r="G40" s="15">
        <v>2.1999999999999999E-2</v>
      </c>
      <c r="H40" s="11">
        <f t="shared" ref="H40:H49" si="10">C40*G40</f>
        <v>1.1793473999999999</v>
      </c>
      <c r="I40" s="15">
        <v>3.7999999999999999E-2</v>
      </c>
      <c r="J40" s="11">
        <f t="shared" ref="J40:J49" si="11">C40*I40</f>
        <v>2.0370546000000003</v>
      </c>
      <c r="K40" s="11">
        <f>(C40-$B$5)*$B$7</f>
        <v>-5.105400000000003E-2</v>
      </c>
      <c r="L40" s="11">
        <f t="shared" ref="L40:L49" si="12">F40+H40-J40-K40</f>
        <v>13.345515600000002</v>
      </c>
      <c r="M40" s="9">
        <f>1/(1+$B$37)^1</f>
        <v>0.93940817285110378</v>
      </c>
      <c r="N40" s="11">
        <f t="shared" ref="N40:N49" si="13">L40*M40</f>
        <v>12.536886425551904</v>
      </c>
    </row>
    <row r="41" spans="1:14">
      <c r="A41" s="24">
        <v>2</v>
      </c>
      <c r="B41" s="15">
        <v>0.05</v>
      </c>
      <c r="C41" s="11">
        <f t="shared" ref="C41:C49" si="14">C40*(1+B41)</f>
        <v>56.287035000000003</v>
      </c>
      <c r="D41" s="15">
        <v>0.33500000000000002</v>
      </c>
      <c r="E41" s="11">
        <f t="shared" si="8"/>
        <v>18.856156725000002</v>
      </c>
      <c r="F41" s="11">
        <f t="shared" si="9"/>
        <v>15.084925380000001</v>
      </c>
      <c r="G41" s="15">
        <v>2.1999999999999999E-2</v>
      </c>
      <c r="H41" s="11">
        <f t="shared" si="10"/>
        <v>1.2383147699999999</v>
      </c>
      <c r="I41" s="15">
        <v>3.7999999999999999E-2</v>
      </c>
      <c r="J41" s="11">
        <f t="shared" si="11"/>
        <v>2.1389073299999999</v>
      </c>
      <c r="K41" s="11">
        <f t="shared" ref="K41:K49" si="15">(C41-C40)*$B$7</f>
        <v>-5.3606699999999993E-2</v>
      </c>
      <c r="L41" s="11">
        <f t="shared" si="12"/>
        <v>14.237939519999999</v>
      </c>
      <c r="M41" s="9">
        <f>1/(1+$B$37)^2</f>
        <v>0.88248771521944935</v>
      </c>
      <c r="N41" s="11">
        <f t="shared" si="13"/>
        <v>12.564806716437502</v>
      </c>
    </row>
    <row r="42" spans="1:14">
      <c r="A42" s="24">
        <v>3</v>
      </c>
      <c r="B42" s="15">
        <v>4.4999999999999998E-2</v>
      </c>
      <c r="C42" s="11">
        <f t="shared" si="14"/>
        <v>58.819951574999997</v>
      </c>
      <c r="D42" s="15">
        <v>0.33500000000000002</v>
      </c>
      <c r="E42" s="11">
        <f t="shared" si="8"/>
        <v>19.704683777625</v>
      </c>
      <c r="F42" s="11">
        <f t="shared" si="9"/>
        <v>15.7637470221</v>
      </c>
      <c r="G42" s="15">
        <v>2.1999999999999999E-2</v>
      </c>
      <c r="H42" s="11">
        <f t="shared" si="10"/>
        <v>1.2940389346499999</v>
      </c>
      <c r="I42" s="15">
        <v>3.7999999999999999E-2</v>
      </c>
      <c r="J42" s="11">
        <f t="shared" si="11"/>
        <v>2.2351581598499997</v>
      </c>
      <c r="K42" s="11">
        <f t="shared" si="15"/>
        <v>-5.065833149999989E-2</v>
      </c>
      <c r="L42" s="11">
        <f t="shared" si="12"/>
        <v>14.873286128399998</v>
      </c>
      <c r="M42" s="9">
        <f>1/(1+$B$37)^3</f>
        <v>0.82901617211784817</v>
      </c>
      <c r="N42" s="11">
        <f t="shared" si="13"/>
        <v>12.330194732979656</v>
      </c>
    </row>
    <row r="43" spans="1:14">
      <c r="A43" s="24">
        <v>4</v>
      </c>
      <c r="B43" s="15">
        <v>0.04</v>
      </c>
      <c r="C43" s="11">
        <f t="shared" si="14"/>
        <v>61.172749637999999</v>
      </c>
      <c r="D43" s="15">
        <v>0.33500000000000002</v>
      </c>
      <c r="E43" s="11">
        <f t="shared" si="8"/>
        <v>20.492871128730002</v>
      </c>
      <c r="F43" s="11">
        <f t="shared" si="9"/>
        <v>16.394296902984003</v>
      </c>
      <c r="G43" s="15">
        <v>2.1999999999999999E-2</v>
      </c>
      <c r="H43" s="11">
        <f t="shared" si="10"/>
        <v>1.3458004920359998</v>
      </c>
      <c r="I43" s="15">
        <v>3.7999999999999999E-2</v>
      </c>
      <c r="J43" s="11">
        <f t="shared" si="11"/>
        <v>2.3245644862439998</v>
      </c>
      <c r="K43" s="11">
        <f t="shared" si="15"/>
        <v>-4.7055961260000036E-2</v>
      </c>
      <c r="L43" s="11">
        <f t="shared" si="12"/>
        <v>15.462588870036001</v>
      </c>
      <c r="M43" s="9">
        <f>1/(1+$B$37)^4</f>
        <v>0.77878456751324387</v>
      </c>
      <c r="N43" s="11">
        <f t="shared" si="13"/>
        <v>12.042025585786085</v>
      </c>
    </row>
    <row r="44" spans="1:14">
      <c r="A44" s="24">
        <v>5</v>
      </c>
      <c r="B44" s="15">
        <v>0.04</v>
      </c>
      <c r="C44" s="11">
        <f t="shared" si="14"/>
        <v>63.61965962352</v>
      </c>
      <c r="D44" s="15">
        <v>0.33500000000000002</v>
      </c>
      <c r="E44" s="11">
        <f t="shared" si="8"/>
        <v>21.312585973879202</v>
      </c>
      <c r="F44" s="11">
        <f t="shared" si="9"/>
        <v>17.050068779103363</v>
      </c>
      <c r="G44" s="15">
        <v>2.1999999999999999E-2</v>
      </c>
      <c r="H44" s="11">
        <f t="shared" si="10"/>
        <v>1.39963251171744</v>
      </c>
      <c r="I44" s="15">
        <v>3.7999999999999999E-2</v>
      </c>
      <c r="J44" s="11">
        <f t="shared" si="11"/>
        <v>2.4175470656937601</v>
      </c>
      <c r="K44" s="11">
        <f t="shared" si="15"/>
        <v>-4.8938199710400032E-2</v>
      </c>
      <c r="L44" s="11">
        <f t="shared" si="12"/>
        <v>16.08109242483744</v>
      </c>
      <c r="M44" s="9">
        <f>1/(1+$B$37)^5</f>
        <v>0.73159658761225344</v>
      </c>
      <c r="N44" s="11">
        <f t="shared" si="13"/>
        <v>11.76487234308833</v>
      </c>
    </row>
    <row r="45" spans="1:14">
      <c r="A45" s="24">
        <v>6</v>
      </c>
      <c r="B45" s="15">
        <v>3.5000000000000003E-2</v>
      </c>
      <c r="C45" s="11">
        <f t="shared" si="14"/>
        <v>65.846347710343196</v>
      </c>
      <c r="D45" s="15">
        <v>0.33</v>
      </c>
      <c r="E45" s="11">
        <f t="shared" si="8"/>
        <v>21.729294744413256</v>
      </c>
      <c r="F45" s="11">
        <f t="shared" si="9"/>
        <v>17.383435795530605</v>
      </c>
      <c r="G45" s="15">
        <v>2.1999999999999999E-2</v>
      </c>
      <c r="H45" s="11">
        <f t="shared" si="10"/>
        <v>1.4486196496275503</v>
      </c>
      <c r="I45" s="15">
        <v>3.7999999999999999E-2</v>
      </c>
      <c r="J45" s="11">
        <f t="shared" si="11"/>
        <v>2.5021612129930415</v>
      </c>
      <c r="K45" s="11">
        <f t="shared" si="15"/>
        <v>-4.4533761736463902E-2</v>
      </c>
      <c r="L45" s="11">
        <f t="shared" si="12"/>
        <v>16.374427993901577</v>
      </c>
      <c r="M45" s="9">
        <f>1/(1+$B$37)^6</f>
        <v>0.68726781363292955</v>
      </c>
      <c r="N45" s="11">
        <f t="shared" si="13"/>
        <v>11.253617326858574</v>
      </c>
    </row>
    <row r="46" spans="1:14">
      <c r="A46" s="24">
        <v>7</v>
      </c>
      <c r="B46" s="15">
        <v>3.5000000000000003E-2</v>
      </c>
      <c r="C46" s="11">
        <f t="shared" si="14"/>
        <v>68.150969880205196</v>
      </c>
      <c r="D46" s="15">
        <v>0.33</v>
      </c>
      <c r="E46" s="11">
        <f t="shared" si="8"/>
        <v>22.489820060467714</v>
      </c>
      <c r="F46" s="11">
        <f t="shared" si="9"/>
        <v>17.991856048374171</v>
      </c>
      <c r="G46" s="15">
        <v>2.1999999999999999E-2</v>
      </c>
      <c r="H46" s="11">
        <f t="shared" si="10"/>
        <v>1.4993213373645142</v>
      </c>
      <c r="I46" s="15">
        <v>3.7999999999999999E-2</v>
      </c>
      <c r="J46" s="11">
        <f t="shared" si="11"/>
        <v>2.5897368554477973</v>
      </c>
      <c r="K46" s="11">
        <f t="shared" si="15"/>
        <v>-4.6092443397240002E-2</v>
      </c>
      <c r="L46" s="11">
        <f t="shared" si="12"/>
        <v>16.947532973688126</v>
      </c>
      <c r="M46" s="9">
        <f>1/(1+$B$37)^7</f>
        <v>0.64562500106428333</v>
      </c>
      <c r="N46" s="11">
        <f t="shared" si="13"/>
        <v>10.941750994174374</v>
      </c>
    </row>
    <row r="47" spans="1:14">
      <c r="A47" s="24">
        <v>8</v>
      </c>
      <c r="B47" s="15">
        <v>0.03</v>
      </c>
      <c r="C47" s="11">
        <f t="shared" si="14"/>
        <v>70.195498976611347</v>
      </c>
      <c r="D47" s="15">
        <v>0.32500000000000001</v>
      </c>
      <c r="E47" s="11">
        <f t="shared" si="8"/>
        <v>22.813537167398689</v>
      </c>
      <c r="F47" s="11">
        <f t="shared" si="9"/>
        <v>18.250829733918952</v>
      </c>
      <c r="G47" s="15">
        <v>2.1999999999999999E-2</v>
      </c>
      <c r="H47" s="11">
        <f t="shared" si="10"/>
        <v>1.5443009774854495</v>
      </c>
      <c r="I47" s="15">
        <v>3.7999999999999999E-2</v>
      </c>
      <c r="J47" s="11">
        <f t="shared" si="11"/>
        <v>2.6674289611112312</v>
      </c>
      <c r="K47" s="11">
        <f t="shared" si="15"/>
        <v>-4.0890581928123025E-2</v>
      </c>
      <c r="L47" s="11">
        <f t="shared" si="12"/>
        <v>17.168592332221294</v>
      </c>
      <c r="M47" s="9">
        <f>1/(1+$B$37)^8</f>
        <v>0.60650540259679031</v>
      </c>
      <c r="N47" s="11">
        <f t="shared" si="13"/>
        <v>10.412844004474044</v>
      </c>
    </row>
    <row r="48" spans="1:14">
      <c r="A48" s="24">
        <v>9</v>
      </c>
      <c r="B48" s="15">
        <v>0.03</v>
      </c>
      <c r="C48" s="11">
        <f t="shared" si="14"/>
        <v>72.301363945909685</v>
      </c>
      <c r="D48" s="15">
        <v>0.32500000000000001</v>
      </c>
      <c r="E48" s="11">
        <f t="shared" si="8"/>
        <v>23.49794328242065</v>
      </c>
      <c r="F48" s="11">
        <f t="shared" si="9"/>
        <v>18.798354625936522</v>
      </c>
      <c r="G48" s="15">
        <v>2.1999999999999999E-2</v>
      </c>
      <c r="H48" s="11">
        <f t="shared" si="10"/>
        <v>1.590630006810013</v>
      </c>
      <c r="I48" s="15">
        <v>3.7999999999999999E-2</v>
      </c>
      <c r="J48" s="11">
        <f t="shared" si="11"/>
        <v>2.747451829944568</v>
      </c>
      <c r="K48" s="11">
        <f t="shared" si="15"/>
        <v>-4.2117299385966762E-2</v>
      </c>
      <c r="L48" s="11">
        <f t="shared" si="12"/>
        <v>17.683650102187936</v>
      </c>
      <c r="M48" s="9">
        <f>1/(1+$B$37)^9</f>
        <v>0.56975613207777387</v>
      </c>
      <c r="N48" s="11">
        <f t="shared" si="13"/>
        <v>10.075368083239329</v>
      </c>
    </row>
    <row r="49" spans="1:14">
      <c r="A49" s="24">
        <v>10</v>
      </c>
      <c r="B49" s="15">
        <v>2.5000000000000001E-2</v>
      </c>
      <c r="C49" s="11">
        <f t="shared" si="14"/>
        <v>74.108898044557421</v>
      </c>
      <c r="D49" s="15">
        <v>0.32</v>
      </c>
      <c r="E49" s="11">
        <f t="shared" si="8"/>
        <v>23.714847374258376</v>
      </c>
      <c r="F49" s="11">
        <f t="shared" si="9"/>
        <v>18.971877899406703</v>
      </c>
      <c r="G49" s="15">
        <v>2.1999999999999999E-2</v>
      </c>
      <c r="H49" s="11">
        <f t="shared" si="10"/>
        <v>1.6303957569802632</v>
      </c>
      <c r="I49" s="15">
        <v>3.7999999999999999E-2</v>
      </c>
      <c r="J49" s="11">
        <f t="shared" si="11"/>
        <v>2.8161381256931821</v>
      </c>
      <c r="K49" s="11">
        <f t="shared" si="15"/>
        <v>-3.6150681972954714E-2</v>
      </c>
      <c r="L49" s="11">
        <f t="shared" si="12"/>
        <v>17.822286212666739</v>
      </c>
      <c r="M49" s="9">
        <f>1/(1+$B$37)^10</f>
        <v>0.53523356700589375</v>
      </c>
      <c r="N49" s="11">
        <f t="shared" si="13"/>
        <v>9.5390858218055801</v>
      </c>
    </row>
    <row r="50" spans="1:14">
      <c r="A50" s="18" t="s">
        <v>175</v>
      </c>
      <c r="B50" s="11">
        <f>L49*(1+$D$37)/($B$37-$D$37)</f>
        <v>494.9297049598668</v>
      </c>
    </row>
    <row r="51" spans="1:14">
      <c r="A51" s="6" t="s">
        <v>176</v>
      </c>
      <c r="B51" s="11">
        <f>B50/(1+$B$37)^10</f>
        <v>264.90299140284407</v>
      </c>
    </row>
    <row r="52" spans="1:14">
      <c r="A52" s="18" t="s">
        <v>177</v>
      </c>
      <c r="B52" s="11">
        <f>SUM(N40:N49)+B51</f>
        <v>378.36444343723946</v>
      </c>
    </row>
    <row r="53" spans="1:14">
      <c r="A53" s="6" t="s">
        <v>178</v>
      </c>
      <c r="B53" s="11">
        <f>$B$8</f>
        <v>28.164999999999999</v>
      </c>
    </row>
    <row r="54" spans="1:14">
      <c r="A54" s="18" t="s">
        <v>179</v>
      </c>
      <c r="B54" s="11">
        <f>B52-B53</f>
        <v>350.19944343723944</v>
      </c>
    </row>
    <row r="55" spans="1:14">
      <c r="A55" s="18" t="s">
        <v>180</v>
      </c>
      <c r="B55" s="7">
        <f>B54/$B$10</f>
        <v>81.403868767373197</v>
      </c>
      <c r="C55" s="6" t="s">
        <v>183</v>
      </c>
    </row>
    <row r="59" spans="1:14" ht="16.2">
      <c r="A59" s="3" t="s">
        <v>184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162</v>
      </c>
      <c r="B60" s="15">
        <v>6.0999999999999999E-2</v>
      </c>
      <c r="C60" s="6" t="s">
        <v>163</v>
      </c>
      <c r="D60" s="15">
        <v>0.03</v>
      </c>
    </row>
    <row r="62" spans="1:14">
      <c r="A62" s="5" t="s">
        <v>164</v>
      </c>
      <c r="B62" s="5" t="s">
        <v>89</v>
      </c>
      <c r="C62" s="5" t="s">
        <v>74</v>
      </c>
      <c r="D62" s="5" t="s">
        <v>165</v>
      </c>
      <c r="E62" s="5" t="s">
        <v>166</v>
      </c>
      <c r="F62" s="5" t="s">
        <v>132</v>
      </c>
      <c r="G62" s="5" t="s">
        <v>167</v>
      </c>
      <c r="H62" s="5" t="s">
        <v>168</v>
      </c>
      <c r="I62" s="5" t="s">
        <v>169</v>
      </c>
      <c r="J62" s="5" t="s">
        <v>170</v>
      </c>
      <c r="K62" s="5" t="s">
        <v>171</v>
      </c>
      <c r="L62" s="5" t="s">
        <v>172</v>
      </c>
      <c r="M62" s="5" t="s">
        <v>173</v>
      </c>
      <c r="N62" s="5" t="s">
        <v>174</v>
      </c>
    </row>
    <row r="63" spans="1:14">
      <c r="A63" s="24">
        <v>1</v>
      </c>
      <c r="B63" s="15">
        <v>0.06</v>
      </c>
      <c r="C63" s="11">
        <f>$B$5*(1+B63)</f>
        <v>54.117240000000002</v>
      </c>
      <c r="D63" s="15">
        <v>0.34</v>
      </c>
      <c r="E63" s="11">
        <f t="shared" ref="E63:E72" si="16">C63*D63</f>
        <v>18.399861600000001</v>
      </c>
      <c r="F63" s="11">
        <f t="shared" ref="F63:F72" si="17">E63*(1-$B$6)</f>
        <v>14.719889280000002</v>
      </c>
      <c r="G63" s="15">
        <v>2.1999999999999999E-2</v>
      </c>
      <c r="H63" s="11">
        <f t="shared" ref="H63:H72" si="18">C63*G63</f>
        <v>1.1905792799999999</v>
      </c>
      <c r="I63" s="15">
        <v>3.5999999999999997E-2</v>
      </c>
      <c r="J63" s="11">
        <f t="shared" ref="J63:J72" si="19">C63*I63</f>
        <v>1.9482206399999999</v>
      </c>
      <c r="K63" s="11">
        <f>(C63-$B$5)*$B$7</f>
        <v>-6.1264800000000008E-2</v>
      </c>
      <c r="L63" s="11">
        <f t="shared" ref="L63:L72" si="20">F63+H63-J63-K63</f>
        <v>14.023512720000001</v>
      </c>
      <c r="M63" s="9">
        <f>1/(1+$B$60)^1</f>
        <v>0.94250706880301605</v>
      </c>
      <c r="N63" s="11">
        <f t="shared" ref="N63:N72" si="21">L63*M63</f>
        <v>13.217259868049013</v>
      </c>
    </row>
    <row r="64" spans="1:14">
      <c r="A64" s="24">
        <v>2</v>
      </c>
      <c r="B64" s="15">
        <v>0.06</v>
      </c>
      <c r="C64" s="11">
        <f t="shared" ref="C64:C72" si="22">C63*(1+B64)</f>
        <v>57.364274400000006</v>
      </c>
      <c r="D64" s="15">
        <v>0.35</v>
      </c>
      <c r="E64" s="11">
        <f t="shared" si="16"/>
        <v>20.07749604</v>
      </c>
      <c r="F64" s="11">
        <f t="shared" si="17"/>
        <v>16.061996832000002</v>
      </c>
      <c r="G64" s="15">
        <v>2.1999999999999999E-2</v>
      </c>
      <c r="H64" s="11">
        <f t="shared" si="18"/>
        <v>1.2620140368000001</v>
      </c>
      <c r="I64" s="15">
        <v>3.5999999999999997E-2</v>
      </c>
      <c r="J64" s="11">
        <f t="shared" si="19"/>
        <v>2.0651138784</v>
      </c>
      <c r="K64" s="11">
        <f t="shared" ref="K64:K72" si="23">(C64-C63)*$B$7</f>
        <v>-6.494068800000008E-2</v>
      </c>
      <c r="L64" s="11">
        <f t="shared" si="20"/>
        <v>15.323837678400002</v>
      </c>
      <c r="M64" s="9">
        <f>1/(1+$B$60)^2</f>
        <v>0.8883195747436532</v>
      </c>
      <c r="N64" s="11">
        <f t="shared" si="21"/>
        <v>13.61246496991706</v>
      </c>
    </row>
    <row r="65" spans="1:14">
      <c r="A65" s="24">
        <v>3</v>
      </c>
      <c r="B65" s="15">
        <v>5.5E-2</v>
      </c>
      <c r="C65" s="11">
        <f t="shared" si="22"/>
        <v>60.519309492000005</v>
      </c>
      <c r="D65" s="15">
        <v>0.35499999999999998</v>
      </c>
      <c r="E65" s="11">
        <f t="shared" si="16"/>
        <v>21.484354869660002</v>
      </c>
      <c r="F65" s="11">
        <f t="shared" si="17"/>
        <v>17.187483895728004</v>
      </c>
      <c r="G65" s="15">
        <v>2.1999999999999999E-2</v>
      </c>
      <c r="H65" s="11">
        <f t="shared" si="18"/>
        <v>1.3314248088239999</v>
      </c>
      <c r="I65" s="15">
        <v>3.5999999999999997E-2</v>
      </c>
      <c r="J65" s="11">
        <f t="shared" si="19"/>
        <v>2.1786951417120002</v>
      </c>
      <c r="K65" s="11">
        <f t="shared" si="23"/>
        <v>-6.3100701839999968E-2</v>
      </c>
      <c r="L65" s="11">
        <f t="shared" si="20"/>
        <v>16.403314264680002</v>
      </c>
      <c r="M65" s="9">
        <f>1/(1+$B$60)^3</f>
        <v>0.83724747855198234</v>
      </c>
      <c r="N65" s="11">
        <f t="shared" si="21"/>
        <v>13.733633507999096</v>
      </c>
    </row>
    <row r="66" spans="1:14">
      <c r="A66" s="24">
        <v>4</v>
      </c>
      <c r="B66" s="15">
        <v>0.05</v>
      </c>
      <c r="C66" s="11">
        <f t="shared" si="22"/>
        <v>63.545274966600005</v>
      </c>
      <c r="D66" s="15">
        <v>0.36</v>
      </c>
      <c r="E66" s="11">
        <f t="shared" si="16"/>
        <v>22.876298987976</v>
      </c>
      <c r="F66" s="11">
        <f t="shared" si="17"/>
        <v>18.301039190380802</v>
      </c>
      <c r="G66" s="15">
        <v>2.1999999999999999E-2</v>
      </c>
      <c r="H66" s="11">
        <f t="shared" si="18"/>
        <v>1.3979960492651999</v>
      </c>
      <c r="I66" s="15">
        <v>3.5999999999999997E-2</v>
      </c>
      <c r="J66" s="11">
        <f t="shared" si="19"/>
        <v>2.2876298987975998</v>
      </c>
      <c r="K66" s="11">
        <f t="shared" si="23"/>
        <v>-6.051930949199999E-2</v>
      </c>
      <c r="L66" s="11">
        <f t="shared" si="20"/>
        <v>17.471924650340402</v>
      </c>
      <c r="M66" s="9">
        <f>1/(1+$B$60)^4</f>
        <v>0.78911166687274492</v>
      </c>
      <c r="N66" s="11">
        <f t="shared" si="21"/>
        <v>13.787299584305115</v>
      </c>
    </row>
    <row r="67" spans="1:14">
      <c r="A67" s="24">
        <v>5</v>
      </c>
      <c r="B67" s="15">
        <v>0.05</v>
      </c>
      <c r="C67" s="11">
        <f t="shared" si="22"/>
        <v>66.72253871493001</v>
      </c>
      <c r="D67" s="15">
        <v>0.36</v>
      </c>
      <c r="E67" s="11">
        <f t="shared" si="16"/>
        <v>24.020113937374802</v>
      </c>
      <c r="F67" s="11">
        <f t="shared" si="17"/>
        <v>19.216091149899842</v>
      </c>
      <c r="G67" s="15">
        <v>2.1999999999999999E-2</v>
      </c>
      <c r="H67" s="11">
        <f t="shared" si="18"/>
        <v>1.4678958517284602</v>
      </c>
      <c r="I67" s="15">
        <v>3.5999999999999997E-2</v>
      </c>
      <c r="J67" s="11">
        <f t="shared" si="19"/>
        <v>2.4020113937374803</v>
      </c>
      <c r="K67" s="11">
        <f t="shared" si="23"/>
        <v>-6.3545274966600118E-2</v>
      </c>
      <c r="L67" s="11">
        <f t="shared" si="20"/>
        <v>18.345520882857421</v>
      </c>
      <c r="M67" s="9">
        <f>1/(1+$B$60)^5</f>
        <v>0.74374332410249289</v>
      </c>
      <c r="N67" s="11">
        <f t="shared" si="21"/>
        <v>13.644358683808079</v>
      </c>
    </row>
    <row r="68" spans="1:14">
      <c r="A68" s="24">
        <v>6</v>
      </c>
      <c r="B68" s="15">
        <v>4.4999999999999998E-2</v>
      </c>
      <c r="C68" s="11">
        <f t="shared" si="22"/>
        <v>69.725052957101852</v>
      </c>
      <c r="D68" s="15">
        <v>0.36</v>
      </c>
      <c r="E68" s="11">
        <f t="shared" si="16"/>
        <v>25.101019064556667</v>
      </c>
      <c r="F68" s="11">
        <f t="shared" si="17"/>
        <v>20.080815251645333</v>
      </c>
      <c r="G68" s="15">
        <v>2.1999999999999999E-2</v>
      </c>
      <c r="H68" s="11">
        <f t="shared" si="18"/>
        <v>1.5339511650562407</v>
      </c>
      <c r="I68" s="15">
        <v>3.5999999999999997E-2</v>
      </c>
      <c r="J68" s="11">
        <f t="shared" si="19"/>
        <v>2.5101019064556667</v>
      </c>
      <c r="K68" s="11">
        <f t="shared" si="23"/>
        <v>-6.005028484343683E-2</v>
      </c>
      <c r="L68" s="11">
        <f t="shared" si="20"/>
        <v>19.164714795089346</v>
      </c>
      <c r="M68" s="9">
        <f>1/(1+$B$60)^6</f>
        <v>0.70098334034165199</v>
      </c>
      <c r="N68" s="11">
        <f t="shared" si="21"/>
        <v>13.434145793756809</v>
      </c>
    </row>
    <row r="69" spans="1:14">
      <c r="A69" s="24">
        <v>7</v>
      </c>
      <c r="B69" s="15">
        <v>0.04</v>
      </c>
      <c r="C69" s="11">
        <f t="shared" si="22"/>
        <v>72.514055075385926</v>
      </c>
      <c r="D69" s="15">
        <v>0.35499999999999998</v>
      </c>
      <c r="E69" s="11">
        <f t="shared" si="16"/>
        <v>25.742489551762002</v>
      </c>
      <c r="F69" s="11">
        <f t="shared" si="17"/>
        <v>20.593991641409602</v>
      </c>
      <c r="G69" s="15">
        <v>2.1999999999999999E-2</v>
      </c>
      <c r="H69" s="11">
        <f t="shared" si="18"/>
        <v>1.5953092116584904</v>
      </c>
      <c r="I69" s="15">
        <v>3.5999999999999997E-2</v>
      </c>
      <c r="J69" s="11">
        <f t="shared" si="19"/>
        <v>2.6105059827138932</v>
      </c>
      <c r="K69" s="11">
        <f t="shared" si="23"/>
        <v>-5.578004236568148E-2</v>
      </c>
      <c r="L69" s="11">
        <f t="shared" si="20"/>
        <v>19.634574912719884</v>
      </c>
      <c r="M69" s="9">
        <f>1/(1+$B$60)^7</f>
        <v>0.66068175338515756</v>
      </c>
      <c r="N69" s="11">
        <f t="shared" si="21"/>
        <v>12.972205380308001</v>
      </c>
    </row>
    <row r="70" spans="1:14">
      <c r="A70" s="24">
        <v>8</v>
      </c>
      <c r="B70" s="15">
        <v>0.04</v>
      </c>
      <c r="C70" s="11">
        <f t="shared" si="22"/>
        <v>75.414617278401366</v>
      </c>
      <c r="D70" s="15">
        <v>0.35</v>
      </c>
      <c r="E70" s="11">
        <f t="shared" si="16"/>
        <v>26.395116047440478</v>
      </c>
      <c r="F70" s="11">
        <f t="shared" si="17"/>
        <v>21.116092837952383</v>
      </c>
      <c r="G70" s="15">
        <v>2.1999999999999999E-2</v>
      </c>
      <c r="H70" s="11">
        <f t="shared" si="18"/>
        <v>1.65912158012483</v>
      </c>
      <c r="I70" s="15">
        <v>3.5999999999999997E-2</v>
      </c>
      <c r="J70" s="11">
        <f t="shared" si="19"/>
        <v>2.714926222022449</v>
      </c>
      <c r="K70" s="11">
        <f t="shared" si="23"/>
        <v>-5.8011244060308796E-2</v>
      </c>
      <c r="L70" s="11">
        <f t="shared" si="20"/>
        <v>20.118299440115074</v>
      </c>
      <c r="M70" s="9">
        <f>1/(1+$B$60)^8</f>
        <v>0.62269722279468198</v>
      </c>
      <c r="N70" s="11">
        <f t="shared" si="21"/>
        <v>12.527609188711462</v>
      </c>
    </row>
    <row r="71" spans="1:14">
      <c r="A71" s="24">
        <v>9</v>
      </c>
      <c r="B71" s="15">
        <v>3.5000000000000003E-2</v>
      </c>
      <c r="C71" s="11">
        <f t="shared" si="22"/>
        <v>78.05412888314541</v>
      </c>
      <c r="D71" s="15">
        <v>0.35</v>
      </c>
      <c r="E71" s="11">
        <f t="shared" si="16"/>
        <v>27.318945109100891</v>
      </c>
      <c r="F71" s="11">
        <f t="shared" si="17"/>
        <v>21.855156087280715</v>
      </c>
      <c r="G71" s="15">
        <v>2.1999999999999999E-2</v>
      </c>
      <c r="H71" s="11">
        <f t="shared" si="18"/>
        <v>1.7171908354291989</v>
      </c>
      <c r="I71" s="15">
        <v>3.5999999999999997E-2</v>
      </c>
      <c r="J71" s="11">
        <f t="shared" si="19"/>
        <v>2.8099486397932347</v>
      </c>
      <c r="K71" s="11">
        <f t="shared" si="23"/>
        <v>-5.279023209488088E-2</v>
      </c>
      <c r="L71" s="11">
        <f t="shared" si="20"/>
        <v>20.815188515011563</v>
      </c>
      <c r="M71" s="9">
        <f>1/(1+$B$60)^9</f>
        <v>0.58689653420799437</v>
      </c>
      <c r="N71" s="11">
        <f t="shared" si="21"/>
        <v>12.216361998346336</v>
      </c>
    </row>
    <row r="72" spans="1:14">
      <c r="A72" s="24">
        <v>10</v>
      </c>
      <c r="B72" s="15">
        <v>0.03</v>
      </c>
      <c r="C72" s="11">
        <f t="shared" si="22"/>
        <v>80.395752749639769</v>
      </c>
      <c r="D72" s="15">
        <v>0.34499999999999997</v>
      </c>
      <c r="E72" s="11">
        <f t="shared" si="16"/>
        <v>27.736534698625718</v>
      </c>
      <c r="F72" s="11">
        <f t="shared" si="17"/>
        <v>22.189227758900575</v>
      </c>
      <c r="G72" s="15">
        <v>2.1999999999999999E-2</v>
      </c>
      <c r="H72" s="11">
        <f t="shared" si="18"/>
        <v>1.7687065604920749</v>
      </c>
      <c r="I72" s="15">
        <v>3.5999999999999997E-2</v>
      </c>
      <c r="J72" s="11">
        <f t="shared" si="19"/>
        <v>2.8942470989870315</v>
      </c>
      <c r="K72" s="11">
        <f t="shared" si="23"/>
        <v>-4.6832477329887184E-2</v>
      </c>
      <c r="L72" s="11">
        <f t="shared" si="20"/>
        <v>21.110519697735505</v>
      </c>
      <c r="M72" s="9">
        <f>1/(1+$B$60)^10</f>
        <v>0.55315413214702569</v>
      </c>
      <c r="N72" s="11">
        <f t="shared" si="21"/>
        <v>11.677371202573575</v>
      </c>
    </row>
    <row r="73" spans="1:14">
      <c r="A73" s="18" t="s">
        <v>175</v>
      </c>
      <c r="B73" s="11">
        <f>L72*(1+$D$60)/($B$60-$D$60)</f>
        <v>701.41404156992166</v>
      </c>
    </row>
    <row r="74" spans="1:14">
      <c r="A74" s="6" t="s">
        <v>176</v>
      </c>
      <c r="B74" s="11">
        <f>B73/(1+$B$60)^10</f>
        <v>387.99007544034782</v>
      </c>
    </row>
    <row r="75" spans="1:14">
      <c r="A75" s="18" t="s">
        <v>177</v>
      </c>
      <c r="B75" s="11">
        <f>SUM(N63:N72)+B74</f>
        <v>518.81278561812235</v>
      </c>
    </row>
    <row r="76" spans="1:14">
      <c r="A76" s="6" t="s">
        <v>178</v>
      </c>
      <c r="B76" s="11">
        <f>$B$8</f>
        <v>28.164999999999999</v>
      </c>
    </row>
    <row r="77" spans="1:14">
      <c r="A77" s="18" t="s">
        <v>179</v>
      </c>
      <c r="B77" s="11">
        <f>B75-B76</f>
        <v>490.64778561812233</v>
      </c>
    </row>
    <row r="78" spans="1:14">
      <c r="A78" s="18" t="s">
        <v>180</v>
      </c>
      <c r="B78" s="7">
        <f>B77/$B$10</f>
        <v>114.05108917204146</v>
      </c>
      <c r="C78" s="6" t="s">
        <v>185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186</v>
      </c>
    </row>
    <row r="2" spans="1:7" ht="15.6">
      <c r="A2" s="27" t="s">
        <v>187</v>
      </c>
      <c r="B2" s="28"/>
      <c r="C2" s="28"/>
      <c r="D2" s="28"/>
      <c r="E2" s="28"/>
      <c r="F2" s="28"/>
      <c r="G2" s="28"/>
    </row>
    <row r="4" spans="1:7">
      <c r="A4" s="5" t="s">
        <v>162</v>
      </c>
      <c r="B4" s="5" t="s">
        <v>180</v>
      </c>
    </row>
    <row r="5" spans="1:7">
      <c r="A5" s="15">
        <v>4.8500000000000001E-2</v>
      </c>
      <c r="B5" s="25">
        <v>148</v>
      </c>
    </row>
    <row r="6" spans="1:7">
      <c r="A6" s="15">
        <v>5.1499999999999997E-2</v>
      </c>
      <c r="B6" s="25">
        <v>129</v>
      </c>
    </row>
    <row r="7" spans="1:7">
      <c r="A7" s="15">
        <v>5.45E-2</v>
      </c>
      <c r="B7" s="25">
        <v>114</v>
      </c>
    </row>
    <row r="8" spans="1:7">
      <c r="A8" s="15">
        <v>5.9499999999999997E-2</v>
      </c>
      <c r="B8" s="25">
        <v>95</v>
      </c>
    </row>
    <row r="9" spans="1:7">
      <c r="A9" s="15">
        <v>6.4500000000000002E-2</v>
      </c>
      <c r="B9" s="25">
        <v>81</v>
      </c>
    </row>
    <row r="10" spans="1:7">
      <c r="A10" s="15">
        <v>6.9500000000000006E-2</v>
      </c>
      <c r="B10" s="25">
        <v>71</v>
      </c>
    </row>
    <row r="11" spans="1:7">
      <c r="A11" s="15">
        <v>7.4499999999999997E-2</v>
      </c>
      <c r="B11" s="25">
        <v>63</v>
      </c>
    </row>
    <row r="12" spans="1:7">
      <c r="A12" s="15">
        <v>7.9500000000000001E-2</v>
      </c>
      <c r="B12" s="25">
        <v>56</v>
      </c>
    </row>
    <row r="14" spans="1:7">
      <c r="A14" s="5" t="s">
        <v>188</v>
      </c>
      <c r="B14" s="5" t="s">
        <v>180</v>
      </c>
    </row>
    <row r="15" spans="1:7">
      <c r="A15" s="15">
        <v>8.0000000000000002E-3</v>
      </c>
      <c r="B15" s="25">
        <v>89</v>
      </c>
    </row>
    <row r="16" spans="1:7">
      <c r="A16" s="15">
        <v>1.7999999999999999E-2</v>
      </c>
      <c r="B16" s="25">
        <v>87</v>
      </c>
    </row>
    <row r="17" spans="1:3">
      <c r="A17" s="15">
        <v>2.8000000000000001E-2</v>
      </c>
      <c r="B17" s="25">
        <v>84</v>
      </c>
    </row>
    <row r="18" spans="1:3">
      <c r="A18" s="15">
        <v>3.7999999999999999E-2</v>
      </c>
      <c r="B18" s="25">
        <v>81</v>
      </c>
    </row>
    <row r="19" spans="1:3">
      <c r="A19" s="15">
        <v>4.8000000000000001E-2</v>
      </c>
      <c r="B19" s="25">
        <v>79</v>
      </c>
    </row>
    <row r="20" spans="1:3">
      <c r="A20" s="15">
        <v>5.8000000000000003E-2</v>
      </c>
      <c r="B20" s="25">
        <v>76</v>
      </c>
    </row>
    <row r="23" spans="1:3">
      <c r="A23" s="5" t="s">
        <v>189</v>
      </c>
      <c r="B23" s="5" t="s">
        <v>180</v>
      </c>
    </row>
    <row r="24" spans="1:3">
      <c r="A24" s="15">
        <v>0.26</v>
      </c>
      <c r="B24" s="25">
        <v>69</v>
      </c>
    </row>
    <row r="25" spans="1:3">
      <c r="A25" s="15">
        <v>0.28000000000000003</v>
      </c>
      <c r="B25" s="25">
        <v>73</v>
      </c>
    </row>
    <row r="26" spans="1:3">
      <c r="A26" s="15">
        <v>0.3</v>
      </c>
      <c r="B26" s="25">
        <v>77</v>
      </c>
    </row>
    <row r="27" spans="1:3">
      <c r="A27" s="15">
        <v>0.32</v>
      </c>
      <c r="B27" s="25">
        <v>81</v>
      </c>
    </row>
    <row r="28" spans="1:3">
      <c r="A28" s="15">
        <v>0.34</v>
      </c>
      <c r="B28" s="25">
        <v>86</v>
      </c>
    </row>
    <row r="29" spans="1:3">
      <c r="A29" s="15">
        <v>0.36</v>
      </c>
      <c r="B29" s="25">
        <v>90</v>
      </c>
    </row>
    <row r="30" spans="1:3">
      <c r="A30" s="15">
        <v>0.38</v>
      </c>
      <c r="B30" s="25">
        <v>94</v>
      </c>
    </row>
    <row r="32" spans="1:3" ht="16.2">
      <c r="A32" s="3" t="s">
        <v>190</v>
      </c>
      <c r="B32" s="4"/>
      <c r="C32" s="4"/>
    </row>
    <row r="33" spans="1:7">
      <c r="A33" s="6" t="s">
        <v>191</v>
      </c>
      <c r="B33" s="15">
        <v>5.1983243630047582E-2</v>
      </c>
    </row>
    <row r="34" spans="1:7">
      <c r="A34" s="6" t="s">
        <v>192</v>
      </c>
      <c r="B34" s="15">
        <v>3.7968223479643022E-2</v>
      </c>
    </row>
    <row r="36" spans="1:7" ht="16.2">
      <c r="A36" s="3" t="s">
        <v>193</v>
      </c>
      <c r="B36" s="4"/>
      <c r="C36" s="4"/>
      <c r="D36" s="4"/>
      <c r="E36" s="4"/>
      <c r="F36" s="4"/>
      <c r="G36" s="4"/>
    </row>
    <row r="37" spans="1:7">
      <c r="A37" s="5" t="s">
        <v>194</v>
      </c>
      <c r="B37" s="5" t="s">
        <v>180</v>
      </c>
      <c r="C37" s="5" t="s">
        <v>195</v>
      </c>
      <c r="D37" s="5" t="s">
        <v>196</v>
      </c>
    </row>
    <row r="38" spans="1:7">
      <c r="A38" s="6" t="s">
        <v>197</v>
      </c>
      <c r="B38" s="26" t="s">
        <v>198</v>
      </c>
      <c r="C38" s="26" t="s">
        <v>199</v>
      </c>
      <c r="D38" s="26" t="s">
        <v>200</v>
      </c>
    </row>
    <row r="39" spans="1:7">
      <c r="A39" s="6" t="s">
        <v>201</v>
      </c>
      <c r="B39" s="26" t="s">
        <v>198</v>
      </c>
      <c r="C39" s="26" t="s">
        <v>202</v>
      </c>
      <c r="D39" s="26" t="s">
        <v>203</v>
      </c>
    </row>
    <row r="40" spans="1:7">
      <c r="A40" s="6" t="s">
        <v>204</v>
      </c>
      <c r="B40" s="26" t="s">
        <v>205</v>
      </c>
      <c r="C40" s="26" t="s">
        <v>206</v>
      </c>
      <c r="D40" s="26" t="s">
        <v>207</v>
      </c>
    </row>
    <row r="41" spans="1:7">
      <c r="A41" s="6" t="s">
        <v>208</v>
      </c>
      <c r="B41" s="26" t="s">
        <v>58</v>
      </c>
      <c r="C41" s="26" t="s">
        <v>209</v>
      </c>
      <c r="D41" s="26" t="s">
        <v>210</v>
      </c>
    </row>
    <row r="42" spans="1:7" ht="40.049999999999997" customHeight="1">
      <c r="A42" s="29" t="s">
        <v>211</v>
      </c>
      <c r="B42" s="28"/>
      <c r="C42" s="28"/>
      <c r="D42" s="28"/>
      <c r="E42" s="28"/>
      <c r="F42" s="28"/>
      <c r="G42" s="28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212</v>
      </c>
    </row>
    <row r="2" spans="1:4" ht="15.6">
      <c r="A2" s="27" t="s">
        <v>213</v>
      </c>
      <c r="B2" s="28"/>
      <c r="C2" s="28"/>
      <c r="D2" s="28"/>
    </row>
    <row r="4" spans="1:4">
      <c r="A4" s="5" t="s">
        <v>214</v>
      </c>
      <c r="B4" s="5" t="s">
        <v>215</v>
      </c>
      <c r="C4" s="5" t="s">
        <v>216</v>
      </c>
      <c r="D4" s="5" t="s">
        <v>217</v>
      </c>
    </row>
    <row r="5" spans="1:4">
      <c r="A5" s="6" t="s">
        <v>218</v>
      </c>
      <c r="B5" s="6" t="s">
        <v>219</v>
      </c>
      <c r="C5" s="22" t="s">
        <v>220</v>
      </c>
      <c r="D5" s="8" t="s">
        <v>221</v>
      </c>
    </row>
    <row r="6" spans="1:4">
      <c r="A6" s="6" t="s">
        <v>222</v>
      </c>
      <c r="B6" s="6" t="s">
        <v>223</v>
      </c>
      <c r="C6" s="22" t="s">
        <v>224</v>
      </c>
      <c r="D6" s="8" t="s">
        <v>225</v>
      </c>
    </row>
    <row r="7" spans="1:4">
      <c r="A7" s="6" t="s">
        <v>226</v>
      </c>
      <c r="B7" s="6" t="s">
        <v>219</v>
      </c>
      <c r="C7" s="22" t="s">
        <v>227</v>
      </c>
      <c r="D7" s="8" t="s">
        <v>228</v>
      </c>
    </row>
    <row r="8" spans="1:4">
      <c r="A8" s="6" t="s">
        <v>229</v>
      </c>
      <c r="B8" s="6" t="s">
        <v>230</v>
      </c>
      <c r="C8" s="22" t="s">
        <v>220</v>
      </c>
      <c r="D8" s="8" t="s">
        <v>231</v>
      </c>
    </row>
    <row r="9" spans="1:4">
      <c r="A9" s="6" t="s">
        <v>232</v>
      </c>
      <c r="B9" s="6" t="s">
        <v>233</v>
      </c>
      <c r="C9" s="22" t="s">
        <v>58</v>
      </c>
      <c r="D9" s="8" t="s">
        <v>234</v>
      </c>
    </row>
    <row r="12" spans="1:4" ht="15">
      <c r="A12" s="32" t="s">
        <v>235</v>
      </c>
      <c r="B12" s="28"/>
      <c r="C12" s="28"/>
      <c r="D12" s="28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2026-10-29T09:03:27Z</dcterms:created>
  <dcterms:modified xsi:type="dcterms:W3CDTF">2026-10-29T10:34:28Z</dcterms:modified>
</cp:coreProperties>
</file>