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大土豆开源最新文件\估值skills（持续更新）\巴菲特skills-改良版\输出\META-2026-10-29\"/>
    </mc:Choice>
  </mc:AlternateContent>
  <xr:revisionPtr revIDLastSave="0" documentId="13_ncr:1_{5DF49455-54B8-4B1F-9C61-8A9F64D03B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论" sheetId="1" r:id="rId1"/>
    <sheet name="历史财务" sheetId="2" r:id="rId2"/>
    <sheet name="分部" sheetId="3" r:id="rId3"/>
    <sheet name="FCFF桥" sheetId="4" r:id="rId4"/>
    <sheet name="DCF" sheetId="5" r:id="rId5"/>
    <sheet name="敏感性" sheetId="6" r:id="rId6"/>
    <sheet name="来源" sheetId="7" r:id="rId7"/>
  </sheets>
  <definedNames>
    <definedName name="_xlnm.Print_Area" localSheetId="4">DCF!$A$1:$N$78</definedName>
    <definedName name="_xlnm.Print_Area" localSheetId="3">FCFF桥!$A$1:$C$27</definedName>
    <definedName name="_xlnm.Print_Area" localSheetId="2">分部!$A$1:$F$30</definedName>
    <definedName name="_xlnm.Print_Area" localSheetId="0">结论!$A$1:$M$45</definedName>
    <definedName name="_xlnm.Print_Area" localSheetId="6">来源!$A$1:$D$14</definedName>
    <definedName name="_xlnm.Print_Area" localSheetId="1">历史财务!$A$1:$H$27</definedName>
    <definedName name="_xlnm.Print_Area" localSheetId="5">敏感性!$A$1:$G$40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5" l="1"/>
  <c r="M72" i="5"/>
  <c r="M71" i="5"/>
  <c r="M70" i="5"/>
  <c r="M69" i="5"/>
  <c r="M68" i="5"/>
  <c r="M67" i="5"/>
  <c r="M66" i="5"/>
  <c r="M65" i="5"/>
  <c r="M64" i="5"/>
  <c r="M63" i="5"/>
  <c r="C63" i="5"/>
  <c r="B53" i="5"/>
  <c r="M49" i="5"/>
  <c r="M48" i="5"/>
  <c r="M47" i="5"/>
  <c r="M46" i="5"/>
  <c r="M45" i="5"/>
  <c r="M44" i="5"/>
  <c r="M43" i="5"/>
  <c r="M42" i="5"/>
  <c r="M41" i="5"/>
  <c r="M40" i="5"/>
  <c r="C40" i="5"/>
  <c r="B30" i="5"/>
  <c r="M26" i="5"/>
  <c r="M25" i="5"/>
  <c r="M24" i="5"/>
  <c r="M23" i="5"/>
  <c r="M22" i="5"/>
  <c r="M21" i="5"/>
  <c r="M20" i="5"/>
  <c r="M19" i="5"/>
  <c r="M18" i="5"/>
  <c r="M17" i="5"/>
  <c r="C17" i="5"/>
  <c r="B18" i="4"/>
  <c r="B17" i="4"/>
  <c r="B15" i="4"/>
  <c r="B7" i="4"/>
  <c r="B12" i="4" s="1"/>
  <c r="B16" i="4" s="1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28" i="1"/>
  <c r="B24" i="1"/>
  <c r="B23" i="1"/>
  <c r="B12" i="1"/>
  <c r="J63" i="5" l="1"/>
  <c r="H63" i="5"/>
  <c r="K63" i="5"/>
  <c r="E63" i="5"/>
  <c r="F63" i="5" s="1"/>
  <c r="C64" i="5"/>
  <c r="C41" i="5"/>
  <c r="J40" i="5"/>
  <c r="K40" i="5"/>
  <c r="H40" i="5"/>
  <c r="E40" i="5"/>
  <c r="F40" i="5" s="1"/>
  <c r="L40" i="5" s="1"/>
  <c r="N40" i="5" s="1"/>
  <c r="H17" i="5"/>
  <c r="E17" i="5"/>
  <c r="F17" i="5" s="1"/>
  <c r="C18" i="5"/>
  <c r="K17" i="5"/>
  <c r="J17" i="5"/>
  <c r="B25" i="1"/>
  <c r="B14" i="1"/>
  <c r="L63" i="5" l="1"/>
  <c r="N63" i="5" s="1"/>
  <c r="L17" i="5"/>
  <c r="N17" i="5" s="1"/>
  <c r="K64" i="5"/>
  <c r="H64" i="5"/>
  <c r="E64" i="5"/>
  <c r="F64" i="5" s="1"/>
  <c r="J64" i="5"/>
  <c r="C65" i="5"/>
  <c r="C42" i="5"/>
  <c r="J41" i="5"/>
  <c r="E41" i="5"/>
  <c r="F41" i="5" s="1"/>
  <c r="H41" i="5"/>
  <c r="K41" i="5"/>
  <c r="E18" i="5"/>
  <c r="F18" i="5" s="1"/>
  <c r="H18" i="5"/>
  <c r="J18" i="5"/>
  <c r="K18" i="5"/>
  <c r="C19" i="5"/>
  <c r="B22" i="1"/>
  <c r="B26" i="1"/>
  <c r="L41" i="5" l="1"/>
  <c r="N41" i="5" s="1"/>
  <c r="E65" i="5"/>
  <c r="F65" i="5" s="1"/>
  <c r="H65" i="5"/>
  <c r="J65" i="5"/>
  <c r="K65" i="5"/>
  <c r="C66" i="5"/>
  <c r="E42" i="5"/>
  <c r="F42" i="5" s="1"/>
  <c r="C43" i="5"/>
  <c r="H42" i="5"/>
  <c r="K42" i="5"/>
  <c r="J42" i="5"/>
  <c r="E19" i="5"/>
  <c r="F19" i="5" s="1"/>
  <c r="H19" i="5"/>
  <c r="J19" i="5"/>
  <c r="K19" i="5"/>
  <c r="C20" i="5"/>
  <c r="L18" i="5"/>
  <c r="N18" i="5" s="1"/>
  <c r="L64" i="5"/>
  <c r="N64" i="5" s="1"/>
  <c r="E66" i="5" l="1"/>
  <c r="F66" i="5" s="1"/>
  <c r="H66" i="5"/>
  <c r="J66" i="5"/>
  <c r="K66" i="5"/>
  <c r="C67" i="5"/>
  <c r="E43" i="5"/>
  <c r="F43" i="5" s="1"/>
  <c r="J43" i="5"/>
  <c r="H43" i="5"/>
  <c r="K43" i="5"/>
  <c r="C44" i="5"/>
  <c r="E20" i="5"/>
  <c r="F20" i="5" s="1"/>
  <c r="H20" i="5"/>
  <c r="J20" i="5"/>
  <c r="K20" i="5"/>
  <c r="C21" i="5"/>
  <c r="L65" i="5"/>
  <c r="N65" i="5" s="1"/>
  <c r="L42" i="5"/>
  <c r="N42" i="5" s="1"/>
  <c r="L19" i="5"/>
  <c r="N19" i="5" s="1"/>
  <c r="L20" i="5" l="1"/>
  <c r="N20" i="5" s="1"/>
  <c r="E67" i="5"/>
  <c r="F67" i="5" s="1"/>
  <c r="C68" i="5"/>
  <c r="H67" i="5"/>
  <c r="J67" i="5"/>
  <c r="K67" i="5"/>
  <c r="H44" i="5"/>
  <c r="C45" i="5"/>
  <c r="J44" i="5"/>
  <c r="K44" i="5"/>
  <c r="E44" i="5"/>
  <c r="F44" i="5" s="1"/>
  <c r="L44" i="5" s="1"/>
  <c r="N44" i="5" s="1"/>
  <c r="E21" i="5"/>
  <c r="F21" i="5" s="1"/>
  <c r="H21" i="5"/>
  <c r="J21" i="5"/>
  <c r="K21" i="5"/>
  <c r="C22" i="5"/>
  <c r="L66" i="5"/>
  <c r="N66" i="5" s="1"/>
  <c r="L43" i="5"/>
  <c r="N43" i="5" s="1"/>
  <c r="L21" i="5" l="1"/>
  <c r="N21" i="5" s="1"/>
  <c r="H68" i="5"/>
  <c r="J68" i="5"/>
  <c r="K68" i="5"/>
  <c r="E68" i="5"/>
  <c r="F68" i="5" s="1"/>
  <c r="C69" i="5"/>
  <c r="E45" i="5"/>
  <c r="F45" i="5" s="1"/>
  <c r="H45" i="5"/>
  <c r="K45" i="5"/>
  <c r="J45" i="5"/>
  <c r="C46" i="5"/>
  <c r="E22" i="5"/>
  <c r="F22" i="5" s="1"/>
  <c r="H22" i="5"/>
  <c r="J22" i="5"/>
  <c r="K22" i="5"/>
  <c r="C23" i="5"/>
  <c r="L67" i="5"/>
  <c r="N67" i="5" s="1"/>
  <c r="L22" i="5" l="1"/>
  <c r="N22" i="5" s="1"/>
  <c r="E69" i="5"/>
  <c r="F69" i="5" s="1"/>
  <c r="H69" i="5"/>
  <c r="J69" i="5"/>
  <c r="K69" i="5"/>
  <c r="C70" i="5"/>
  <c r="J46" i="5"/>
  <c r="E46" i="5"/>
  <c r="F46" i="5" s="1"/>
  <c r="H46" i="5"/>
  <c r="K46" i="5"/>
  <c r="C47" i="5"/>
  <c r="E23" i="5"/>
  <c r="F23" i="5" s="1"/>
  <c r="H23" i="5"/>
  <c r="J23" i="5"/>
  <c r="K23" i="5"/>
  <c r="C24" i="5"/>
  <c r="L68" i="5"/>
  <c r="N68" i="5" s="1"/>
  <c r="L45" i="5"/>
  <c r="N45" i="5" s="1"/>
  <c r="L46" i="5" l="1"/>
  <c r="N46" i="5" s="1"/>
  <c r="E70" i="5"/>
  <c r="F70" i="5" s="1"/>
  <c r="H70" i="5"/>
  <c r="J70" i="5"/>
  <c r="K70" i="5"/>
  <c r="C71" i="5"/>
  <c r="H47" i="5"/>
  <c r="K47" i="5"/>
  <c r="E47" i="5"/>
  <c r="F47" i="5" s="1"/>
  <c r="L47" i="5" s="1"/>
  <c r="N47" i="5" s="1"/>
  <c r="J47" i="5"/>
  <c r="C48" i="5"/>
  <c r="E24" i="5"/>
  <c r="F24" i="5" s="1"/>
  <c r="H24" i="5"/>
  <c r="J24" i="5"/>
  <c r="K24" i="5"/>
  <c r="C25" i="5"/>
  <c r="L23" i="5"/>
  <c r="N23" i="5" s="1"/>
  <c r="L69" i="5"/>
  <c r="N69" i="5" s="1"/>
  <c r="E71" i="5" l="1"/>
  <c r="F71" i="5" s="1"/>
  <c r="H71" i="5"/>
  <c r="J71" i="5"/>
  <c r="K71" i="5"/>
  <c r="C72" i="5"/>
  <c r="E48" i="5"/>
  <c r="F48" i="5" s="1"/>
  <c r="H48" i="5"/>
  <c r="J48" i="5"/>
  <c r="C49" i="5"/>
  <c r="K48" i="5"/>
  <c r="E25" i="5"/>
  <c r="F25" i="5" s="1"/>
  <c r="H25" i="5"/>
  <c r="J25" i="5"/>
  <c r="K25" i="5"/>
  <c r="C26" i="5"/>
  <c r="L24" i="5"/>
  <c r="N24" i="5" s="1"/>
  <c r="L70" i="5"/>
  <c r="N70" i="5" s="1"/>
  <c r="L48" i="5" l="1"/>
  <c r="N48" i="5" s="1"/>
  <c r="E72" i="5"/>
  <c r="F72" i="5" s="1"/>
  <c r="H72" i="5"/>
  <c r="J72" i="5"/>
  <c r="K72" i="5"/>
  <c r="J49" i="5"/>
  <c r="E49" i="5"/>
  <c r="F49" i="5" s="1"/>
  <c r="H49" i="5"/>
  <c r="K49" i="5"/>
  <c r="E26" i="5"/>
  <c r="F26" i="5" s="1"/>
  <c r="H26" i="5"/>
  <c r="J26" i="5"/>
  <c r="K26" i="5"/>
  <c r="L71" i="5"/>
  <c r="N71" i="5" s="1"/>
  <c r="L25" i="5"/>
  <c r="N25" i="5" s="1"/>
  <c r="L49" i="5" l="1"/>
  <c r="N49" i="5"/>
  <c r="B50" i="5"/>
  <c r="B51" i="5" s="1"/>
  <c r="B52" i="5" s="1"/>
  <c r="B54" i="5" s="1"/>
  <c r="B55" i="5" s="1"/>
  <c r="B34" i="1" s="1"/>
  <c r="L72" i="5"/>
  <c r="L26" i="5"/>
  <c r="C34" i="1" l="1"/>
  <c r="D34" i="1"/>
  <c r="B73" i="5"/>
  <c r="B74" i="5" s="1"/>
  <c r="N72" i="5"/>
  <c r="B27" i="5"/>
  <c r="B28" i="5" s="1"/>
  <c r="N26" i="5"/>
  <c r="B29" i="5" l="1"/>
  <c r="B31" i="5" s="1"/>
  <c r="B32" i="5" s="1"/>
  <c r="B33" i="1" s="1"/>
  <c r="B75" i="5"/>
  <c r="B77" i="5" s="1"/>
  <c r="B78" i="5" s="1"/>
  <c r="B35" i="1" s="1"/>
  <c r="C33" i="1" l="1"/>
  <c r="D33" i="1"/>
  <c r="C35" i="1"/>
  <c r="D35" i="1"/>
</calcChain>
</file>

<file path=xl/sharedStrings.xml><?xml version="1.0" encoding="utf-8"?>
<sst xmlns="http://schemas.openxmlformats.org/spreadsheetml/2006/main" count="314" uniqueCount="231">
  <si>
    <t>Meta（META）巴菲特框架估值</t>
  </si>
  <si>
    <t>研究日 2026-10-29｜收盘价 $612.49｜最新财报：2026 Q3（2026-09-30）</t>
  </si>
  <si>
    <t>市值按 2.556B 股计算；净负债 = 债务 + 融资租赁 − 现金及有价证券。数据边界见报告第 1 节。</t>
  </si>
  <si>
    <t>一句话结论</t>
  </si>
  <si>
    <t>好生意，但资本开支进入重资产黑洞；价格大致合理，却没有安全边际。广告引擎仍强，FCF 已被 AI 基建吞掉。结论：观察，等 FCF 转正或估值回落。</t>
  </si>
  <si>
    <t>关键数据（十亿美元 / 倍 / 百分比）</t>
  </si>
  <si>
    <t>项目</t>
  </si>
  <si>
    <t>数值</t>
  </si>
  <si>
    <t>备注</t>
  </si>
  <si>
    <t>收盘价（美元）</t>
  </si>
  <si>
    <t>2026-10-28 收盘</t>
  </si>
  <si>
    <t>期末股数（十亿股）</t>
  </si>
  <si>
    <t>最新 10-Q/10-K 封面</t>
  </si>
  <si>
    <t>市值（十亿美元）</t>
  </si>
  <si>
    <t>价格 × 股数</t>
  </si>
  <si>
    <t>净负债（含融资租赁）</t>
  </si>
  <si>
    <t>正数为净负债，负数为净现金</t>
  </si>
  <si>
    <t>企业价值（十亿美元）</t>
  </si>
  <si>
    <t>市值 + 净负债</t>
  </si>
  <si>
    <t>TTM 收入</t>
  </si>
  <si>
    <t>最近四个季度</t>
  </si>
  <si>
    <t>TTM 经营利润</t>
  </si>
  <si>
    <t>剔除利息与投资收益</t>
  </si>
  <si>
    <t>TTM NOPAT</t>
  </si>
  <si>
    <t>经营利润 × (1−19%)</t>
  </si>
  <si>
    <t>TTM 自由现金流</t>
  </si>
  <si>
    <t>CFO − 现金 capex</t>
  </si>
  <si>
    <t>NTM 收入（DCF 第 1 年）</t>
  </si>
  <si>
    <t>按基准情景第 1 年增速</t>
  </si>
  <si>
    <t>TTM EPS（美元）</t>
  </si>
  <si>
    <t>GAAP；含 Q3 9.89B 法律费用</t>
  </si>
  <si>
    <t>2026E 调整后 EPS（美元）</t>
  </si>
  <si>
    <t>本文估计/一致预期，见报告</t>
  </si>
  <si>
    <t>EV / TTM EBIT</t>
  </si>
  <si>
    <t>企业价值 / 经营利润</t>
  </si>
  <si>
    <t>P/E TTM</t>
  </si>
  <si>
    <t>价格 / TTM EPS</t>
  </si>
  <si>
    <t>P/E 前瞻</t>
  </si>
  <si>
    <t>价格 / 前瞻 EPS</t>
  </si>
  <si>
    <t>FCF 收益率</t>
  </si>
  <si>
    <t>TTM FCF / 市值</t>
  </si>
  <si>
    <t>EV / TTM FCF</t>
  </si>
  <si>
    <t>企业价值 / TTM FCF</t>
  </si>
  <si>
    <t>Capex / 收入</t>
  </si>
  <si>
    <t>TTM</t>
  </si>
  <si>
    <t>FCF / NOPAT</t>
  </si>
  <si>
    <t>现金转化率；&gt;100% 说明营运资金贡献</t>
  </si>
  <si>
    <t>股息率</t>
  </si>
  <si>
    <t>年化股息 / 价格</t>
  </si>
  <si>
    <t>情景</t>
  </si>
  <si>
    <t>每股价值（美元）</t>
  </si>
  <si>
    <t>较现价</t>
  </si>
  <si>
    <t>安全边际（1−价/值）</t>
  </si>
  <si>
    <t>10 年 IRR</t>
  </si>
  <si>
    <t>悲观</t>
  </si>
  <si>
    <t>基准</t>
  </si>
  <si>
    <t>乐观</t>
  </si>
  <si>
    <t>现价</t>
  </si>
  <si>
    <t>—</t>
  </si>
  <si>
    <t>结论与观察条件</t>
  </si>
  <si>
    <t>• 基准价值 $563，现价 $612.49；现价高估 8.7%。</t>
  </si>
  <si>
    <t>• 悲观 $190；基准 $563；乐观 $1,355；概率加权约 $610。</t>
  </si>
  <si>
    <t>• 反推：现价隐含未来 10 年收入 CAGR 约 10.3%，基准情景约 8.9%。</t>
  </si>
  <si>
    <t>• 若要求 20% 安全边际，观察价约 $451（基准价值 × 0.8）。</t>
  </si>
  <si>
    <t>• 结论是“观察/不追高”，不是个性化买卖指令；估值对增速、利润率和 WACC 高度敏感。</t>
  </si>
  <si>
    <t>• 这不是投资建议；所有假设与数据边界见报告。</t>
  </si>
  <si>
    <t>Meta五年财务与现金流（十亿美元，除每股数据）</t>
  </si>
  <si>
    <t>来源：公司 10-K/10-Q；TTM = 最近四个季度。</t>
  </si>
  <si>
    <t>FY2021</t>
  </si>
  <si>
    <t>FY2022</t>
  </si>
  <si>
    <t>FY2023</t>
  </si>
  <si>
    <t>FY2024</t>
  </si>
  <si>
    <t>FY2025</t>
  </si>
  <si>
    <t>收入</t>
  </si>
  <si>
    <t>年度 / TTM</t>
  </si>
  <si>
    <t>经营利润</t>
  </si>
  <si>
    <t>GAAP</t>
  </si>
  <si>
    <t>净利润</t>
  </si>
  <si>
    <t>经营现金流</t>
  </si>
  <si>
    <t>CFO</t>
  </si>
  <si>
    <t>资本开支（现金）</t>
  </si>
  <si>
    <t>现金 capex</t>
  </si>
  <si>
    <t>自由现金流</t>
  </si>
  <si>
    <t>CFO − capex</t>
  </si>
  <si>
    <t>稀释 EPS（美元）</t>
  </si>
  <si>
    <t>稀释</t>
  </si>
  <si>
    <t>稀释股数（十亿）</t>
  </si>
  <si>
    <t>加权平均</t>
  </si>
  <si>
    <t>收入增速</t>
  </si>
  <si>
    <t>经营利润率</t>
  </si>
  <si>
    <t>净利率</t>
  </si>
  <si>
    <t>FCF 利润率</t>
  </si>
  <si>
    <t>关键读数</t>
  </si>
  <si>
    <t>• FY2021–FY2025 收入 CAGR 约 14%；经营利润 CAGR 约 16%；EPS CAGR 约 14%。</t>
  </si>
  <si>
    <t>• 2025 收入 +22%，但净利润 -3%，主因 AI 基建折旧与法律费用；2026 Q3 经营利润 -37%。</t>
  </si>
  <si>
    <t>• TTM 经营利润率 32.9%；Q3 调整后（剔除 9.89B 法律费用）约 35.4%。</t>
  </si>
  <si>
    <t>• TTM capex 104.4B，占收入 43.2%；Q3 capex 34.9B，FCF -2.1B。</t>
  </si>
  <si>
    <t>• 2026 全年 capex 指引 135–145B；2027 仍将“aggressively”投资。FCF 拐点未到。</t>
  </si>
  <si>
    <t>Meta：分部与关键运营数据</t>
  </si>
  <si>
    <t>单位：十亿美元，另有注明除外；同比为公开披露口径。</t>
  </si>
  <si>
    <t>Q3 2026 分部</t>
  </si>
  <si>
    <t>单位：十亿美元；季度截至 2026-09-30。</t>
  </si>
  <si>
    <t>分部</t>
  </si>
  <si>
    <t>同比</t>
  </si>
  <si>
    <t>Family of Apps (FoA)</t>
  </si>
  <si>
    <t>广告 63.061；其他 1.097</t>
  </si>
  <si>
    <t>Reality Labs (RL)</t>
  </si>
  <si>
    <t>亏损同比收窄</t>
  </si>
  <si>
    <t>Total</t>
  </si>
  <si>
    <t>含 9.89B 法律费用；调整后 OI 22.88B</t>
  </si>
  <si>
    <t>Q3 2026 运营与现金指标</t>
  </si>
  <si>
    <t>单位见备注；同比为公开披露口径。</t>
  </si>
  <si>
    <t>指标</t>
  </si>
  <si>
    <t>Family DAP（十亿）</t>
  </si>
  <si>
    <t>2026 年 9 月均值</t>
  </si>
  <si>
    <t>广告展示量增长</t>
  </si>
  <si>
    <t>同比 +10%</t>
  </si>
  <si>
    <t>广告单价增长</t>
  </si>
  <si>
    <t>同比 +14%</t>
  </si>
  <si>
    <t>员工人数</t>
  </si>
  <si>
    <t>同比 -15%</t>
  </si>
  <si>
    <t>资本开支（含融资租赁）</t>
  </si>
  <si>
    <t>Q3；全年指引 135–145B</t>
  </si>
  <si>
    <t>Q3；FCF = CFO − capex</t>
  </si>
  <si>
    <t>解读</t>
  </si>
  <si>
    <t>• FoA 仍是唯一利润来源：Q3 收入 64.2B、经营利润 17.1B；RL 亏损 4.1B。</t>
  </si>
  <si>
    <t>• 广告收入 63.1B，+26%；展示量 +10%、单价 +14%，量价齐升。</t>
  </si>
  <si>
    <t>• Q3 经营利润含 9.89B 法律费用；剔除后 22.88B，利润率 35.4%。</t>
  </si>
  <si>
    <t>• 2026 capex 指引 135–145B；Q3 已 34.9B，FCF -2.1B。</t>
  </si>
  <si>
    <t>• 未开始租赁义务 355.73B；合同承诺 454.52B；这是未来 10 年的刚性支出。</t>
  </si>
  <si>
    <t>• 2026-10-28 又发行 25B 股权 + 12.5B 强制可转优先股，为 AI 基建补血；稀释约 2%。</t>
  </si>
  <si>
    <t>META TTM FCFF 桥：从经营利润到自由现金流</t>
  </si>
  <si>
    <t>单位：十亿美元；TTM = 最近四个季度；经营利润已扣除 SBC。</t>
  </si>
  <si>
    <t>说明</t>
  </si>
  <si>
    <t>经营利润（EBIT）</t>
  </si>
  <si>
    <t>有效税率</t>
  </si>
  <si>
    <t>正常化假设</t>
  </si>
  <si>
    <t>NOPAT</t>
  </si>
  <si>
    <t>EBIT × (1−税率)</t>
  </si>
  <si>
    <t>+ 折旧摊销</t>
  </si>
  <si>
    <t>+ 股权激励（SBC）</t>
  </si>
  <si>
    <t>非现金，但会稀释</t>
  </si>
  <si>
    <t>− 资本开支（现金）</t>
  </si>
  <si>
    <t>+ 营运资金及其他</t>
  </si>
  <si>
    <t>应收账款、存货、预收款等</t>
  </si>
  <si>
    <t>自由现金流（FCFF 口径）</t>
  </si>
  <si>
    <t>与报告 FCF 对齐</t>
  </si>
  <si>
    <t>报告 CFO</t>
  </si>
  <si>
    <t>与公司 FCF 差 0.1B（汇率/其他）</t>
  </si>
  <si>
    <t>现金转化率</t>
  </si>
  <si>
    <t>Capex / D&amp;A</t>
  </si>
  <si>
    <t>资本开支是折旧的倍数</t>
  </si>
  <si>
    <t>• TTM NOPAT 64.3B，但 capex 104.4B，资本开支已超过 NOPAT 的 1.6 倍。</t>
  </si>
  <si>
    <t>• D&amp;A 24.9B，capex 104.4B，差额 79.5B；未来 3–5 年折旧将大幅上升。</t>
  </si>
  <si>
    <t>• 营运资金贡献 +16.9B，部分来自应付款和预提；不可持续。</t>
  </si>
  <si>
    <t>• Q3 FCF -2.1B；2026 全年 FCF 可能为负，这是估值的核心矛盾。</t>
  </si>
  <si>
    <t>三情景 FCFF DCF（未来 12 个月起算，10 年明确预测）</t>
  </si>
  <si>
    <t>单位：十亿美元，除每股数据；第 1 年约为未来四个季度；终值用永续增长。</t>
  </si>
  <si>
    <t>全局输入</t>
  </si>
  <si>
    <t>起始收入（TTM）</t>
  </si>
  <si>
    <t>税率</t>
  </si>
  <si>
    <t>营运资金/增量收入</t>
  </si>
  <si>
    <t>股权投资（非经营）</t>
  </si>
  <si>
    <t>股数（十亿）</t>
  </si>
  <si>
    <t>注：净负债 = 83.669 + 12.000 − 82.449 = 13.220；股权投资仅用于 SOTP，DCF/IRR 不计入。</t>
  </si>
  <si>
    <t>悲观情景</t>
  </si>
  <si>
    <t>WACC</t>
  </si>
  <si>
    <t>终值增长 g</t>
  </si>
  <si>
    <t>Year</t>
  </si>
  <si>
    <t>EBIT 利润率</t>
  </si>
  <si>
    <t>EBIT</t>
  </si>
  <si>
    <t>D&amp;A %</t>
  </si>
  <si>
    <t>D&amp;A</t>
  </si>
  <si>
    <t>Capex %</t>
  </si>
  <si>
    <t>Capex</t>
  </si>
  <si>
    <t>ΔNWC</t>
  </si>
  <si>
    <t>FCFF</t>
  </si>
  <si>
    <t>折现因子</t>
  </si>
  <si>
    <t>PV</t>
  </si>
  <si>
    <t>终值</t>
  </si>
  <si>
    <t>PV 终值</t>
  </si>
  <si>
    <t>EV</t>
  </si>
  <si>
    <t>− 净负债</t>
  </si>
  <si>
    <t>股权价值</t>
  </si>
  <si>
    <t>每股价值</t>
  </si>
  <si>
    <t>TV 占比 80%；终值 FCF 79B；终值收入 402B</t>
  </si>
  <si>
    <t>基准情景</t>
  </si>
  <si>
    <t>TV 占比 75%；终值 FCF 156B；终值收入 569B</t>
  </si>
  <si>
    <t>乐观情景</t>
  </si>
  <si>
    <t>TV 占比 76%；终值 FCF 283B；终值收入 782B</t>
  </si>
  <si>
    <t>估值敏感性：WACC、终值 capex、终值利润率</t>
  </si>
  <si>
    <t>基准情景；每股价值（美元）；由 Python 独立计算。</t>
  </si>
  <si>
    <t>终值 Capex / 收入</t>
  </si>
  <si>
    <t>终值 EBIT 利润率</t>
  </si>
  <si>
    <t>反推：现价隐含的 10 年收入 CAGR</t>
  </si>
  <si>
    <t>现价 $612.49</t>
  </si>
  <si>
    <t>基准情景 10 年 CAGR</t>
  </si>
  <si>
    <t>FoA 盈利倍数交叉检查（每股美元）</t>
  </si>
  <si>
    <t>FoA 调整后 EBIT 倍数</t>
  </si>
  <si>
    <t>16x</t>
  </si>
  <si>
    <t>18x</t>
  </si>
  <si>
    <t>20x</t>
  </si>
  <si>
    <t>FoA 调整后 EBIT = TTM 经营利润 79.38 + Q3 法律费用 9.89 = 89.27B；RL 按 0 估值；扣除净负债 13.2B；股数 2.556B。</t>
  </si>
  <si>
    <t>数据来源与日期</t>
  </si>
  <si>
    <t>研究截止 2026-10-29；所有链接为 SEC EDGAR 或公司 IR。</t>
  </si>
  <si>
    <t>数据</t>
  </si>
  <si>
    <t>来源</t>
  </si>
  <si>
    <t>日期</t>
  </si>
  <si>
    <t>链接/备注</t>
  </si>
  <si>
    <t>2026 Q3 业绩</t>
  </si>
  <si>
    <t>SEC 8-K Exhibit 99.1</t>
  </si>
  <si>
    <t>2026-10-21</t>
  </si>
  <si>
    <t>https://www.sec.gov/Archives/edgar/data/1326801/000162828026066700/meta-09302026xexhibit991.htm</t>
  </si>
  <si>
    <t>2026 Q3 10-Q</t>
  </si>
  <si>
    <t>SEC EDGAR, Meta Platforms</t>
  </si>
  <si>
    <t>2026-10-22</t>
  </si>
  <si>
    <t>https://www.sec.gov/Archives/edgar/data/1326801/000162828026066773/meta-20260930.htm</t>
  </si>
  <si>
    <t>2025 10-K</t>
  </si>
  <si>
    <t>2026-01-29</t>
  </si>
  <si>
    <t>https://www.sec.gov/Archives/edgar/data/1326801/000162828026003942/meta-20251231.htm</t>
  </si>
  <si>
    <t>25B 股权融资 + 12.5B 强制可转优先股</t>
  </si>
  <si>
    <t>SEC 424B5</t>
  </si>
  <si>
    <t>2026-10-28</t>
  </si>
  <si>
    <t>https://www.sec.gov/Archives/edgar/data/1326801/000119312526436410/d94886d424b5.htm</t>
  </si>
  <si>
    <t>价格/市值</t>
  </si>
  <si>
    <t>Yahoo Finance / StockAnalysis</t>
  </si>
  <si>
    <t>收盘 612.49；市值约 1,566B</t>
  </si>
  <si>
    <t>10Y 美债</t>
  </si>
  <si>
    <t>YCharts / CNBC</t>
  </si>
  <si>
    <t>5.03%</t>
  </si>
  <si>
    <t>免责声明：本模型为公开信息研究与教学用途，不构成投资建议，也不构成任何个性化买卖指令。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</si>
</sst>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\$#,##0.00"/>
    <numFmt numFmtId="177" formatCode="0.000"/>
    <numFmt numFmtId="178" formatCode="#,##0.0"/>
    <numFmt numFmtId="179" formatCode="0.0&quot;x&quot;"/>
    <numFmt numFmtId="180" formatCode="0.0%"/>
    <numFmt numFmtId="181" formatCode="\$#,##0"/>
  </numFmts>
  <fonts count="12">
    <font>
      <sz val="11"/>
      <color theme="1"/>
      <name val="宋体"/>
      <family val="2"/>
      <scheme val="minor"/>
    </font>
    <font>
      <b/>
      <sz val="16"/>
      <color rgb="FF1F2933"/>
      <name val="Microsoft YaHei"/>
      <family val="2"/>
      <charset val="134"/>
    </font>
    <font>
      <sz val="10"/>
      <color rgb="FF5B6770"/>
      <name val="Microsoft YaHei"/>
      <family val="2"/>
      <charset val="134"/>
    </font>
    <font>
      <b/>
      <sz val="11"/>
      <color rgb="FF1F2933"/>
      <name val="Microsoft YaHei"/>
      <family val="2"/>
      <charset val="134"/>
    </font>
    <font>
      <b/>
      <sz val="11"/>
      <color rgb="FFB23A2E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color rgb="FF1F2933"/>
      <name val="Microsoft YaHei"/>
      <family val="2"/>
      <charset val="134"/>
    </font>
    <font>
      <b/>
      <sz val="9"/>
      <color rgb="FF1F2933"/>
      <name val="Microsoft YaHei"/>
      <family val="2"/>
      <charset val="134"/>
    </font>
    <font>
      <b/>
      <sz val="9"/>
      <color rgb="FFB23A2E"/>
      <name val="Microsoft YaHei"/>
      <family val="2"/>
      <charset val="134"/>
    </font>
    <font>
      <sz val="10"/>
      <color rgb="FF1F2933"/>
      <name val="Microsoft YaHei"/>
      <family val="2"/>
      <charset val="134"/>
    </font>
    <font>
      <sz val="9"/>
      <color rgb="FF5B677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2D5"/>
      </patternFill>
    </fill>
    <fill>
      <patternFill patternType="solid">
        <fgColor rgb="FF1F2933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0" fontId="2" fillId="0" borderId="0" xfId="0" applyFont="1"/>
    <xf numFmtId="0" fontId="0" fillId="0" borderId="0" xfId="0"/>
    <xf numFmtId="0" fontId="9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META </a:t>
            </a:r>
            <a:r>
              <a:rPr lang="zh-CN" altLang="en-US"/>
              <a:t>三情景每股价值 </a:t>
            </a:r>
            <a:r>
              <a:rPr lang="en-US"/>
              <a:t>vs </a:t>
            </a:r>
            <a:r>
              <a:rPr lang="zh-CN" altLang="en-US"/>
              <a:t>现价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结论!$B$32</c:f>
              <c:strCache>
                <c:ptCount val="1"/>
                <c:pt idx="0">
                  <c:v>每股价值（美元）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2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08C-420A-B5CC-F1CE42A48627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08C-420A-B5CC-F1CE42A48627}"/>
              </c:ext>
            </c:extLst>
          </c:dPt>
          <c:dPt>
            <c:idx val="2"/>
            <c:invertIfNegative val="1"/>
            <c:bubble3D val="0"/>
            <c:spPr>
              <a:solidFill>
                <a:srgbClr val="2F6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08C-420A-B5CC-F1CE42A48627}"/>
              </c:ext>
            </c:extLst>
          </c:dPt>
          <c:dPt>
            <c:idx val="3"/>
            <c:invertIfNegative val="1"/>
            <c:bubble3D val="0"/>
            <c:spPr>
              <a:solidFill>
                <a:srgbClr val="1A73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08C-420A-B5CC-F1CE42A486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结论!$A$33:$A$36</c:f>
              <c:strCache>
                <c:ptCount val="4"/>
                <c:pt idx="0">
                  <c:v>悲观</c:v>
                </c:pt>
                <c:pt idx="1">
                  <c:v>基准</c:v>
                </c:pt>
                <c:pt idx="2">
                  <c:v>乐观</c:v>
                </c:pt>
                <c:pt idx="3">
                  <c:v>现价</c:v>
                </c:pt>
              </c:strCache>
            </c:strRef>
          </c:cat>
          <c:val>
            <c:numRef>
              <c:f>结论!$B$33:$B$36</c:f>
              <c:numCache>
                <c:formatCode>\$#,##0.00</c:formatCode>
                <c:ptCount val="4"/>
                <c:pt idx="0">
                  <c:v>189.56529245840375</c:v>
                </c:pt>
                <c:pt idx="1">
                  <c:v>563.40664829722937</c:v>
                </c:pt>
                <c:pt idx="2">
                  <c:v>1354.8379567483096</c:v>
                </c:pt>
                <c:pt idx="3">
                  <c:v>612.49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8C-420A-B5CC-F1CE42A4862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美元</a:t>
                </a:r>
                <a:r>
                  <a:rPr lang="en-US" altLang="zh-CN"/>
                  <a:t>/</a:t>
                </a:r>
                <a:r>
                  <a:rPr lang="zh-CN" altLang="en-US"/>
                  <a:t>股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基准情景 FCFF 路径（十亿美元）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DCF!$L$39</c:f>
              <c:strCache>
                <c:ptCount val="1"/>
                <c:pt idx="0">
                  <c:v>FCFF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DCF!$A$40:$A$49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DCF!$L$40:$L$49</c:f>
              <c:numCache>
                <c:formatCode>#,##0.0</c:formatCode>
                <c:ptCount val="10"/>
                <c:pt idx="0">
                  <c:v>-17.86427369999998</c:v>
                </c:pt>
                <c:pt idx="1">
                  <c:v>-11.141266663800003</c:v>
                </c:pt>
                <c:pt idx="2">
                  <c:v>13.249444389363006</c:v>
                </c:pt>
                <c:pt idx="3">
                  <c:v>41.315960498740189</c:v>
                </c:pt>
                <c:pt idx="4">
                  <c:v>72.554910688476198</c:v>
                </c:pt>
                <c:pt idx="5">
                  <c:v>96.709313913953736</c:v>
                </c:pt>
                <c:pt idx="6">
                  <c:v>116.1166859930259</c:v>
                </c:pt>
                <c:pt idx="7">
                  <c:v>135.91798792435483</c:v>
                </c:pt>
                <c:pt idx="8">
                  <c:v>145.61824185084021</c:v>
                </c:pt>
                <c:pt idx="9">
                  <c:v>155.67203754157202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0F-4DEB-B18A-F7892D837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FCFF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4"/>
  <sheetViews>
    <sheetView showGridLines="0" tabSelected="1" workbookViewId="0"/>
  </sheetViews>
  <sheetFormatPr defaultRowHeight="14.4"/>
  <cols>
    <col min="1" max="1" width="30" customWidth="1"/>
    <col min="2" max="2" width="17" customWidth="1"/>
    <col min="3" max="3" width="26" customWidth="1"/>
    <col min="4" max="4" width="22" customWidth="1"/>
    <col min="5" max="5" width="14" customWidth="1"/>
  </cols>
  <sheetData>
    <row r="1" spans="1:13" ht="23.4">
      <c r="A1" s="1" t="s">
        <v>0</v>
      </c>
    </row>
    <row r="2" spans="1:13" ht="15.6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15.6">
      <c r="A3" s="25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5" spans="1:13" ht="16.2">
      <c r="A5" s="3" t="s">
        <v>3</v>
      </c>
      <c r="B5" s="4"/>
      <c r="C5" s="4"/>
      <c r="D5" s="4"/>
      <c r="E5" s="4"/>
    </row>
    <row r="6" spans="1:13" ht="54" customHeight="1">
      <c r="A6" s="28" t="s">
        <v>4</v>
      </c>
      <c r="B6" s="26"/>
      <c r="C6" s="26"/>
      <c r="D6" s="26"/>
      <c r="E6" s="26"/>
    </row>
    <row r="8" spans="1:13" ht="16.2">
      <c r="A8" s="3" t="s">
        <v>5</v>
      </c>
      <c r="B8" s="4"/>
      <c r="C8" s="4"/>
      <c r="D8" s="4"/>
      <c r="E8" s="4"/>
    </row>
    <row r="9" spans="1:13">
      <c r="A9" s="5" t="s">
        <v>6</v>
      </c>
      <c r="B9" s="5" t="s">
        <v>7</v>
      </c>
      <c r="C9" s="5" t="s">
        <v>8</v>
      </c>
    </row>
    <row r="10" spans="1:13">
      <c r="A10" s="6" t="s">
        <v>9</v>
      </c>
      <c r="B10" s="7">
        <v>612.49</v>
      </c>
      <c r="C10" s="8" t="s">
        <v>10</v>
      </c>
    </row>
    <row r="11" spans="1:13">
      <c r="A11" s="6" t="s">
        <v>11</v>
      </c>
      <c r="B11" s="9">
        <v>2.556241253</v>
      </c>
      <c r="C11" s="8" t="s">
        <v>12</v>
      </c>
    </row>
    <row r="12" spans="1:13">
      <c r="A12" s="6" t="s">
        <v>13</v>
      </c>
      <c r="B12" s="10">
        <f>B10*B11</f>
        <v>1565.67220504997</v>
      </c>
      <c r="C12" s="8" t="s">
        <v>14</v>
      </c>
    </row>
    <row r="13" spans="1:13">
      <c r="A13" s="6" t="s">
        <v>15</v>
      </c>
      <c r="B13" s="11">
        <v>13.22</v>
      </c>
      <c r="C13" s="8" t="s">
        <v>16</v>
      </c>
    </row>
    <row r="14" spans="1:13">
      <c r="A14" s="6" t="s">
        <v>17</v>
      </c>
      <c r="B14" s="10">
        <f>B12+B13</f>
        <v>1578.89220504997</v>
      </c>
      <c r="C14" s="8" t="s">
        <v>18</v>
      </c>
    </row>
    <row r="15" spans="1:13">
      <c r="A15" s="6" t="s">
        <v>19</v>
      </c>
      <c r="B15" s="11">
        <v>241.60499999999999</v>
      </c>
      <c r="C15" s="8" t="s">
        <v>20</v>
      </c>
    </row>
    <row r="16" spans="1:13">
      <c r="A16" s="6" t="s">
        <v>21</v>
      </c>
      <c r="B16" s="11">
        <v>79.38</v>
      </c>
      <c r="C16" s="8" t="s">
        <v>22</v>
      </c>
    </row>
    <row r="17" spans="1:5">
      <c r="A17" s="6" t="s">
        <v>23</v>
      </c>
      <c r="B17" s="11">
        <v>64.298000000000002</v>
      </c>
      <c r="C17" s="8" t="s">
        <v>24</v>
      </c>
    </row>
    <row r="18" spans="1:5">
      <c r="A18" s="6" t="s">
        <v>25</v>
      </c>
      <c r="B18" s="11">
        <v>28.649000000000001</v>
      </c>
      <c r="C18" s="8" t="s">
        <v>26</v>
      </c>
    </row>
    <row r="19" spans="1:5">
      <c r="A19" s="6" t="s">
        <v>27</v>
      </c>
      <c r="B19" s="11">
        <v>294.8</v>
      </c>
      <c r="C19" s="8" t="s">
        <v>28</v>
      </c>
    </row>
    <row r="20" spans="1:5">
      <c r="A20" s="6" t="s">
        <v>29</v>
      </c>
      <c r="B20" s="12">
        <v>29.3</v>
      </c>
      <c r="C20" s="8" t="s">
        <v>30</v>
      </c>
    </row>
    <row r="21" spans="1:5">
      <c r="A21" s="6" t="s">
        <v>31</v>
      </c>
      <c r="B21" s="12">
        <v>31.5</v>
      </c>
      <c r="C21" s="8" t="s">
        <v>32</v>
      </c>
    </row>
    <row r="22" spans="1:5">
      <c r="A22" s="6" t="s">
        <v>33</v>
      </c>
      <c r="B22" s="13">
        <f>B14/B16</f>
        <v>19.890302406777149</v>
      </c>
      <c r="C22" s="8" t="s">
        <v>34</v>
      </c>
    </row>
    <row r="23" spans="1:5">
      <c r="A23" s="6" t="s">
        <v>35</v>
      </c>
      <c r="B23" s="13">
        <f>B10/B20</f>
        <v>20.904095563139933</v>
      </c>
      <c r="C23" s="8" t="s">
        <v>36</v>
      </c>
    </row>
    <row r="24" spans="1:5">
      <c r="A24" s="6" t="s">
        <v>37</v>
      </c>
      <c r="B24" s="13">
        <f>B10/B21</f>
        <v>19.444126984126985</v>
      </c>
      <c r="C24" s="8" t="s">
        <v>38</v>
      </c>
    </row>
    <row r="25" spans="1:5">
      <c r="A25" s="6" t="s">
        <v>39</v>
      </c>
      <c r="B25" s="14">
        <f>B18/B12</f>
        <v>1.8298210766975735E-2</v>
      </c>
      <c r="C25" s="8" t="s">
        <v>40</v>
      </c>
    </row>
    <row r="26" spans="1:5">
      <c r="A26" s="6" t="s">
        <v>41</v>
      </c>
      <c r="B26" s="13">
        <f>B14/B18</f>
        <v>55.111599184961776</v>
      </c>
      <c r="C26" s="8" t="s">
        <v>42</v>
      </c>
    </row>
    <row r="27" spans="1:5">
      <c r="A27" s="6" t="s">
        <v>43</v>
      </c>
      <c r="B27" s="15">
        <v>0.43226754413195101</v>
      </c>
      <c r="C27" s="8" t="s">
        <v>44</v>
      </c>
    </row>
    <row r="28" spans="1:5" ht="26.4">
      <c r="A28" s="6" t="s">
        <v>45</v>
      </c>
      <c r="B28" s="16">
        <f>B18/B17</f>
        <v>0.44556595850570779</v>
      </c>
      <c r="C28" s="8" t="s">
        <v>46</v>
      </c>
    </row>
    <row r="29" spans="1:5">
      <c r="A29" s="6" t="s">
        <v>47</v>
      </c>
      <c r="B29" s="17">
        <v>3.2653594344397461E-3</v>
      </c>
      <c r="C29" s="8" t="s">
        <v>48</v>
      </c>
    </row>
    <row r="32" spans="1:5">
      <c r="A32" s="5" t="s">
        <v>49</v>
      </c>
      <c r="B32" s="5" t="s">
        <v>50</v>
      </c>
      <c r="C32" s="5" t="s">
        <v>51</v>
      </c>
      <c r="D32" s="5" t="s">
        <v>52</v>
      </c>
      <c r="E32" s="5" t="s">
        <v>53</v>
      </c>
    </row>
    <row r="33" spans="1:5">
      <c r="A33" s="6" t="s">
        <v>54</v>
      </c>
      <c r="B33" s="7">
        <f>DCF!B32</f>
        <v>189.56529245840375</v>
      </c>
      <c r="C33" s="15">
        <f>B33/$B$10-1</f>
        <v>-0.69050059191431079</v>
      </c>
      <c r="D33" s="15">
        <f>1-$B$10/B33</f>
        <v>-2.2310239498847002</v>
      </c>
      <c r="E33" s="17">
        <v>6.13E-2</v>
      </c>
    </row>
    <row r="34" spans="1:5">
      <c r="A34" s="18" t="s">
        <v>55</v>
      </c>
      <c r="B34" s="19">
        <f>DCF!B55</f>
        <v>563.40664829722937</v>
      </c>
      <c r="C34" s="15">
        <f>B34/$B$10-1</f>
        <v>-8.0137392778283134E-2</v>
      </c>
      <c r="D34" s="15">
        <f>1-$B$10/B34</f>
        <v>-8.7118872045820028E-2</v>
      </c>
      <c r="E34" s="17">
        <v>9.1200000000000003E-2</v>
      </c>
    </row>
    <row r="35" spans="1:5">
      <c r="A35" s="6" t="s">
        <v>56</v>
      </c>
      <c r="B35" s="7">
        <f>DCF!B78</f>
        <v>1354.8379567483096</v>
      </c>
      <c r="C35" s="15">
        <f>B35/$B$10-1</f>
        <v>1.2120164521025805</v>
      </c>
      <c r="D35" s="15">
        <f>1-$B$10/B35</f>
        <v>0.54792379638520616</v>
      </c>
      <c r="E35" s="17">
        <v>0.13120000000000001</v>
      </c>
    </row>
    <row r="36" spans="1:5">
      <c r="A36" s="20" t="s">
        <v>57</v>
      </c>
      <c r="B36" s="21">
        <v>612.49</v>
      </c>
      <c r="C36" s="15">
        <v>0</v>
      </c>
      <c r="D36" s="15">
        <v>0</v>
      </c>
      <c r="E36" s="22" t="s">
        <v>58</v>
      </c>
    </row>
    <row r="38" spans="1:5" ht="16.2">
      <c r="A38" s="3" t="s">
        <v>59</v>
      </c>
      <c r="B38" s="4"/>
      <c r="C38" s="4"/>
      <c r="D38" s="4"/>
      <c r="E38" s="4"/>
    </row>
    <row r="39" spans="1:5" ht="28.05" customHeight="1">
      <c r="A39" s="27" t="s">
        <v>60</v>
      </c>
      <c r="B39" s="26"/>
      <c r="C39" s="26"/>
      <c r="D39" s="26"/>
      <c r="E39" s="26"/>
    </row>
    <row r="40" spans="1:5" ht="28.05" customHeight="1">
      <c r="A40" s="27" t="s">
        <v>61</v>
      </c>
      <c r="B40" s="26"/>
      <c r="C40" s="26"/>
      <c r="D40" s="26"/>
      <c r="E40" s="26"/>
    </row>
    <row r="41" spans="1:5" ht="28.05" customHeight="1">
      <c r="A41" s="27" t="s">
        <v>62</v>
      </c>
      <c r="B41" s="26"/>
      <c r="C41" s="26"/>
      <c r="D41" s="26"/>
      <c r="E41" s="26"/>
    </row>
    <row r="42" spans="1:5" ht="28.05" customHeight="1">
      <c r="A42" s="27" t="s">
        <v>63</v>
      </c>
      <c r="B42" s="26"/>
      <c r="C42" s="26"/>
      <c r="D42" s="26"/>
      <c r="E42" s="26"/>
    </row>
    <row r="43" spans="1:5" ht="28.05" customHeight="1">
      <c r="A43" s="27" t="s">
        <v>64</v>
      </c>
      <c r="B43" s="26"/>
      <c r="C43" s="26"/>
      <c r="D43" s="26"/>
      <c r="E43" s="26"/>
    </row>
    <row r="44" spans="1:5" ht="28.05" customHeight="1">
      <c r="A44" s="27" t="s">
        <v>65</v>
      </c>
      <c r="B44" s="26"/>
      <c r="C44" s="26"/>
      <c r="D44" s="26"/>
      <c r="E44" s="26"/>
    </row>
  </sheetData>
  <mergeCells count="9">
    <mergeCell ref="A3:M3"/>
    <mergeCell ref="A44:E44"/>
    <mergeCell ref="A6:E6"/>
    <mergeCell ref="A2:M2"/>
    <mergeCell ref="A39:E39"/>
    <mergeCell ref="A43:E43"/>
    <mergeCell ref="A42:E42"/>
    <mergeCell ref="A41:E41"/>
    <mergeCell ref="A40:E40"/>
  </mergeCells>
  <phoneticPr fontId="11" type="noConversion"/>
  <pageMargins left="0.25" right="0.25" top="0.35" bottom="0.35" header="0.15" footer="0.1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"/>
  <sheetViews>
    <sheetView showGridLines="0" workbookViewId="0"/>
  </sheetViews>
  <sheetFormatPr defaultRowHeight="14.4"/>
  <cols>
    <col min="1" max="1" width="28" customWidth="1"/>
    <col min="2" max="6" width="11" customWidth="1"/>
    <col min="7" max="7" width="12" customWidth="1"/>
    <col min="8" max="8" width="34" customWidth="1"/>
  </cols>
  <sheetData>
    <row r="1" spans="1:8" ht="23.4">
      <c r="A1" s="1" t="s">
        <v>66</v>
      </c>
    </row>
    <row r="2" spans="1:8" ht="15.6">
      <c r="A2" s="25" t="s">
        <v>67</v>
      </c>
      <c r="B2" s="26"/>
      <c r="C2" s="26"/>
      <c r="D2" s="26"/>
      <c r="E2" s="26"/>
      <c r="F2" s="26"/>
      <c r="G2" s="26"/>
      <c r="H2" s="26"/>
    </row>
    <row r="4" spans="1:8">
      <c r="A4" s="5" t="s">
        <v>6</v>
      </c>
      <c r="B4" s="5" t="s">
        <v>68</v>
      </c>
      <c r="C4" s="5" t="s">
        <v>69</v>
      </c>
      <c r="D4" s="5" t="s">
        <v>70</v>
      </c>
      <c r="E4" s="5" t="s">
        <v>71</v>
      </c>
      <c r="F4" s="5" t="s">
        <v>72</v>
      </c>
      <c r="G4" s="5" t="s">
        <v>44</v>
      </c>
      <c r="H4" s="5" t="s">
        <v>8</v>
      </c>
    </row>
    <row r="5" spans="1:8">
      <c r="A5" s="6" t="s">
        <v>73</v>
      </c>
      <c r="B5" s="11">
        <v>117.929</v>
      </c>
      <c r="C5" s="11">
        <v>116.60899999999999</v>
      </c>
      <c r="D5" s="11">
        <v>134.90199999999999</v>
      </c>
      <c r="E5" s="11">
        <v>164.501</v>
      </c>
      <c r="F5" s="11">
        <v>200.96600000000001</v>
      </c>
      <c r="G5" s="11">
        <v>241.60499999999999</v>
      </c>
      <c r="H5" s="8" t="s">
        <v>74</v>
      </c>
    </row>
    <row r="6" spans="1:8">
      <c r="A6" s="6" t="s">
        <v>75</v>
      </c>
      <c r="B6" s="11">
        <v>46.753</v>
      </c>
      <c r="C6" s="11">
        <v>28.943999999999999</v>
      </c>
      <c r="D6" s="11">
        <v>46.750999999999998</v>
      </c>
      <c r="E6" s="11">
        <v>69.38</v>
      </c>
      <c r="F6" s="11">
        <v>83.275999999999996</v>
      </c>
      <c r="G6" s="11">
        <v>79.38</v>
      </c>
      <c r="H6" s="8" t="s">
        <v>76</v>
      </c>
    </row>
    <row r="7" spans="1:8">
      <c r="A7" s="6" t="s">
        <v>77</v>
      </c>
      <c r="B7" s="11">
        <v>39.369999999999997</v>
      </c>
      <c r="C7" s="11">
        <v>23.2</v>
      </c>
      <c r="D7" s="11">
        <v>39.097999999999999</v>
      </c>
      <c r="E7" s="11">
        <v>62.36</v>
      </c>
      <c r="F7" s="11">
        <v>60.457999999999998</v>
      </c>
      <c r="G7" s="11">
        <v>75.248999999999995</v>
      </c>
      <c r="H7" s="8" t="s">
        <v>76</v>
      </c>
    </row>
    <row r="8" spans="1:8">
      <c r="A8" s="6" t="s">
        <v>78</v>
      </c>
      <c r="B8" s="11">
        <v>57.683</v>
      </c>
      <c r="C8" s="11">
        <v>50.475000000000001</v>
      </c>
      <c r="D8" s="11">
        <v>71.113</v>
      </c>
      <c r="E8" s="11">
        <v>91.328000000000003</v>
      </c>
      <c r="F8" s="11">
        <v>115.8</v>
      </c>
      <c r="G8" s="11">
        <v>133.08699999999999</v>
      </c>
      <c r="H8" s="8" t="s">
        <v>79</v>
      </c>
    </row>
    <row r="9" spans="1:8">
      <c r="A9" s="6" t="s">
        <v>80</v>
      </c>
      <c r="B9" s="11">
        <v>18.690000000000001</v>
      </c>
      <c r="C9" s="11">
        <v>31.186</v>
      </c>
      <c r="D9" s="11">
        <v>27.045000000000002</v>
      </c>
      <c r="E9" s="11">
        <v>37.256</v>
      </c>
      <c r="F9" s="11">
        <v>69.691000000000003</v>
      </c>
      <c r="G9" s="11">
        <v>104.438</v>
      </c>
      <c r="H9" s="8" t="s">
        <v>81</v>
      </c>
    </row>
    <row r="10" spans="1:8">
      <c r="A10" s="6" t="s">
        <v>82</v>
      </c>
      <c r="B10" s="11">
        <v>38.993000000000002</v>
      </c>
      <c r="C10" s="11">
        <v>19.289000000000001</v>
      </c>
      <c r="D10" s="11">
        <v>44.067999999999998</v>
      </c>
      <c r="E10" s="11">
        <v>54.072000000000003</v>
      </c>
      <c r="F10" s="11">
        <v>46.109000000000002</v>
      </c>
      <c r="G10" s="11">
        <v>28.649000000000001</v>
      </c>
      <c r="H10" s="8" t="s">
        <v>83</v>
      </c>
    </row>
    <row r="11" spans="1:8">
      <c r="A11" s="6" t="s">
        <v>84</v>
      </c>
      <c r="B11" s="12">
        <v>14.06</v>
      </c>
      <c r="C11" s="12">
        <v>8.7200000000000006</v>
      </c>
      <c r="D11" s="12">
        <v>15.15</v>
      </c>
      <c r="E11" s="12">
        <v>24.46</v>
      </c>
      <c r="F11" s="12">
        <v>23.86</v>
      </c>
      <c r="G11" s="12">
        <v>29.3</v>
      </c>
      <c r="H11" s="8" t="s">
        <v>85</v>
      </c>
    </row>
    <row r="12" spans="1:8">
      <c r="A12" s="6" t="s">
        <v>86</v>
      </c>
      <c r="B12" s="9">
        <v>2.8</v>
      </c>
      <c r="C12" s="9">
        <v>2.66</v>
      </c>
      <c r="D12" s="9">
        <v>2.58</v>
      </c>
      <c r="E12" s="9">
        <v>2.5499999999999998</v>
      </c>
      <c r="F12" s="9">
        <v>2.5339999999999998</v>
      </c>
      <c r="G12" s="9">
        <v>2.5680000000000001</v>
      </c>
      <c r="H12" s="8" t="s">
        <v>87</v>
      </c>
    </row>
    <row r="14" spans="1:8">
      <c r="A14" s="6" t="s">
        <v>88</v>
      </c>
      <c r="C14" s="15">
        <f>C5/B5-1</f>
        <v>-1.1193175554783052E-2</v>
      </c>
      <c r="D14" s="15">
        <f>D5/C5-1</f>
        <v>0.15687468377226454</v>
      </c>
      <c r="E14" s="15">
        <f>E5/D5-1</f>
        <v>0.21941112807816054</v>
      </c>
      <c r="F14" s="15">
        <f>F5/E5-1</f>
        <v>0.22167038498246217</v>
      </c>
      <c r="G14" s="15">
        <f>G5/F5-1</f>
        <v>0.20221828568016464</v>
      </c>
    </row>
    <row r="15" spans="1:8">
      <c r="A15" s="6" t="s">
        <v>89</v>
      </c>
      <c r="B15" s="15">
        <f t="shared" ref="B15:G15" si="0">B6/B5</f>
        <v>0.39645040660058167</v>
      </c>
      <c r="C15" s="15">
        <f t="shared" si="0"/>
        <v>0.24821411726367604</v>
      </c>
      <c r="D15" s="15">
        <f t="shared" si="0"/>
        <v>0.34655527716416362</v>
      </c>
      <c r="E15" s="15">
        <f t="shared" si="0"/>
        <v>0.42176035404040091</v>
      </c>
      <c r="F15" s="15">
        <f t="shared" si="0"/>
        <v>0.41437855159579229</v>
      </c>
      <c r="G15" s="15">
        <f t="shared" si="0"/>
        <v>0.32855280312907431</v>
      </c>
    </row>
    <row r="16" spans="1:8">
      <c r="A16" s="6" t="s">
        <v>90</v>
      </c>
      <c r="B16" s="15">
        <f t="shared" ref="B16:G16" si="1">B7/B5</f>
        <v>0.33384494059985242</v>
      </c>
      <c r="C16" s="15">
        <f t="shared" si="1"/>
        <v>0.19895548371051977</v>
      </c>
      <c r="D16" s="15">
        <f t="shared" si="1"/>
        <v>0.28982520644616094</v>
      </c>
      <c r="E16" s="15">
        <f t="shared" si="1"/>
        <v>0.37908584142345636</v>
      </c>
      <c r="F16" s="15">
        <f t="shared" si="1"/>
        <v>0.30083695749529771</v>
      </c>
      <c r="G16" s="15">
        <f t="shared" si="1"/>
        <v>0.31145464704786741</v>
      </c>
    </row>
    <row r="17" spans="1:8">
      <c r="A17" s="6" t="s">
        <v>91</v>
      </c>
      <c r="B17" s="15">
        <f t="shared" ref="B17:G17" si="2">B10/B5</f>
        <v>0.33064810182397886</v>
      </c>
      <c r="C17" s="15">
        <f t="shared" si="2"/>
        <v>0.16541604850397484</v>
      </c>
      <c r="D17" s="15">
        <f t="shared" si="2"/>
        <v>0.32666676550384727</v>
      </c>
      <c r="E17" s="15">
        <f t="shared" si="2"/>
        <v>0.32870316897769619</v>
      </c>
      <c r="F17" s="15">
        <f t="shared" si="2"/>
        <v>0.22943682015863379</v>
      </c>
      <c r="G17" s="15">
        <f t="shared" si="2"/>
        <v>0.11857784400157283</v>
      </c>
    </row>
    <row r="18" spans="1:8">
      <c r="A18" s="6" t="s">
        <v>43</v>
      </c>
      <c r="B18" s="15">
        <f t="shared" ref="B18:G18" si="3">B9/B5</f>
        <v>0.15848519024158605</v>
      </c>
      <c r="C18" s="15">
        <f t="shared" si="3"/>
        <v>0.26744076357742541</v>
      </c>
      <c r="D18" s="15">
        <f t="shared" si="3"/>
        <v>0.20047886613986451</v>
      </c>
      <c r="E18" s="15">
        <f t="shared" si="3"/>
        <v>0.22647886638986997</v>
      </c>
      <c r="F18" s="15">
        <f t="shared" si="3"/>
        <v>0.34678005234716319</v>
      </c>
      <c r="G18" s="15">
        <f t="shared" si="3"/>
        <v>0.43226754413195095</v>
      </c>
    </row>
    <row r="19" spans="1:8">
      <c r="A19" s="6" t="s">
        <v>45</v>
      </c>
      <c r="B19" s="15">
        <f t="shared" ref="B19:G19" si="4">B10/(B6*(1-0.19))</f>
        <v>1.0296559829923106</v>
      </c>
      <c r="C19" s="15">
        <f t="shared" si="4"/>
        <v>0.82274669178114923</v>
      </c>
      <c r="D19" s="15">
        <f t="shared" si="4"/>
        <v>1.1637171027700999</v>
      </c>
      <c r="E19" s="15">
        <f t="shared" si="4"/>
        <v>0.96217289644790371</v>
      </c>
      <c r="F19" s="15">
        <f t="shared" si="4"/>
        <v>0.68356659011029219</v>
      </c>
      <c r="G19" s="15">
        <f t="shared" si="4"/>
        <v>0.44556734445035451</v>
      </c>
    </row>
    <row r="21" spans="1:8" ht="16.2">
      <c r="A21" s="3" t="s">
        <v>92</v>
      </c>
      <c r="B21" s="4"/>
      <c r="C21" s="4"/>
      <c r="D21" s="4"/>
      <c r="E21" s="4"/>
      <c r="F21" s="4"/>
      <c r="G21" s="4"/>
      <c r="H21" s="4"/>
    </row>
    <row r="22" spans="1:8" ht="30" customHeight="1">
      <c r="A22" s="27" t="s">
        <v>93</v>
      </c>
      <c r="B22" s="26"/>
      <c r="C22" s="26"/>
      <c r="D22" s="26"/>
      <c r="E22" s="26"/>
      <c r="F22" s="26"/>
      <c r="G22" s="26"/>
      <c r="H22" s="26"/>
    </row>
    <row r="23" spans="1:8" ht="30" customHeight="1">
      <c r="A23" s="27" t="s">
        <v>94</v>
      </c>
      <c r="B23" s="26"/>
      <c r="C23" s="26"/>
      <c r="D23" s="26"/>
      <c r="E23" s="26"/>
      <c r="F23" s="26"/>
      <c r="G23" s="26"/>
      <c r="H23" s="26"/>
    </row>
    <row r="24" spans="1:8" ht="30" customHeight="1">
      <c r="A24" s="27" t="s">
        <v>95</v>
      </c>
      <c r="B24" s="26"/>
      <c r="C24" s="26"/>
      <c r="D24" s="26"/>
      <c r="E24" s="26"/>
      <c r="F24" s="26"/>
      <c r="G24" s="26"/>
      <c r="H24" s="26"/>
    </row>
    <row r="25" spans="1:8" ht="30" customHeight="1">
      <c r="A25" s="27" t="s">
        <v>96</v>
      </c>
      <c r="B25" s="26"/>
      <c r="C25" s="26"/>
      <c r="D25" s="26"/>
      <c r="E25" s="26"/>
      <c r="F25" s="26"/>
      <c r="G25" s="26"/>
      <c r="H25" s="26"/>
    </row>
    <row r="26" spans="1:8" ht="30" customHeight="1">
      <c r="A26" s="27" t="s">
        <v>97</v>
      </c>
      <c r="B26" s="26"/>
      <c r="C26" s="26"/>
      <c r="D26" s="26"/>
      <c r="E26" s="26"/>
      <c r="F26" s="26"/>
      <c r="G26" s="26"/>
      <c r="H26" s="26"/>
    </row>
  </sheetData>
  <mergeCells count="6">
    <mergeCell ref="A26:H26"/>
    <mergeCell ref="A25:H25"/>
    <mergeCell ref="A24:H24"/>
    <mergeCell ref="A2:H2"/>
    <mergeCell ref="A23:H23"/>
    <mergeCell ref="A22:H22"/>
  </mergeCells>
  <phoneticPr fontId="11" type="noConversion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9"/>
  <sheetViews>
    <sheetView showGridLines="0" workbookViewId="0"/>
  </sheetViews>
  <sheetFormatPr defaultRowHeight="14.4"/>
  <cols>
    <col min="1" max="1" width="30" customWidth="1"/>
    <col min="2" max="5" width="14" customWidth="1"/>
    <col min="6" max="6" width="38" customWidth="1"/>
  </cols>
  <sheetData>
    <row r="1" spans="1:6" ht="23.4">
      <c r="A1" s="1" t="s">
        <v>98</v>
      </c>
    </row>
    <row r="2" spans="1:6" ht="15.6">
      <c r="A2" s="25" t="s">
        <v>99</v>
      </c>
      <c r="B2" s="26"/>
      <c r="C2" s="26"/>
      <c r="D2" s="26"/>
      <c r="E2" s="26"/>
      <c r="F2" s="26"/>
    </row>
    <row r="4" spans="1:6" ht="16.2">
      <c r="A4" s="3" t="s">
        <v>100</v>
      </c>
      <c r="B4" s="4"/>
      <c r="C4" s="4"/>
      <c r="D4" s="4"/>
      <c r="E4" s="4"/>
      <c r="F4" s="4"/>
    </row>
    <row r="5" spans="1:6" ht="15.6">
      <c r="A5" s="2" t="s">
        <v>101</v>
      </c>
    </row>
    <row r="6" spans="1:6">
      <c r="A6" s="5" t="s">
        <v>102</v>
      </c>
      <c r="B6" s="5" t="s">
        <v>73</v>
      </c>
      <c r="C6" s="5" t="s">
        <v>103</v>
      </c>
      <c r="D6" s="5" t="s">
        <v>75</v>
      </c>
      <c r="E6" s="5" t="s">
        <v>89</v>
      </c>
      <c r="F6" s="5" t="s">
        <v>8</v>
      </c>
    </row>
    <row r="7" spans="1:6">
      <c r="A7" s="6" t="s">
        <v>104</v>
      </c>
      <c r="B7" s="11">
        <v>64.158000000000001</v>
      </c>
      <c r="C7" s="15">
        <v>0.26300000000000001</v>
      </c>
      <c r="D7" s="11">
        <v>17.117000000000001</v>
      </c>
      <c r="E7" s="15">
        <v>0.26700000000000002</v>
      </c>
      <c r="F7" s="6" t="s">
        <v>105</v>
      </c>
    </row>
    <row r="8" spans="1:6">
      <c r="A8" s="6" t="s">
        <v>106</v>
      </c>
      <c r="B8" s="11">
        <v>0.443</v>
      </c>
      <c r="C8" s="15">
        <v>-5.7000000000000002E-2</v>
      </c>
      <c r="D8" s="11">
        <v>-4.1289999999999996</v>
      </c>
      <c r="E8" s="15">
        <v>-9.3219999999999992</v>
      </c>
      <c r="F8" s="6" t="s">
        <v>107</v>
      </c>
    </row>
    <row r="9" spans="1:6">
      <c r="A9" s="18" t="s">
        <v>108</v>
      </c>
      <c r="B9" s="11">
        <v>64.600999999999999</v>
      </c>
      <c r="C9" s="15">
        <v>0.26</v>
      </c>
      <c r="D9" s="11">
        <v>12.988</v>
      </c>
      <c r="E9" s="15">
        <v>0.20100000000000001</v>
      </c>
      <c r="F9" s="6" t="s">
        <v>109</v>
      </c>
    </row>
    <row r="12" spans="1:6" ht="16.2">
      <c r="A12" s="3" t="s">
        <v>110</v>
      </c>
      <c r="B12" s="4"/>
      <c r="C12" s="4"/>
      <c r="D12" s="4"/>
      <c r="E12" s="4"/>
      <c r="F12" s="4"/>
    </row>
    <row r="13" spans="1:6" ht="15.6">
      <c r="A13" s="2" t="s">
        <v>111</v>
      </c>
    </row>
    <row r="14" spans="1:6">
      <c r="A14" s="5" t="s">
        <v>112</v>
      </c>
      <c r="B14" s="5" t="s">
        <v>7</v>
      </c>
      <c r="C14" s="5" t="s">
        <v>103</v>
      </c>
      <c r="D14" s="5" t="s">
        <v>8</v>
      </c>
    </row>
    <row r="15" spans="1:6">
      <c r="A15" s="6" t="s">
        <v>113</v>
      </c>
      <c r="B15" s="11">
        <v>3.64</v>
      </c>
      <c r="C15" s="15">
        <v>0.03</v>
      </c>
      <c r="D15" s="6" t="s">
        <v>114</v>
      </c>
    </row>
    <row r="16" spans="1:6">
      <c r="A16" s="6" t="s">
        <v>115</v>
      </c>
      <c r="B16" s="11">
        <v>0.1</v>
      </c>
      <c r="C16" s="15"/>
      <c r="D16" s="6" t="s">
        <v>116</v>
      </c>
    </row>
    <row r="17" spans="1:6">
      <c r="A17" s="6" t="s">
        <v>117</v>
      </c>
      <c r="B17" s="11">
        <v>0.14000000000000001</v>
      </c>
      <c r="C17" s="15"/>
      <c r="D17" s="6" t="s">
        <v>118</v>
      </c>
    </row>
    <row r="18" spans="1:6">
      <c r="A18" s="6" t="s">
        <v>119</v>
      </c>
      <c r="B18" s="11">
        <v>66775</v>
      </c>
      <c r="C18" s="15">
        <v>-0.15</v>
      </c>
      <c r="D18" s="6" t="s">
        <v>120</v>
      </c>
    </row>
    <row r="19" spans="1:6">
      <c r="A19" s="6" t="s">
        <v>121</v>
      </c>
      <c r="B19" s="11">
        <v>34.909999999999997</v>
      </c>
      <c r="C19" s="15"/>
      <c r="D19" s="6" t="s">
        <v>122</v>
      </c>
    </row>
    <row r="20" spans="1:6">
      <c r="A20" s="6" t="s">
        <v>82</v>
      </c>
      <c r="B20" s="11">
        <v>-2.12</v>
      </c>
      <c r="C20" s="15"/>
      <c r="D20" s="6" t="s">
        <v>123</v>
      </c>
    </row>
    <row r="23" spans="1:6" ht="16.2">
      <c r="A23" s="3" t="s">
        <v>124</v>
      </c>
      <c r="B23" s="4"/>
      <c r="C23" s="4"/>
      <c r="D23" s="4"/>
      <c r="E23" s="4"/>
      <c r="F23" s="4"/>
    </row>
    <row r="24" spans="1:6" ht="30" customHeight="1">
      <c r="A24" s="27" t="s">
        <v>125</v>
      </c>
      <c r="B24" s="26"/>
      <c r="C24" s="26"/>
      <c r="D24" s="26"/>
      <c r="E24" s="26"/>
      <c r="F24" s="26"/>
    </row>
    <row r="25" spans="1:6" ht="30" customHeight="1">
      <c r="A25" s="27" t="s">
        <v>126</v>
      </c>
      <c r="B25" s="26"/>
      <c r="C25" s="26"/>
      <c r="D25" s="26"/>
      <c r="E25" s="26"/>
      <c r="F25" s="26"/>
    </row>
    <row r="26" spans="1:6" ht="30" customHeight="1">
      <c r="A26" s="27" t="s">
        <v>127</v>
      </c>
      <c r="B26" s="26"/>
      <c r="C26" s="26"/>
      <c r="D26" s="26"/>
      <c r="E26" s="26"/>
      <c r="F26" s="26"/>
    </row>
    <row r="27" spans="1:6" ht="30" customHeight="1">
      <c r="A27" s="27" t="s">
        <v>128</v>
      </c>
      <c r="B27" s="26"/>
      <c r="C27" s="26"/>
      <c r="D27" s="26"/>
      <c r="E27" s="26"/>
      <c r="F27" s="26"/>
    </row>
    <row r="28" spans="1:6" ht="30" customHeight="1">
      <c r="A28" s="27" t="s">
        <v>129</v>
      </c>
      <c r="B28" s="26"/>
      <c r="C28" s="26"/>
      <c r="D28" s="26"/>
      <c r="E28" s="26"/>
      <c r="F28" s="26"/>
    </row>
    <row r="29" spans="1:6" ht="30" customHeight="1">
      <c r="A29" s="27" t="s">
        <v>130</v>
      </c>
      <c r="B29" s="26"/>
      <c r="C29" s="26"/>
      <c r="D29" s="26"/>
      <c r="E29" s="26"/>
      <c r="F29" s="26"/>
    </row>
  </sheetData>
  <mergeCells count="7">
    <mergeCell ref="A29:F29"/>
    <mergeCell ref="A25:F25"/>
    <mergeCell ref="A24:F24"/>
    <mergeCell ref="A2:F2"/>
    <mergeCell ref="A28:F28"/>
    <mergeCell ref="A27:F27"/>
    <mergeCell ref="A26:F26"/>
  </mergeCells>
  <phoneticPr fontId="11" type="noConversion"/>
  <pageMargins left="0.25" right="0.25" top="0.35" bottom="0.35" header="0.15" footer="0.1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4"/>
  <sheetViews>
    <sheetView showGridLines="0" workbookViewId="0"/>
  </sheetViews>
  <sheetFormatPr defaultRowHeight="14.4"/>
  <cols>
    <col min="1" max="1" width="34" customWidth="1"/>
    <col min="2" max="2" width="18" customWidth="1"/>
    <col min="3" max="3" width="52" customWidth="1"/>
  </cols>
  <sheetData>
    <row r="1" spans="1:3" ht="23.4">
      <c r="A1" s="1" t="s">
        <v>131</v>
      </c>
    </row>
    <row r="2" spans="1:3" ht="15.6">
      <c r="A2" s="25" t="s">
        <v>132</v>
      </c>
      <c r="B2" s="26"/>
      <c r="C2" s="26"/>
    </row>
    <row r="4" spans="1:3">
      <c r="A4" s="5" t="s">
        <v>6</v>
      </c>
      <c r="B4" s="5" t="s">
        <v>7</v>
      </c>
      <c r="C4" s="5" t="s">
        <v>133</v>
      </c>
    </row>
    <row r="5" spans="1:3">
      <c r="A5" s="6" t="s">
        <v>134</v>
      </c>
      <c r="B5" s="11">
        <v>79.38</v>
      </c>
      <c r="C5" s="8" t="s">
        <v>44</v>
      </c>
    </row>
    <row r="6" spans="1:3">
      <c r="A6" s="6" t="s">
        <v>135</v>
      </c>
      <c r="B6" s="15">
        <v>0.19</v>
      </c>
      <c r="C6" s="8" t="s">
        <v>136</v>
      </c>
    </row>
    <row r="7" spans="1:3">
      <c r="A7" s="6" t="s">
        <v>137</v>
      </c>
      <c r="B7" s="10">
        <f>B5*(1-B6)</f>
        <v>64.297799999999995</v>
      </c>
      <c r="C7" s="8" t="s">
        <v>138</v>
      </c>
    </row>
    <row r="8" spans="1:3">
      <c r="A8" s="6" t="s">
        <v>139</v>
      </c>
      <c r="B8" s="11">
        <v>24.92</v>
      </c>
      <c r="C8" s="8" t="s">
        <v>44</v>
      </c>
    </row>
    <row r="9" spans="1:3">
      <c r="A9" s="6" t="s">
        <v>140</v>
      </c>
      <c r="B9" s="11">
        <v>26.943000000000001</v>
      </c>
      <c r="C9" s="8" t="s">
        <v>141</v>
      </c>
    </row>
    <row r="10" spans="1:3">
      <c r="A10" s="6" t="s">
        <v>142</v>
      </c>
      <c r="B10" s="11">
        <v>104.438</v>
      </c>
      <c r="C10" s="8" t="s">
        <v>44</v>
      </c>
    </row>
    <row r="11" spans="1:3">
      <c r="A11" s="6" t="s">
        <v>143</v>
      </c>
      <c r="B11" s="11">
        <v>16.925999999999998</v>
      </c>
      <c r="C11" s="8" t="s">
        <v>144</v>
      </c>
    </row>
    <row r="12" spans="1:3">
      <c r="A12" s="18" t="s">
        <v>145</v>
      </c>
      <c r="B12" s="10">
        <f>B7+B8+B9-B10+B11</f>
        <v>28.648799999999991</v>
      </c>
      <c r="C12" s="8" t="s">
        <v>146</v>
      </c>
    </row>
    <row r="13" spans="1:3">
      <c r="A13" s="6" t="s">
        <v>147</v>
      </c>
      <c r="B13" s="11">
        <v>133.08699999999999</v>
      </c>
      <c r="C13" s="8" t="s">
        <v>44</v>
      </c>
    </row>
    <row r="14" spans="1:3">
      <c r="A14" s="6" t="s">
        <v>142</v>
      </c>
      <c r="B14" s="11">
        <v>104.438</v>
      </c>
      <c r="C14" s="8" t="s">
        <v>44</v>
      </c>
    </row>
    <row r="15" spans="1:3">
      <c r="A15" s="18" t="s">
        <v>26</v>
      </c>
      <c r="B15" s="10">
        <f>B13-B14</f>
        <v>28.648999999999987</v>
      </c>
      <c r="C15" s="8" t="s">
        <v>148</v>
      </c>
    </row>
    <row r="16" spans="1:3">
      <c r="A16" s="6" t="s">
        <v>45</v>
      </c>
      <c r="B16" s="16">
        <f>B12/B7</f>
        <v>0.44556423392402217</v>
      </c>
      <c r="C16" s="8" t="s">
        <v>149</v>
      </c>
    </row>
    <row r="17" spans="1:3">
      <c r="A17" s="6" t="s">
        <v>43</v>
      </c>
      <c r="B17" s="16">
        <f>B10/241.605</f>
        <v>0.43226754413195095</v>
      </c>
      <c r="C17" s="8" t="s">
        <v>44</v>
      </c>
    </row>
    <row r="18" spans="1:3">
      <c r="A18" s="6" t="s">
        <v>150</v>
      </c>
      <c r="B18" s="13">
        <f>B10/B8</f>
        <v>4.1909309791332259</v>
      </c>
      <c r="C18" s="8" t="s">
        <v>151</v>
      </c>
    </row>
    <row r="20" spans="1:3" ht="16.2">
      <c r="A20" s="3" t="s">
        <v>124</v>
      </c>
      <c r="B20" s="4"/>
      <c r="C20" s="4"/>
    </row>
    <row r="21" spans="1:3" ht="31.95" customHeight="1">
      <c r="A21" s="27" t="s">
        <v>152</v>
      </c>
      <c r="B21" s="26"/>
      <c r="C21" s="26"/>
    </row>
    <row r="22" spans="1:3" ht="31.95" customHeight="1">
      <c r="A22" s="27" t="s">
        <v>153</v>
      </c>
      <c r="B22" s="26"/>
      <c r="C22" s="26"/>
    </row>
    <row r="23" spans="1:3" ht="31.95" customHeight="1">
      <c r="A23" s="27" t="s">
        <v>154</v>
      </c>
      <c r="B23" s="26"/>
      <c r="C23" s="26"/>
    </row>
    <row r="24" spans="1:3" ht="31.95" customHeight="1">
      <c r="A24" s="27" t="s">
        <v>155</v>
      </c>
      <c r="B24" s="26"/>
      <c r="C24" s="26"/>
    </row>
  </sheetData>
  <mergeCells count="5">
    <mergeCell ref="A23:C23"/>
    <mergeCell ref="A22:C22"/>
    <mergeCell ref="A21:C21"/>
    <mergeCell ref="A24:C24"/>
    <mergeCell ref="A2:C2"/>
  </mergeCells>
  <phoneticPr fontId="11" type="noConversion"/>
  <pageMargins left="0.25" right="0.25" top="0.35" bottom="0.35" header="0.15" footer="0.1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78"/>
  <sheetViews>
    <sheetView showGridLines="0" workbookViewId="0"/>
  </sheetViews>
  <sheetFormatPr defaultRowHeight="14.4"/>
  <cols>
    <col min="1" max="1" width="20" customWidth="1"/>
    <col min="2" max="2" width="10" customWidth="1"/>
    <col min="3" max="3" width="11" customWidth="1"/>
    <col min="4" max="4" width="10" customWidth="1"/>
    <col min="5" max="6" width="11" customWidth="1"/>
    <col min="7" max="7" width="10" customWidth="1"/>
    <col min="8" max="8" width="9" customWidth="1"/>
    <col min="9" max="9" width="10" customWidth="1"/>
    <col min="10" max="10" width="9" customWidth="1"/>
    <col min="11" max="12" width="10" customWidth="1"/>
    <col min="13" max="13" width="9" customWidth="1"/>
    <col min="14" max="14" width="10" customWidth="1"/>
  </cols>
  <sheetData>
    <row r="1" spans="1:14" ht="23.4">
      <c r="A1" s="1" t="s">
        <v>156</v>
      </c>
    </row>
    <row r="2" spans="1:14" ht="15.6">
      <c r="A2" s="25" t="s">
        <v>157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16.2">
      <c r="A4" s="3" t="s">
        <v>158</v>
      </c>
      <c r="B4" s="4"/>
      <c r="C4" s="4"/>
      <c r="D4" s="4"/>
      <c r="E4" s="4"/>
    </row>
    <row r="5" spans="1:14">
      <c r="A5" s="6" t="s">
        <v>159</v>
      </c>
      <c r="B5" s="11">
        <v>241.60499999999999</v>
      </c>
    </row>
    <row r="6" spans="1:14">
      <c r="A6" s="6" t="s">
        <v>160</v>
      </c>
      <c r="B6" s="15">
        <v>0.19</v>
      </c>
    </row>
    <row r="7" spans="1:14">
      <c r="A7" s="6" t="s">
        <v>161</v>
      </c>
      <c r="B7" s="15">
        <v>0.02</v>
      </c>
    </row>
    <row r="8" spans="1:14">
      <c r="A8" s="6" t="s">
        <v>15</v>
      </c>
      <c r="B8" s="11">
        <v>13.22</v>
      </c>
    </row>
    <row r="9" spans="1:14">
      <c r="A9" s="6" t="s">
        <v>162</v>
      </c>
      <c r="B9" s="11">
        <v>32.624000000000002</v>
      </c>
    </row>
    <row r="10" spans="1:14">
      <c r="A10" s="6" t="s">
        <v>163</v>
      </c>
      <c r="B10" s="9">
        <v>2.556241253</v>
      </c>
    </row>
    <row r="11" spans="1:14" ht="15">
      <c r="A11" s="29" t="s">
        <v>164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</row>
    <row r="13" spans="1:14" ht="16.2">
      <c r="A13" s="3" t="s">
        <v>165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6" t="s">
        <v>166</v>
      </c>
      <c r="B14" s="15">
        <v>0.105</v>
      </c>
      <c r="C14" s="6" t="s">
        <v>167</v>
      </c>
      <c r="D14" s="15">
        <v>0.03</v>
      </c>
    </row>
    <row r="16" spans="1:14">
      <c r="A16" s="5" t="s">
        <v>168</v>
      </c>
      <c r="B16" s="5" t="s">
        <v>88</v>
      </c>
      <c r="C16" s="5" t="s">
        <v>73</v>
      </c>
      <c r="D16" s="5" t="s">
        <v>169</v>
      </c>
      <c r="E16" s="5" t="s">
        <v>170</v>
      </c>
      <c r="F16" s="5" t="s">
        <v>137</v>
      </c>
      <c r="G16" s="5" t="s">
        <v>171</v>
      </c>
      <c r="H16" s="5" t="s">
        <v>172</v>
      </c>
      <c r="I16" s="5" t="s">
        <v>173</v>
      </c>
      <c r="J16" s="5" t="s">
        <v>174</v>
      </c>
      <c r="K16" s="5" t="s">
        <v>175</v>
      </c>
      <c r="L16" s="5" t="s">
        <v>176</v>
      </c>
      <c r="M16" s="5" t="s">
        <v>177</v>
      </c>
      <c r="N16" s="5" t="s">
        <v>178</v>
      </c>
    </row>
    <row r="17" spans="1:14">
      <c r="A17" s="23">
        <v>1</v>
      </c>
      <c r="B17" s="15">
        <v>0.15</v>
      </c>
      <c r="C17" s="11">
        <f>$B$5*(1+B17)</f>
        <v>277.84574999999995</v>
      </c>
      <c r="D17" s="15">
        <v>0.28000000000000003</v>
      </c>
      <c r="E17" s="11">
        <f t="shared" ref="E17:E26" si="0">C17*D17</f>
        <v>77.796809999999994</v>
      </c>
      <c r="F17" s="11">
        <f t="shared" ref="F17:F26" si="1">E17*(1-$B$6)</f>
        <v>63.015416099999996</v>
      </c>
      <c r="G17" s="15">
        <v>0.2</v>
      </c>
      <c r="H17" s="11">
        <f t="shared" ref="H17:H26" si="2">C17*G17</f>
        <v>55.569149999999993</v>
      </c>
      <c r="I17" s="15">
        <v>0.52</v>
      </c>
      <c r="J17" s="11">
        <f t="shared" ref="J17:J26" si="3">C17*I17</f>
        <v>144.47978999999998</v>
      </c>
      <c r="K17" s="11">
        <f>(C17-$B$5)*$B$7</f>
        <v>0.72481499999999932</v>
      </c>
      <c r="L17" s="11">
        <f t="shared" ref="L17:L26" si="4">F17+H17-J17-K17</f>
        <v>-26.62003889999999</v>
      </c>
      <c r="M17" s="9">
        <f>1/(1+$B$14)^1</f>
        <v>0.90497737556561086</v>
      </c>
      <c r="N17" s="11">
        <f t="shared" ref="N17:N26" si="5">L17*M17</f>
        <v>-24.090532941176463</v>
      </c>
    </row>
    <row r="18" spans="1:14">
      <c r="A18" s="23">
        <v>2</v>
      </c>
      <c r="B18" s="15">
        <v>0.1</v>
      </c>
      <c r="C18" s="11">
        <f t="shared" ref="C18:C26" si="6">C17*(1+B18)</f>
        <v>305.63032499999997</v>
      </c>
      <c r="D18" s="15">
        <v>0.23</v>
      </c>
      <c r="E18" s="11">
        <f t="shared" si="0"/>
        <v>70.294974749999994</v>
      </c>
      <c r="F18" s="11">
        <f t="shared" si="1"/>
        <v>56.938929547500003</v>
      </c>
      <c r="G18" s="15">
        <v>0.24</v>
      </c>
      <c r="H18" s="11">
        <f t="shared" si="2"/>
        <v>73.351277999999994</v>
      </c>
      <c r="I18" s="15">
        <v>0.5</v>
      </c>
      <c r="J18" s="11">
        <f t="shared" si="3"/>
        <v>152.81516249999999</v>
      </c>
      <c r="K18" s="11">
        <f t="shared" ref="K18:K26" si="7">(C18-C17)*$B$7</f>
        <v>0.55569150000000034</v>
      </c>
      <c r="L18" s="11">
        <f t="shared" si="4"/>
        <v>-23.080646452499998</v>
      </c>
      <c r="M18" s="9">
        <f>1/(1+$B$14)^2</f>
        <v>0.81898405028562071</v>
      </c>
      <c r="N18" s="11">
        <f t="shared" si="5"/>
        <v>-18.90268131487889</v>
      </c>
    </row>
    <row r="19" spans="1:14">
      <c r="A19" s="23">
        <v>3</v>
      </c>
      <c r="B19" s="15">
        <v>7.0000000000000007E-2</v>
      </c>
      <c r="C19" s="11">
        <f t="shared" si="6"/>
        <v>327.02444774999998</v>
      </c>
      <c r="D19" s="15">
        <v>0.19</v>
      </c>
      <c r="E19" s="11">
        <f t="shared" si="0"/>
        <v>62.1346450725</v>
      </c>
      <c r="F19" s="11">
        <f t="shared" si="1"/>
        <v>50.329062508725002</v>
      </c>
      <c r="G19" s="15">
        <v>0.28000000000000003</v>
      </c>
      <c r="H19" s="11">
        <f t="shared" si="2"/>
        <v>91.566845369999996</v>
      </c>
      <c r="I19" s="15">
        <v>0.46</v>
      </c>
      <c r="J19" s="11">
        <f t="shared" si="3"/>
        <v>150.43124596499999</v>
      </c>
      <c r="K19" s="11">
        <f t="shared" si="7"/>
        <v>0.42788245500000016</v>
      </c>
      <c r="L19" s="11">
        <f t="shared" si="4"/>
        <v>-8.963220541275005</v>
      </c>
      <c r="M19" s="9">
        <f>1/(1+$B$14)^3</f>
        <v>0.74116203645757528</v>
      </c>
      <c r="N19" s="11">
        <f t="shared" si="5"/>
        <v>-6.6431987895897526</v>
      </c>
    </row>
    <row r="20" spans="1:14">
      <c r="A20" s="23">
        <v>4</v>
      </c>
      <c r="B20" s="15">
        <v>0.05</v>
      </c>
      <c r="C20" s="11">
        <f t="shared" si="6"/>
        <v>343.37567013749998</v>
      </c>
      <c r="D20" s="15">
        <v>0.17</v>
      </c>
      <c r="E20" s="11">
        <f t="shared" si="0"/>
        <v>58.373863923374998</v>
      </c>
      <c r="F20" s="11">
        <f t="shared" si="1"/>
        <v>47.282829777933749</v>
      </c>
      <c r="G20" s="15">
        <v>0.3</v>
      </c>
      <c r="H20" s="11">
        <f t="shared" si="2"/>
        <v>103.01270104125</v>
      </c>
      <c r="I20" s="15">
        <v>0.42</v>
      </c>
      <c r="J20" s="11">
        <f t="shared" si="3"/>
        <v>144.21778145774999</v>
      </c>
      <c r="K20" s="11">
        <f t="shared" si="7"/>
        <v>0.32702444775000006</v>
      </c>
      <c r="L20" s="11">
        <f t="shared" si="4"/>
        <v>5.7507249136837455</v>
      </c>
      <c r="M20" s="9">
        <f>1/(1+$B$14)^4</f>
        <v>0.67073487462224002</v>
      </c>
      <c r="N20" s="11">
        <f t="shared" si="5"/>
        <v>3.8572117539666593</v>
      </c>
    </row>
    <row r="21" spans="1:14">
      <c r="A21" s="23">
        <v>5</v>
      </c>
      <c r="B21" s="15">
        <v>0.04</v>
      </c>
      <c r="C21" s="11">
        <f t="shared" si="6"/>
        <v>357.11069694299999</v>
      </c>
      <c r="D21" s="15">
        <v>0.16</v>
      </c>
      <c r="E21" s="11">
        <f t="shared" si="0"/>
        <v>57.137711510880003</v>
      </c>
      <c r="F21" s="11">
        <f t="shared" si="1"/>
        <v>46.281546323812805</v>
      </c>
      <c r="G21" s="15">
        <v>0.31</v>
      </c>
      <c r="H21" s="11">
        <f t="shared" si="2"/>
        <v>110.70431605233</v>
      </c>
      <c r="I21" s="15">
        <v>0.38</v>
      </c>
      <c r="J21" s="11">
        <f t="shared" si="3"/>
        <v>135.70206483833999</v>
      </c>
      <c r="K21" s="11">
        <f t="shared" si="7"/>
        <v>0.27470053611000028</v>
      </c>
      <c r="L21" s="11">
        <f t="shared" si="4"/>
        <v>21.009097001692798</v>
      </c>
      <c r="M21" s="9">
        <f>1/(1+$B$14)^5</f>
        <v>0.60699988653596382</v>
      </c>
      <c r="N21" s="11">
        <f t="shared" si="5"/>
        <v>12.752519496250585</v>
      </c>
    </row>
    <row r="22" spans="1:14">
      <c r="A22" s="23">
        <v>6</v>
      </c>
      <c r="B22" s="15">
        <v>0.03</v>
      </c>
      <c r="C22" s="11">
        <f t="shared" si="6"/>
        <v>367.82401785129002</v>
      </c>
      <c r="D22" s="15">
        <v>0.16</v>
      </c>
      <c r="E22" s="11">
        <f t="shared" si="0"/>
        <v>58.851842856206403</v>
      </c>
      <c r="F22" s="11">
        <f t="shared" si="1"/>
        <v>47.669992713527186</v>
      </c>
      <c r="G22" s="15">
        <v>0.31</v>
      </c>
      <c r="H22" s="11">
        <f t="shared" si="2"/>
        <v>114.02544553389991</v>
      </c>
      <c r="I22" s="15">
        <v>0.34</v>
      </c>
      <c r="J22" s="11">
        <f t="shared" si="3"/>
        <v>125.06016606943862</v>
      </c>
      <c r="K22" s="11">
        <f t="shared" si="7"/>
        <v>0.21426641816580058</v>
      </c>
      <c r="L22" s="11">
        <f t="shared" si="4"/>
        <v>36.42100575982267</v>
      </c>
      <c r="M22" s="9">
        <f>1/(1+$B$14)^6</f>
        <v>0.54932116428594002</v>
      </c>
      <c r="N22" s="11">
        <f t="shared" si="5"/>
        <v>20.006829288450717</v>
      </c>
    </row>
    <row r="23" spans="1:14">
      <c r="A23" s="23">
        <v>7</v>
      </c>
      <c r="B23" s="15">
        <v>0.03</v>
      </c>
      <c r="C23" s="11">
        <f t="shared" si="6"/>
        <v>378.85873838682875</v>
      </c>
      <c r="D23" s="15">
        <v>0.17</v>
      </c>
      <c r="E23" s="11">
        <f t="shared" si="0"/>
        <v>64.405985525760897</v>
      </c>
      <c r="F23" s="11">
        <f t="shared" si="1"/>
        <v>52.168848275866331</v>
      </c>
      <c r="G23" s="15">
        <v>0.3</v>
      </c>
      <c r="H23" s="11">
        <f t="shared" si="2"/>
        <v>113.65762151604862</v>
      </c>
      <c r="I23" s="15">
        <v>0.3</v>
      </c>
      <c r="J23" s="11">
        <f t="shared" si="3"/>
        <v>113.65762151604862</v>
      </c>
      <c r="K23" s="11">
        <f t="shared" si="7"/>
        <v>0.2206944107107745</v>
      </c>
      <c r="L23" s="11">
        <f t="shared" si="4"/>
        <v>51.948153865155547</v>
      </c>
      <c r="M23" s="9">
        <f>1/(1+$B$14)^7</f>
        <v>0.49712322559813582</v>
      </c>
      <c r="N23" s="11">
        <f t="shared" si="5"/>
        <v>25.824633813314392</v>
      </c>
    </row>
    <row r="24" spans="1:14">
      <c r="A24" s="23">
        <v>8</v>
      </c>
      <c r="B24" s="15">
        <v>0.02</v>
      </c>
      <c r="C24" s="11">
        <f t="shared" si="6"/>
        <v>386.43591315456536</v>
      </c>
      <c r="D24" s="15">
        <v>0.18</v>
      </c>
      <c r="E24" s="11">
        <f t="shared" si="0"/>
        <v>69.558464367821756</v>
      </c>
      <c r="F24" s="11">
        <f t="shared" si="1"/>
        <v>56.342356137935624</v>
      </c>
      <c r="G24" s="15">
        <v>0.28999999999999998</v>
      </c>
      <c r="H24" s="11">
        <f t="shared" si="2"/>
        <v>112.06641481482394</v>
      </c>
      <c r="I24" s="15">
        <v>0.27</v>
      </c>
      <c r="J24" s="11">
        <f t="shared" si="3"/>
        <v>104.33769655173265</v>
      </c>
      <c r="K24" s="11">
        <f t="shared" si="7"/>
        <v>0.15154349535473216</v>
      </c>
      <c r="L24" s="11">
        <f t="shared" si="4"/>
        <v>63.91953090567219</v>
      </c>
      <c r="M24" s="9">
        <f>1/(1+$B$14)^8</f>
        <v>0.44988527203451206</v>
      </c>
      <c r="N24" s="11">
        <f t="shared" si="5"/>
        <v>28.756455549816735</v>
      </c>
    </row>
    <row r="25" spans="1:14">
      <c r="A25" s="23">
        <v>9</v>
      </c>
      <c r="B25" s="15">
        <v>0.02</v>
      </c>
      <c r="C25" s="11">
        <f t="shared" si="6"/>
        <v>394.16463141765666</v>
      </c>
      <c r="D25" s="15">
        <v>0.18</v>
      </c>
      <c r="E25" s="11">
        <f t="shared" si="0"/>
        <v>70.949633655178204</v>
      </c>
      <c r="F25" s="11">
        <f t="shared" si="1"/>
        <v>57.46920326069435</v>
      </c>
      <c r="G25" s="15">
        <v>0.28000000000000003</v>
      </c>
      <c r="H25" s="11">
        <f t="shared" si="2"/>
        <v>110.36609679694388</v>
      </c>
      <c r="I25" s="15">
        <v>0.24</v>
      </c>
      <c r="J25" s="11">
        <f t="shared" si="3"/>
        <v>94.5995115402376</v>
      </c>
      <c r="K25" s="11">
        <f t="shared" si="7"/>
        <v>0.15457436526182619</v>
      </c>
      <c r="L25" s="11">
        <f t="shared" si="4"/>
        <v>73.081214152138799</v>
      </c>
      <c r="M25" s="9">
        <f>1/(1+$B$14)^9</f>
        <v>0.40713599279141366</v>
      </c>
      <c r="N25" s="11">
        <f t="shared" si="5"/>
        <v>29.75399267823294</v>
      </c>
    </row>
    <row r="26" spans="1:14">
      <c r="A26" s="23">
        <v>10</v>
      </c>
      <c r="B26" s="15">
        <v>0.02</v>
      </c>
      <c r="C26" s="11">
        <f t="shared" si="6"/>
        <v>402.04792404600983</v>
      </c>
      <c r="D26" s="15">
        <v>0.18</v>
      </c>
      <c r="E26" s="11">
        <f t="shared" si="0"/>
        <v>72.368626328281763</v>
      </c>
      <c r="F26" s="11">
        <f t="shared" si="1"/>
        <v>58.61858732590823</v>
      </c>
      <c r="G26" s="15">
        <v>0.27</v>
      </c>
      <c r="H26" s="11">
        <f t="shared" si="2"/>
        <v>108.55293949242267</v>
      </c>
      <c r="I26" s="15">
        <v>0.22</v>
      </c>
      <c r="J26" s="11">
        <f t="shared" si="3"/>
        <v>88.450543290122155</v>
      </c>
      <c r="K26" s="11">
        <f t="shared" si="7"/>
        <v>0.15766585256706322</v>
      </c>
      <c r="L26" s="11">
        <f t="shared" si="4"/>
        <v>78.563317675641684</v>
      </c>
      <c r="M26" s="9">
        <f>1/(1+$B$14)^10</f>
        <v>0.36844886225467294</v>
      </c>
      <c r="N26" s="11">
        <f t="shared" si="5"/>
        <v>28.946565012542614</v>
      </c>
    </row>
    <row r="27" spans="1:14">
      <c r="A27" s="18" t="s">
        <v>179</v>
      </c>
      <c r="B27" s="11">
        <f>L26*(1+$D$14)/($B$14-$D$14)</f>
        <v>1078.9362294121458</v>
      </c>
    </row>
    <row r="28" spans="1:14">
      <c r="A28" s="6" t="s">
        <v>180</v>
      </c>
      <c r="B28" s="11">
        <f>B27/(1+$B$14)^10</f>
        <v>397.53282617225193</v>
      </c>
    </row>
    <row r="29" spans="1:14">
      <c r="A29" s="18" t="s">
        <v>181</v>
      </c>
      <c r="B29" s="11">
        <f>SUM(N17:N26)+B28</f>
        <v>497.79462071918147</v>
      </c>
    </row>
    <row r="30" spans="1:14">
      <c r="A30" s="6" t="s">
        <v>182</v>
      </c>
      <c r="B30" s="11">
        <f>$B$8</f>
        <v>13.22</v>
      </c>
    </row>
    <row r="31" spans="1:14">
      <c r="A31" s="18" t="s">
        <v>183</v>
      </c>
      <c r="B31" s="11">
        <f>B29-B30</f>
        <v>484.57462071918144</v>
      </c>
    </row>
    <row r="32" spans="1:14">
      <c r="A32" s="18" t="s">
        <v>184</v>
      </c>
      <c r="B32" s="7">
        <f>B31/$B$10</f>
        <v>189.56529245840375</v>
      </c>
      <c r="C32" s="6" t="s">
        <v>185</v>
      </c>
    </row>
    <row r="36" spans="1:14" ht="16.2">
      <c r="A36" s="3" t="s">
        <v>186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6" t="s">
        <v>166</v>
      </c>
      <c r="B37" s="15">
        <v>9.5000000000000001E-2</v>
      </c>
      <c r="C37" s="6" t="s">
        <v>167</v>
      </c>
      <c r="D37" s="15">
        <v>3.5000000000000003E-2</v>
      </c>
    </row>
    <row r="39" spans="1:14">
      <c r="A39" s="5" t="s">
        <v>168</v>
      </c>
      <c r="B39" s="5" t="s">
        <v>88</v>
      </c>
      <c r="C39" s="5" t="s">
        <v>73</v>
      </c>
      <c r="D39" s="5" t="s">
        <v>169</v>
      </c>
      <c r="E39" s="5" t="s">
        <v>170</v>
      </c>
      <c r="F39" s="5" t="s">
        <v>137</v>
      </c>
      <c r="G39" s="5" t="s">
        <v>171</v>
      </c>
      <c r="H39" s="5" t="s">
        <v>172</v>
      </c>
      <c r="I39" s="5" t="s">
        <v>173</v>
      </c>
      <c r="J39" s="5" t="s">
        <v>174</v>
      </c>
      <c r="K39" s="5" t="s">
        <v>175</v>
      </c>
      <c r="L39" s="5" t="s">
        <v>176</v>
      </c>
      <c r="M39" s="5" t="s">
        <v>177</v>
      </c>
      <c r="N39" s="5" t="s">
        <v>178</v>
      </c>
    </row>
    <row r="40" spans="1:14">
      <c r="A40" s="23">
        <v>1</v>
      </c>
      <c r="B40" s="15">
        <v>0.22</v>
      </c>
      <c r="C40" s="11">
        <f>$B$5*(1+B40)</f>
        <v>294.75809999999996</v>
      </c>
      <c r="D40" s="15">
        <v>0.3</v>
      </c>
      <c r="E40" s="11">
        <f t="shared" ref="E40:E49" si="8">C40*D40</f>
        <v>88.427429999999987</v>
      </c>
      <c r="F40" s="11">
        <f t="shared" ref="F40:F49" si="9">E40*(1-$B$6)</f>
        <v>71.626218299999991</v>
      </c>
      <c r="G40" s="15">
        <v>0.2</v>
      </c>
      <c r="H40" s="11">
        <f t="shared" ref="H40:H49" si="10">C40*G40</f>
        <v>58.951619999999991</v>
      </c>
      <c r="I40" s="15">
        <v>0.5</v>
      </c>
      <c r="J40" s="11">
        <f t="shared" ref="J40:J49" si="11">C40*I40</f>
        <v>147.37904999999998</v>
      </c>
      <c r="K40" s="11">
        <f>(C40-$B$5)*$B$7</f>
        <v>1.0630619999999993</v>
      </c>
      <c r="L40" s="11">
        <f t="shared" ref="L40:L49" si="12">F40+H40-J40-K40</f>
        <v>-17.86427369999998</v>
      </c>
      <c r="M40" s="9">
        <f>1/(1+$B$37)^1</f>
        <v>0.91324200913242015</v>
      </c>
      <c r="N40" s="11">
        <f t="shared" ref="N40:N49" si="13">L40*M40</f>
        <v>-16.314405205479435</v>
      </c>
    </row>
    <row r="41" spans="1:14">
      <c r="A41" s="23">
        <v>2</v>
      </c>
      <c r="B41" s="15">
        <v>0.17</v>
      </c>
      <c r="C41" s="11">
        <f t="shared" ref="C41:C49" si="14">C40*(1+B41)</f>
        <v>344.86697699999991</v>
      </c>
      <c r="D41" s="15">
        <v>0.26</v>
      </c>
      <c r="E41" s="11">
        <f t="shared" si="8"/>
        <v>89.665414019999972</v>
      </c>
      <c r="F41" s="11">
        <f t="shared" si="9"/>
        <v>72.628985356199976</v>
      </c>
      <c r="G41" s="15">
        <v>0.24</v>
      </c>
      <c r="H41" s="11">
        <f t="shared" si="10"/>
        <v>82.768074479999981</v>
      </c>
      <c r="I41" s="15">
        <v>0.48</v>
      </c>
      <c r="J41" s="11">
        <f t="shared" si="11"/>
        <v>165.53614895999996</v>
      </c>
      <c r="K41" s="11">
        <f t="shared" ref="K41:K49" si="15">(C41-C40)*$B$7</f>
        <v>1.002177539999999</v>
      </c>
      <c r="L41" s="11">
        <f t="shared" si="12"/>
        <v>-11.141266663800003</v>
      </c>
      <c r="M41" s="9">
        <f>1/(1+$B$37)^2</f>
        <v>0.8340109672442193</v>
      </c>
      <c r="N41" s="11">
        <f t="shared" si="13"/>
        <v>-9.2919385866016171</v>
      </c>
    </row>
    <row r="42" spans="1:14">
      <c r="A42" s="23">
        <v>3</v>
      </c>
      <c r="B42" s="15">
        <v>0.13</v>
      </c>
      <c r="C42" s="11">
        <f t="shared" si="14"/>
        <v>389.69968400999988</v>
      </c>
      <c r="D42" s="15">
        <v>0.23</v>
      </c>
      <c r="E42" s="11">
        <f t="shared" si="8"/>
        <v>89.630927322299982</v>
      </c>
      <c r="F42" s="11">
        <f t="shared" si="9"/>
        <v>72.601051131062988</v>
      </c>
      <c r="G42" s="15">
        <v>0.28000000000000003</v>
      </c>
      <c r="H42" s="11">
        <f t="shared" si="10"/>
        <v>109.11591152279998</v>
      </c>
      <c r="I42" s="15">
        <v>0.43</v>
      </c>
      <c r="J42" s="11">
        <f t="shared" si="11"/>
        <v>167.57086412429996</v>
      </c>
      <c r="K42" s="11">
        <f t="shared" si="15"/>
        <v>0.89665414019999956</v>
      </c>
      <c r="L42" s="11">
        <f t="shared" si="12"/>
        <v>13.249444389363006</v>
      </c>
      <c r="M42" s="9">
        <f>1/(1+$B$37)^3</f>
        <v>0.76165385136458386</v>
      </c>
      <c r="N42" s="11">
        <f t="shared" si="13"/>
        <v>10.09149034759921</v>
      </c>
    </row>
    <row r="43" spans="1:14">
      <c r="A43" s="23">
        <v>4</v>
      </c>
      <c r="B43" s="15">
        <v>0.1</v>
      </c>
      <c r="C43" s="11">
        <f t="shared" si="14"/>
        <v>428.6696524109999</v>
      </c>
      <c r="D43" s="15">
        <v>0.22</v>
      </c>
      <c r="E43" s="11">
        <f t="shared" si="8"/>
        <v>94.307323530419978</v>
      </c>
      <c r="F43" s="11">
        <f t="shared" si="9"/>
        <v>76.388932059640183</v>
      </c>
      <c r="G43" s="15">
        <v>0.3</v>
      </c>
      <c r="H43" s="11">
        <f t="shared" si="10"/>
        <v>128.60089572329997</v>
      </c>
      <c r="I43" s="15">
        <v>0.38</v>
      </c>
      <c r="J43" s="11">
        <f t="shared" si="11"/>
        <v>162.89446791617996</v>
      </c>
      <c r="K43" s="11">
        <f t="shared" si="15"/>
        <v>0.77939936802000032</v>
      </c>
      <c r="L43" s="11">
        <f t="shared" si="12"/>
        <v>41.315960498740189</v>
      </c>
      <c r="M43" s="9">
        <f>1/(1+$B$37)^4</f>
        <v>0.6955742934836382</v>
      </c>
      <c r="N43" s="11">
        <f t="shared" si="13"/>
        <v>28.738320033509112</v>
      </c>
    </row>
    <row r="44" spans="1:14">
      <c r="A44" s="23">
        <v>5</v>
      </c>
      <c r="B44" s="15">
        <v>0.08</v>
      </c>
      <c r="C44" s="11">
        <f t="shared" si="14"/>
        <v>462.96322460387995</v>
      </c>
      <c r="D44" s="15">
        <v>0.22</v>
      </c>
      <c r="E44" s="11">
        <f t="shared" si="8"/>
        <v>101.85190941285359</v>
      </c>
      <c r="F44" s="11">
        <f t="shared" si="9"/>
        <v>82.500046624411411</v>
      </c>
      <c r="G44" s="15">
        <v>0.31</v>
      </c>
      <c r="H44" s="11">
        <f t="shared" si="10"/>
        <v>143.51859962720278</v>
      </c>
      <c r="I44" s="15">
        <v>0.33</v>
      </c>
      <c r="J44" s="11">
        <f t="shared" si="11"/>
        <v>152.77786411928039</v>
      </c>
      <c r="K44" s="11">
        <f t="shared" si="15"/>
        <v>0.68587144385760102</v>
      </c>
      <c r="L44" s="11">
        <f t="shared" si="12"/>
        <v>72.554910688476198</v>
      </c>
      <c r="M44" s="9">
        <f>1/(1+$B$37)^5</f>
        <v>0.63522766528186136</v>
      </c>
      <c r="N44" s="11">
        <f t="shared" si="13"/>
        <v>46.088886521374704</v>
      </c>
    </row>
    <row r="45" spans="1:14">
      <c r="A45" s="23">
        <v>6</v>
      </c>
      <c r="B45" s="15">
        <v>0.06</v>
      </c>
      <c r="C45" s="11">
        <f t="shared" si="14"/>
        <v>490.74101808011278</v>
      </c>
      <c r="D45" s="15">
        <v>0.22</v>
      </c>
      <c r="E45" s="11">
        <f t="shared" si="8"/>
        <v>107.96302397762481</v>
      </c>
      <c r="F45" s="11">
        <f t="shared" si="9"/>
        <v>87.450049421876102</v>
      </c>
      <c r="G45" s="15">
        <v>0.31</v>
      </c>
      <c r="H45" s="11">
        <f t="shared" si="10"/>
        <v>152.12971560483496</v>
      </c>
      <c r="I45" s="15">
        <v>0.28999999999999998</v>
      </c>
      <c r="J45" s="11">
        <f t="shared" si="11"/>
        <v>142.31489524323268</v>
      </c>
      <c r="K45" s="11">
        <f t="shared" si="15"/>
        <v>0.55555586952465663</v>
      </c>
      <c r="L45" s="11">
        <f t="shared" si="12"/>
        <v>96.709313913953736</v>
      </c>
      <c r="M45" s="9">
        <f>1/(1+$B$37)^6</f>
        <v>0.58011658929850352</v>
      </c>
      <c r="N45" s="11">
        <f t="shared" si="13"/>
        <v>56.102677341161154</v>
      </c>
    </row>
    <row r="46" spans="1:14">
      <c r="A46" s="23">
        <v>7</v>
      </c>
      <c r="B46" s="15">
        <v>0.05</v>
      </c>
      <c r="C46" s="11">
        <f t="shared" si="14"/>
        <v>515.27806898411848</v>
      </c>
      <c r="D46" s="15">
        <v>0.23</v>
      </c>
      <c r="E46" s="11">
        <f t="shared" si="8"/>
        <v>118.51395586634726</v>
      </c>
      <c r="F46" s="11">
        <f t="shared" si="9"/>
        <v>95.996304251741293</v>
      </c>
      <c r="G46" s="15">
        <v>0.3</v>
      </c>
      <c r="H46" s="11">
        <f t="shared" si="10"/>
        <v>154.58342069523553</v>
      </c>
      <c r="I46" s="15">
        <v>0.26</v>
      </c>
      <c r="J46" s="11">
        <f t="shared" si="11"/>
        <v>133.97229793587081</v>
      </c>
      <c r="K46" s="11">
        <f t="shared" si="15"/>
        <v>0.49074101808011394</v>
      </c>
      <c r="L46" s="11">
        <f t="shared" si="12"/>
        <v>116.1166859930259</v>
      </c>
      <c r="M46" s="9">
        <f>1/(1+$B$37)^7</f>
        <v>0.52978683954201233</v>
      </c>
      <c r="N46" s="11">
        <f t="shared" si="13"/>
        <v>61.517092090337442</v>
      </c>
    </row>
    <row r="47" spans="1:14">
      <c r="A47" s="23">
        <v>8</v>
      </c>
      <c r="B47" s="15">
        <v>0.04</v>
      </c>
      <c r="C47" s="11">
        <f t="shared" si="14"/>
        <v>535.88919174348325</v>
      </c>
      <c r="D47" s="15">
        <v>0.24</v>
      </c>
      <c r="E47" s="11">
        <f t="shared" si="8"/>
        <v>128.61340601843597</v>
      </c>
      <c r="F47" s="11">
        <f t="shared" si="9"/>
        <v>104.17685887493315</v>
      </c>
      <c r="G47" s="15">
        <v>0.28999999999999998</v>
      </c>
      <c r="H47" s="11">
        <f t="shared" si="10"/>
        <v>155.40786560561014</v>
      </c>
      <c r="I47" s="15">
        <v>0.23</v>
      </c>
      <c r="J47" s="11">
        <f t="shared" si="11"/>
        <v>123.25451410100115</v>
      </c>
      <c r="K47" s="11">
        <f t="shared" si="15"/>
        <v>0.4122224551872955</v>
      </c>
      <c r="L47" s="11">
        <f t="shared" si="12"/>
        <v>135.91798792435483</v>
      </c>
      <c r="M47" s="9">
        <f>1/(1+$B$37)^8</f>
        <v>0.4838235977552624</v>
      </c>
      <c r="N47" s="11">
        <f t="shared" si="13"/>
        <v>65.760329917217661</v>
      </c>
    </row>
    <row r="48" spans="1:14">
      <c r="A48" s="23">
        <v>9</v>
      </c>
      <c r="B48" s="15">
        <v>0.03</v>
      </c>
      <c r="C48" s="11">
        <f t="shared" si="14"/>
        <v>551.96586749578773</v>
      </c>
      <c r="D48" s="15">
        <v>0.24</v>
      </c>
      <c r="E48" s="11">
        <f t="shared" si="8"/>
        <v>132.47180819898904</v>
      </c>
      <c r="F48" s="11">
        <f t="shared" si="9"/>
        <v>107.30216464118112</v>
      </c>
      <c r="G48" s="15">
        <v>0.28000000000000003</v>
      </c>
      <c r="H48" s="11">
        <f t="shared" si="10"/>
        <v>154.55044289882059</v>
      </c>
      <c r="I48" s="15">
        <v>0.21</v>
      </c>
      <c r="J48" s="11">
        <f t="shared" si="11"/>
        <v>115.91283217411542</v>
      </c>
      <c r="K48" s="11">
        <f t="shared" si="15"/>
        <v>0.32153351504608962</v>
      </c>
      <c r="L48" s="11">
        <f t="shared" si="12"/>
        <v>145.61824185084021</v>
      </c>
      <c r="M48" s="9">
        <f>1/(1+$B$37)^9</f>
        <v>0.44184803447969173</v>
      </c>
      <c r="N48" s="11">
        <f t="shared" si="13"/>
        <v>64.34113394618214</v>
      </c>
    </row>
    <row r="49" spans="1:14">
      <c r="A49" s="23">
        <v>10</v>
      </c>
      <c r="B49" s="15">
        <v>0.03</v>
      </c>
      <c r="C49" s="11">
        <f t="shared" si="14"/>
        <v>568.52484352066142</v>
      </c>
      <c r="D49" s="15">
        <v>0.24</v>
      </c>
      <c r="E49" s="11">
        <f t="shared" si="8"/>
        <v>136.44596244495872</v>
      </c>
      <c r="F49" s="11">
        <f t="shared" si="9"/>
        <v>110.52122958041657</v>
      </c>
      <c r="G49" s="15">
        <v>0.27</v>
      </c>
      <c r="H49" s="11">
        <f t="shared" si="10"/>
        <v>153.50170775057859</v>
      </c>
      <c r="I49" s="15">
        <v>0.19</v>
      </c>
      <c r="J49" s="11">
        <f t="shared" si="11"/>
        <v>108.01972026892567</v>
      </c>
      <c r="K49" s="11">
        <f t="shared" si="15"/>
        <v>0.33117952049747373</v>
      </c>
      <c r="L49" s="11">
        <f t="shared" si="12"/>
        <v>155.67203754157202</v>
      </c>
      <c r="M49" s="9">
        <f>1/(1+$B$37)^10</f>
        <v>0.40351418673944445</v>
      </c>
      <c r="N49" s="11">
        <f t="shared" si="13"/>
        <v>62.815875626659697</v>
      </c>
    </row>
    <row r="50" spans="1:14">
      <c r="A50" s="18" t="s">
        <v>179</v>
      </c>
      <c r="B50" s="11">
        <f>L49*(1+$D$37)/($B$37-$D$37)</f>
        <v>2685.3426475921174</v>
      </c>
    </row>
    <row r="51" spans="1:14">
      <c r="A51" s="6" t="s">
        <v>180</v>
      </c>
      <c r="B51" s="11">
        <f>B50/(1+$B$37)^10</f>
        <v>1083.5738545598797</v>
      </c>
    </row>
    <row r="52" spans="1:14">
      <c r="A52" s="18" t="s">
        <v>181</v>
      </c>
      <c r="B52" s="11">
        <f>SUM(N40:N49)+B51</f>
        <v>1453.4233165918399</v>
      </c>
    </row>
    <row r="53" spans="1:14">
      <c r="A53" s="6" t="s">
        <v>182</v>
      </c>
      <c r="B53" s="11">
        <f>$B$8</f>
        <v>13.22</v>
      </c>
    </row>
    <row r="54" spans="1:14">
      <c r="A54" s="18" t="s">
        <v>183</v>
      </c>
      <c r="B54" s="11">
        <f>B52-B53</f>
        <v>1440.2033165918399</v>
      </c>
    </row>
    <row r="55" spans="1:14">
      <c r="A55" s="18" t="s">
        <v>184</v>
      </c>
      <c r="B55" s="7">
        <f>B54/$B$10</f>
        <v>563.40664829722937</v>
      </c>
      <c r="C55" s="6" t="s">
        <v>187</v>
      </c>
    </row>
    <row r="59" spans="1:14" ht="16.2">
      <c r="A59" s="3" t="s">
        <v>188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6" t="s">
        <v>166</v>
      </c>
      <c r="B60" s="15">
        <v>8.7999999999999995E-2</v>
      </c>
      <c r="C60" s="6" t="s">
        <v>167</v>
      </c>
      <c r="D60" s="15">
        <v>0.04</v>
      </c>
    </row>
    <row r="62" spans="1:14">
      <c r="A62" s="5" t="s">
        <v>168</v>
      </c>
      <c r="B62" s="5" t="s">
        <v>88</v>
      </c>
      <c r="C62" s="5" t="s">
        <v>73</v>
      </c>
      <c r="D62" s="5" t="s">
        <v>169</v>
      </c>
      <c r="E62" s="5" t="s">
        <v>170</v>
      </c>
      <c r="F62" s="5" t="s">
        <v>137</v>
      </c>
      <c r="G62" s="5" t="s">
        <v>171</v>
      </c>
      <c r="H62" s="5" t="s">
        <v>172</v>
      </c>
      <c r="I62" s="5" t="s">
        <v>173</v>
      </c>
      <c r="J62" s="5" t="s">
        <v>174</v>
      </c>
      <c r="K62" s="5" t="s">
        <v>175</v>
      </c>
      <c r="L62" s="5" t="s">
        <v>176</v>
      </c>
      <c r="M62" s="5" t="s">
        <v>177</v>
      </c>
      <c r="N62" s="5" t="s">
        <v>178</v>
      </c>
    </row>
    <row r="63" spans="1:14">
      <c r="A63" s="23">
        <v>1</v>
      </c>
      <c r="B63" s="15">
        <v>0.27</v>
      </c>
      <c r="C63" s="11">
        <f>$B$5*(1+B63)</f>
        <v>306.83834999999999</v>
      </c>
      <c r="D63" s="15">
        <v>0.33</v>
      </c>
      <c r="E63" s="11">
        <f t="shared" ref="E63:E72" si="16">C63*D63</f>
        <v>101.25665550000001</v>
      </c>
      <c r="F63" s="11">
        <f t="shared" ref="F63:F72" si="17">E63*(1-$B$6)</f>
        <v>82.017890955000013</v>
      </c>
      <c r="G63" s="15">
        <v>0.2</v>
      </c>
      <c r="H63" s="11">
        <f t="shared" ref="H63:H72" si="18">C63*G63</f>
        <v>61.367670000000004</v>
      </c>
      <c r="I63" s="15">
        <v>0.48</v>
      </c>
      <c r="J63" s="11">
        <f t="shared" ref="J63:J72" si="19">C63*I63</f>
        <v>147.282408</v>
      </c>
      <c r="K63" s="11">
        <f>(C63-$B$5)*$B$7</f>
        <v>1.304667</v>
      </c>
      <c r="L63" s="11">
        <f t="shared" ref="L63:L72" si="20">F63+H63-J63-K63</f>
        <v>-5.2015140449999873</v>
      </c>
      <c r="M63" s="9">
        <f>1/(1+$B$60)^1</f>
        <v>0.91911764705882348</v>
      </c>
      <c r="N63" s="11">
        <f t="shared" ref="N63:N72" si="21">L63*M63</f>
        <v>-4.7808033501838114</v>
      </c>
    </row>
    <row r="64" spans="1:14">
      <c r="A64" s="23">
        <v>2</v>
      </c>
      <c r="B64" s="15">
        <v>0.22</v>
      </c>
      <c r="C64" s="11">
        <f t="shared" ref="C64:C72" si="22">C63*(1+B64)</f>
        <v>374.34278699999999</v>
      </c>
      <c r="D64" s="15">
        <v>0.3</v>
      </c>
      <c r="E64" s="11">
        <f t="shared" si="16"/>
        <v>112.30283609999999</v>
      </c>
      <c r="F64" s="11">
        <f t="shared" si="17"/>
        <v>90.965297241000002</v>
      </c>
      <c r="G64" s="15">
        <v>0.24</v>
      </c>
      <c r="H64" s="11">
        <f t="shared" si="18"/>
        <v>89.842268879999992</v>
      </c>
      <c r="I64" s="15">
        <v>0.44</v>
      </c>
      <c r="J64" s="11">
        <f t="shared" si="19"/>
        <v>164.71082627999999</v>
      </c>
      <c r="K64" s="11">
        <f t="shared" ref="K64:K72" si="23">(C64-C63)*$B$7</f>
        <v>1.3500887399999999</v>
      </c>
      <c r="L64" s="11">
        <f t="shared" si="20"/>
        <v>14.746651100999987</v>
      </c>
      <c r="M64" s="9">
        <f>1/(1+$B$60)^2</f>
        <v>0.84477724913494801</v>
      </c>
      <c r="N64" s="11">
        <f t="shared" si="21"/>
        <v>12.457635351055622</v>
      </c>
    </row>
    <row r="65" spans="1:14">
      <c r="A65" s="23">
        <v>3</v>
      </c>
      <c r="B65" s="15">
        <v>0.18</v>
      </c>
      <c r="C65" s="11">
        <f t="shared" si="22"/>
        <v>441.72448865999996</v>
      </c>
      <c r="D65" s="15">
        <v>0.28000000000000003</v>
      </c>
      <c r="E65" s="11">
        <f t="shared" si="16"/>
        <v>123.6828568248</v>
      </c>
      <c r="F65" s="11">
        <f t="shared" si="17"/>
        <v>100.183114028088</v>
      </c>
      <c r="G65" s="15">
        <v>0.28000000000000003</v>
      </c>
      <c r="H65" s="11">
        <f t="shared" si="18"/>
        <v>123.6828568248</v>
      </c>
      <c r="I65" s="15">
        <v>0.38</v>
      </c>
      <c r="J65" s="11">
        <f t="shared" si="19"/>
        <v>167.85530569079998</v>
      </c>
      <c r="K65" s="11">
        <f t="shared" si="23"/>
        <v>1.3476340331999996</v>
      </c>
      <c r="L65" s="11">
        <f t="shared" si="20"/>
        <v>54.663031128888001</v>
      </c>
      <c r="M65" s="9">
        <f>1/(1+$B$60)^3</f>
        <v>0.77644967751373895</v>
      </c>
      <c r="N65" s="11">
        <f t="shared" si="21"/>
        <v>42.443092891948559</v>
      </c>
    </row>
    <row r="66" spans="1:14">
      <c r="A66" s="23">
        <v>4</v>
      </c>
      <c r="B66" s="15">
        <v>0.15</v>
      </c>
      <c r="C66" s="11">
        <f t="shared" si="22"/>
        <v>507.98316195899991</v>
      </c>
      <c r="D66" s="15">
        <v>0.27</v>
      </c>
      <c r="E66" s="11">
        <f t="shared" si="16"/>
        <v>137.15545372892998</v>
      </c>
      <c r="F66" s="11">
        <f t="shared" si="17"/>
        <v>111.09591752043329</v>
      </c>
      <c r="G66" s="15">
        <v>0.3</v>
      </c>
      <c r="H66" s="11">
        <f t="shared" si="18"/>
        <v>152.39494858769996</v>
      </c>
      <c r="I66" s="15">
        <v>0.32</v>
      </c>
      <c r="J66" s="11">
        <f t="shared" si="19"/>
        <v>162.55461182687998</v>
      </c>
      <c r="K66" s="11">
        <f t="shared" si="23"/>
        <v>1.325173465979999</v>
      </c>
      <c r="L66" s="11">
        <f t="shared" si="20"/>
        <v>99.61108081527324</v>
      </c>
      <c r="M66" s="9">
        <f>1/(1+$B$60)^4</f>
        <v>0.71364860065600999</v>
      </c>
      <c r="N66" s="11">
        <f t="shared" si="21"/>
        <v>71.087308433652467</v>
      </c>
    </row>
    <row r="67" spans="1:14">
      <c r="A67" s="23">
        <v>5</v>
      </c>
      <c r="B67" s="15">
        <v>0.12</v>
      </c>
      <c r="C67" s="11">
        <f t="shared" si="22"/>
        <v>568.94114139407998</v>
      </c>
      <c r="D67" s="15">
        <v>0.27</v>
      </c>
      <c r="E67" s="11">
        <f t="shared" si="16"/>
        <v>153.6141081764016</v>
      </c>
      <c r="F67" s="11">
        <f t="shared" si="17"/>
        <v>124.4274276228853</v>
      </c>
      <c r="G67" s="15">
        <v>0.31</v>
      </c>
      <c r="H67" s="11">
        <f t="shared" si="18"/>
        <v>176.37175383216479</v>
      </c>
      <c r="I67" s="15">
        <v>0.27</v>
      </c>
      <c r="J67" s="11">
        <f t="shared" si="19"/>
        <v>153.6141081764016</v>
      </c>
      <c r="K67" s="11">
        <f t="shared" si="23"/>
        <v>1.2191595887016013</v>
      </c>
      <c r="L67" s="11">
        <f t="shared" si="20"/>
        <v>145.96591368994686</v>
      </c>
      <c r="M67" s="9">
        <f>1/(1+$B$60)^5</f>
        <v>0.65592702266177383</v>
      </c>
      <c r="N67" s="11">
        <f t="shared" si="21"/>
        <v>95.742987176752294</v>
      </c>
    </row>
    <row r="68" spans="1:14">
      <c r="A68" s="23">
        <v>6</v>
      </c>
      <c r="B68" s="15">
        <v>0.1</v>
      </c>
      <c r="C68" s="11">
        <f t="shared" si="22"/>
        <v>625.83525553348807</v>
      </c>
      <c r="D68" s="15">
        <v>0.28000000000000003</v>
      </c>
      <c r="E68" s="11">
        <f t="shared" si="16"/>
        <v>175.23387154937669</v>
      </c>
      <c r="F68" s="11">
        <f t="shared" si="17"/>
        <v>141.93943595499513</v>
      </c>
      <c r="G68" s="15">
        <v>0.31</v>
      </c>
      <c r="H68" s="11">
        <f t="shared" si="18"/>
        <v>194.0089292153813</v>
      </c>
      <c r="I68" s="15">
        <v>0.23</v>
      </c>
      <c r="J68" s="11">
        <f t="shared" si="19"/>
        <v>143.94210877270226</v>
      </c>
      <c r="K68" s="11">
        <f t="shared" si="23"/>
        <v>1.1378822827881618</v>
      </c>
      <c r="L68" s="11">
        <f t="shared" si="20"/>
        <v>190.868374114886</v>
      </c>
      <c r="M68" s="9">
        <f>1/(1+$B$60)^6</f>
        <v>0.60287410171118916</v>
      </c>
      <c r="N68" s="11">
        <f t="shared" si="21"/>
        <v>115.06959958958709</v>
      </c>
    </row>
    <row r="69" spans="1:14">
      <c r="A69" s="23">
        <v>7</v>
      </c>
      <c r="B69" s="15">
        <v>0.08</v>
      </c>
      <c r="C69" s="11">
        <f t="shared" si="22"/>
        <v>675.90207597616711</v>
      </c>
      <c r="D69" s="15">
        <v>0.28999999999999998</v>
      </c>
      <c r="E69" s="11">
        <f t="shared" si="16"/>
        <v>196.01160203308845</v>
      </c>
      <c r="F69" s="11">
        <f t="shared" si="17"/>
        <v>158.76939764680165</v>
      </c>
      <c r="G69" s="15">
        <v>0.3</v>
      </c>
      <c r="H69" s="11">
        <f t="shared" si="18"/>
        <v>202.77062279285013</v>
      </c>
      <c r="I69" s="15">
        <v>0.2</v>
      </c>
      <c r="J69" s="11">
        <f t="shared" si="19"/>
        <v>135.18041519523342</v>
      </c>
      <c r="K69" s="11">
        <f t="shared" si="23"/>
        <v>1.001336408853581</v>
      </c>
      <c r="L69" s="11">
        <f t="shared" si="20"/>
        <v>225.35826883556481</v>
      </c>
      <c r="M69" s="9">
        <f>1/(1+$B$60)^7</f>
        <v>0.55411222583748998</v>
      </c>
      <c r="N69" s="11">
        <f t="shared" si="21"/>
        <v>124.87377195535827</v>
      </c>
    </row>
    <row r="70" spans="1:14">
      <c r="A70" s="23">
        <v>8</v>
      </c>
      <c r="B70" s="15">
        <v>0.06</v>
      </c>
      <c r="C70" s="11">
        <f t="shared" si="22"/>
        <v>716.45620053473715</v>
      </c>
      <c r="D70" s="15">
        <v>0.3</v>
      </c>
      <c r="E70" s="11">
        <f t="shared" si="16"/>
        <v>214.93686016042113</v>
      </c>
      <c r="F70" s="11">
        <f t="shared" si="17"/>
        <v>174.09885672994113</v>
      </c>
      <c r="G70" s="15">
        <v>0.28999999999999998</v>
      </c>
      <c r="H70" s="11">
        <f t="shared" si="18"/>
        <v>207.77229815507377</v>
      </c>
      <c r="I70" s="15">
        <v>0.18</v>
      </c>
      <c r="J70" s="11">
        <f t="shared" si="19"/>
        <v>128.96211609625269</v>
      </c>
      <c r="K70" s="11">
        <f t="shared" si="23"/>
        <v>0.81108249117140074</v>
      </c>
      <c r="L70" s="11">
        <f t="shared" si="20"/>
        <v>252.09795629759083</v>
      </c>
      <c r="M70" s="9">
        <f>1/(1+$B$60)^8</f>
        <v>0.50929432521828111</v>
      </c>
      <c r="N70" s="11">
        <f t="shared" si="21"/>
        <v>128.39205854148923</v>
      </c>
    </row>
    <row r="71" spans="1:14">
      <c r="A71" s="23">
        <v>9</v>
      </c>
      <c r="B71" s="15">
        <v>0.05</v>
      </c>
      <c r="C71" s="11">
        <f t="shared" si="22"/>
        <v>752.27901056147402</v>
      </c>
      <c r="D71" s="15">
        <v>0.3</v>
      </c>
      <c r="E71" s="11">
        <f t="shared" si="16"/>
        <v>225.68370316844221</v>
      </c>
      <c r="F71" s="11">
        <f t="shared" si="17"/>
        <v>182.80379956643819</v>
      </c>
      <c r="G71" s="15">
        <v>0.28000000000000003</v>
      </c>
      <c r="H71" s="11">
        <f t="shared" si="18"/>
        <v>210.63812295721274</v>
      </c>
      <c r="I71" s="15">
        <v>0.16</v>
      </c>
      <c r="J71" s="11">
        <f t="shared" si="19"/>
        <v>120.36464168983585</v>
      </c>
      <c r="K71" s="11">
        <f t="shared" si="23"/>
        <v>0.71645620053473746</v>
      </c>
      <c r="L71" s="11">
        <f t="shared" si="20"/>
        <v>272.36082463328029</v>
      </c>
      <c r="M71" s="9">
        <f>1/(1+$B$60)^9</f>
        <v>0.46810140185503785</v>
      </c>
      <c r="N71" s="11">
        <f t="shared" si="21"/>
        <v>127.49248382123263</v>
      </c>
    </row>
    <row r="72" spans="1:14">
      <c r="A72" s="23">
        <v>10</v>
      </c>
      <c r="B72" s="15">
        <v>0.04</v>
      </c>
      <c r="C72" s="11">
        <f t="shared" si="22"/>
        <v>782.37017098393301</v>
      </c>
      <c r="D72" s="15">
        <v>0.3</v>
      </c>
      <c r="E72" s="11">
        <f t="shared" si="16"/>
        <v>234.71105129517989</v>
      </c>
      <c r="F72" s="11">
        <f t="shared" si="17"/>
        <v>190.11595154909571</v>
      </c>
      <c r="G72" s="15">
        <v>0.27</v>
      </c>
      <c r="H72" s="11">
        <f t="shared" si="18"/>
        <v>211.23994616566193</v>
      </c>
      <c r="I72" s="15">
        <v>0.15</v>
      </c>
      <c r="J72" s="11">
        <f t="shared" si="19"/>
        <v>117.35552564758994</v>
      </c>
      <c r="K72" s="11">
        <f t="shared" si="23"/>
        <v>0.60182320844917969</v>
      </c>
      <c r="L72" s="11">
        <f t="shared" si="20"/>
        <v>283.39854885871853</v>
      </c>
      <c r="M72" s="9">
        <f>1/(1+$B$60)^10</f>
        <v>0.43024025905793917</v>
      </c>
      <c r="N72" s="11">
        <f t="shared" si="21"/>
        <v>121.92946507761908</v>
      </c>
    </row>
    <row r="73" spans="1:14">
      <c r="A73" s="18" t="s">
        <v>179</v>
      </c>
      <c r="B73" s="11">
        <f>L72*(1+$D$60)/($B$60-$D$60)</f>
        <v>6140.3018919389024</v>
      </c>
    </row>
    <row r="74" spans="1:14">
      <c r="A74" s="6" t="s">
        <v>180</v>
      </c>
      <c r="B74" s="11">
        <f>B73/(1+$B$60)^10</f>
        <v>2641.8050766817473</v>
      </c>
    </row>
    <row r="75" spans="1:14">
      <c r="A75" s="18" t="s">
        <v>181</v>
      </c>
      <c r="B75" s="11">
        <f>SUM(N63:N72)+B74</f>
        <v>3476.5126761702586</v>
      </c>
    </row>
    <row r="76" spans="1:14">
      <c r="A76" s="6" t="s">
        <v>182</v>
      </c>
      <c r="B76" s="11">
        <f>$B$8</f>
        <v>13.22</v>
      </c>
    </row>
    <row r="77" spans="1:14">
      <c r="A77" s="18" t="s">
        <v>183</v>
      </c>
      <c r="B77" s="11">
        <f>B75-B76</f>
        <v>3463.2926761702588</v>
      </c>
    </row>
    <row r="78" spans="1:14">
      <c r="A78" s="18" t="s">
        <v>184</v>
      </c>
      <c r="B78" s="7">
        <f>B77/$B$10</f>
        <v>1354.8379567483096</v>
      </c>
      <c r="C78" s="6" t="s">
        <v>189</v>
      </c>
    </row>
  </sheetData>
  <mergeCells count="3">
    <mergeCell ref="A3:N3"/>
    <mergeCell ref="A2:N2"/>
    <mergeCell ref="A11:N11"/>
  </mergeCells>
  <phoneticPr fontId="11" type="noConversion"/>
  <pageMargins left="0.25" right="0.25" top="0.35" bottom="0.35" header="0.15" footer="0.15"/>
  <pageSetup paperSize="8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39"/>
  <sheetViews>
    <sheetView showGridLines="0" workbookViewId="0"/>
  </sheetViews>
  <sheetFormatPr defaultRowHeight="14.4"/>
  <cols>
    <col min="1" max="1" width="28" customWidth="1"/>
    <col min="2" max="7" width="14" customWidth="1"/>
  </cols>
  <sheetData>
    <row r="1" spans="1:7" ht="23.4">
      <c r="A1" s="1" t="s">
        <v>190</v>
      </c>
    </row>
    <row r="2" spans="1:7" ht="15.6">
      <c r="A2" s="25" t="s">
        <v>191</v>
      </c>
      <c r="B2" s="26"/>
      <c r="C2" s="26"/>
      <c r="D2" s="26"/>
      <c r="E2" s="26"/>
      <c r="F2" s="26"/>
      <c r="G2" s="26"/>
    </row>
    <row r="4" spans="1:7">
      <c r="A4" s="5" t="s">
        <v>166</v>
      </c>
      <c r="B4" s="5" t="s">
        <v>184</v>
      </c>
    </row>
    <row r="5" spans="1:7">
      <c r="A5" s="15">
        <v>7.9000000000000001E-2</v>
      </c>
      <c r="B5" s="24">
        <v>827</v>
      </c>
    </row>
    <row r="6" spans="1:7">
      <c r="A6" s="15">
        <v>8.2000000000000003E-2</v>
      </c>
      <c r="B6" s="24">
        <v>763</v>
      </c>
    </row>
    <row r="7" spans="1:7">
      <c r="A7" s="15">
        <v>8.5000000000000006E-2</v>
      </c>
      <c r="B7" s="24">
        <v>708</v>
      </c>
    </row>
    <row r="8" spans="1:7">
      <c r="A8" s="15">
        <v>0.09</v>
      </c>
      <c r="B8" s="24">
        <v>629</v>
      </c>
    </row>
    <row r="9" spans="1:7">
      <c r="A9" s="15">
        <v>9.5000000000000001E-2</v>
      </c>
      <c r="B9" s="24">
        <v>563</v>
      </c>
    </row>
    <row r="10" spans="1:7">
      <c r="A10" s="15">
        <v>0.1</v>
      </c>
      <c r="B10" s="24">
        <v>508</v>
      </c>
    </row>
    <row r="11" spans="1:7">
      <c r="A11" s="15">
        <v>0.105</v>
      </c>
      <c r="B11" s="24">
        <v>462</v>
      </c>
    </row>
    <row r="12" spans="1:7">
      <c r="A12" s="15">
        <v>0.11</v>
      </c>
      <c r="B12" s="24">
        <v>421</v>
      </c>
    </row>
    <row r="14" spans="1:7">
      <c r="A14" s="5" t="s">
        <v>192</v>
      </c>
      <c r="B14" s="5" t="s">
        <v>184</v>
      </c>
    </row>
    <row r="15" spans="1:7">
      <c r="A15" s="15">
        <v>0.16</v>
      </c>
      <c r="B15" s="24">
        <v>613</v>
      </c>
    </row>
    <row r="16" spans="1:7">
      <c r="A16" s="15">
        <v>0.17</v>
      </c>
      <c r="B16" s="24">
        <v>596</v>
      </c>
    </row>
    <row r="17" spans="1:3">
      <c r="A17" s="15">
        <v>0.18</v>
      </c>
      <c r="B17" s="24">
        <v>580</v>
      </c>
    </row>
    <row r="18" spans="1:3">
      <c r="A18" s="15">
        <v>0.19</v>
      </c>
      <c r="B18" s="24">
        <v>563</v>
      </c>
    </row>
    <row r="19" spans="1:3">
      <c r="A19" s="15">
        <v>0.2</v>
      </c>
      <c r="B19" s="24">
        <v>547</v>
      </c>
    </row>
    <row r="20" spans="1:3">
      <c r="A20" s="15">
        <v>0.21</v>
      </c>
      <c r="B20" s="24">
        <v>531</v>
      </c>
    </row>
    <row r="23" spans="1:3">
      <c r="A23" s="5" t="s">
        <v>193</v>
      </c>
      <c r="B23" s="5" t="s">
        <v>184</v>
      </c>
    </row>
    <row r="24" spans="1:3">
      <c r="A24" s="15">
        <v>0.18</v>
      </c>
      <c r="B24" s="24">
        <v>484</v>
      </c>
    </row>
    <row r="25" spans="1:3">
      <c r="A25" s="15">
        <v>0.2</v>
      </c>
      <c r="B25" s="24">
        <v>510</v>
      </c>
    </row>
    <row r="26" spans="1:3">
      <c r="A26" s="15">
        <v>0.22</v>
      </c>
      <c r="B26" s="24">
        <v>537</v>
      </c>
    </row>
    <row r="27" spans="1:3">
      <c r="A27" s="15">
        <v>0.24</v>
      </c>
      <c r="B27" s="24">
        <v>563</v>
      </c>
    </row>
    <row r="28" spans="1:3">
      <c r="A28" s="15">
        <v>0.26</v>
      </c>
      <c r="B28" s="24">
        <v>590</v>
      </c>
    </row>
    <row r="29" spans="1:3">
      <c r="A29" s="15">
        <v>0.28000000000000003</v>
      </c>
      <c r="B29" s="24">
        <v>616</v>
      </c>
    </row>
    <row r="30" spans="1:3">
      <c r="A30" s="15">
        <v>0.3</v>
      </c>
      <c r="B30" s="24">
        <v>643</v>
      </c>
    </row>
    <row r="32" spans="1:3" ht="16.2">
      <c r="A32" s="3" t="s">
        <v>194</v>
      </c>
      <c r="B32" s="4"/>
      <c r="C32" s="4"/>
    </row>
    <row r="33" spans="1:7">
      <c r="A33" s="6" t="s">
        <v>195</v>
      </c>
      <c r="B33" s="15">
        <v>0.1028393835484963</v>
      </c>
    </row>
    <row r="34" spans="1:7">
      <c r="A34" s="6" t="s">
        <v>196</v>
      </c>
      <c r="B34" s="15">
        <v>8.9342262401364447E-2</v>
      </c>
    </row>
    <row r="36" spans="1:7" ht="16.2">
      <c r="A36" s="3" t="s">
        <v>197</v>
      </c>
      <c r="B36" s="4"/>
      <c r="C36" s="4"/>
      <c r="D36" s="4"/>
      <c r="E36" s="4"/>
      <c r="F36" s="4"/>
      <c r="G36" s="4"/>
    </row>
    <row r="37" spans="1:7">
      <c r="A37" s="5" t="s">
        <v>198</v>
      </c>
      <c r="B37" s="5" t="s">
        <v>199</v>
      </c>
      <c r="C37" s="5" t="s">
        <v>200</v>
      </c>
      <c r="D37" s="5" t="s">
        <v>201</v>
      </c>
    </row>
    <row r="38" spans="1:7">
      <c r="A38" s="6" t="s">
        <v>184</v>
      </c>
      <c r="B38" s="24">
        <v>554</v>
      </c>
      <c r="C38" s="24">
        <v>624</v>
      </c>
      <c r="D38" s="24">
        <v>693</v>
      </c>
    </row>
    <row r="39" spans="1:7" ht="40.049999999999997" customHeight="1">
      <c r="A39" s="30" t="s">
        <v>202</v>
      </c>
      <c r="B39" s="26"/>
      <c r="C39" s="26"/>
      <c r="D39" s="26"/>
      <c r="E39" s="26"/>
      <c r="F39" s="26"/>
      <c r="G39" s="26"/>
    </row>
  </sheetData>
  <mergeCells count="2">
    <mergeCell ref="A2:G2"/>
    <mergeCell ref="A39:G39"/>
  </mergeCells>
  <phoneticPr fontId="11" type="noConversion"/>
  <pageMargins left="0.25" right="0.25" top="0.35" bottom="0.35" header="0.15" footer="0.15"/>
  <pageSetup paperSize="8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3"/>
  <sheetViews>
    <sheetView showGridLines="0" workbookViewId="0"/>
  </sheetViews>
  <sheetFormatPr defaultRowHeight="14.4"/>
  <cols>
    <col min="1" max="1" width="34" customWidth="1"/>
    <col min="2" max="2" width="50" customWidth="1"/>
    <col min="3" max="3" width="16" customWidth="1"/>
    <col min="4" max="4" width="70" customWidth="1"/>
  </cols>
  <sheetData>
    <row r="1" spans="1:4" ht="23.4">
      <c r="A1" s="1" t="s">
        <v>203</v>
      </c>
    </row>
    <row r="2" spans="1:4" ht="15.6">
      <c r="A2" s="25" t="s">
        <v>204</v>
      </c>
      <c r="B2" s="26"/>
      <c r="C2" s="26"/>
      <c r="D2" s="26"/>
    </row>
    <row r="4" spans="1:4">
      <c r="A4" s="5" t="s">
        <v>205</v>
      </c>
      <c r="B4" s="5" t="s">
        <v>206</v>
      </c>
      <c r="C4" s="5" t="s">
        <v>207</v>
      </c>
      <c r="D4" s="5" t="s">
        <v>208</v>
      </c>
    </row>
    <row r="5" spans="1:4" ht="26.4">
      <c r="A5" s="6" t="s">
        <v>209</v>
      </c>
      <c r="B5" s="6" t="s">
        <v>210</v>
      </c>
      <c r="C5" s="22" t="s">
        <v>211</v>
      </c>
      <c r="D5" s="8" t="s">
        <v>212</v>
      </c>
    </row>
    <row r="6" spans="1:4" ht="26.4">
      <c r="A6" s="6" t="s">
        <v>213</v>
      </c>
      <c r="B6" s="6" t="s">
        <v>214</v>
      </c>
      <c r="C6" s="22" t="s">
        <v>215</v>
      </c>
      <c r="D6" s="8" t="s">
        <v>216</v>
      </c>
    </row>
    <row r="7" spans="1:4" ht="26.4">
      <c r="A7" s="6" t="s">
        <v>217</v>
      </c>
      <c r="B7" s="6" t="s">
        <v>214</v>
      </c>
      <c r="C7" s="22" t="s">
        <v>218</v>
      </c>
      <c r="D7" s="8" t="s">
        <v>219</v>
      </c>
    </row>
    <row r="8" spans="1:4" ht="26.4">
      <c r="A8" s="6" t="s">
        <v>220</v>
      </c>
      <c r="B8" s="6" t="s">
        <v>221</v>
      </c>
      <c r="C8" s="22" t="s">
        <v>222</v>
      </c>
      <c r="D8" s="8" t="s">
        <v>223</v>
      </c>
    </row>
    <row r="9" spans="1:4">
      <c r="A9" s="6" t="s">
        <v>224</v>
      </c>
      <c r="B9" s="6" t="s">
        <v>225</v>
      </c>
      <c r="C9" s="22" t="s">
        <v>222</v>
      </c>
      <c r="D9" s="8" t="s">
        <v>226</v>
      </c>
    </row>
    <row r="10" spans="1:4">
      <c r="A10" s="6" t="s">
        <v>227</v>
      </c>
      <c r="B10" s="6" t="s">
        <v>228</v>
      </c>
      <c r="C10" s="22" t="s">
        <v>222</v>
      </c>
      <c r="D10" s="8" t="s">
        <v>229</v>
      </c>
    </row>
    <row r="13" spans="1:4" ht="15">
      <c r="A13" s="29" t="s">
        <v>230</v>
      </c>
      <c r="B13" s="26"/>
      <c r="C13" s="26"/>
      <c r="D13" s="26"/>
    </row>
  </sheetData>
  <mergeCells count="2">
    <mergeCell ref="A13:D13"/>
    <mergeCell ref="A2:D2"/>
  </mergeCells>
  <phoneticPr fontId="11" type="noConversion"/>
  <pageMargins left="0.25" right="0.25" top="0.35" bottom="0.35" header="0.15" footer="0.1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结论</vt:lpstr>
      <vt:lpstr>历史财务</vt:lpstr>
      <vt:lpstr>分部</vt:lpstr>
      <vt:lpstr>FCFF桥</vt:lpstr>
      <vt:lpstr>DCF</vt:lpstr>
      <vt:lpstr>敏感性</vt:lpstr>
      <vt:lpstr>来源</vt:lpstr>
      <vt:lpstr>DCF!Print_Area</vt:lpstr>
      <vt:lpstr>FCFF桥!Print_Area</vt:lpstr>
      <vt:lpstr>分部!Print_Area</vt:lpstr>
      <vt:lpstr>结论!Print_Area</vt:lpstr>
      <vt:lpstr>来源!Print_Area</vt:lpstr>
      <vt:lpstr>历史财务!Print_Area</vt:lpstr>
      <vt:lpstr>敏感性!Print_Area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t4707</cp:lastModifiedBy>
  <dcterms:created xsi:type="dcterms:W3CDTF">2026-10-29T08:15:10Z</dcterms:created>
  <dcterms:modified xsi:type="dcterms:W3CDTF">2026-10-29T10:34:33Z</dcterms:modified>
</cp:coreProperties>
</file>