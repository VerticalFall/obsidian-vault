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cuments\Obsidian Vault\大土豆开源最新文件\估值skills（持续更新）\巴菲特skills-改良版\输出\AMZN-2026-10-29\"/>
    </mc:Choice>
  </mc:AlternateContent>
  <xr:revisionPtr revIDLastSave="0" documentId="13_ncr:1_{9F6E7531-2555-413F-8EB6-8108E2D40F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结论" sheetId="1" r:id="rId1"/>
    <sheet name="历史财务" sheetId="2" r:id="rId2"/>
    <sheet name="分部" sheetId="3" r:id="rId3"/>
    <sheet name="FCFF桥" sheetId="4" r:id="rId4"/>
    <sheet name="DCF" sheetId="5" r:id="rId5"/>
    <sheet name="敏感性" sheetId="6" r:id="rId6"/>
    <sheet name="来源" sheetId="7" r:id="rId7"/>
  </sheets>
  <definedNames>
    <definedName name="_xlnm.Print_Area" localSheetId="4">DCF!$A$1:$N$78</definedName>
    <definedName name="_xlnm.Print_Area" localSheetId="3">FCFF桥!$A$1:$C$27</definedName>
    <definedName name="_xlnm.Print_Area" localSheetId="2">分部!$A$1:$F$29</definedName>
    <definedName name="_xlnm.Print_Area" localSheetId="0">结论!$A$1:$M$45</definedName>
    <definedName name="_xlnm.Print_Area" localSheetId="6">来源!$A$1:$D$14</definedName>
    <definedName name="_xlnm.Print_Area" localSheetId="1">历史财务!$A$1:$H$27</definedName>
    <definedName name="_xlnm.Print_Area" localSheetId="5">敏感性!$A$1:$G$43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5" l="1"/>
  <c r="M72" i="5"/>
  <c r="M71" i="5"/>
  <c r="M70" i="5"/>
  <c r="M69" i="5"/>
  <c r="M68" i="5"/>
  <c r="M67" i="5"/>
  <c r="M66" i="5"/>
  <c r="M65" i="5"/>
  <c r="M64" i="5"/>
  <c r="M63" i="5"/>
  <c r="C63" i="5"/>
  <c r="B53" i="5"/>
  <c r="M49" i="5"/>
  <c r="M48" i="5"/>
  <c r="M47" i="5"/>
  <c r="M46" i="5"/>
  <c r="M45" i="5"/>
  <c r="M44" i="5"/>
  <c r="M43" i="5"/>
  <c r="M42" i="5"/>
  <c r="M41" i="5"/>
  <c r="M40" i="5"/>
  <c r="C40" i="5"/>
  <c r="B30" i="5"/>
  <c r="M26" i="5"/>
  <c r="M25" i="5"/>
  <c r="M24" i="5"/>
  <c r="M23" i="5"/>
  <c r="M22" i="5"/>
  <c r="M21" i="5"/>
  <c r="M20" i="5"/>
  <c r="M19" i="5"/>
  <c r="M18" i="5"/>
  <c r="M17" i="5"/>
  <c r="C17" i="5"/>
  <c r="B18" i="4"/>
  <c r="B17" i="4"/>
  <c r="B15" i="4"/>
  <c r="B7" i="4"/>
  <c r="B12" i="4" s="1"/>
  <c r="B16" i="4" s="1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B28" i="1"/>
  <c r="B24" i="1"/>
  <c r="B23" i="1"/>
  <c r="B12" i="1"/>
  <c r="K63" i="5" l="1"/>
  <c r="E63" i="5"/>
  <c r="F63" i="5" s="1"/>
  <c r="J63" i="5"/>
  <c r="H63" i="5"/>
  <c r="C64" i="5"/>
  <c r="J40" i="5"/>
  <c r="K40" i="5"/>
  <c r="E40" i="5"/>
  <c r="F40" i="5" s="1"/>
  <c r="C41" i="5"/>
  <c r="H40" i="5"/>
  <c r="C18" i="5"/>
  <c r="K17" i="5"/>
  <c r="J17" i="5"/>
  <c r="H17" i="5"/>
  <c r="E17" i="5"/>
  <c r="F17" i="5" s="1"/>
  <c r="L17" i="5" s="1"/>
  <c r="N17" i="5" s="1"/>
  <c r="B25" i="1"/>
  <c r="B14" i="1"/>
  <c r="B22" i="1" s="1"/>
  <c r="H64" i="5" l="1"/>
  <c r="J64" i="5"/>
  <c r="K64" i="5"/>
  <c r="C65" i="5"/>
  <c r="E64" i="5"/>
  <c r="F64" i="5" s="1"/>
  <c r="L64" i="5" s="1"/>
  <c r="N64" i="5" s="1"/>
  <c r="H41" i="5"/>
  <c r="J41" i="5"/>
  <c r="C42" i="5"/>
  <c r="E41" i="5"/>
  <c r="F41" i="5" s="1"/>
  <c r="K41" i="5"/>
  <c r="H18" i="5"/>
  <c r="K18" i="5"/>
  <c r="C19" i="5"/>
  <c r="E18" i="5"/>
  <c r="F18" i="5" s="1"/>
  <c r="L18" i="5" s="1"/>
  <c r="N18" i="5" s="1"/>
  <c r="J18" i="5"/>
  <c r="L40" i="5"/>
  <c r="N40" i="5" s="1"/>
  <c r="L63" i="5"/>
  <c r="N63" i="5" s="1"/>
  <c r="E65" i="5" l="1"/>
  <c r="F65" i="5" s="1"/>
  <c r="H65" i="5"/>
  <c r="J65" i="5"/>
  <c r="K65" i="5"/>
  <c r="C66" i="5"/>
  <c r="H42" i="5"/>
  <c r="K42" i="5"/>
  <c r="C43" i="5"/>
  <c r="E42" i="5"/>
  <c r="F42" i="5" s="1"/>
  <c r="J42" i="5"/>
  <c r="E19" i="5"/>
  <c r="F19" i="5" s="1"/>
  <c r="H19" i="5"/>
  <c r="K19" i="5"/>
  <c r="J19" i="5"/>
  <c r="C20" i="5"/>
  <c r="L41" i="5"/>
  <c r="N41" i="5" s="1"/>
  <c r="L65" i="5" l="1"/>
  <c r="N65" i="5" s="1"/>
  <c r="E66" i="5"/>
  <c r="F66" i="5" s="1"/>
  <c r="H66" i="5"/>
  <c r="J66" i="5"/>
  <c r="K66" i="5"/>
  <c r="C67" i="5"/>
  <c r="E43" i="5"/>
  <c r="F43" i="5" s="1"/>
  <c r="H43" i="5"/>
  <c r="J43" i="5"/>
  <c r="K43" i="5"/>
  <c r="C44" i="5"/>
  <c r="J20" i="5"/>
  <c r="C21" i="5"/>
  <c r="E20" i="5"/>
  <c r="F20" i="5" s="1"/>
  <c r="H20" i="5"/>
  <c r="K20" i="5"/>
  <c r="L42" i="5"/>
  <c r="N42" i="5" s="1"/>
  <c r="L19" i="5"/>
  <c r="N19" i="5" s="1"/>
  <c r="L43" i="5" l="1"/>
  <c r="N43" i="5" s="1"/>
  <c r="E67" i="5"/>
  <c r="F67" i="5" s="1"/>
  <c r="L67" i="5" s="1"/>
  <c r="N67" i="5" s="1"/>
  <c r="H67" i="5"/>
  <c r="J67" i="5"/>
  <c r="K67" i="5"/>
  <c r="C68" i="5"/>
  <c r="E44" i="5"/>
  <c r="F44" i="5" s="1"/>
  <c r="H44" i="5"/>
  <c r="J44" i="5"/>
  <c r="K44" i="5"/>
  <c r="C45" i="5"/>
  <c r="K21" i="5"/>
  <c r="H21" i="5"/>
  <c r="C22" i="5"/>
  <c r="E21" i="5"/>
  <c r="F21" i="5" s="1"/>
  <c r="J21" i="5"/>
  <c r="L66" i="5"/>
  <c r="N66" i="5" s="1"/>
  <c r="L20" i="5"/>
  <c r="N20" i="5" s="1"/>
  <c r="L44" i="5" l="1"/>
  <c r="N44" i="5" s="1"/>
  <c r="E68" i="5"/>
  <c r="F68" i="5" s="1"/>
  <c r="H68" i="5"/>
  <c r="J68" i="5"/>
  <c r="K68" i="5"/>
  <c r="C69" i="5"/>
  <c r="E45" i="5"/>
  <c r="F45" i="5" s="1"/>
  <c r="H45" i="5"/>
  <c r="J45" i="5"/>
  <c r="K45" i="5"/>
  <c r="C46" i="5"/>
  <c r="H22" i="5"/>
  <c r="K22" i="5"/>
  <c r="C23" i="5"/>
  <c r="E22" i="5"/>
  <c r="F22" i="5" s="1"/>
  <c r="J22" i="5"/>
  <c r="L21" i="5"/>
  <c r="N21" i="5" s="1"/>
  <c r="L22" i="5" l="1"/>
  <c r="N22" i="5" s="1"/>
  <c r="E69" i="5"/>
  <c r="F69" i="5" s="1"/>
  <c r="H69" i="5"/>
  <c r="J69" i="5"/>
  <c r="K69" i="5"/>
  <c r="C70" i="5"/>
  <c r="E46" i="5"/>
  <c r="F46" i="5" s="1"/>
  <c r="H46" i="5"/>
  <c r="J46" i="5"/>
  <c r="K46" i="5"/>
  <c r="C47" i="5"/>
  <c r="K23" i="5"/>
  <c r="C24" i="5"/>
  <c r="J23" i="5"/>
  <c r="E23" i="5"/>
  <c r="F23" i="5" s="1"/>
  <c r="H23" i="5"/>
  <c r="L45" i="5"/>
  <c r="N45" i="5" s="1"/>
  <c r="L68" i="5"/>
  <c r="N68" i="5" s="1"/>
  <c r="E70" i="5" l="1"/>
  <c r="F70" i="5" s="1"/>
  <c r="H70" i="5"/>
  <c r="J70" i="5"/>
  <c r="K70" i="5"/>
  <c r="C71" i="5"/>
  <c r="E47" i="5"/>
  <c r="F47" i="5" s="1"/>
  <c r="H47" i="5"/>
  <c r="J47" i="5"/>
  <c r="K47" i="5"/>
  <c r="C48" i="5"/>
  <c r="J24" i="5"/>
  <c r="C25" i="5"/>
  <c r="K24" i="5"/>
  <c r="E24" i="5"/>
  <c r="F24" i="5" s="1"/>
  <c r="H24" i="5"/>
  <c r="L23" i="5"/>
  <c r="N23" i="5" s="1"/>
  <c r="L69" i="5"/>
  <c r="N69" i="5" s="1"/>
  <c r="L46" i="5"/>
  <c r="N46" i="5" s="1"/>
  <c r="L70" i="5" l="1"/>
  <c r="N70" i="5" s="1"/>
  <c r="L47" i="5"/>
  <c r="N47" i="5" s="1"/>
  <c r="E71" i="5"/>
  <c r="F71" i="5" s="1"/>
  <c r="H71" i="5"/>
  <c r="J71" i="5"/>
  <c r="K71" i="5"/>
  <c r="C72" i="5"/>
  <c r="E48" i="5"/>
  <c r="F48" i="5" s="1"/>
  <c r="H48" i="5"/>
  <c r="J48" i="5"/>
  <c r="K48" i="5"/>
  <c r="C49" i="5"/>
  <c r="J25" i="5"/>
  <c r="C26" i="5"/>
  <c r="H25" i="5"/>
  <c r="E25" i="5"/>
  <c r="F25" i="5" s="1"/>
  <c r="K25" i="5"/>
  <c r="L24" i="5"/>
  <c r="N24" i="5" s="1"/>
  <c r="L71" i="5" l="1"/>
  <c r="N71" i="5" s="1"/>
  <c r="L48" i="5"/>
  <c r="N48" i="5" s="1"/>
  <c r="E72" i="5"/>
  <c r="F72" i="5" s="1"/>
  <c r="H72" i="5"/>
  <c r="J72" i="5"/>
  <c r="K72" i="5"/>
  <c r="H49" i="5"/>
  <c r="J49" i="5"/>
  <c r="K49" i="5"/>
  <c r="E49" i="5"/>
  <c r="F49" i="5" s="1"/>
  <c r="L49" i="5" s="1"/>
  <c r="H26" i="5"/>
  <c r="K26" i="5"/>
  <c r="E26" i="5"/>
  <c r="F26" i="5" s="1"/>
  <c r="J26" i="5"/>
  <c r="L25" i="5"/>
  <c r="N25" i="5" s="1"/>
  <c r="B50" i="5" l="1"/>
  <c r="B51" i="5" s="1"/>
  <c r="B52" i="5" s="1"/>
  <c r="B54" i="5" s="1"/>
  <c r="B55" i="5" s="1"/>
  <c r="B34" i="1" s="1"/>
  <c r="N49" i="5"/>
  <c r="L26" i="5"/>
  <c r="L72" i="5"/>
  <c r="D34" i="1" l="1"/>
  <c r="C34" i="1"/>
  <c r="N26" i="5"/>
  <c r="B27" i="5"/>
  <c r="B28" i="5" s="1"/>
  <c r="B29" i="5" s="1"/>
  <c r="B31" i="5" s="1"/>
  <c r="B32" i="5" s="1"/>
  <c r="B33" i="1" s="1"/>
  <c r="B73" i="5"/>
  <c r="B74" i="5" s="1"/>
  <c r="N72" i="5"/>
  <c r="C33" i="1" l="1"/>
  <c r="D33" i="1"/>
  <c r="B75" i="5"/>
  <c r="B77" i="5" s="1"/>
  <c r="B78" i="5" s="1"/>
  <c r="B35" i="1" s="1"/>
  <c r="C35" i="1" l="1"/>
  <c r="D35" i="1"/>
</calcChain>
</file>

<file path=xl/sharedStrings.xml><?xml version="1.0" encoding="utf-8"?>
<sst xmlns="http://schemas.openxmlformats.org/spreadsheetml/2006/main" count="316" uniqueCount="235">
  <si>
    <t>亚马逊（AMZN）巴菲特框架估值</t>
  </si>
  <si>
    <t>研究日 2026-10-29｜收盘价 $254.60｜最新财报：2026 Q2（2026-06-30）</t>
  </si>
  <si>
    <t>市值按 10.786B 股计算；净负债 = 债务 + 融资租赁 − 现金及有价证券。数据边界见报告第 1 节。</t>
  </si>
  <si>
    <t>一句话结论</t>
  </si>
  <si>
    <t>好生意，价格大致合理，但没有安全边际。AWS 重新加速、广告强，但 169B capex 让 FCF 为负。结论：观察，等 FCF 拐点。</t>
  </si>
  <si>
    <t>关键数据（十亿美元 / 倍 / 百分比）</t>
  </si>
  <si>
    <t>项目</t>
  </si>
  <si>
    <t>数值</t>
  </si>
  <si>
    <t>备注</t>
  </si>
  <si>
    <t>收盘价（美元）</t>
  </si>
  <si>
    <t>2026-10-28 收盘</t>
  </si>
  <si>
    <t>期末股数（十亿股）</t>
  </si>
  <si>
    <t>最新 10-Q/10-K 封面</t>
  </si>
  <si>
    <t>市值（十亿美元）</t>
  </si>
  <si>
    <t>价格 × 股数</t>
  </si>
  <si>
    <t>净负债（含融资租赁）</t>
  </si>
  <si>
    <t>正数为净负债，负数为净现金</t>
  </si>
  <si>
    <t>企业价值（十亿美元）</t>
  </si>
  <si>
    <t>市值 + 净负债</t>
  </si>
  <si>
    <t>TTM 收入</t>
  </si>
  <si>
    <t>最近四个季度</t>
  </si>
  <si>
    <t>TTM 经营利润</t>
  </si>
  <si>
    <t>剔除利息与投资收益</t>
  </si>
  <si>
    <t>TTM NOPAT</t>
  </si>
  <si>
    <t>经营利润 × (1−20%)</t>
  </si>
  <si>
    <t>TTM 自由现金流</t>
  </si>
  <si>
    <t>CFO − 现金 capex</t>
  </si>
  <si>
    <t>NTM 收入（DCF 第 1 年）</t>
  </si>
  <si>
    <t>按基准情景第 1 年增速</t>
  </si>
  <si>
    <t>TTM EPS（美元）</t>
  </si>
  <si>
    <t>GAAP；含 53.4B Anthropic 税前收益</t>
  </si>
  <si>
    <t>2026E 调整后 EPS（美元）</t>
  </si>
  <si>
    <t>本文估计/一致预期，见报告</t>
  </si>
  <si>
    <t>EV / TTM EBIT</t>
  </si>
  <si>
    <t>企业价值 / 经营利润</t>
  </si>
  <si>
    <t>P/E TTM</t>
  </si>
  <si>
    <t>价格 / TTM EPS</t>
  </si>
  <si>
    <t>P/E 前瞻</t>
  </si>
  <si>
    <t>价格 / 前瞻 EPS</t>
  </si>
  <si>
    <t>FCF 收益率</t>
  </si>
  <si>
    <t>TTM FCF / 市值</t>
  </si>
  <si>
    <t>EV / TTM FCF</t>
  </si>
  <si>
    <t>n.m.</t>
  </si>
  <si>
    <t>TTM FCF 为负，倍数无意义</t>
  </si>
  <si>
    <t>Capex / 收入</t>
  </si>
  <si>
    <t>TTM</t>
  </si>
  <si>
    <t>FCF / NOPAT</t>
  </si>
  <si>
    <t>现金转化率；&gt;100% 说明营运资金贡献</t>
  </si>
  <si>
    <t>股息率</t>
  </si>
  <si>
    <t>年化股息 / 价格</t>
  </si>
  <si>
    <t>情景</t>
  </si>
  <si>
    <t>每股价值（美元）</t>
  </si>
  <si>
    <t>较现价</t>
  </si>
  <si>
    <t>安全边际（1−价/值）</t>
  </si>
  <si>
    <t>10 年 IRR</t>
  </si>
  <si>
    <t>悲观</t>
  </si>
  <si>
    <t>基准</t>
  </si>
  <si>
    <t>乐观</t>
  </si>
  <si>
    <t>现价</t>
  </si>
  <si>
    <t>—</t>
  </si>
  <si>
    <t>结论与观察条件</t>
  </si>
  <si>
    <t>• 基准价值 $265，现价 $254.60；现价低于基准 3.9%。</t>
  </si>
  <si>
    <t>• 悲观 $105；基准 $265；乐观 $570；概率加权约 $278。</t>
  </si>
  <si>
    <t>• 反推：现价隐含未来 10 年收入 CAGR 约 8.9%，基准情景约 9.0%。</t>
  </si>
  <si>
    <t>• 若要求 20% 安全边际，观察价约 $212（基准价值 × 0.8）。</t>
  </si>
  <si>
    <t>• 结论是“观察/不追高”，不是个性化买卖指令；估值对增速、利润率和 WACC 高度敏感。</t>
  </si>
  <si>
    <t>• 这不是投资建议；所有假设与数据边界见报告。</t>
  </si>
  <si>
    <t>亚马逊五年财务与现金流（十亿美元，除每股数据）</t>
  </si>
  <si>
    <t>来源：公司 10-K/10-Q；TTM = 最近四个季度。</t>
  </si>
  <si>
    <t>FY2021</t>
  </si>
  <si>
    <t>FY2022</t>
  </si>
  <si>
    <t>FY2023</t>
  </si>
  <si>
    <t>FY2024</t>
  </si>
  <si>
    <t>FY2025</t>
  </si>
  <si>
    <t>收入</t>
  </si>
  <si>
    <t>年度 / TTM</t>
  </si>
  <si>
    <t>经营利润</t>
  </si>
  <si>
    <t>GAAP</t>
  </si>
  <si>
    <t>净利润</t>
  </si>
  <si>
    <t>经营现金流</t>
  </si>
  <si>
    <t>CFO</t>
  </si>
  <si>
    <t>资本开支（现金）</t>
  </si>
  <si>
    <t>现金 capex</t>
  </si>
  <si>
    <t>自由现金流</t>
  </si>
  <si>
    <t>CFO − capex</t>
  </si>
  <si>
    <t>稀释 EPS（美元）</t>
  </si>
  <si>
    <t>稀释</t>
  </si>
  <si>
    <t>稀释股数（十亿）</t>
  </si>
  <si>
    <t>加权平均</t>
  </si>
  <si>
    <t>收入增速</t>
  </si>
  <si>
    <t>经营利润率</t>
  </si>
  <si>
    <t>净利率</t>
  </si>
  <si>
    <t>FCF 利润率</t>
  </si>
  <si>
    <t>关键读数</t>
  </si>
  <si>
    <t>• FY2021–FY2025 收入 CAGR 约 11%；经营利润从 24.9B 增至 80.0B，利润率从 5.3% 升至 11.2%。</t>
  </si>
  <si>
    <t>• TTM 收入 775.7B，经营利润 93.7B（12.1%）；AWS 利润率 39.4%，广告增速 26%。</t>
  </si>
  <si>
    <t>• TTM 净利润 135.3B 含 53.4B Anthropic 税前投资收益；调整后净利约 92.6B。</t>
  </si>
  <si>
    <t>• TTM capex 169.0B，占收入 21.8%；FCF -7.6B，连续两个季度为负。</t>
  </si>
  <si>
    <t>• 2026 Q3 指引收入 197–202B、经营利润 22.5–26.5B；Q3 财报在 10/29 盘后发布，未纳入。</t>
  </si>
  <si>
    <t>亚马逊：分部与关键运营数据</t>
  </si>
  <si>
    <t>单位：十亿美元，另有注明除外；同比为公开披露口径。</t>
  </si>
  <si>
    <t>Q2 2026 分部</t>
  </si>
  <si>
    <t>单位：十亿美元；季度截至 2026-06-30。</t>
  </si>
  <si>
    <t>分部</t>
  </si>
  <si>
    <t>同比</t>
  </si>
  <si>
    <t>North America</t>
  </si>
  <si>
    <t>零售、广告、Prime</t>
  </si>
  <si>
    <t>International</t>
  </si>
  <si>
    <t>国际市场</t>
  </si>
  <si>
    <t>AWS</t>
  </si>
  <si>
    <t>年化 run-rate 169B</t>
  </si>
  <si>
    <t>Total</t>
  </si>
  <si>
    <t>经营利润 +43%</t>
  </si>
  <si>
    <t>Q2 2026 关键业务</t>
  </si>
  <si>
    <t>单位：十亿美元；广告为季度收入。</t>
  </si>
  <si>
    <t>业务</t>
  </si>
  <si>
    <t>收入/规模</t>
  </si>
  <si>
    <t>Advertising</t>
  </si>
  <si>
    <t>TTM 约 76.1B</t>
  </si>
  <si>
    <t>AWS AI business</t>
  </si>
  <si>
    <t>年化 run-rate；三位数增长</t>
  </si>
  <si>
    <t>AWS chips business</t>
  </si>
  <si>
    <t>Prime 当日/次日达</t>
  </si>
  <si>
    <t>上半年同比 +40% 商品</t>
  </si>
  <si>
    <t>解读</t>
  </si>
  <si>
    <t>• AWS Q2 收入 42.2B，+37%，经营利润 16.6B，利润率 39.4%；年化 run-rate 169B。</t>
  </si>
  <si>
    <t>• 广告 Q2 收入 19.8B，+26%；TTM 约 76.1B，是第二利润引擎。</t>
  </si>
  <si>
    <t>• 北美零售经营利润率 7.9%；国际 4.1%；零售整体仍在改善。</t>
  </si>
  <si>
    <t>• Q2 净利 62.6B 含 53.4B Anthropic 税前收益；不可持续，估值应剔除。</t>
  </si>
  <si>
    <t>• TTM capex 169B，FCF -7.6B；公司预计 2026 继续加大 AI/云基建。</t>
  </si>
  <si>
    <t>• Q3 财报 2026-10-29 盘后发布；本报告未纳入，数据边界为 Q2。</t>
  </si>
  <si>
    <t>AMZN TTM FCFF 桥：从经营利润到自由现金流</t>
  </si>
  <si>
    <t>单位：十亿美元；TTM = 最近四个季度；经营利润已扣除 SBC。</t>
  </si>
  <si>
    <t>说明</t>
  </si>
  <si>
    <t>经营利润（EBIT）</t>
  </si>
  <si>
    <t>有效税率</t>
  </si>
  <si>
    <t>正常化假设</t>
  </si>
  <si>
    <t>NOPAT</t>
  </si>
  <si>
    <t>EBIT × (1−税率)</t>
  </si>
  <si>
    <t>+ 折旧摊销</t>
  </si>
  <si>
    <t>+ 股权激励（SBC）</t>
  </si>
  <si>
    <t>非现金，但会稀释</t>
  </si>
  <si>
    <t>− 资本开支（现金）</t>
  </si>
  <si>
    <t>+ 营运资金及其他</t>
  </si>
  <si>
    <t>应收账款、存货、预收款等</t>
  </si>
  <si>
    <t>自由现金流（FCFF 口径）</t>
  </si>
  <si>
    <t>与报告 FCF 对齐</t>
  </si>
  <si>
    <t>报告 CFO</t>
  </si>
  <si>
    <t>与公司 FCF 差 0.1B（汇率/其他）</t>
  </si>
  <si>
    <t>现金转化率</t>
  </si>
  <si>
    <t>Capex / D&amp;A</t>
  </si>
  <si>
    <t>资本开支是折旧的倍数</t>
  </si>
  <si>
    <t>• TTM NOPAT 75.0B，capex 169.0B，资本开支是 NOPAT 的 2.3 倍。</t>
  </si>
  <si>
    <t>• D&amp;A 75.2B，capex 169.0B；差额 93.8B，未来折旧将压制利润率。</t>
  </si>
  <si>
    <t>• 营运资金及其他 -8.1B；FCF -7.6B，连续两个季度为负。</t>
  </si>
  <si>
    <t>• AWS 与广告的现金流被零售/AI 基建吞掉；FCF 拐点取决于 capex 增速能否放缓。</t>
  </si>
  <si>
    <t>三情景 FCFF DCF（未来 12 个月起算，10 年明确预测）</t>
  </si>
  <si>
    <t>单位：十亿美元，除每股数据；第 1 年约为未来四个季度；终值用永续增长。</t>
  </si>
  <si>
    <t>全局输入</t>
  </si>
  <si>
    <t>起始收入（TTM）</t>
  </si>
  <si>
    <t>税率</t>
  </si>
  <si>
    <t>营运资金/增量收入</t>
  </si>
  <si>
    <t>股权投资（非经营）</t>
  </si>
  <si>
    <t>股数（十亿）</t>
  </si>
  <si>
    <t>注：净负债 = 128.894 + 14.000 − 122.988 = 19.906；股权投资仅用于 SOTP，DCF/IRR 不计入。</t>
  </si>
  <si>
    <t>悲观情景</t>
  </si>
  <si>
    <t>WACC</t>
  </si>
  <si>
    <t>终值增长 g</t>
  </si>
  <si>
    <t>Year</t>
  </si>
  <si>
    <t>EBIT 利润率</t>
  </si>
  <si>
    <t>EBIT</t>
  </si>
  <si>
    <t>D&amp;A %</t>
  </si>
  <si>
    <t>D&amp;A</t>
  </si>
  <si>
    <t>Capex %</t>
  </si>
  <si>
    <t>Capex</t>
  </si>
  <si>
    <t>ΔNWC</t>
  </si>
  <si>
    <t>FCFF</t>
  </si>
  <si>
    <t>折现因子</t>
  </si>
  <si>
    <t>PV</t>
  </si>
  <si>
    <t>终值</t>
  </si>
  <si>
    <t>PV 终值</t>
  </si>
  <si>
    <t>EV</t>
  </si>
  <si>
    <t>− 净负债</t>
  </si>
  <si>
    <t>股权价值</t>
  </si>
  <si>
    <t>每股价值</t>
  </si>
  <si>
    <t>TV 占比 71%；终值 FCF 136B；终值收入 1201B</t>
  </si>
  <si>
    <t>基准情景</t>
  </si>
  <si>
    <t>TV 占比 75%；终值 FCF 271B；终值收入 1843B</t>
  </si>
  <si>
    <t>乐观情景</t>
  </si>
  <si>
    <t>TV 占比 79%；终值 FCF 475B；终值收入 2389B</t>
  </si>
  <si>
    <t>估值敏感性：WACC、终值 capex、终值利润率</t>
  </si>
  <si>
    <t>基准情景；每股价值（美元）；由 Python 独立计算。</t>
  </si>
  <si>
    <t>终值 Capex / 收入</t>
  </si>
  <si>
    <t>终值 EBIT 利润率</t>
  </si>
  <si>
    <t>反推：现价隐含的 10 年收入 CAGR</t>
  </si>
  <si>
    <t>现价 $254.60</t>
  </si>
  <si>
    <t>基准情景 10 年 CAGR</t>
  </si>
  <si>
    <t>SOTP 交叉检查（每股美元）</t>
  </si>
  <si>
    <t>低</t>
  </si>
  <si>
    <t>中</t>
  </si>
  <si>
    <t>高</t>
  </si>
  <si>
    <t>AWS（22x/25x/28x EBIT）</t>
  </si>
  <si>
    <t>Advertising（18x/20x/22x EBIT）</t>
  </si>
  <si>
    <t>Retail（12x/14x/16x EBIT）</t>
  </si>
  <si>
    <t>合计（扣净负债）</t>
  </si>
  <si>
    <t>AWS 2026E 收入约 180B、EBIT margin 38%；广告 82B、35%；零售 640B、5.5%。仅作交叉检查。</t>
  </si>
  <si>
    <t>数据来源与日期</t>
  </si>
  <si>
    <t>研究截止 2026-10-29；所有链接为 SEC EDGAR 或公司 IR。</t>
  </si>
  <si>
    <t>数据</t>
  </si>
  <si>
    <t>来源</t>
  </si>
  <si>
    <t>日期</t>
  </si>
  <si>
    <t>链接/备注</t>
  </si>
  <si>
    <t>2026 Q2 业绩</t>
  </si>
  <si>
    <t>SEC 8-K Exhibit 99.1</t>
  </si>
  <si>
    <t>2026-07-30</t>
  </si>
  <si>
    <t>https://www.sec.gov/Archives/edgar/data/1018724/000101872426000024/amzn-20260630xex991.htm</t>
  </si>
  <si>
    <t>2026 Q2 10-Q</t>
  </si>
  <si>
    <t>SEC EDGAR, Amazon.com</t>
  </si>
  <si>
    <t>2026-08-01</t>
  </si>
  <si>
    <t>https://www.sec.gov/Archives/edgar/data/1018724/000101872426000026/amzn-20260630.htm</t>
  </si>
  <si>
    <t>2025 10-K</t>
  </si>
  <si>
    <t>2026-02-06</t>
  </si>
  <si>
    <t>https://www.sec.gov/Archives/edgar/data/1018724/000101872426000004/amzn-20251231.htm</t>
  </si>
  <si>
    <t>价格/市值</t>
  </si>
  <si>
    <t>Yahoo Finance / StockAnalysis</t>
  </si>
  <si>
    <t>2026-10-28</t>
  </si>
  <si>
    <t>收盘 254.60；市值约 2,746B</t>
  </si>
  <si>
    <t>Q3 2026 业绩</t>
  </si>
  <si>
    <t>Amazon IR</t>
  </si>
  <si>
    <t>2026-10-29 盘后</t>
  </si>
  <si>
    <t>本报告截止时尚未发布；数据边界为 Q2 2026</t>
  </si>
  <si>
    <t>10Y 美债</t>
  </si>
  <si>
    <t>YCharts / CNBC</t>
  </si>
  <si>
    <t>5.03%</t>
  </si>
  <si>
    <t>免责声明：本模型为公开信息研究与教学用途，不构成投资建议，也不构成任何个性化买卖指令。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</si>
</sst>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\$#,##0.00"/>
    <numFmt numFmtId="177" formatCode="0.000"/>
    <numFmt numFmtId="178" formatCode="#,##0.0"/>
    <numFmt numFmtId="179" formatCode="0.0&quot;x&quot;"/>
    <numFmt numFmtId="180" formatCode="0.0%"/>
    <numFmt numFmtId="181" formatCode="\$#,##0"/>
  </numFmts>
  <fonts count="12">
    <font>
      <sz val="11"/>
      <color theme="1"/>
      <name val="宋体"/>
      <family val="2"/>
      <scheme val="minor"/>
    </font>
    <font>
      <b/>
      <sz val="16"/>
      <color rgb="FF1F2933"/>
      <name val="Microsoft YaHei"/>
      <family val="2"/>
      <charset val="134"/>
    </font>
    <font>
      <sz val="10"/>
      <color rgb="FF5B6770"/>
      <name val="Microsoft YaHei"/>
      <family val="2"/>
      <charset val="134"/>
    </font>
    <font>
      <b/>
      <sz val="11"/>
      <color rgb="FF1F2933"/>
      <name val="Microsoft YaHei"/>
      <family val="2"/>
      <charset val="134"/>
    </font>
    <font>
      <b/>
      <sz val="11"/>
      <color rgb="FFB23A2E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sz val="9"/>
      <color rgb="FF1F2933"/>
      <name val="Microsoft YaHei"/>
      <family val="2"/>
      <charset val="134"/>
    </font>
    <font>
      <b/>
      <sz val="9"/>
      <color rgb="FF1F2933"/>
      <name val="Microsoft YaHei"/>
      <family val="2"/>
      <charset val="134"/>
    </font>
    <font>
      <b/>
      <sz val="9"/>
      <color rgb="FFB23A2E"/>
      <name val="Microsoft YaHei"/>
      <family val="2"/>
      <charset val="134"/>
    </font>
    <font>
      <sz val="10"/>
      <color rgb="FF1F2933"/>
      <name val="Microsoft YaHei"/>
      <family val="2"/>
      <charset val="134"/>
    </font>
    <font>
      <sz val="9"/>
      <color rgb="FF5B677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2D5"/>
      </patternFill>
    </fill>
    <fill>
      <patternFill patternType="solid">
        <fgColor rgb="FF1F2933"/>
      </patternFill>
    </fill>
  </fills>
  <borders count="2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177" fontId="6" fillId="0" borderId="1" xfId="0" applyNumberFormat="1" applyFont="1" applyBorder="1" applyAlignment="1">
      <alignment horizontal="right" vertical="center"/>
    </xf>
    <xf numFmtId="178" fontId="7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7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79" fontId="6" fillId="0" borderId="1" xfId="0" applyNumberFormat="1" applyFont="1" applyBorder="1" applyAlignment="1">
      <alignment horizontal="right" vertical="center"/>
    </xf>
    <xf numFmtId="180" fontId="6" fillId="0" borderId="1" xfId="0" applyNumberFormat="1" applyFont="1" applyBorder="1" applyAlignment="1">
      <alignment horizontal="right" vertical="center"/>
    </xf>
    <xf numFmtId="180" fontId="7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right" vertical="center"/>
    </xf>
    <xf numFmtId="181" fontId="6" fillId="0" borderId="1" xfId="0" applyNumberFormat="1" applyFont="1" applyBorder="1" applyAlignment="1">
      <alignment horizontal="right" vertical="center"/>
    </xf>
    <xf numFmtId="0" fontId="2" fillId="0" borderId="0" xfId="0" applyFont="1"/>
    <xf numFmtId="0" fontId="0" fillId="0" borderId="0" xfId="0"/>
    <xf numFmtId="0" fontId="9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AMZN </a:t>
            </a:r>
            <a:r>
              <a:rPr lang="zh-CN" altLang="en-US"/>
              <a:t>三情景每股价值 </a:t>
            </a:r>
            <a:r>
              <a:rPr lang="en-US"/>
              <a:t>vs </a:t>
            </a:r>
            <a:r>
              <a:rPr lang="zh-CN" altLang="en-US"/>
              <a:t>现价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结论!$B$32</c:f>
              <c:strCache>
                <c:ptCount val="1"/>
                <c:pt idx="0">
                  <c:v>每股价值（美元）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B2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B8C-4F5A-A19A-6C30B35781B6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B8C-4F5A-A19A-6C30B35781B6}"/>
              </c:ext>
            </c:extLst>
          </c:dPt>
          <c:dPt>
            <c:idx val="2"/>
            <c:invertIfNegative val="1"/>
            <c:bubble3D val="0"/>
            <c:spPr>
              <a:solidFill>
                <a:srgbClr val="2F6B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B8C-4F5A-A19A-6C30B35781B6}"/>
              </c:ext>
            </c:extLst>
          </c:dPt>
          <c:dPt>
            <c:idx val="3"/>
            <c:invertIfNegative val="1"/>
            <c:bubble3D val="0"/>
            <c:spPr>
              <a:solidFill>
                <a:srgbClr val="1A73E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B8C-4F5A-A19A-6C30B35781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结论!$A$33:$A$36</c:f>
              <c:strCache>
                <c:ptCount val="4"/>
                <c:pt idx="0">
                  <c:v>悲观</c:v>
                </c:pt>
                <c:pt idx="1">
                  <c:v>基准</c:v>
                </c:pt>
                <c:pt idx="2">
                  <c:v>乐观</c:v>
                </c:pt>
                <c:pt idx="3">
                  <c:v>现价</c:v>
                </c:pt>
              </c:strCache>
            </c:strRef>
          </c:cat>
          <c:val>
            <c:numRef>
              <c:f>结论!$B$33:$B$36</c:f>
              <c:numCache>
                <c:formatCode>\$#,##0.00</c:formatCode>
                <c:ptCount val="4"/>
                <c:pt idx="0">
                  <c:v>104.72901967741771</c:v>
                </c:pt>
                <c:pt idx="1">
                  <c:v>264.97070340919856</c:v>
                </c:pt>
                <c:pt idx="2">
                  <c:v>569.90238883975758</c:v>
                </c:pt>
                <c:pt idx="3">
                  <c:v>254.6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B8C-4F5A-A19A-6C30B35781B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美元</a:t>
                </a:r>
                <a:r>
                  <a:rPr lang="en-US" altLang="zh-CN"/>
                  <a:t>/</a:t>
                </a:r>
                <a:r>
                  <a:rPr lang="zh-CN" altLang="en-US"/>
                  <a:t>股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基准情景 FCFF 路径（十亿美元）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DCF!$L$39</c:f>
              <c:strCache>
                <c:ptCount val="1"/>
                <c:pt idx="0">
                  <c:v>FCFF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DCF!$A$40:$A$49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DCF!$L$40:$L$49</c:f>
              <c:numCache>
                <c:formatCode>#,##0.0</c:formatCode>
                <c:ptCount val="10"/>
                <c:pt idx="0">
                  <c:v>-24.07710719999999</c:v>
                </c:pt>
                <c:pt idx="1">
                  <c:v>1.5836282879999906</c:v>
                </c:pt>
                <c:pt idx="2">
                  <c:v>45.789892116480068</c:v>
                </c:pt>
                <c:pt idx="3">
                  <c:v>93.746187730943987</c:v>
                </c:pt>
                <c:pt idx="4">
                  <c:v>135.47243207393288</c:v>
                </c:pt>
                <c:pt idx="5">
                  <c:v>167.3903436635309</c:v>
                </c:pt>
                <c:pt idx="6">
                  <c:v>201.66844787681453</c:v>
                </c:pt>
                <c:pt idx="7">
                  <c:v>230.93923360302477</c:v>
                </c:pt>
                <c:pt idx="8">
                  <c:v>242.80455650953803</c:v>
                </c:pt>
                <c:pt idx="9">
                  <c:v>271.27967600679284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39-4639-8817-5806494C7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FCFF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</xdr:row>
      <xdr:rowOff>0</xdr:rowOff>
    </xdr:from>
    <xdr:ext cx="52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12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4"/>
  <sheetViews>
    <sheetView showGridLines="0" tabSelected="1" workbookViewId="0"/>
  </sheetViews>
  <sheetFormatPr defaultRowHeight="14.4"/>
  <cols>
    <col min="1" max="1" width="30" customWidth="1"/>
    <col min="2" max="2" width="17" customWidth="1"/>
    <col min="3" max="3" width="26" customWidth="1"/>
    <col min="4" max="4" width="22" customWidth="1"/>
    <col min="5" max="5" width="14" customWidth="1"/>
  </cols>
  <sheetData>
    <row r="1" spans="1:13" ht="23.4">
      <c r="A1" s="1" t="s">
        <v>0</v>
      </c>
    </row>
    <row r="2" spans="1:13" ht="15.6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15.6">
      <c r="A3" s="26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5" spans="1:13" ht="16.2">
      <c r="A5" s="3" t="s">
        <v>3</v>
      </c>
      <c r="B5" s="4"/>
      <c r="C5" s="4"/>
      <c r="D5" s="4"/>
      <c r="E5" s="4"/>
    </row>
    <row r="6" spans="1:13" ht="54" customHeight="1">
      <c r="A6" s="29" t="s">
        <v>4</v>
      </c>
      <c r="B6" s="27"/>
      <c r="C6" s="27"/>
      <c r="D6" s="27"/>
      <c r="E6" s="27"/>
    </row>
    <row r="8" spans="1:13" ht="16.2">
      <c r="A8" s="3" t="s">
        <v>5</v>
      </c>
      <c r="B8" s="4"/>
      <c r="C8" s="4"/>
      <c r="D8" s="4"/>
      <c r="E8" s="4"/>
    </row>
    <row r="9" spans="1:13">
      <c r="A9" s="5" t="s">
        <v>6</v>
      </c>
      <c r="B9" s="5" t="s">
        <v>7</v>
      </c>
      <c r="C9" s="5" t="s">
        <v>8</v>
      </c>
    </row>
    <row r="10" spans="1:13">
      <c r="A10" s="6" t="s">
        <v>9</v>
      </c>
      <c r="B10" s="7">
        <v>254.6</v>
      </c>
      <c r="C10" s="8" t="s">
        <v>10</v>
      </c>
    </row>
    <row r="11" spans="1:13">
      <c r="A11" s="6" t="s">
        <v>11</v>
      </c>
      <c r="B11" s="9">
        <v>10.786</v>
      </c>
      <c r="C11" s="8" t="s">
        <v>12</v>
      </c>
    </row>
    <row r="12" spans="1:13">
      <c r="A12" s="6" t="s">
        <v>13</v>
      </c>
      <c r="B12" s="10">
        <f>B10*B11</f>
        <v>2746.1155999999996</v>
      </c>
      <c r="C12" s="8" t="s">
        <v>14</v>
      </c>
    </row>
    <row r="13" spans="1:13">
      <c r="A13" s="6" t="s">
        <v>15</v>
      </c>
      <c r="B13" s="11">
        <v>19.905999999999999</v>
      </c>
      <c r="C13" s="8" t="s">
        <v>16</v>
      </c>
    </row>
    <row r="14" spans="1:13">
      <c r="A14" s="6" t="s">
        <v>17</v>
      </c>
      <c r="B14" s="10">
        <f>B12+B13</f>
        <v>2766.0215999999996</v>
      </c>
      <c r="C14" s="8" t="s">
        <v>18</v>
      </c>
    </row>
    <row r="15" spans="1:13">
      <c r="A15" s="6" t="s">
        <v>19</v>
      </c>
      <c r="B15" s="11">
        <v>775.68</v>
      </c>
      <c r="C15" s="8" t="s">
        <v>20</v>
      </c>
    </row>
    <row r="16" spans="1:13">
      <c r="A16" s="6" t="s">
        <v>21</v>
      </c>
      <c r="B16" s="11">
        <v>93.712000000000003</v>
      </c>
      <c r="C16" s="8" t="s">
        <v>22</v>
      </c>
    </row>
    <row r="17" spans="1:5">
      <c r="A17" s="6" t="s">
        <v>23</v>
      </c>
      <c r="B17" s="11">
        <v>74.97</v>
      </c>
      <c r="C17" s="8" t="s">
        <v>24</v>
      </c>
    </row>
    <row r="18" spans="1:5">
      <c r="A18" s="6" t="s">
        <v>25</v>
      </c>
      <c r="B18" s="11">
        <v>-7.6040000000000001</v>
      </c>
      <c r="C18" s="8" t="s">
        <v>26</v>
      </c>
    </row>
    <row r="19" spans="1:5">
      <c r="A19" s="6" t="s">
        <v>27</v>
      </c>
      <c r="B19" s="11">
        <v>899.8</v>
      </c>
      <c r="C19" s="8" t="s">
        <v>28</v>
      </c>
    </row>
    <row r="20" spans="1:5" ht="26.4">
      <c r="A20" s="6" t="s">
        <v>29</v>
      </c>
      <c r="B20" s="12">
        <v>12.54</v>
      </c>
      <c r="C20" s="8" t="s">
        <v>30</v>
      </c>
    </row>
    <row r="21" spans="1:5">
      <c r="A21" s="6" t="s">
        <v>31</v>
      </c>
      <c r="B21" s="12">
        <v>9.5</v>
      </c>
      <c r="C21" s="8" t="s">
        <v>32</v>
      </c>
    </row>
    <row r="22" spans="1:5">
      <c r="A22" s="6" t="s">
        <v>33</v>
      </c>
      <c r="B22" s="13">
        <f>B14/B16</f>
        <v>29.516194297421883</v>
      </c>
      <c r="C22" s="8" t="s">
        <v>34</v>
      </c>
    </row>
    <row r="23" spans="1:5">
      <c r="A23" s="6" t="s">
        <v>35</v>
      </c>
      <c r="B23" s="13">
        <f>B10/B20</f>
        <v>20.303030303030305</v>
      </c>
      <c r="C23" s="8" t="s">
        <v>36</v>
      </c>
    </row>
    <row r="24" spans="1:5">
      <c r="A24" s="6" t="s">
        <v>37</v>
      </c>
      <c r="B24" s="13">
        <f>B10/B21</f>
        <v>26.8</v>
      </c>
      <c r="C24" s="8" t="s">
        <v>38</v>
      </c>
    </row>
    <row r="25" spans="1:5">
      <c r="A25" s="6" t="s">
        <v>39</v>
      </c>
      <c r="B25" s="14">
        <f>B18/B12</f>
        <v>-2.769002149800249E-3</v>
      </c>
      <c r="C25" s="8" t="s">
        <v>40</v>
      </c>
    </row>
    <row r="26" spans="1:5">
      <c r="A26" s="6" t="s">
        <v>41</v>
      </c>
      <c r="B26" s="15" t="s">
        <v>42</v>
      </c>
      <c r="C26" s="8" t="s">
        <v>43</v>
      </c>
    </row>
    <row r="27" spans="1:5">
      <c r="A27" s="6" t="s">
        <v>44</v>
      </c>
      <c r="B27" s="16">
        <v>0.21788237417491749</v>
      </c>
      <c r="C27" s="8" t="s">
        <v>45</v>
      </c>
    </row>
    <row r="28" spans="1:5" ht="26.4">
      <c r="A28" s="6" t="s">
        <v>46</v>
      </c>
      <c r="B28" s="17">
        <f>B18/B17</f>
        <v>-0.10142723756169135</v>
      </c>
      <c r="C28" s="8" t="s">
        <v>47</v>
      </c>
    </row>
    <row r="29" spans="1:5">
      <c r="A29" s="6" t="s">
        <v>48</v>
      </c>
      <c r="B29" s="18">
        <v>0</v>
      </c>
      <c r="C29" s="8" t="s">
        <v>49</v>
      </c>
    </row>
    <row r="32" spans="1:5">
      <c r="A32" s="5" t="s">
        <v>50</v>
      </c>
      <c r="B32" s="5" t="s">
        <v>51</v>
      </c>
      <c r="C32" s="5" t="s">
        <v>52</v>
      </c>
      <c r="D32" s="5" t="s">
        <v>53</v>
      </c>
      <c r="E32" s="5" t="s">
        <v>54</v>
      </c>
    </row>
    <row r="33" spans="1:5">
      <c r="A33" s="6" t="s">
        <v>55</v>
      </c>
      <c r="B33" s="7">
        <f>DCF!B32</f>
        <v>104.72901967741771</v>
      </c>
      <c r="C33" s="16">
        <f>B33/$B$10-1</f>
        <v>-0.58865271140055886</v>
      </c>
      <c r="D33" s="16">
        <f>1-$B$10/B33</f>
        <v>-1.4310358369075651</v>
      </c>
      <c r="E33" s="18">
        <v>6.2799999999999995E-2</v>
      </c>
    </row>
    <row r="34" spans="1:5">
      <c r="A34" s="19" t="s">
        <v>56</v>
      </c>
      <c r="B34" s="20">
        <f>DCF!B55</f>
        <v>264.97070340919856</v>
      </c>
      <c r="C34" s="16">
        <f>B34/$B$10-1</f>
        <v>4.0733320538878903E-2</v>
      </c>
      <c r="D34" s="16">
        <f>1-$B$10/B34</f>
        <v>3.9139056792942606E-2</v>
      </c>
      <c r="E34" s="18">
        <v>9.1800000000000007E-2</v>
      </c>
    </row>
    <row r="35" spans="1:5">
      <c r="A35" s="6" t="s">
        <v>57</v>
      </c>
      <c r="B35" s="7">
        <f>DCF!B78</f>
        <v>569.90238883975758</v>
      </c>
      <c r="C35" s="16">
        <f>B35/$B$10-1</f>
        <v>1.2384225798890713</v>
      </c>
      <c r="D35" s="16">
        <f>1-$B$10/B35</f>
        <v>0.5532568296154533</v>
      </c>
      <c r="E35" s="18">
        <v>0.126</v>
      </c>
    </row>
    <row r="36" spans="1:5">
      <c r="A36" s="21" t="s">
        <v>58</v>
      </c>
      <c r="B36" s="22">
        <v>254.6</v>
      </c>
      <c r="C36" s="16">
        <v>0</v>
      </c>
      <c r="D36" s="16">
        <v>0</v>
      </c>
      <c r="E36" s="23" t="s">
        <v>59</v>
      </c>
    </row>
    <row r="38" spans="1:5" ht="16.2">
      <c r="A38" s="3" t="s">
        <v>60</v>
      </c>
      <c r="B38" s="4"/>
      <c r="C38" s="4"/>
      <c r="D38" s="4"/>
      <c r="E38" s="4"/>
    </row>
    <row r="39" spans="1:5" ht="28.05" customHeight="1">
      <c r="A39" s="28" t="s">
        <v>61</v>
      </c>
      <c r="B39" s="27"/>
      <c r="C39" s="27"/>
      <c r="D39" s="27"/>
      <c r="E39" s="27"/>
    </row>
    <row r="40" spans="1:5" ht="28.05" customHeight="1">
      <c r="A40" s="28" t="s">
        <v>62</v>
      </c>
      <c r="B40" s="27"/>
      <c r="C40" s="27"/>
      <c r="D40" s="27"/>
      <c r="E40" s="27"/>
    </row>
    <row r="41" spans="1:5" ht="28.05" customHeight="1">
      <c r="A41" s="28" t="s">
        <v>63</v>
      </c>
      <c r="B41" s="27"/>
      <c r="C41" s="27"/>
      <c r="D41" s="27"/>
      <c r="E41" s="27"/>
    </row>
    <row r="42" spans="1:5" ht="28.05" customHeight="1">
      <c r="A42" s="28" t="s">
        <v>64</v>
      </c>
      <c r="B42" s="27"/>
      <c r="C42" s="27"/>
      <c r="D42" s="27"/>
      <c r="E42" s="27"/>
    </row>
    <row r="43" spans="1:5" ht="28.05" customHeight="1">
      <c r="A43" s="28" t="s">
        <v>65</v>
      </c>
      <c r="B43" s="27"/>
      <c r="C43" s="27"/>
      <c r="D43" s="27"/>
      <c r="E43" s="27"/>
    </row>
    <row r="44" spans="1:5" ht="28.05" customHeight="1">
      <c r="A44" s="28" t="s">
        <v>66</v>
      </c>
      <c r="B44" s="27"/>
      <c r="C44" s="27"/>
      <c r="D44" s="27"/>
      <c r="E44" s="27"/>
    </row>
  </sheetData>
  <mergeCells count="9">
    <mergeCell ref="A3:M3"/>
    <mergeCell ref="A44:E44"/>
    <mergeCell ref="A6:E6"/>
    <mergeCell ref="A2:M2"/>
    <mergeCell ref="A39:E39"/>
    <mergeCell ref="A43:E43"/>
    <mergeCell ref="A42:E42"/>
    <mergeCell ref="A41:E41"/>
    <mergeCell ref="A40:E40"/>
  </mergeCells>
  <phoneticPr fontId="11" type="noConversion"/>
  <pageMargins left="0.25" right="0.25" top="0.35" bottom="0.35" header="0.15" footer="0.1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"/>
  <sheetViews>
    <sheetView showGridLines="0" workbookViewId="0"/>
  </sheetViews>
  <sheetFormatPr defaultRowHeight="14.4"/>
  <cols>
    <col min="1" max="1" width="28" customWidth="1"/>
    <col min="2" max="6" width="11" customWidth="1"/>
    <col min="7" max="7" width="12" customWidth="1"/>
    <col min="8" max="8" width="34" customWidth="1"/>
  </cols>
  <sheetData>
    <row r="1" spans="1:8" ht="23.4">
      <c r="A1" s="1" t="s">
        <v>67</v>
      </c>
    </row>
    <row r="2" spans="1:8" ht="15.6">
      <c r="A2" s="26" t="s">
        <v>68</v>
      </c>
      <c r="B2" s="27"/>
      <c r="C2" s="27"/>
      <c r="D2" s="27"/>
      <c r="E2" s="27"/>
      <c r="F2" s="27"/>
      <c r="G2" s="27"/>
      <c r="H2" s="27"/>
    </row>
    <row r="4" spans="1:8">
      <c r="A4" s="5" t="s">
        <v>6</v>
      </c>
      <c r="B4" s="5" t="s">
        <v>69</v>
      </c>
      <c r="C4" s="5" t="s">
        <v>70</v>
      </c>
      <c r="D4" s="5" t="s">
        <v>71</v>
      </c>
      <c r="E4" s="5" t="s">
        <v>72</v>
      </c>
      <c r="F4" s="5" t="s">
        <v>73</v>
      </c>
      <c r="G4" s="5" t="s">
        <v>45</v>
      </c>
      <c r="H4" s="5" t="s">
        <v>8</v>
      </c>
    </row>
    <row r="5" spans="1:8">
      <c r="A5" s="6" t="s">
        <v>74</v>
      </c>
      <c r="B5" s="11">
        <v>469.822</v>
      </c>
      <c r="C5" s="11">
        <v>513.98299999999995</v>
      </c>
      <c r="D5" s="11">
        <v>574.78499999999997</v>
      </c>
      <c r="E5" s="11">
        <v>637.95899999999995</v>
      </c>
      <c r="F5" s="11">
        <v>716.92399999999998</v>
      </c>
      <c r="G5" s="11">
        <v>775.68</v>
      </c>
      <c r="H5" s="8" t="s">
        <v>75</v>
      </c>
    </row>
    <row r="6" spans="1:8">
      <c r="A6" s="6" t="s">
        <v>76</v>
      </c>
      <c r="B6" s="11">
        <v>24.879000000000001</v>
      </c>
      <c r="C6" s="11">
        <v>12.247999999999999</v>
      </c>
      <c r="D6" s="11">
        <v>36.851999999999997</v>
      </c>
      <c r="E6" s="11">
        <v>68.593000000000004</v>
      </c>
      <c r="F6" s="11">
        <v>79.974999999999994</v>
      </c>
      <c r="G6" s="11">
        <v>93.712000000000003</v>
      </c>
      <c r="H6" s="8" t="s">
        <v>77</v>
      </c>
    </row>
    <row r="7" spans="1:8">
      <c r="A7" s="6" t="s">
        <v>78</v>
      </c>
      <c r="B7" s="11">
        <v>33.363999999999997</v>
      </c>
      <c r="C7" s="11">
        <v>-2.722</v>
      </c>
      <c r="D7" s="11">
        <v>30.425000000000001</v>
      </c>
      <c r="E7" s="11">
        <v>59.247999999999998</v>
      </c>
      <c r="F7" s="11">
        <v>77.67</v>
      </c>
      <c r="G7" s="11">
        <v>135.28100000000001</v>
      </c>
      <c r="H7" s="8" t="s">
        <v>77</v>
      </c>
    </row>
    <row r="8" spans="1:8">
      <c r="A8" s="6" t="s">
        <v>79</v>
      </c>
      <c r="B8" s="11">
        <v>46.326999999999998</v>
      </c>
      <c r="C8" s="11">
        <v>46.752000000000002</v>
      </c>
      <c r="D8" s="11">
        <v>84.945999999999998</v>
      </c>
      <c r="E8" s="11">
        <v>115.877</v>
      </c>
      <c r="F8" s="11">
        <v>139.51400000000001</v>
      </c>
      <c r="G8" s="11">
        <v>161.40299999999999</v>
      </c>
      <c r="H8" s="8" t="s">
        <v>80</v>
      </c>
    </row>
    <row r="9" spans="1:8">
      <c r="A9" s="6" t="s">
        <v>81</v>
      </c>
      <c r="B9" s="11">
        <v>61.052999999999997</v>
      </c>
      <c r="C9" s="11">
        <v>63.645000000000003</v>
      </c>
      <c r="D9" s="11">
        <v>52.728999999999999</v>
      </c>
      <c r="E9" s="11">
        <v>82.998999999999995</v>
      </c>
      <c r="F9" s="11">
        <v>131.81899999999999</v>
      </c>
      <c r="G9" s="11">
        <v>169.00700000000001</v>
      </c>
      <c r="H9" s="8" t="s">
        <v>82</v>
      </c>
    </row>
    <row r="10" spans="1:8">
      <c r="A10" s="6" t="s">
        <v>83</v>
      </c>
      <c r="B10" s="11">
        <v>-14.726000000000001</v>
      </c>
      <c r="C10" s="11">
        <v>-16.893000000000001</v>
      </c>
      <c r="D10" s="11">
        <v>32.216999999999999</v>
      </c>
      <c r="E10" s="11">
        <v>32.878</v>
      </c>
      <c r="F10" s="11">
        <v>7.6950000000000003</v>
      </c>
      <c r="G10" s="11">
        <v>-7.6040000000000001</v>
      </c>
      <c r="H10" s="8" t="s">
        <v>84</v>
      </c>
    </row>
    <row r="11" spans="1:8">
      <c r="A11" s="6" t="s">
        <v>85</v>
      </c>
      <c r="B11" s="12">
        <v>3.24</v>
      </c>
      <c r="C11" s="12">
        <v>-0.27</v>
      </c>
      <c r="D11" s="12">
        <v>2.9</v>
      </c>
      <c r="E11" s="12">
        <v>5.53</v>
      </c>
      <c r="F11" s="12">
        <v>7.19</v>
      </c>
      <c r="G11" s="12">
        <v>12.54</v>
      </c>
      <c r="H11" s="8" t="s">
        <v>86</v>
      </c>
    </row>
    <row r="12" spans="1:8">
      <c r="A12" s="6" t="s">
        <v>87</v>
      </c>
      <c r="B12" s="9">
        <v>10.3</v>
      </c>
      <c r="C12" s="9">
        <v>10.19</v>
      </c>
      <c r="D12" s="9">
        <v>10.49</v>
      </c>
      <c r="E12" s="9">
        <v>10.68</v>
      </c>
      <c r="F12" s="9">
        <v>10.8</v>
      </c>
      <c r="G12" s="9">
        <v>10.786</v>
      </c>
      <c r="H12" s="8" t="s">
        <v>88</v>
      </c>
    </row>
    <row r="14" spans="1:8">
      <c r="A14" s="6" t="s">
        <v>89</v>
      </c>
      <c r="C14" s="16">
        <f>C5/B5-1</f>
        <v>9.3995172639850688E-2</v>
      </c>
      <c r="D14" s="16">
        <f>D5/C5-1</f>
        <v>0.1182957412988368</v>
      </c>
      <c r="E14" s="16">
        <f>E5/D5-1</f>
        <v>0.1099089224666614</v>
      </c>
      <c r="F14" s="16">
        <f>F5/E5-1</f>
        <v>0.12377754683294695</v>
      </c>
      <c r="G14" s="16">
        <f>G5/F5-1</f>
        <v>8.1955688469070642E-2</v>
      </c>
    </row>
    <row r="15" spans="1:8">
      <c r="A15" s="6" t="s">
        <v>90</v>
      </c>
      <c r="B15" s="16">
        <f t="shared" ref="B15:G15" si="0">B6/B5</f>
        <v>5.2954097509269472E-2</v>
      </c>
      <c r="C15" s="16">
        <f t="shared" si="0"/>
        <v>2.3829581912242236E-2</v>
      </c>
      <c r="D15" s="16">
        <f t="shared" si="0"/>
        <v>6.4114407996033296E-2</v>
      </c>
      <c r="E15" s="16">
        <f t="shared" si="0"/>
        <v>0.10751944874200381</v>
      </c>
      <c r="F15" s="16">
        <f t="shared" si="0"/>
        <v>0.11155296795755199</v>
      </c>
      <c r="G15" s="16">
        <f t="shared" si="0"/>
        <v>0.12081270627062707</v>
      </c>
    </row>
    <row r="16" spans="1:8">
      <c r="A16" s="6" t="s">
        <v>91</v>
      </c>
      <c r="B16" s="16">
        <f t="shared" ref="B16:G16" si="1">B7/B5</f>
        <v>7.1014128755145553E-2</v>
      </c>
      <c r="C16" s="16">
        <f t="shared" si="1"/>
        <v>-5.2958950004183027E-3</v>
      </c>
      <c r="D16" s="16">
        <f t="shared" si="1"/>
        <v>5.2932835755978326E-2</v>
      </c>
      <c r="E16" s="16">
        <f t="shared" si="1"/>
        <v>9.2871171971866534E-2</v>
      </c>
      <c r="F16" s="16">
        <f t="shared" si="1"/>
        <v>0.10833784334183261</v>
      </c>
      <c r="G16" s="16">
        <f t="shared" si="1"/>
        <v>0.17440310437293732</v>
      </c>
    </row>
    <row r="17" spans="1:8">
      <c r="A17" s="6" t="s">
        <v>92</v>
      </c>
      <c r="B17" s="16">
        <f t="shared" ref="B17:G17" si="2">B10/B5</f>
        <v>-3.1343785518770942E-2</v>
      </c>
      <c r="C17" s="16">
        <f t="shared" si="2"/>
        <v>-3.2866845790619541E-2</v>
      </c>
      <c r="D17" s="16">
        <f t="shared" si="2"/>
        <v>5.6050523239124198E-2</v>
      </c>
      <c r="E17" s="16">
        <f t="shared" si="2"/>
        <v>5.1536227249713545E-2</v>
      </c>
      <c r="F17" s="16">
        <f t="shared" si="2"/>
        <v>1.0733355278941701E-2</v>
      </c>
      <c r="G17" s="16">
        <f t="shared" si="2"/>
        <v>-9.8030115511551167E-3</v>
      </c>
    </row>
    <row r="18" spans="1:8">
      <c r="A18" s="6" t="s">
        <v>44</v>
      </c>
      <c r="B18" s="16">
        <f t="shared" ref="B18:G18" si="3">B9/B5</f>
        <v>0.12994921480901278</v>
      </c>
      <c r="C18" s="16">
        <f t="shared" si="3"/>
        <v>0.12382705264571009</v>
      </c>
      <c r="D18" s="16">
        <f t="shared" si="3"/>
        <v>9.1736910322990334E-2</v>
      </c>
      <c r="E18" s="16">
        <f t="shared" si="3"/>
        <v>0.13010083720113674</v>
      </c>
      <c r="F18" s="16">
        <f t="shared" si="3"/>
        <v>0.18386746712343288</v>
      </c>
      <c r="G18" s="16">
        <f t="shared" si="3"/>
        <v>0.21788237417491751</v>
      </c>
    </row>
    <row r="19" spans="1:8">
      <c r="A19" s="6" t="s">
        <v>46</v>
      </c>
      <c r="B19" s="16">
        <f t="shared" ref="B19:G19" si="4">B10/(B6*(1-0.2))</f>
        <v>-0.73988102415691948</v>
      </c>
      <c r="C19" s="16">
        <f t="shared" si="4"/>
        <v>-1.7240569888961461</v>
      </c>
      <c r="D19" s="16">
        <f t="shared" si="4"/>
        <v>1.0927832953435364</v>
      </c>
      <c r="E19" s="16">
        <f t="shared" si="4"/>
        <v>0.59915005904392571</v>
      </c>
      <c r="F19" s="16">
        <f t="shared" si="4"/>
        <v>0.1202719599874961</v>
      </c>
      <c r="G19" s="16">
        <f t="shared" si="4"/>
        <v>-0.1014277787263104</v>
      </c>
    </row>
    <row r="21" spans="1:8" ht="16.2">
      <c r="A21" s="3" t="s">
        <v>93</v>
      </c>
      <c r="B21" s="4"/>
      <c r="C21" s="4"/>
      <c r="D21" s="4"/>
      <c r="E21" s="4"/>
      <c r="F21" s="4"/>
      <c r="G21" s="4"/>
      <c r="H21" s="4"/>
    </row>
    <row r="22" spans="1:8" ht="30" customHeight="1">
      <c r="A22" s="28" t="s">
        <v>94</v>
      </c>
      <c r="B22" s="27"/>
      <c r="C22" s="27"/>
      <c r="D22" s="27"/>
      <c r="E22" s="27"/>
      <c r="F22" s="27"/>
      <c r="G22" s="27"/>
      <c r="H22" s="27"/>
    </row>
    <row r="23" spans="1:8" ht="30" customHeight="1">
      <c r="A23" s="28" t="s">
        <v>95</v>
      </c>
      <c r="B23" s="27"/>
      <c r="C23" s="27"/>
      <c r="D23" s="27"/>
      <c r="E23" s="27"/>
      <c r="F23" s="27"/>
      <c r="G23" s="27"/>
      <c r="H23" s="27"/>
    </row>
    <row r="24" spans="1:8" ht="30" customHeight="1">
      <c r="A24" s="28" t="s">
        <v>96</v>
      </c>
      <c r="B24" s="27"/>
      <c r="C24" s="27"/>
      <c r="D24" s="27"/>
      <c r="E24" s="27"/>
      <c r="F24" s="27"/>
      <c r="G24" s="27"/>
      <c r="H24" s="27"/>
    </row>
    <row r="25" spans="1:8" ht="30" customHeight="1">
      <c r="A25" s="28" t="s">
        <v>97</v>
      </c>
      <c r="B25" s="27"/>
      <c r="C25" s="27"/>
      <c r="D25" s="27"/>
      <c r="E25" s="27"/>
      <c r="F25" s="27"/>
      <c r="G25" s="27"/>
      <c r="H25" s="27"/>
    </row>
    <row r="26" spans="1:8" ht="30" customHeight="1">
      <c r="A26" s="28" t="s">
        <v>98</v>
      </c>
      <c r="B26" s="27"/>
      <c r="C26" s="27"/>
      <c r="D26" s="27"/>
      <c r="E26" s="27"/>
      <c r="F26" s="27"/>
      <c r="G26" s="27"/>
      <c r="H26" s="27"/>
    </row>
  </sheetData>
  <mergeCells count="6">
    <mergeCell ref="A26:H26"/>
    <mergeCell ref="A25:H25"/>
    <mergeCell ref="A24:H24"/>
    <mergeCell ref="A2:H2"/>
    <mergeCell ref="A23:H23"/>
    <mergeCell ref="A22:H22"/>
  </mergeCells>
  <phoneticPr fontId="11" type="noConversion"/>
  <pageMargins left="0.25" right="0.25" top="0.35" bottom="0.35" header="0.15" footer="0.1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8"/>
  <sheetViews>
    <sheetView showGridLines="0" workbookViewId="0"/>
  </sheetViews>
  <sheetFormatPr defaultRowHeight="14.4"/>
  <cols>
    <col min="1" max="1" width="30" customWidth="1"/>
    <col min="2" max="5" width="14" customWidth="1"/>
    <col min="6" max="6" width="38" customWidth="1"/>
  </cols>
  <sheetData>
    <row r="1" spans="1:6" ht="23.4">
      <c r="A1" s="1" t="s">
        <v>99</v>
      </c>
    </row>
    <row r="2" spans="1:6" ht="15.6">
      <c r="A2" s="26" t="s">
        <v>100</v>
      </c>
      <c r="B2" s="27"/>
      <c r="C2" s="27"/>
      <c r="D2" s="27"/>
      <c r="E2" s="27"/>
      <c r="F2" s="27"/>
    </row>
    <row r="4" spans="1:6" ht="16.2">
      <c r="A4" s="3" t="s">
        <v>101</v>
      </c>
      <c r="B4" s="4"/>
      <c r="C4" s="4"/>
      <c r="D4" s="4"/>
      <c r="E4" s="4"/>
      <c r="F4" s="4"/>
    </row>
    <row r="5" spans="1:6" ht="15.6">
      <c r="A5" s="2" t="s">
        <v>102</v>
      </c>
    </row>
    <row r="6" spans="1:6">
      <c r="A6" s="5" t="s">
        <v>103</v>
      </c>
      <c r="B6" s="5" t="s">
        <v>74</v>
      </c>
      <c r="C6" s="5" t="s">
        <v>104</v>
      </c>
      <c r="D6" s="5" t="s">
        <v>76</v>
      </c>
      <c r="E6" s="5" t="s">
        <v>90</v>
      </c>
      <c r="F6" s="5" t="s">
        <v>8</v>
      </c>
    </row>
    <row r="7" spans="1:6">
      <c r="A7" s="6" t="s">
        <v>105</v>
      </c>
      <c r="B7" s="11">
        <v>116.17700000000001</v>
      </c>
      <c r="C7" s="16">
        <v>0.16</v>
      </c>
      <c r="D7" s="11">
        <v>9.1229999999999993</v>
      </c>
      <c r="E7" s="16">
        <v>7.9000000000000001E-2</v>
      </c>
      <c r="F7" s="6" t="s">
        <v>106</v>
      </c>
    </row>
    <row r="8" spans="1:6">
      <c r="A8" s="6" t="s">
        <v>107</v>
      </c>
      <c r="B8" s="11">
        <v>42.197000000000003</v>
      </c>
      <c r="C8" s="16">
        <v>0.15</v>
      </c>
      <c r="D8" s="11">
        <v>1.7170000000000001</v>
      </c>
      <c r="E8" s="16">
        <v>4.1000000000000002E-2</v>
      </c>
      <c r="F8" s="6" t="s">
        <v>108</v>
      </c>
    </row>
    <row r="9" spans="1:6">
      <c r="A9" s="6" t="s">
        <v>109</v>
      </c>
      <c r="B9" s="11">
        <v>42.231999999999999</v>
      </c>
      <c r="C9" s="16">
        <v>0.37</v>
      </c>
      <c r="D9" s="11">
        <v>16.620999999999999</v>
      </c>
      <c r="E9" s="16">
        <v>0.39400000000000002</v>
      </c>
      <c r="F9" s="6" t="s">
        <v>110</v>
      </c>
    </row>
    <row r="10" spans="1:6">
      <c r="A10" s="19" t="s">
        <v>111</v>
      </c>
      <c r="B10" s="11">
        <v>200.60599999999999</v>
      </c>
      <c r="C10" s="16">
        <v>0.2</v>
      </c>
      <c r="D10" s="11">
        <v>27.460999999999999</v>
      </c>
      <c r="E10" s="16">
        <v>0.13700000000000001</v>
      </c>
      <c r="F10" s="6" t="s">
        <v>112</v>
      </c>
    </row>
    <row r="13" spans="1:6" ht="16.2">
      <c r="A13" s="3" t="s">
        <v>113</v>
      </c>
      <c r="B13" s="4"/>
      <c r="C13" s="4"/>
      <c r="D13" s="4"/>
      <c r="E13" s="4"/>
      <c r="F13" s="4"/>
    </row>
    <row r="14" spans="1:6" ht="15.6">
      <c r="A14" s="2" t="s">
        <v>114</v>
      </c>
    </row>
    <row r="15" spans="1:6">
      <c r="A15" s="5" t="s">
        <v>115</v>
      </c>
      <c r="B15" s="5" t="s">
        <v>116</v>
      </c>
      <c r="C15" s="5" t="s">
        <v>104</v>
      </c>
      <c r="D15" s="5" t="s">
        <v>8</v>
      </c>
    </row>
    <row r="16" spans="1:6">
      <c r="A16" s="6" t="s">
        <v>117</v>
      </c>
      <c r="B16" s="11">
        <v>19.809000000000001</v>
      </c>
      <c r="C16" s="16">
        <v>0.26</v>
      </c>
      <c r="D16" s="6" t="s">
        <v>118</v>
      </c>
    </row>
    <row r="17" spans="1:6">
      <c r="A17" s="6" t="s">
        <v>119</v>
      </c>
      <c r="B17" s="11">
        <v>25</v>
      </c>
      <c r="C17" s="16"/>
      <c r="D17" s="6" t="s">
        <v>120</v>
      </c>
    </row>
    <row r="18" spans="1:6">
      <c r="A18" s="6" t="s">
        <v>121</v>
      </c>
      <c r="B18" s="11">
        <v>25</v>
      </c>
      <c r="C18" s="16"/>
      <c r="D18" s="6" t="s">
        <v>120</v>
      </c>
    </row>
    <row r="19" spans="1:6">
      <c r="A19" s="6" t="s">
        <v>122</v>
      </c>
      <c r="B19" s="11"/>
      <c r="C19" s="16"/>
      <c r="D19" s="6" t="s">
        <v>123</v>
      </c>
    </row>
    <row r="22" spans="1:6" ht="16.2">
      <c r="A22" s="3" t="s">
        <v>124</v>
      </c>
      <c r="B22" s="4"/>
      <c r="C22" s="4"/>
      <c r="D22" s="4"/>
      <c r="E22" s="4"/>
      <c r="F22" s="4"/>
    </row>
    <row r="23" spans="1:6" ht="30" customHeight="1">
      <c r="A23" s="28" t="s">
        <v>125</v>
      </c>
      <c r="B23" s="27"/>
      <c r="C23" s="27"/>
      <c r="D23" s="27"/>
      <c r="E23" s="27"/>
      <c r="F23" s="27"/>
    </row>
    <row r="24" spans="1:6" ht="30" customHeight="1">
      <c r="A24" s="28" t="s">
        <v>126</v>
      </c>
      <c r="B24" s="27"/>
      <c r="C24" s="27"/>
      <c r="D24" s="27"/>
      <c r="E24" s="27"/>
      <c r="F24" s="27"/>
    </row>
    <row r="25" spans="1:6" ht="30" customHeight="1">
      <c r="A25" s="28" t="s">
        <v>127</v>
      </c>
      <c r="B25" s="27"/>
      <c r="C25" s="27"/>
      <c r="D25" s="27"/>
      <c r="E25" s="27"/>
      <c r="F25" s="27"/>
    </row>
    <row r="26" spans="1:6" ht="30" customHeight="1">
      <c r="A26" s="28" t="s">
        <v>128</v>
      </c>
      <c r="B26" s="27"/>
      <c r="C26" s="27"/>
      <c r="D26" s="27"/>
      <c r="E26" s="27"/>
      <c r="F26" s="27"/>
    </row>
    <row r="27" spans="1:6" ht="30" customHeight="1">
      <c r="A27" s="28" t="s">
        <v>129</v>
      </c>
      <c r="B27" s="27"/>
      <c r="C27" s="27"/>
      <c r="D27" s="27"/>
      <c r="E27" s="27"/>
      <c r="F27" s="27"/>
    </row>
    <row r="28" spans="1:6" ht="30" customHeight="1">
      <c r="A28" s="28" t="s">
        <v>130</v>
      </c>
      <c r="B28" s="27"/>
      <c r="C28" s="27"/>
      <c r="D28" s="27"/>
      <c r="E28" s="27"/>
      <c r="F28" s="27"/>
    </row>
  </sheetData>
  <mergeCells count="7">
    <mergeCell ref="A24:F24"/>
    <mergeCell ref="A2:F2"/>
    <mergeCell ref="A28:F28"/>
    <mergeCell ref="A23:F23"/>
    <mergeCell ref="A27:F27"/>
    <mergeCell ref="A26:F26"/>
    <mergeCell ref="A25:F25"/>
  </mergeCells>
  <phoneticPr fontId="11" type="noConversion"/>
  <pageMargins left="0.25" right="0.25" top="0.35" bottom="0.35" header="0.15" footer="0.1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4"/>
  <sheetViews>
    <sheetView showGridLines="0" workbookViewId="0"/>
  </sheetViews>
  <sheetFormatPr defaultRowHeight="14.4"/>
  <cols>
    <col min="1" max="1" width="34" customWidth="1"/>
    <col min="2" max="2" width="18" customWidth="1"/>
    <col min="3" max="3" width="52" customWidth="1"/>
  </cols>
  <sheetData>
    <row r="1" spans="1:3" ht="23.4">
      <c r="A1" s="1" t="s">
        <v>131</v>
      </c>
    </row>
    <row r="2" spans="1:3" ht="15.6">
      <c r="A2" s="26" t="s">
        <v>132</v>
      </c>
      <c r="B2" s="27"/>
      <c r="C2" s="27"/>
    </row>
    <row r="4" spans="1:3">
      <c r="A4" s="5" t="s">
        <v>6</v>
      </c>
      <c r="B4" s="5" t="s">
        <v>7</v>
      </c>
      <c r="C4" s="5" t="s">
        <v>133</v>
      </c>
    </row>
    <row r="5" spans="1:3">
      <c r="A5" s="6" t="s">
        <v>134</v>
      </c>
      <c r="B5" s="11">
        <v>93.712000000000003</v>
      </c>
      <c r="C5" s="8" t="s">
        <v>45</v>
      </c>
    </row>
    <row r="6" spans="1:3">
      <c r="A6" s="6" t="s">
        <v>135</v>
      </c>
      <c r="B6" s="16">
        <v>0.2</v>
      </c>
      <c r="C6" s="8" t="s">
        <v>136</v>
      </c>
    </row>
    <row r="7" spans="1:3">
      <c r="A7" s="6" t="s">
        <v>137</v>
      </c>
      <c r="B7" s="10">
        <f>B5*(1-B6)</f>
        <v>74.9696</v>
      </c>
      <c r="C7" s="8" t="s">
        <v>138</v>
      </c>
    </row>
    <row r="8" spans="1:3">
      <c r="A8" s="6" t="s">
        <v>139</v>
      </c>
      <c r="B8" s="11">
        <v>75.2</v>
      </c>
      <c r="C8" s="8" t="s">
        <v>45</v>
      </c>
    </row>
    <row r="9" spans="1:3">
      <c r="A9" s="6" t="s">
        <v>140</v>
      </c>
      <c r="B9" s="11">
        <v>19.314</v>
      </c>
      <c r="C9" s="8" t="s">
        <v>141</v>
      </c>
    </row>
    <row r="10" spans="1:3">
      <c r="A10" s="6" t="s">
        <v>142</v>
      </c>
      <c r="B10" s="11">
        <v>169.00700000000001</v>
      </c>
      <c r="C10" s="8" t="s">
        <v>45</v>
      </c>
    </row>
    <row r="11" spans="1:3">
      <c r="A11" s="6" t="s">
        <v>143</v>
      </c>
      <c r="B11" s="11">
        <v>-8.0809999999999995</v>
      </c>
      <c r="C11" s="8" t="s">
        <v>144</v>
      </c>
    </row>
    <row r="12" spans="1:3">
      <c r="A12" s="19" t="s">
        <v>145</v>
      </c>
      <c r="B12" s="10">
        <f>B7+B8+B9-B10+B11</f>
        <v>-7.6044000000000089</v>
      </c>
      <c r="C12" s="8" t="s">
        <v>146</v>
      </c>
    </row>
    <row r="13" spans="1:3">
      <c r="A13" s="6" t="s">
        <v>147</v>
      </c>
      <c r="B13" s="11">
        <v>161.40299999999999</v>
      </c>
      <c r="C13" s="8" t="s">
        <v>45</v>
      </c>
    </row>
    <row r="14" spans="1:3">
      <c r="A14" s="6" t="s">
        <v>142</v>
      </c>
      <c r="B14" s="11">
        <v>169.00700000000001</v>
      </c>
      <c r="C14" s="8" t="s">
        <v>45</v>
      </c>
    </row>
    <row r="15" spans="1:3">
      <c r="A15" s="19" t="s">
        <v>26</v>
      </c>
      <c r="B15" s="10">
        <f>B13-B14</f>
        <v>-7.6040000000000134</v>
      </c>
      <c r="C15" s="8" t="s">
        <v>148</v>
      </c>
    </row>
    <row r="16" spans="1:3">
      <c r="A16" s="6" t="s">
        <v>46</v>
      </c>
      <c r="B16" s="17">
        <f>B12/B7</f>
        <v>-0.10143311422229823</v>
      </c>
      <c r="C16" s="8" t="s">
        <v>149</v>
      </c>
    </row>
    <row r="17" spans="1:3">
      <c r="A17" s="6" t="s">
        <v>44</v>
      </c>
      <c r="B17" s="17">
        <f>B10/775.68</f>
        <v>0.21788237417491751</v>
      </c>
      <c r="C17" s="8" t="s">
        <v>45</v>
      </c>
    </row>
    <row r="18" spans="1:3">
      <c r="A18" s="6" t="s">
        <v>150</v>
      </c>
      <c r="B18" s="13">
        <f>B10/B8</f>
        <v>2.2474335106382979</v>
      </c>
      <c r="C18" s="8" t="s">
        <v>151</v>
      </c>
    </row>
    <row r="20" spans="1:3" ht="16.2">
      <c r="A20" s="3" t="s">
        <v>124</v>
      </c>
      <c r="B20" s="4"/>
      <c r="C20" s="4"/>
    </row>
    <row r="21" spans="1:3" ht="31.95" customHeight="1">
      <c r="A21" s="28" t="s">
        <v>152</v>
      </c>
      <c r="B21" s="27"/>
      <c r="C21" s="27"/>
    </row>
    <row r="22" spans="1:3" ht="31.95" customHeight="1">
      <c r="A22" s="28" t="s">
        <v>153</v>
      </c>
      <c r="B22" s="27"/>
      <c r="C22" s="27"/>
    </row>
    <row r="23" spans="1:3" ht="31.95" customHeight="1">
      <c r="A23" s="28" t="s">
        <v>154</v>
      </c>
      <c r="B23" s="27"/>
      <c r="C23" s="27"/>
    </row>
    <row r="24" spans="1:3" ht="31.95" customHeight="1">
      <c r="A24" s="28" t="s">
        <v>155</v>
      </c>
      <c r="B24" s="27"/>
      <c r="C24" s="27"/>
    </row>
  </sheetData>
  <mergeCells count="5">
    <mergeCell ref="A23:C23"/>
    <mergeCell ref="A22:C22"/>
    <mergeCell ref="A21:C21"/>
    <mergeCell ref="A24:C24"/>
    <mergeCell ref="A2:C2"/>
  </mergeCells>
  <phoneticPr fontId="11" type="noConversion"/>
  <pageMargins left="0.25" right="0.25" top="0.35" bottom="0.35" header="0.15" footer="0.1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78"/>
  <sheetViews>
    <sheetView showGridLines="0" workbookViewId="0"/>
  </sheetViews>
  <sheetFormatPr defaultRowHeight="14.4"/>
  <cols>
    <col min="1" max="1" width="20" customWidth="1"/>
    <col min="2" max="2" width="10" customWidth="1"/>
    <col min="3" max="3" width="11" customWidth="1"/>
    <col min="4" max="4" width="10" customWidth="1"/>
    <col min="5" max="6" width="11" customWidth="1"/>
    <col min="7" max="7" width="10" customWidth="1"/>
    <col min="8" max="8" width="9" customWidth="1"/>
    <col min="9" max="9" width="10" customWidth="1"/>
    <col min="10" max="10" width="9" customWidth="1"/>
    <col min="11" max="12" width="10" customWidth="1"/>
    <col min="13" max="13" width="9" customWidth="1"/>
    <col min="14" max="14" width="10" customWidth="1"/>
  </cols>
  <sheetData>
    <row r="1" spans="1:14" ht="23.4">
      <c r="A1" s="1" t="s">
        <v>156</v>
      </c>
    </row>
    <row r="2" spans="1:14" ht="15.6">
      <c r="A2" s="26" t="s">
        <v>157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ht="16.2">
      <c r="A4" s="3" t="s">
        <v>158</v>
      </c>
      <c r="B4" s="4"/>
      <c r="C4" s="4"/>
      <c r="D4" s="4"/>
      <c r="E4" s="4"/>
    </row>
    <row r="5" spans="1:14">
      <c r="A5" s="6" t="s">
        <v>159</v>
      </c>
      <c r="B5" s="11">
        <v>775.68</v>
      </c>
    </row>
    <row r="6" spans="1:14">
      <c r="A6" s="6" t="s">
        <v>160</v>
      </c>
      <c r="B6" s="16">
        <v>0.2</v>
      </c>
    </row>
    <row r="7" spans="1:14">
      <c r="A7" s="6" t="s">
        <v>161</v>
      </c>
      <c r="B7" s="16">
        <v>0.02</v>
      </c>
    </row>
    <row r="8" spans="1:14">
      <c r="A8" s="6" t="s">
        <v>15</v>
      </c>
      <c r="B8" s="11">
        <v>19.905999999999999</v>
      </c>
    </row>
    <row r="9" spans="1:14">
      <c r="A9" s="6" t="s">
        <v>162</v>
      </c>
      <c r="B9" s="11">
        <v>0</v>
      </c>
    </row>
    <row r="10" spans="1:14">
      <c r="A10" s="6" t="s">
        <v>163</v>
      </c>
      <c r="B10" s="9">
        <v>10.786</v>
      </c>
    </row>
    <row r="11" spans="1:14" ht="15">
      <c r="A11" s="30" t="s">
        <v>164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3" spans="1:14" ht="16.2">
      <c r="A13" s="3" t="s">
        <v>165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6" t="s">
        <v>166</v>
      </c>
      <c r="B14" s="16">
        <v>9.8000000000000004E-2</v>
      </c>
      <c r="C14" s="6" t="s">
        <v>167</v>
      </c>
      <c r="D14" s="16">
        <v>0.03</v>
      </c>
    </row>
    <row r="16" spans="1:14">
      <c r="A16" s="5" t="s">
        <v>168</v>
      </c>
      <c r="B16" s="5" t="s">
        <v>89</v>
      </c>
      <c r="C16" s="5" t="s">
        <v>74</v>
      </c>
      <c r="D16" s="5" t="s">
        <v>169</v>
      </c>
      <c r="E16" s="5" t="s">
        <v>170</v>
      </c>
      <c r="F16" s="5" t="s">
        <v>137</v>
      </c>
      <c r="G16" s="5" t="s">
        <v>171</v>
      </c>
      <c r="H16" s="5" t="s">
        <v>172</v>
      </c>
      <c r="I16" s="5" t="s">
        <v>173</v>
      </c>
      <c r="J16" s="5" t="s">
        <v>174</v>
      </c>
      <c r="K16" s="5" t="s">
        <v>175</v>
      </c>
      <c r="L16" s="5" t="s">
        <v>176</v>
      </c>
      <c r="M16" s="5" t="s">
        <v>177</v>
      </c>
      <c r="N16" s="5" t="s">
        <v>178</v>
      </c>
    </row>
    <row r="17" spans="1:14">
      <c r="A17" s="24">
        <v>1</v>
      </c>
      <c r="B17" s="16">
        <v>0.1</v>
      </c>
      <c r="C17" s="11">
        <f>$B$5*(1+B17)</f>
        <v>853.24800000000005</v>
      </c>
      <c r="D17" s="16">
        <v>0.13</v>
      </c>
      <c r="E17" s="11">
        <f t="shared" ref="E17:E26" si="0">C17*D17</f>
        <v>110.92224000000002</v>
      </c>
      <c r="F17" s="11">
        <f t="shared" ref="F17:F26" si="1">E17*(1-$B$6)</f>
        <v>88.737792000000013</v>
      </c>
      <c r="G17" s="16">
        <v>0.1</v>
      </c>
      <c r="H17" s="11">
        <f t="shared" ref="H17:H26" si="2">C17*G17</f>
        <v>85.32480000000001</v>
      </c>
      <c r="I17" s="16">
        <v>0.24</v>
      </c>
      <c r="J17" s="11">
        <f t="shared" ref="J17:J26" si="3">C17*I17</f>
        <v>204.77951999999999</v>
      </c>
      <c r="K17" s="11">
        <f>(C17-$B$5)*$B$7</f>
        <v>1.5513600000000021</v>
      </c>
      <c r="L17" s="11">
        <f t="shared" ref="L17:L26" si="4">F17+H17-J17-K17</f>
        <v>-32.26828799999997</v>
      </c>
      <c r="M17" s="9">
        <f>1/(1+$B$14)^1</f>
        <v>0.91074681238615662</v>
      </c>
      <c r="N17" s="11">
        <f t="shared" ref="N17:N26" si="5">L17*M17</f>
        <v>-29.388240437158441</v>
      </c>
    </row>
    <row r="18" spans="1:14">
      <c r="A18" s="24">
        <v>2</v>
      </c>
      <c r="B18" s="16">
        <v>0.08</v>
      </c>
      <c r="C18" s="11">
        <f t="shared" ref="C18:C26" si="6">C17*(1+B18)</f>
        <v>921.5078400000001</v>
      </c>
      <c r="D18" s="16">
        <v>0.13</v>
      </c>
      <c r="E18" s="11">
        <f t="shared" si="0"/>
        <v>119.79601920000002</v>
      </c>
      <c r="F18" s="11">
        <f t="shared" si="1"/>
        <v>95.836815360000017</v>
      </c>
      <c r="G18" s="16">
        <v>0.11</v>
      </c>
      <c r="H18" s="11">
        <f t="shared" si="2"/>
        <v>101.36586240000001</v>
      </c>
      <c r="I18" s="16">
        <v>0.22</v>
      </c>
      <c r="J18" s="11">
        <f t="shared" si="3"/>
        <v>202.73172480000002</v>
      </c>
      <c r="K18" s="11">
        <f t="shared" ref="K18:K26" si="7">(C18-C17)*$B$7</f>
        <v>1.3651968000000012</v>
      </c>
      <c r="L18" s="11">
        <f t="shared" si="4"/>
        <v>-6.8942438399999961</v>
      </c>
      <c r="M18" s="9">
        <f>1/(1+$B$14)^2</f>
        <v>0.82945975627154511</v>
      </c>
      <c r="N18" s="11">
        <f t="shared" si="5"/>
        <v>-5.7184978152029977</v>
      </c>
    </row>
    <row r="19" spans="1:14">
      <c r="A19" s="24">
        <v>3</v>
      </c>
      <c r="B19" s="16">
        <v>0.06</v>
      </c>
      <c r="C19" s="11">
        <f t="shared" si="6"/>
        <v>976.7983104000001</v>
      </c>
      <c r="D19" s="16">
        <v>0.13</v>
      </c>
      <c r="E19" s="11">
        <f t="shared" si="0"/>
        <v>126.98378035200003</v>
      </c>
      <c r="F19" s="11">
        <f t="shared" si="1"/>
        <v>101.58702428160002</v>
      </c>
      <c r="G19" s="16">
        <v>0.12</v>
      </c>
      <c r="H19" s="11">
        <f t="shared" si="2"/>
        <v>117.215797248</v>
      </c>
      <c r="I19" s="16">
        <v>0.2</v>
      </c>
      <c r="J19" s="11">
        <f t="shared" si="3"/>
        <v>195.35966208000002</v>
      </c>
      <c r="K19" s="11">
        <f t="shared" si="7"/>
        <v>1.105809408</v>
      </c>
      <c r="L19" s="11">
        <f t="shared" si="4"/>
        <v>22.33735004159999</v>
      </c>
      <c r="M19" s="9">
        <f>1/(1+$B$14)^3</f>
        <v>0.75542782902690808</v>
      </c>
      <c r="N19" s="11">
        <f t="shared" si="5"/>
        <v>16.874255848139995</v>
      </c>
    </row>
    <row r="20" spans="1:14">
      <c r="A20" s="24">
        <v>4</v>
      </c>
      <c r="B20" s="16">
        <v>0.05</v>
      </c>
      <c r="C20" s="11">
        <f t="shared" si="6"/>
        <v>1025.6382259200002</v>
      </c>
      <c r="D20" s="16">
        <v>0.13</v>
      </c>
      <c r="E20" s="11">
        <f t="shared" si="0"/>
        <v>133.33296936960002</v>
      </c>
      <c r="F20" s="11">
        <f t="shared" si="1"/>
        <v>106.66637549568003</v>
      </c>
      <c r="G20" s="16">
        <v>0.13</v>
      </c>
      <c r="H20" s="11">
        <f t="shared" si="2"/>
        <v>133.33296936960002</v>
      </c>
      <c r="I20" s="16">
        <v>0.18</v>
      </c>
      <c r="J20" s="11">
        <f t="shared" si="3"/>
        <v>184.61488066560003</v>
      </c>
      <c r="K20" s="11">
        <f t="shared" si="7"/>
        <v>0.97679831040000187</v>
      </c>
      <c r="L20" s="11">
        <f t="shared" si="4"/>
        <v>54.407665889280025</v>
      </c>
      <c r="M20" s="9">
        <f>1/(1+$B$14)^4</f>
        <v>0.68800348727405103</v>
      </c>
      <c r="N20" s="11">
        <f t="shared" si="5"/>
        <v>37.43266386626609</v>
      </c>
    </row>
    <row r="21" spans="1:14">
      <c r="A21" s="24">
        <v>5</v>
      </c>
      <c r="B21" s="16">
        <v>0.04</v>
      </c>
      <c r="C21" s="11">
        <f t="shared" si="6"/>
        <v>1066.6637549568002</v>
      </c>
      <c r="D21" s="16">
        <v>0.13</v>
      </c>
      <c r="E21" s="11">
        <f t="shared" si="0"/>
        <v>138.66628814438403</v>
      </c>
      <c r="F21" s="11">
        <f t="shared" si="1"/>
        <v>110.93303051550723</v>
      </c>
      <c r="G21" s="16">
        <v>0.14000000000000001</v>
      </c>
      <c r="H21" s="11">
        <f t="shared" si="2"/>
        <v>149.33292569395203</v>
      </c>
      <c r="I21" s="16">
        <v>0.17</v>
      </c>
      <c r="J21" s="11">
        <f t="shared" si="3"/>
        <v>181.33283834265603</v>
      </c>
      <c r="K21" s="11">
        <f t="shared" si="7"/>
        <v>0.82051058073599958</v>
      </c>
      <c r="L21" s="11">
        <f t="shared" si="4"/>
        <v>78.112607286067231</v>
      </c>
      <c r="M21" s="9">
        <f>1/(1+$B$14)^5</f>
        <v>0.62659698294540167</v>
      </c>
      <c r="N21" s="11">
        <f t="shared" si="5"/>
        <v>48.94512405544873</v>
      </c>
    </row>
    <row r="22" spans="1:14">
      <c r="A22" s="24">
        <v>6</v>
      </c>
      <c r="B22" s="16">
        <v>0.03</v>
      </c>
      <c r="C22" s="11">
        <f t="shared" si="6"/>
        <v>1098.6636676055043</v>
      </c>
      <c r="D22" s="16">
        <v>0.13</v>
      </c>
      <c r="E22" s="11">
        <f t="shared" si="0"/>
        <v>142.82627678871557</v>
      </c>
      <c r="F22" s="11">
        <f t="shared" si="1"/>
        <v>114.26102143097246</v>
      </c>
      <c r="G22" s="16">
        <v>0.14000000000000001</v>
      </c>
      <c r="H22" s="11">
        <f t="shared" si="2"/>
        <v>153.81291346477062</v>
      </c>
      <c r="I22" s="16">
        <v>0.16</v>
      </c>
      <c r="J22" s="11">
        <f t="shared" si="3"/>
        <v>175.7861868168807</v>
      </c>
      <c r="K22" s="11">
        <f t="shared" si="7"/>
        <v>0.63999825297408275</v>
      </c>
      <c r="L22" s="11">
        <f t="shared" si="4"/>
        <v>91.647749825888312</v>
      </c>
      <c r="M22" s="9">
        <f>1/(1+$B$14)^6</f>
        <v>0.57067120486830747</v>
      </c>
      <c r="N22" s="11">
        <f t="shared" si="5"/>
        <v>52.300731816608902</v>
      </c>
    </row>
    <row r="23" spans="1:14">
      <c r="A23" s="24">
        <v>7</v>
      </c>
      <c r="B23" s="16">
        <v>0.03</v>
      </c>
      <c r="C23" s="11">
        <f t="shared" si="6"/>
        <v>1131.6235776336696</v>
      </c>
      <c r="D23" s="16">
        <v>0.13</v>
      </c>
      <c r="E23" s="11">
        <f t="shared" si="0"/>
        <v>147.11106509237706</v>
      </c>
      <c r="F23" s="11">
        <f t="shared" si="1"/>
        <v>117.68885207390166</v>
      </c>
      <c r="G23" s="16">
        <v>0.14000000000000001</v>
      </c>
      <c r="H23" s="11">
        <f t="shared" si="2"/>
        <v>158.42730086871376</v>
      </c>
      <c r="I23" s="16">
        <v>0.15</v>
      </c>
      <c r="J23" s="11">
        <f t="shared" si="3"/>
        <v>169.74353664505043</v>
      </c>
      <c r="K23" s="11">
        <f t="shared" si="7"/>
        <v>0.65919820056330536</v>
      </c>
      <c r="L23" s="11">
        <f t="shared" si="4"/>
        <v>105.71341809700169</v>
      </c>
      <c r="M23" s="9">
        <f>1/(1+$B$14)^7</f>
        <v>0.51973698075437835</v>
      </c>
      <c r="N23" s="11">
        <f t="shared" si="5"/>
        <v>54.943172746960919</v>
      </c>
    </row>
    <row r="24" spans="1:14">
      <c r="A24" s="24">
        <v>8</v>
      </c>
      <c r="B24" s="16">
        <v>0.02</v>
      </c>
      <c r="C24" s="11">
        <f t="shared" si="6"/>
        <v>1154.256049186343</v>
      </c>
      <c r="D24" s="16">
        <v>0.13</v>
      </c>
      <c r="E24" s="11">
        <f t="shared" si="0"/>
        <v>150.05328639422461</v>
      </c>
      <c r="F24" s="11">
        <f t="shared" si="1"/>
        <v>120.0426291153797</v>
      </c>
      <c r="G24" s="16">
        <v>0.14000000000000001</v>
      </c>
      <c r="H24" s="11">
        <f t="shared" si="2"/>
        <v>161.59584688608805</v>
      </c>
      <c r="I24" s="16">
        <v>0.14000000000000001</v>
      </c>
      <c r="J24" s="11">
        <f t="shared" si="3"/>
        <v>161.59584688608805</v>
      </c>
      <c r="K24" s="11">
        <f t="shared" si="7"/>
        <v>0.452649431053469</v>
      </c>
      <c r="L24" s="11">
        <f t="shared" si="4"/>
        <v>119.58997968432625</v>
      </c>
      <c r="M24" s="9">
        <f>1/(1+$B$14)^8</f>
        <v>0.47334879850125533</v>
      </c>
      <c r="N24" s="11">
        <f t="shared" si="5"/>
        <v>56.607773196365365</v>
      </c>
    </row>
    <row r="25" spans="1:14">
      <c r="A25" s="24">
        <v>9</v>
      </c>
      <c r="B25" s="16">
        <v>0.02</v>
      </c>
      <c r="C25" s="11">
        <f t="shared" si="6"/>
        <v>1177.34117017007</v>
      </c>
      <c r="D25" s="16">
        <v>0.13</v>
      </c>
      <c r="E25" s="11">
        <f t="shared" si="0"/>
        <v>153.05435212210909</v>
      </c>
      <c r="F25" s="11">
        <f t="shared" si="1"/>
        <v>122.44348169768728</v>
      </c>
      <c r="G25" s="16">
        <v>0.14000000000000001</v>
      </c>
      <c r="H25" s="11">
        <f t="shared" si="2"/>
        <v>164.82776382380982</v>
      </c>
      <c r="I25" s="16">
        <v>0.14000000000000001</v>
      </c>
      <c r="J25" s="11">
        <f t="shared" si="3"/>
        <v>164.82776382380982</v>
      </c>
      <c r="K25" s="11">
        <f t="shared" si="7"/>
        <v>0.46170241967453879</v>
      </c>
      <c r="L25" s="11">
        <f t="shared" si="4"/>
        <v>121.98177927801277</v>
      </c>
      <c r="M25" s="9">
        <f>1/(1+$B$14)^9</f>
        <v>0.43110090938183537</v>
      </c>
      <c r="N25" s="11">
        <f t="shared" si="5"/>
        <v>52.586455974765627</v>
      </c>
    </row>
    <row r="26" spans="1:14">
      <c r="A26" s="24">
        <v>10</v>
      </c>
      <c r="B26" s="16">
        <v>0.02</v>
      </c>
      <c r="C26" s="11">
        <f t="shared" si="6"/>
        <v>1200.8879935734715</v>
      </c>
      <c r="D26" s="16">
        <v>0.13</v>
      </c>
      <c r="E26" s="11">
        <f t="shared" si="0"/>
        <v>156.1154391645513</v>
      </c>
      <c r="F26" s="11">
        <f t="shared" si="1"/>
        <v>124.89235133164105</v>
      </c>
      <c r="G26" s="16">
        <v>0.14000000000000001</v>
      </c>
      <c r="H26" s="11">
        <f t="shared" si="2"/>
        <v>168.12431910028602</v>
      </c>
      <c r="I26" s="16">
        <v>0.13</v>
      </c>
      <c r="J26" s="11">
        <f t="shared" si="3"/>
        <v>156.1154391645513</v>
      </c>
      <c r="K26" s="11">
        <f t="shared" si="7"/>
        <v>0.47093646806803008</v>
      </c>
      <c r="L26" s="11">
        <f t="shared" si="4"/>
        <v>136.43029479930775</v>
      </c>
      <c r="M26" s="9">
        <f>1/(1+$B$14)^10</f>
        <v>0.39262377903627999</v>
      </c>
      <c r="N26" s="11">
        <f t="shared" si="5"/>
        <v>53.565777919137943</v>
      </c>
    </row>
    <row r="27" spans="1:14">
      <c r="A27" s="19" t="s">
        <v>179</v>
      </c>
      <c r="B27" s="11">
        <f>L26*(1+$D$14)/($B$14-$D$14)</f>
        <v>2066.5177006365734</v>
      </c>
    </row>
    <row r="28" spans="1:14">
      <c r="A28" s="6" t="s">
        <v>180</v>
      </c>
      <c r="B28" s="11">
        <f>B27/(1+$B$14)^10</f>
        <v>811.36398906929537</v>
      </c>
    </row>
    <row r="29" spans="1:14">
      <c r="A29" s="19" t="s">
        <v>181</v>
      </c>
      <c r="B29" s="11">
        <f>SUM(N17:N26)+B28</f>
        <v>1149.5132062406274</v>
      </c>
    </row>
    <row r="30" spans="1:14">
      <c r="A30" s="6" t="s">
        <v>182</v>
      </c>
      <c r="B30" s="11">
        <f>$B$8</f>
        <v>19.905999999999999</v>
      </c>
    </row>
    <row r="31" spans="1:14">
      <c r="A31" s="19" t="s">
        <v>183</v>
      </c>
      <c r="B31" s="11">
        <f>B29-B30</f>
        <v>1129.6072062406274</v>
      </c>
    </row>
    <row r="32" spans="1:14">
      <c r="A32" s="19" t="s">
        <v>184</v>
      </c>
      <c r="B32" s="7">
        <f>B31/$B$10</f>
        <v>104.72901967741771</v>
      </c>
      <c r="C32" s="6" t="s">
        <v>185</v>
      </c>
    </row>
    <row r="36" spans="1:14" ht="16.2">
      <c r="A36" s="3" t="s">
        <v>186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6" t="s">
        <v>166</v>
      </c>
      <c r="B37" s="16">
        <v>0.09</v>
      </c>
      <c r="C37" s="6" t="s">
        <v>167</v>
      </c>
      <c r="D37" s="16">
        <v>3.5000000000000003E-2</v>
      </c>
    </row>
    <row r="39" spans="1:14">
      <c r="A39" s="5" t="s">
        <v>168</v>
      </c>
      <c r="B39" s="5" t="s">
        <v>89</v>
      </c>
      <c r="C39" s="5" t="s">
        <v>74</v>
      </c>
      <c r="D39" s="5" t="s">
        <v>169</v>
      </c>
      <c r="E39" s="5" t="s">
        <v>170</v>
      </c>
      <c r="F39" s="5" t="s">
        <v>137</v>
      </c>
      <c r="G39" s="5" t="s">
        <v>171</v>
      </c>
      <c r="H39" s="5" t="s">
        <v>172</v>
      </c>
      <c r="I39" s="5" t="s">
        <v>173</v>
      </c>
      <c r="J39" s="5" t="s">
        <v>174</v>
      </c>
      <c r="K39" s="5" t="s">
        <v>175</v>
      </c>
      <c r="L39" s="5" t="s">
        <v>176</v>
      </c>
      <c r="M39" s="5" t="s">
        <v>177</v>
      </c>
      <c r="N39" s="5" t="s">
        <v>178</v>
      </c>
    </row>
    <row r="40" spans="1:14">
      <c r="A40" s="24">
        <v>1</v>
      </c>
      <c r="B40" s="16">
        <v>0.16</v>
      </c>
      <c r="C40" s="11">
        <f>$B$5*(1+B40)</f>
        <v>899.78879999999992</v>
      </c>
      <c r="D40" s="16">
        <v>0.12</v>
      </c>
      <c r="E40" s="11">
        <f t="shared" ref="E40:E49" si="8">C40*D40</f>
        <v>107.97465599999998</v>
      </c>
      <c r="F40" s="11">
        <f t="shared" ref="F40:F49" si="9">E40*(1-$B$6)</f>
        <v>86.379724799999991</v>
      </c>
      <c r="G40" s="16">
        <v>0.1</v>
      </c>
      <c r="H40" s="11">
        <f t="shared" ref="H40:H49" si="10">C40*G40</f>
        <v>89.978880000000004</v>
      </c>
      <c r="I40" s="16">
        <v>0.22</v>
      </c>
      <c r="J40" s="11">
        <f t="shared" ref="J40:J49" si="11">C40*I40</f>
        <v>197.95353599999999</v>
      </c>
      <c r="K40" s="11">
        <f>(C40-$B$5)*$B$7</f>
        <v>2.4821759999999995</v>
      </c>
      <c r="L40" s="11">
        <f t="shared" ref="L40:L49" si="12">F40+H40-J40-K40</f>
        <v>-24.07710719999999</v>
      </c>
      <c r="M40" s="9">
        <f>1/(1+$B$37)^1</f>
        <v>0.9174311926605504</v>
      </c>
      <c r="N40" s="11">
        <f t="shared" ref="N40:N49" si="13">L40*M40</f>
        <v>-22.089089174311916</v>
      </c>
    </row>
    <row r="41" spans="1:14">
      <c r="A41" s="24">
        <v>2</v>
      </c>
      <c r="B41" s="16">
        <v>0.14000000000000001</v>
      </c>
      <c r="C41" s="11">
        <f t="shared" ref="C41:C49" si="14">C40*(1+B41)</f>
        <v>1025.7592320000001</v>
      </c>
      <c r="D41" s="16">
        <v>0.13</v>
      </c>
      <c r="E41" s="11">
        <f t="shared" si="8"/>
        <v>133.34870016000002</v>
      </c>
      <c r="F41" s="11">
        <f t="shared" si="9"/>
        <v>106.67896012800003</v>
      </c>
      <c r="G41" s="16">
        <v>0.11</v>
      </c>
      <c r="H41" s="11">
        <f t="shared" si="10"/>
        <v>112.83351552000001</v>
      </c>
      <c r="I41" s="16">
        <v>0.21</v>
      </c>
      <c r="J41" s="11">
        <f t="shared" si="11"/>
        <v>215.40943872000003</v>
      </c>
      <c r="K41" s="11">
        <f t="shared" ref="K41:K49" si="15">(C41-C40)*$B$7</f>
        <v>2.519408640000004</v>
      </c>
      <c r="L41" s="11">
        <f t="shared" si="12"/>
        <v>1.5836282879999906</v>
      </c>
      <c r="M41" s="9">
        <f>1/(1+$B$37)^2</f>
        <v>0.84167999326655996</v>
      </c>
      <c r="N41" s="11">
        <f t="shared" si="13"/>
        <v>1.332908246780566</v>
      </c>
    </row>
    <row r="42" spans="1:14">
      <c r="A42" s="24">
        <v>3</v>
      </c>
      <c r="B42" s="16">
        <v>0.12</v>
      </c>
      <c r="C42" s="11">
        <f t="shared" si="14"/>
        <v>1148.8503398400003</v>
      </c>
      <c r="D42" s="16">
        <v>0.14000000000000001</v>
      </c>
      <c r="E42" s="11">
        <f t="shared" si="8"/>
        <v>160.83904757760004</v>
      </c>
      <c r="F42" s="11">
        <f t="shared" si="9"/>
        <v>128.67123806208005</v>
      </c>
      <c r="G42" s="16">
        <v>0.12</v>
      </c>
      <c r="H42" s="11">
        <f t="shared" si="10"/>
        <v>137.86204078080004</v>
      </c>
      <c r="I42" s="16">
        <v>0.19</v>
      </c>
      <c r="J42" s="11">
        <f t="shared" si="11"/>
        <v>218.28156456960005</v>
      </c>
      <c r="K42" s="11">
        <f t="shared" si="15"/>
        <v>2.4618221568000034</v>
      </c>
      <c r="L42" s="11">
        <f t="shared" si="12"/>
        <v>45.789892116480068</v>
      </c>
      <c r="M42" s="9">
        <f>1/(1+$B$37)^3</f>
        <v>0.77218348006106419</v>
      </c>
      <c r="N42" s="11">
        <f t="shared" si="13"/>
        <v>35.358198246124267</v>
      </c>
    </row>
    <row r="43" spans="1:14">
      <c r="A43" s="24">
        <v>4</v>
      </c>
      <c r="B43" s="16">
        <v>0.1</v>
      </c>
      <c r="C43" s="11">
        <f t="shared" si="14"/>
        <v>1263.7353738240004</v>
      </c>
      <c r="D43" s="16">
        <v>0.14499999999999999</v>
      </c>
      <c r="E43" s="11">
        <f t="shared" si="8"/>
        <v>183.24162920448003</v>
      </c>
      <c r="F43" s="11">
        <f t="shared" si="9"/>
        <v>146.59330336358403</v>
      </c>
      <c r="G43" s="16">
        <v>0.13</v>
      </c>
      <c r="H43" s="11">
        <f t="shared" si="10"/>
        <v>164.28559859712004</v>
      </c>
      <c r="I43" s="16">
        <v>0.17</v>
      </c>
      <c r="J43" s="11">
        <f t="shared" si="11"/>
        <v>214.83501355008008</v>
      </c>
      <c r="K43" s="11">
        <f t="shared" si="15"/>
        <v>2.2977006796800015</v>
      </c>
      <c r="L43" s="11">
        <f t="shared" si="12"/>
        <v>93.746187730943987</v>
      </c>
      <c r="M43" s="9">
        <f>1/(1+$B$37)^4</f>
        <v>0.7084252110651964</v>
      </c>
      <c r="N43" s="11">
        <f t="shared" si="13"/>
        <v>66.412162829851525</v>
      </c>
    </row>
    <row r="44" spans="1:14">
      <c r="A44" s="24">
        <v>5</v>
      </c>
      <c r="B44" s="16">
        <v>0.09</v>
      </c>
      <c r="C44" s="11">
        <f t="shared" si="14"/>
        <v>1377.4715574681604</v>
      </c>
      <c r="D44" s="16">
        <v>0.15</v>
      </c>
      <c r="E44" s="11">
        <f t="shared" si="8"/>
        <v>206.62073362022406</v>
      </c>
      <c r="F44" s="11">
        <f t="shared" si="9"/>
        <v>165.29658689617926</v>
      </c>
      <c r="G44" s="16">
        <v>0.14000000000000001</v>
      </c>
      <c r="H44" s="11">
        <f t="shared" si="10"/>
        <v>192.84601804554248</v>
      </c>
      <c r="I44" s="16">
        <v>0.16</v>
      </c>
      <c r="J44" s="11">
        <f t="shared" si="11"/>
        <v>220.39544919490567</v>
      </c>
      <c r="K44" s="11">
        <f t="shared" si="15"/>
        <v>2.2747236728832014</v>
      </c>
      <c r="L44" s="11">
        <f t="shared" si="12"/>
        <v>135.47243207393288</v>
      </c>
      <c r="M44" s="9">
        <f>1/(1+$B$37)^5</f>
        <v>0.64993138629834524</v>
      </c>
      <c r="N44" s="11">
        <f t="shared" si="13"/>
        <v>88.047785583019603</v>
      </c>
    </row>
    <row r="45" spans="1:14">
      <c r="A45" s="24">
        <v>6</v>
      </c>
      <c r="B45" s="16">
        <v>0.08</v>
      </c>
      <c r="C45" s="11">
        <f t="shared" si="14"/>
        <v>1487.6692820656133</v>
      </c>
      <c r="D45" s="16">
        <v>0.155</v>
      </c>
      <c r="E45" s="11">
        <f t="shared" si="8"/>
        <v>230.58873872017006</v>
      </c>
      <c r="F45" s="11">
        <f t="shared" si="9"/>
        <v>184.47099097613605</v>
      </c>
      <c r="G45" s="16">
        <v>0.14000000000000001</v>
      </c>
      <c r="H45" s="11">
        <f t="shared" si="10"/>
        <v>208.27369948918587</v>
      </c>
      <c r="I45" s="16">
        <v>0.15</v>
      </c>
      <c r="J45" s="11">
        <f t="shared" si="11"/>
        <v>223.15039230984198</v>
      </c>
      <c r="K45" s="11">
        <f t="shared" si="15"/>
        <v>2.2039544919490575</v>
      </c>
      <c r="L45" s="11">
        <f t="shared" si="12"/>
        <v>167.3903436635309</v>
      </c>
      <c r="M45" s="9">
        <f>1/(1+$B$37)^6</f>
        <v>0.5962673268792158</v>
      </c>
      <c r="N45" s="11">
        <f t="shared" si="13"/>
        <v>99.809392761646848</v>
      </c>
    </row>
    <row r="46" spans="1:14">
      <c r="A46" s="24">
        <v>7</v>
      </c>
      <c r="B46" s="16">
        <v>7.0000000000000007E-2</v>
      </c>
      <c r="C46" s="11">
        <f t="shared" si="14"/>
        <v>1591.8061318102064</v>
      </c>
      <c r="D46" s="16">
        <v>0.16</v>
      </c>
      <c r="E46" s="11">
        <f t="shared" si="8"/>
        <v>254.68898108963302</v>
      </c>
      <c r="F46" s="11">
        <f t="shared" si="9"/>
        <v>203.75118487170641</v>
      </c>
      <c r="G46" s="16">
        <v>0.14000000000000001</v>
      </c>
      <c r="H46" s="11">
        <f t="shared" si="10"/>
        <v>222.85285845342892</v>
      </c>
      <c r="I46" s="16">
        <v>0.14000000000000001</v>
      </c>
      <c r="J46" s="11">
        <f t="shared" si="11"/>
        <v>222.85285845342892</v>
      </c>
      <c r="K46" s="11">
        <f t="shared" si="15"/>
        <v>2.0827369948918615</v>
      </c>
      <c r="L46" s="11">
        <f t="shared" si="12"/>
        <v>201.66844787681453</v>
      </c>
      <c r="M46" s="9">
        <f>1/(1+$B$37)^7</f>
        <v>0.54703424484331731</v>
      </c>
      <c r="N46" s="11">
        <f t="shared" si="13"/>
        <v>110.31954709301714</v>
      </c>
    </row>
    <row r="47" spans="1:14">
      <c r="A47" s="24">
        <v>8</v>
      </c>
      <c r="B47" s="16">
        <v>0.06</v>
      </c>
      <c r="C47" s="11">
        <f t="shared" si="14"/>
        <v>1687.3144997188188</v>
      </c>
      <c r="D47" s="16">
        <v>0.16</v>
      </c>
      <c r="E47" s="11">
        <f t="shared" si="8"/>
        <v>269.97031995501101</v>
      </c>
      <c r="F47" s="11">
        <f t="shared" si="9"/>
        <v>215.97625596400883</v>
      </c>
      <c r="G47" s="16">
        <v>0.14000000000000001</v>
      </c>
      <c r="H47" s="11">
        <f t="shared" si="10"/>
        <v>236.22402996063465</v>
      </c>
      <c r="I47" s="16">
        <v>0.13</v>
      </c>
      <c r="J47" s="11">
        <f t="shared" si="11"/>
        <v>219.35088496344645</v>
      </c>
      <c r="K47" s="11">
        <f t="shared" si="15"/>
        <v>1.910167358172248</v>
      </c>
      <c r="L47" s="11">
        <f t="shared" si="12"/>
        <v>230.93923360302477</v>
      </c>
      <c r="M47" s="9">
        <f>1/(1+$B$37)^8</f>
        <v>0.50186627967276809</v>
      </c>
      <c r="N47" s="11">
        <f t="shared" si="13"/>
        <v>115.90061399883035</v>
      </c>
    </row>
    <row r="48" spans="1:14">
      <c r="A48" s="24">
        <v>9</v>
      </c>
      <c r="B48" s="16">
        <v>0.05</v>
      </c>
      <c r="C48" s="11">
        <f t="shared" si="14"/>
        <v>1771.6802247047597</v>
      </c>
      <c r="D48" s="16">
        <v>0.16</v>
      </c>
      <c r="E48" s="11">
        <f t="shared" si="8"/>
        <v>283.46883595276154</v>
      </c>
      <c r="F48" s="11">
        <f t="shared" si="9"/>
        <v>226.77506876220923</v>
      </c>
      <c r="G48" s="16">
        <v>0.14000000000000001</v>
      </c>
      <c r="H48" s="11">
        <f t="shared" si="10"/>
        <v>248.03523145866637</v>
      </c>
      <c r="I48" s="16">
        <v>0.13</v>
      </c>
      <c r="J48" s="11">
        <f t="shared" si="11"/>
        <v>230.31842921161876</v>
      </c>
      <c r="K48" s="11">
        <f t="shared" si="15"/>
        <v>1.6873144997188183</v>
      </c>
      <c r="L48" s="11">
        <f t="shared" si="12"/>
        <v>242.80455650953803</v>
      </c>
      <c r="M48" s="9">
        <f>1/(1+$B$37)^9</f>
        <v>0.46042777951630098</v>
      </c>
      <c r="N48" s="11">
        <f t="shared" si="13"/>
        <v>111.79396281012681</v>
      </c>
    </row>
    <row r="49" spans="1:14">
      <c r="A49" s="24">
        <v>10</v>
      </c>
      <c r="B49" s="16">
        <v>0.04</v>
      </c>
      <c r="C49" s="11">
        <f t="shared" si="14"/>
        <v>1842.5474336929501</v>
      </c>
      <c r="D49" s="16">
        <v>0.16</v>
      </c>
      <c r="E49" s="11">
        <f t="shared" si="8"/>
        <v>294.80758939087201</v>
      </c>
      <c r="F49" s="11">
        <f t="shared" si="9"/>
        <v>235.84607151269762</v>
      </c>
      <c r="G49" s="16">
        <v>0.14000000000000001</v>
      </c>
      <c r="H49" s="11">
        <f t="shared" si="10"/>
        <v>257.95664071701304</v>
      </c>
      <c r="I49" s="16">
        <v>0.12</v>
      </c>
      <c r="J49" s="11">
        <f t="shared" si="11"/>
        <v>221.10569204315399</v>
      </c>
      <c r="K49" s="11">
        <f t="shared" si="15"/>
        <v>1.4173441797638089</v>
      </c>
      <c r="L49" s="11">
        <f t="shared" si="12"/>
        <v>271.27967600679284</v>
      </c>
      <c r="M49" s="9">
        <f>1/(1+$B$37)^10</f>
        <v>0.42241080689568894</v>
      </c>
      <c r="N49" s="11">
        <f t="shared" si="13"/>
        <v>114.59146683643043</v>
      </c>
    </row>
    <row r="50" spans="1:14">
      <c r="A50" s="19" t="s">
        <v>179</v>
      </c>
      <c r="B50" s="11">
        <f>L49*(1+$D$37)/($B$37-$D$37)</f>
        <v>5104.9902666732833</v>
      </c>
    </row>
    <row r="51" spans="1:14">
      <c r="A51" s="6" t="s">
        <v>180</v>
      </c>
      <c r="B51" s="11">
        <f>B50/(1+$B$37)^10</f>
        <v>2156.4030577400999</v>
      </c>
    </row>
    <row r="52" spans="1:14">
      <c r="A52" s="19" t="s">
        <v>181</v>
      </c>
      <c r="B52" s="11">
        <f>SUM(N40:N49)+B51</f>
        <v>2877.8800069716153</v>
      </c>
    </row>
    <row r="53" spans="1:14">
      <c r="A53" s="6" t="s">
        <v>182</v>
      </c>
      <c r="B53" s="11">
        <f>$B$8</f>
        <v>19.905999999999999</v>
      </c>
    </row>
    <row r="54" spans="1:14">
      <c r="A54" s="19" t="s">
        <v>183</v>
      </c>
      <c r="B54" s="11">
        <f>B52-B53</f>
        <v>2857.9740069716154</v>
      </c>
    </row>
    <row r="55" spans="1:14">
      <c r="A55" s="19" t="s">
        <v>184</v>
      </c>
      <c r="B55" s="7">
        <f>B54/$B$10</f>
        <v>264.97070340919856</v>
      </c>
      <c r="C55" s="6" t="s">
        <v>187</v>
      </c>
    </row>
    <row r="59" spans="1:14" ht="16.2">
      <c r="A59" s="3" t="s">
        <v>188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6" t="s">
        <v>166</v>
      </c>
      <c r="B60" s="16">
        <v>8.5000000000000006E-2</v>
      </c>
      <c r="C60" s="6" t="s">
        <v>167</v>
      </c>
      <c r="D60" s="16">
        <v>0.04</v>
      </c>
    </row>
    <row r="62" spans="1:14">
      <c r="A62" s="5" t="s">
        <v>168</v>
      </c>
      <c r="B62" s="5" t="s">
        <v>89</v>
      </c>
      <c r="C62" s="5" t="s">
        <v>74</v>
      </c>
      <c r="D62" s="5" t="s">
        <v>169</v>
      </c>
      <c r="E62" s="5" t="s">
        <v>170</v>
      </c>
      <c r="F62" s="5" t="s">
        <v>137</v>
      </c>
      <c r="G62" s="5" t="s">
        <v>171</v>
      </c>
      <c r="H62" s="5" t="s">
        <v>172</v>
      </c>
      <c r="I62" s="5" t="s">
        <v>173</v>
      </c>
      <c r="J62" s="5" t="s">
        <v>174</v>
      </c>
      <c r="K62" s="5" t="s">
        <v>175</v>
      </c>
      <c r="L62" s="5" t="s">
        <v>176</v>
      </c>
      <c r="M62" s="5" t="s">
        <v>177</v>
      </c>
      <c r="N62" s="5" t="s">
        <v>178</v>
      </c>
    </row>
    <row r="63" spans="1:14">
      <c r="A63" s="24">
        <v>1</v>
      </c>
      <c r="B63" s="16">
        <v>0.2</v>
      </c>
      <c r="C63" s="11">
        <f>$B$5*(1+B63)</f>
        <v>930.81599999999992</v>
      </c>
      <c r="D63" s="16">
        <v>0.13</v>
      </c>
      <c r="E63" s="11">
        <f t="shared" ref="E63:E72" si="16">C63*D63</f>
        <v>121.00608</v>
      </c>
      <c r="F63" s="11">
        <f t="shared" ref="F63:F72" si="17">E63*(1-$B$6)</f>
        <v>96.804864000000009</v>
      </c>
      <c r="G63" s="16">
        <v>0.1</v>
      </c>
      <c r="H63" s="11">
        <f t="shared" ref="H63:H72" si="18">C63*G63</f>
        <v>93.081599999999995</v>
      </c>
      <c r="I63" s="16">
        <v>0.22</v>
      </c>
      <c r="J63" s="11">
        <f t="shared" ref="J63:J72" si="19">C63*I63</f>
        <v>204.77951999999999</v>
      </c>
      <c r="K63" s="11">
        <f>(C63-$B$5)*$B$7</f>
        <v>3.1027199999999993</v>
      </c>
      <c r="L63" s="11">
        <f t="shared" ref="L63:L72" si="20">F63+H63-J63-K63</f>
        <v>-17.995775999999999</v>
      </c>
      <c r="M63" s="9">
        <f>1/(1+$B$60)^1</f>
        <v>0.92165898617511521</v>
      </c>
      <c r="N63" s="11">
        <f t="shared" ref="N63:N72" si="21">L63*M63</f>
        <v>-16.585968663594471</v>
      </c>
    </row>
    <row r="64" spans="1:14">
      <c r="A64" s="24">
        <v>2</v>
      </c>
      <c r="B64" s="16">
        <v>0.18</v>
      </c>
      <c r="C64" s="11">
        <f t="shared" ref="C64:C72" si="22">C63*(1+B64)</f>
        <v>1098.3628799999999</v>
      </c>
      <c r="D64" s="16">
        <v>0.15</v>
      </c>
      <c r="E64" s="11">
        <f t="shared" si="16"/>
        <v>164.75443199999998</v>
      </c>
      <c r="F64" s="11">
        <f t="shared" si="17"/>
        <v>131.80354559999998</v>
      </c>
      <c r="G64" s="16">
        <v>0.11</v>
      </c>
      <c r="H64" s="11">
        <f t="shared" si="18"/>
        <v>120.81991679999999</v>
      </c>
      <c r="I64" s="16">
        <v>0.2</v>
      </c>
      <c r="J64" s="11">
        <f t="shared" si="19"/>
        <v>219.67257599999999</v>
      </c>
      <c r="K64" s="11">
        <f t="shared" ref="K64:K72" si="23">(C64-C63)*$B$7</f>
        <v>3.3509376</v>
      </c>
      <c r="L64" s="11">
        <f t="shared" si="20"/>
        <v>29.599948799999972</v>
      </c>
      <c r="M64" s="9">
        <f>1/(1+$B$60)^2</f>
        <v>0.84945528679734128</v>
      </c>
      <c r="N64" s="11">
        <f t="shared" si="21"/>
        <v>25.143832997090595</v>
      </c>
    </row>
    <row r="65" spans="1:14">
      <c r="A65" s="24">
        <v>3</v>
      </c>
      <c r="B65" s="16">
        <v>0.16</v>
      </c>
      <c r="C65" s="11">
        <f t="shared" si="22"/>
        <v>1274.1009407999998</v>
      </c>
      <c r="D65" s="16">
        <v>0.17</v>
      </c>
      <c r="E65" s="11">
        <f t="shared" si="16"/>
        <v>216.59715993599997</v>
      </c>
      <c r="F65" s="11">
        <f t="shared" si="17"/>
        <v>173.27772794879999</v>
      </c>
      <c r="G65" s="16">
        <v>0.12</v>
      </c>
      <c r="H65" s="11">
        <f t="shared" si="18"/>
        <v>152.89211289599996</v>
      </c>
      <c r="I65" s="16">
        <v>0.18</v>
      </c>
      <c r="J65" s="11">
        <f t="shared" si="19"/>
        <v>229.33816934399994</v>
      </c>
      <c r="K65" s="11">
        <f t="shared" si="23"/>
        <v>3.514761215999997</v>
      </c>
      <c r="L65" s="11">
        <f t="shared" si="20"/>
        <v>93.316910284800045</v>
      </c>
      <c r="M65" s="9">
        <f>1/(1+$B$60)^3</f>
        <v>0.78290809843072917</v>
      </c>
      <c r="N65" s="11">
        <f t="shared" si="21"/>
        <v>73.058564782503751</v>
      </c>
    </row>
    <row r="66" spans="1:14">
      <c r="A66" s="24">
        <v>4</v>
      </c>
      <c r="B66" s="16">
        <v>0.14000000000000001</v>
      </c>
      <c r="C66" s="11">
        <f t="shared" si="22"/>
        <v>1452.475072512</v>
      </c>
      <c r="D66" s="16">
        <v>0.18</v>
      </c>
      <c r="E66" s="11">
        <f t="shared" si="16"/>
        <v>261.44551305215998</v>
      </c>
      <c r="F66" s="11">
        <f t="shared" si="17"/>
        <v>209.15641044172799</v>
      </c>
      <c r="G66" s="16">
        <v>0.13</v>
      </c>
      <c r="H66" s="11">
        <f t="shared" si="18"/>
        <v>188.82175942655999</v>
      </c>
      <c r="I66" s="16">
        <v>0.16</v>
      </c>
      <c r="J66" s="11">
        <f t="shared" si="19"/>
        <v>232.39601160192001</v>
      </c>
      <c r="K66" s="11">
        <f t="shared" si="23"/>
        <v>3.5674826342400046</v>
      </c>
      <c r="L66" s="11">
        <f t="shared" si="20"/>
        <v>162.01467563212796</v>
      </c>
      <c r="M66" s="9">
        <f>1/(1+$B$60)^4</f>
        <v>0.72157428426795334</v>
      </c>
      <c r="N66" s="11">
        <f t="shared" si="21"/>
        <v>116.90562361015735</v>
      </c>
    </row>
    <row r="67" spans="1:14">
      <c r="A67" s="24">
        <v>5</v>
      </c>
      <c r="B67" s="16">
        <v>0.12</v>
      </c>
      <c r="C67" s="11">
        <f t="shared" si="22"/>
        <v>1626.7720812134401</v>
      </c>
      <c r="D67" s="16">
        <v>0.19</v>
      </c>
      <c r="E67" s="11">
        <f t="shared" si="16"/>
        <v>309.08669543055362</v>
      </c>
      <c r="F67" s="11">
        <f t="shared" si="17"/>
        <v>247.26935634444291</v>
      </c>
      <c r="G67" s="16">
        <v>0.14000000000000001</v>
      </c>
      <c r="H67" s="11">
        <f t="shared" si="18"/>
        <v>227.74809136988162</v>
      </c>
      <c r="I67" s="16">
        <v>0.15</v>
      </c>
      <c r="J67" s="11">
        <f t="shared" si="19"/>
        <v>244.01581218201599</v>
      </c>
      <c r="K67" s="11">
        <f t="shared" si="23"/>
        <v>3.4859401740288014</v>
      </c>
      <c r="L67" s="11">
        <f t="shared" si="20"/>
        <v>227.51569535827974</v>
      </c>
      <c r="M67" s="9">
        <f>1/(1+$B$60)^5</f>
        <v>0.66504542328843619</v>
      </c>
      <c r="N67" s="11">
        <f t="shared" si="21"/>
        <v>151.30827192431005</v>
      </c>
    </row>
    <row r="68" spans="1:14">
      <c r="A68" s="24">
        <v>6</v>
      </c>
      <c r="B68" s="16">
        <v>0.1</v>
      </c>
      <c r="C68" s="11">
        <f t="shared" si="22"/>
        <v>1789.4492893347842</v>
      </c>
      <c r="D68" s="16">
        <v>0.19</v>
      </c>
      <c r="E68" s="11">
        <f t="shared" si="16"/>
        <v>339.99536497360901</v>
      </c>
      <c r="F68" s="11">
        <f t="shared" si="17"/>
        <v>271.9962919788872</v>
      </c>
      <c r="G68" s="16">
        <v>0.14000000000000001</v>
      </c>
      <c r="H68" s="11">
        <f t="shared" si="18"/>
        <v>250.5229005068698</v>
      </c>
      <c r="I68" s="16">
        <v>0.14000000000000001</v>
      </c>
      <c r="J68" s="11">
        <f t="shared" si="19"/>
        <v>250.5229005068698</v>
      </c>
      <c r="K68" s="11">
        <f t="shared" si="23"/>
        <v>3.2535441624268833</v>
      </c>
      <c r="L68" s="11">
        <f t="shared" si="20"/>
        <v>268.74274781646034</v>
      </c>
      <c r="M68" s="9">
        <f>1/(1+$B$60)^6</f>
        <v>0.6129450905884205</v>
      </c>
      <c r="N68" s="11">
        <f t="shared" si="21"/>
        <v>164.72454790534132</v>
      </c>
    </row>
    <row r="69" spans="1:14">
      <c r="A69" s="24">
        <v>7</v>
      </c>
      <c r="B69" s="16">
        <v>0.09</v>
      </c>
      <c r="C69" s="11">
        <f t="shared" si="22"/>
        <v>1950.499725374915</v>
      </c>
      <c r="D69" s="16">
        <v>0.2</v>
      </c>
      <c r="E69" s="11">
        <f t="shared" si="16"/>
        <v>390.099945074983</v>
      </c>
      <c r="F69" s="11">
        <f t="shared" si="17"/>
        <v>312.07995605998644</v>
      </c>
      <c r="G69" s="16">
        <v>0.14000000000000001</v>
      </c>
      <c r="H69" s="11">
        <f t="shared" si="18"/>
        <v>273.06996155248811</v>
      </c>
      <c r="I69" s="16">
        <v>0.13</v>
      </c>
      <c r="J69" s="11">
        <f t="shared" si="19"/>
        <v>253.56496429873897</v>
      </c>
      <c r="K69" s="11">
        <f t="shared" si="23"/>
        <v>3.2210087208026152</v>
      </c>
      <c r="L69" s="11">
        <f t="shared" si="20"/>
        <v>328.36394459293302</v>
      </c>
      <c r="M69" s="9">
        <f>1/(1+$B$60)^7</f>
        <v>0.56492635077273778</v>
      </c>
      <c r="N69" s="11">
        <f t="shared" si="21"/>
        <v>185.5014449442271</v>
      </c>
    </row>
    <row r="70" spans="1:14">
      <c r="A70" s="24">
        <v>8</v>
      </c>
      <c r="B70" s="16">
        <v>0.08</v>
      </c>
      <c r="C70" s="11">
        <f t="shared" si="22"/>
        <v>2106.5397034049083</v>
      </c>
      <c r="D70" s="16">
        <v>0.2</v>
      </c>
      <c r="E70" s="11">
        <f t="shared" si="16"/>
        <v>421.30794068098169</v>
      </c>
      <c r="F70" s="11">
        <f t="shared" si="17"/>
        <v>337.04635254478535</v>
      </c>
      <c r="G70" s="16">
        <v>0.14000000000000001</v>
      </c>
      <c r="H70" s="11">
        <f t="shared" si="18"/>
        <v>294.91555847668718</v>
      </c>
      <c r="I70" s="16">
        <v>0.12</v>
      </c>
      <c r="J70" s="11">
        <f t="shared" si="19"/>
        <v>252.78476440858898</v>
      </c>
      <c r="K70" s="11">
        <f t="shared" si="23"/>
        <v>3.1207995605998669</v>
      </c>
      <c r="L70" s="11">
        <f t="shared" si="20"/>
        <v>376.05634705228368</v>
      </c>
      <c r="M70" s="9">
        <f>1/(1+$B$60)^8</f>
        <v>0.52066944771680901</v>
      </c>
      <c r="N70" s="11">
        <f t="shared" si="21"/>
        <v>195.8010505301132</v>
      </c>
    </row>
    <row r="71" spans="1:14">
      <c r="A71" s="24">
        <v>9</v>
      </c>
      <c r="B71" s="16">
        <v>7.0000000000000007E-2</v>
      </c>
      <c r="C71" s="11">
        <f t="shared" si="22"/>
        <v>2253.9974826432522</v>
      </c>
      <c r="D71" s="16">
        <v>0.2</v>
      </c>
      <c r="E71" s="11">
        <f t="shared" si="16"/>
        <v>450.79949652865048</v>
      </c>
      <c r="F71" s="11">
        <f t="shared" si="17"/>
        <v>360.63959722292043</v>
      </c>
      <c r="G71" s="16">
        <v>0.14000000000000001</v>
      </c>
      <c r="H71" s="11">
        <f t="shared" si="18"/>
        <v>315.55964757005535</v>
      </c>
      <c r="I71" s="16">
        <v>0.11</v>
      </c>
      <c r="J71" s="11">
        <f t="shared" si="19"/>
        <v>247.93972309075775</v>
      </c>
      <c r="K71" s="11">
        <f t="shared" si="23"/>
        <v>2.9491555847668769</v>
      </c>
      <c r="L71" s="11">
        <f t="shared" si="20"/>
        <v>425.31036611745122</v>
      </c>
      <c r="M71" s="9">
        <f>1/(1+$B$60)^9</f>
        <v>0.4798796753150314</v>
      </c>
      <c r="N71" s="11">
        <f t="shared" si="21"/>
        <v>204.09780040055963</v>
      </c>
    </row>
    <row r="72" spans="1:14">
      <c r="A72" s="24">
        <v>10</v>
      </c>
      <c r="B72" s="16">
        <v>0.06</v>
      </c>
      <c r="C72" s="11">
        <f t="shared" si="22"/>
        <v>2389.2373316018475</v>
      </c>
      <c r="D72" s="16">
        <v>0.2</v>
      </c>
      <c r="E72" s="11">
        <f t="shared" si="16"/>
        <v>477.84746632036951</v>
      </c>
      <c r="F72" s="11">
        <f t="shared" si="17"/>
        <v>382.27797305629565</v>
      </c>
      <c r="G72" s="16">
        <v>0.14000000000000001</v>
      </c>
      <c r="H72" s="11">
        <f t="shared" si="18"/>
        <v>334.49322642425869</v>
      </c>
      <c r="I72" s="16">
        <v>0.1</v>
      </c>
      <c r="J72" s="11">
        <f t="shared" si="19"/>
        <v>238.92373316018475</v>
      </c>
      <c r="K72" s="11">
        <f t="shared" si="23"/>
        <v>2.7047969791719062</v>
      </c>
      <c r="L72" s="11">
        <f t="shared" si="20"/>
        <v>475.14266934119763</v>
      </c>
      <c r="M72" s="9">
        <f>1/(1+$B$60)^10</f>
        <v>0.44228541503689528</v>
      </c>
      <c r="N72" s="11">
        <f t="shared" si="21"/>
        <v>210.1486727113099</v>
      </c>
    </row>
    <row r="73" spans="1:14">
      <c r="A73" s="19" t="s">
        <v>179</v>
      </c>
      <c r="B73" s="11">
        <f>L72*(1+$D$60)/($B$60-$D$60)</f>
        <v>10981.075024774345</v>
      </c>
    </row>
    <row r="74" spans="1:14">
      <c r="A74" s="6" t="s">
        <v>180</v>
      </c>
      <c r="B74" s="11">
        <f>B73/(1+$B$60)^10</f>
        <v>4856.7693248836067</v>
      </c>
    </row>
    <row r="75" spans="1:14">
      <c r="A75" s="19" t="s">
        <v>181</v>
      </c>
      <c r="B75" s="11">
        <f>SUM(N63:N72)+B74</f>
        <v>6166.8731660256253</v>
      </c>
    </row>
    <row r="76" spans="1:14">
      <c r="A76" s="6" t="s">
        <v>182</v>
      </c>
      <c r="B76" s="11">
        <f>$B$8</f>
        <v>19.905999999999999</v>
      </c>
    </row>
    <row r="77" spans="1:14">
      <c r="A77" s="19" t="s">
        <v>183</v>
      </c>
      <c r="B77" s="11">
        <f>B75-B76</f>
        <v>6146.9671660256254</v>
      </c>
    </row>
    <row r="78" spans="1:14">
      <c r="A78" s="19" t="s">
        <v>184</v>
      </c>
      <c r="B78" s="7">
        <f>B77/$B$10</f>
        <v>569.90238883975758</v>
      </c>
      <c r="C78" s="6" t="s">
        <v>189</v>
      </c>
    </row>
  </sheetData>
  <mergeCells count="3">
    <mergeCell ref="A3:N3"/>
    <mergeCell ref="A2:N2"/>
    <mergeCell ref="A11:N11"/>
  </mergeCells>
  <phoneticPr fontId="11" type="noConversion"/>
  <pageMargins left="0.25" right="0.25" top="0.35" bottom="0.35" header="0.15" footer="0.15"/>
  <pageSetup paperSize="8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2"/>
  <sheetViews>
    <sheetView showGridLines="0" workbookViewId="0"/>
  </sheetViews>
  <sheetFormatPr defaultRowHeight="14.4"/>
  <cols>
    <col min="1" max="1" width="28" customWidth="1"/>
    <col min="2" max="7" width="14" customWidth="1"/>
  </cols>
  <sheetData>
    <row r="1" spans="1:7" ht="23.4">
      <c r="A1" s="1" t="s">
        <v>190</v>
      </c>
    </row>
    <row r="2" spans="1:7" ht="15.6">
      <c r="A2" s="26" t="s">
        <v>191</v>
      </c>
      <c r="B2" s="27"/>
      <c r="C2" s="27"/>
      <c r="D2" s="27"/>
      <c r="E2" s="27"/>
      <c r="F2" s="27"/>
      <c r="G2" s="27"/>
    </row>
    <row r="4" spans="1:7">
      <c r="A4" s="5" t="s">
        <v>166</v>
      </c>
      <c r="B4" s="5" t="s">
        <v>184</v>
      </c>
    </row>
    <row r="5" spans="1:7">
      <c r="A5" s="16">
        <v>7.3999999999999996E-2</v>
      </c>
      <c r="B5" s="25">
        <v>400</v>
      </c>
    </row>
    <row r="6" spans="1:7">
      <c r="A6" s="16">
        <v>7.6999999999999999E-2</v>
      </c>
      <c r="B6" s="25">
        <v>366</v>
      </c>
    </row>
    <row r="7" spans="1:7">
      <c r="A7" s="16">
        <v>0.08</v>
      </c>
      <c r="B7" s="25">
        <v>338</v>
      </c>
    </row>
    <row r="8" spans="1:7">
      <c r="A8" s="16">
        <v>8.5000000000000006E-2</v>
      </c>
      <c r="B8" s="25">
        <v>298</v>
      </c>
    </row>
    <row r="9" spans="1:7">
      <c r="A9" s="16">
        <v>0.09</v>
      </c>
      <c r="B9" s="25">
        <v>265</v>
      </c>
    </row>
    <row r="10" spans="1:7">
      <c r="A10" s="16">
        <v>9.5000000000000001E-2</v>
      </c>
      <c r="B10" s="25">
        <v>238</v>
      </c>
    </row>
    <row r="11" spans="1:7">
      <c r="A11" s="16">
        <v>0.1</v>
      </c>
      <c r="B11" s="25">
        <v>215</v>
      </c>
    </row>
    <row r="12" spans="1:7">
      <c r="A12" s="16">
        <v>0.105</v>
      </c>
      <c r="B12" s="25">
        <v>196</v>
      </c>
    </row>
    <row r="14" spans="1:7">
      <c r="A14" s="5" t="s">
        <v>192</v>
      </c>
      <c r="B14" s="5" t="s">
        <v>184</v>
      </c>
    </row>
    <row r="15" spans="1:7">
      <c r="A15" s="16">
        <v>0.09</v>
      </c>
      <c r="B15" s="25">
        <v>308</v>
      </c>
    </row>
    <row r="16" spans="1:7">
      <c r="A16" s="16">
        <v>0.1</v>
      </c>
      <c r="B16" s="25">
        <v>294</v>
      </c>
    </row>
    <row r="17" spans="1:3">
      <c r="A17" s="16">
        <v>0.11</v>
      </c>
      <c r="B17" s="25">
        <v>279</v>
      </c>
    </row>
    <row r="18" spans="1:3">
      <c r="A18" s="16">
        <v>0.12</v>
      </c>
      <c r="B18" s="25">
        <v>265</v>
      </c>
    </row>
    <row r="19" spans="1:3">
      <c r="A19" s="16">
        <v>0.13</v>
      </c>
      <c r="B19" s="25">
        <v>251</v>
      </c>
    </row>
    <row r="20" spans="1:3">
      <c r="A20" s="16">
        <v>0.14000000000000001</v>
      </c>
      <c r="B20" s="25">
        <v>236</v>
      </c>
    </row>
    <row r="23" spans="1:3">
      <c r="A23" s="5" t="s">
        <v>193</v>
      </c>
      <c r="B23" s="5" t="s">
        <v>184</v>
      </c>
    </row>
    <row r="24" spans="1:3">
      <c r="A24" s="16">
        <v>0.1</v>
      </c>
      <c r="B24" s="25">
        <v>196</v>
      </c>
    </row>
    <row r="25" spans="1:3">
      <c r="A25" s="16">
        <v>0.12</v>
      </c>
      <c r="B25" s="25">
        <v>219</v>
      </c>
    </row>
    <row r="26" spans="1:3">
      <c r="A26" s="16">
        <v>0.14000000000000001</v>
      </c>
      <c r="B26" s="25">
        <v>242</v>
      </c>
    </row>
    <row r="27" spans="1:3">
      <c r="A27" s="16">
        <v>0.16</v>
      </c>
      <c r="B27" s="25">
        <v>265</v>
      </c>
    </row>
    <row r="28" spans="1:3">
      <c r="A28" s="16">
        <v>0.18</v>
      </c>
      <c r="B28" s="25">
        <v>288</v>
      </c>
    </row>
    <row r="29" spans="1:3">
      <c r="A29" s="16">
        <v>0.2</v>
      </c>
      <c r="B29" s="25">
        <v>311</v>
      </c>
    </row>
    <row r="30" spans="1:3">
      <c r="A30" s="16">
        <v>0.22</v>
      </c>
      <c r="B30" s="25">
        <v>334</v>
      </c>
    </row>
    <row r="32" spans="1:3" ht="16.2">
      <c r="A32" s="3" t="s">
        <v>194</v>
      </c>
      <c r="B32" s="4"/>
      <c r="C32" s="4"/>
    </row>
    <row r="33" spans="1:7">
      <c r="A33" s="6" t="s">
        <v>195</v>
      </c>
      <c r="B33" s="16">
        <v>8.8828280586875558E-2</v>
      </c>
    </row>
    <row r="34" spans="1:7">
      <c r="A34" s="6" t="s">
        <v>196</v>
      </c>
      <c r="B34" s="16">
        <v>9.0369282766836756E-2</v>
      </c>
    </row>
    <row r="36" spans="1:7" ht="16.2">
      <c r="A36" s="3" t="s">
        <v>197</v>
      </c>
      <c r="B36" s="4"/>
      <c r="C36" s="4"/>
      <c r="D36" s="4"/>
      <c r="E36" s="4"/>
      <c r="F36" s="4"/>
      <c r="G36" s="4"/>
    </row>
    <row r="37" spans="1:7">
      <c r="A37" s="5" t="s">
        <v>115</v>
      </c>
      <c r="B37" s="5" t="s">
        <v>198</v>
      </c>
      <c r="C37" s="5" t="s">
        <v>199</v>
      </c>
      <c r="D37" s="5" t="s">
        <v>200</v>
      </c>
    </row>
    <row r="38" spans="1:7">
      <c r="A38" s="6" t="s">
        <v>201</v>
      </c>
      <c r="B38" s="25">
        <v>139.5</v>
      </c>
      <c r="C38" s="25">
        <v>171</v>
      </c>
      <c r="D38" s="25">
        <v>195</v>
      </c>
    </row>
    <row r="39" spans="1:7">
      <c r="A39" s="6" t="s">
        <v>202</v>
      </c>
      <c r="B39" s="25">
        <v>47.9</v>
      </c>
      <c r="C39" s="25">
        <v>53.2</v>
      </c>
      <c r="D39" s="25">
        <v>58.5</v>
      </c>
    </row>
    <row r="40" spans="1:7">
      <c r="A40" s="6" t="s">
        <v>203</v>
      </c>
      <c r="B40" s="25">
        <v>39.1</v>
      </c>
      <c r="C40" s="25">
        <v>45.7</v>
      </c>
      <c r="D40" s="25">
        <v>52.2</v>
      </c>
    </row>
    <row r="41" spans="1:7">
      <c r="A41" s="6" t="s">
        <v>204</v>
      </c>
      <c r="B41" s="25">
        <v>225</v>
      </c>
      <c r="C41" s="25">
        <v>256</v>
      </c>
      <c r="D41" s="25">
        <v>286</v>
      </c>
    </row>
    <row r="42" spans="1:7" ht="40.049999999999997" customHeight="1">
      <c r="A42" s="31" t="s">
        <v>205</v>
      </c>
      <c r="B42" s="27"/>
      <c r="C42" s="27"/>
      <c r="D42" s="27"/>
      <c r="E42" s="27"/>
      <c r="F42" s="27"/>
      <c r="G42" s="27"/>
    </row>
  </sheetData>
  <mergeCells count="2">
    <mergeCell ref="A2:G2"/>
    <mergeCell ref="A42:G42"/>
  </mergeCells>
  <phoneticPr fontId="11" type="noConversion"/>
  <pageMargins left="0.25" right="0.25" top="0.35" bottom="0.35" header="0.15" footer="0.15"/>
  <pageSetup paperSize="8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3"/>
  <sheetViews>
    <sheetView showGridLines="0" workbookViewId="0"/>
  </sheetViews>
  <sheetFormatPr defaultRowHeight="14.4"/>
  <cols>
    <col min="1" max="1" width="34" customWidth="1"/>
    <col min="2" max="2" width="50" customWidth="1"/>
    <col min="3" max="3" width="16" customWidth="1"/>
    <col min="4" max="4" width="70" customWidth="1"/>
  </cols>
  <sheetData>
    <row r="1" spans="1:4" ht="23.4">
      <c r="A1" s="1" t="s">
        <v>206</v>
      </c>
    </row>
    <row r="2" spans="1:4" ht="15.6">
      <c r="A2" s="26" t="s">
        <v>207</v>
      </c>
      <c r="B2" s="27"/>
      <c r="C2" s="27"/>
      <c r="D2" s="27"/>
    </row>
    <row r="4" spans="1:4">
      <c r="A4" s="5" t="s">
        <v>208</v>
      </c>
      <c r="B4" s="5" t="s">
        <v>209</v>
      </c>
      <c r="C4" s="5" t="s">
        <v>210</v>
      </c>
      <c r="D4" s="5" t="s">
        <v>211</v>
      </c>
    </row>
    <row r="5" spans="1:4" ht="26.4">
      <c r="A5" s="6" t="s">
        <v>212</v>
      </c>
      <c r="B5" s="6" t="s">
        <v>213</v>
      </c>
      <c r="C5" s="23" t="s">
        <v>214</v>
      </c>
      <c r="D5" s="8" t="s">
        <v>215</v>
      </c>
    </row>
    <row r="6" spans="1:4" ht="26.4">
      <c r="A6" s="6" t="s">
        <v>216</v>
      </c>
      <c r="B6" s="6" t="s">
        <v>217</v>
      </c>
      <c r="C6" s="23" t="s">
        <v>218</v>
      </c>
      <c r="D6" s="8" t="s">
        <v>219</v>
      </c>
    </row>
    <row r="7" spans="1:4" ht="26.4">
      <c r="A7" s="6" t="s">
        <v>220</v>
      </c>
      <c r="B7" s="6" t="s">
        <v>217</v>
      </c>
      <c r="C7" s="23" t="s">
        <v>221</v>
      </c>
      <c r="D7" s="8" t="s">
        <v>222</v>
      </c>
    </row>
    <row r="8" spans="1:4">
      <c r="A8" s="6" t="s">
        <v>223</v>
      </c>
      <c r="B8" s="6" t="s">
        <v>224</v>
      </c>
      <c r="C8" s="23" t="s">
        <v>225</v>
      </c>
      <c r="D8" s="8" t="s">
        <v>226</v>
      </c>
    </row>
    <row r="9" spans="1:4">
      <c r="A9" s="6" t="s">
        <v>227</v>
      </c>
      <c r="B9" s="6" t="s">
        <v>228</v>
      </c>
      <c r="C9" s="23" t="s">
        <v>229</v>
      </c>
      <c r="D9" s="8" t="s">
        <v>230</v>
      </c>
    </row>
    <row r="10" spans="1:4">
      <c r="A10" s="6" t="s">
        <v>231</v>
      </c>
      <c r="B10" s="6" t="s">
        <v>232</v>
      </c>
      <c r="C10" s="23" t="s">
        <v>225</v>
      </c>
      <c r="D10" s="8" t="s">
        <v>233</v>
      </c>
    </row>
    <row r="13" spans="1:4" ht="15">
      <c r="A13" s="30" t="s">
        <v>234</v>
      </c>
      <c r="B13" s="27"/>
      <c r="C13" s="27"/>
      <c r="D13" s="27"/>
    </row>
  </sheetData>
  <mergeCells count="2">
    <mergeCell ref="A13:D13"/>
    <mergeCell ref="A2:D2"/>
  </mergeCells>
  <phoneticPr fontId="11" type="noConversion"/>
  <pageMargins left="0.25" right="0.25" top="0.35" bottom="0.35" header="0.15" footer="0.1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结论</vt:lpstr>
      <vt:lpstr>历史财务</vt:lpstr>
      <vt:lpstr>分部</vt:lpstr>
      <vt:lpstr>FCFF桥</vt:lpstr>
      <vt:lpstr>DCF</vt:lpstr>
      <vt:lpstr>敏感性</vt:lpstr>
      <vt:lpstr>来源</vt:lpstr>
      <vt:lpstr>DCF!Print_Area</vt:lpstr>
      <vt:lpstr>FCFF桥!Print_Area</vt:lpstr>
      <vt:lpstr>分部!Print_Area</vt:lpstr>
      <vt:lpstr>结论!Print_Area</vt:lpstr>
      <vt:lpstr>来源!Print_Area</vt:lpstr>
      <vt:lpstr>历史财务!Print_Area</vt:lpstr>
      <vt:lpstr>敏感性!Print_Area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t4707</cp:lastModifiedBy>
  <dcterms:created xsi:type="dcterms:W3CDTF">2026-10-29T08:15:10Z</dcterms:created>
  <dcterms:modified xsi:type="dcterms:W3CDTF">2026-10-29T10:34:23Z</dcterms:modified>
</cp:coreProperties>
</file>