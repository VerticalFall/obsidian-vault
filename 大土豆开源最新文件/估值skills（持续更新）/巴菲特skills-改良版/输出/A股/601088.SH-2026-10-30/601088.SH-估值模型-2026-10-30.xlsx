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历史财务" sheetId="2" state="visible" r:id="rId2"/>
    <sheet xmlns:r="http://schemas.openxmlformats.org/officeDocument/2006/relationships" name="分部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敏感性" sheetId="5" state="visible" r:id="rId5"/>
    <sheet xmlns:r="http://schemas.openxmlformats.org/officeDocument/2006/relationships" name="情景" sheetId="6" state="visible" r:id="rId6"/>
    <sheet xmlns:r="http://schemas.openxmlformats.org/officeDocument/2006/relationships" name="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0.0"/>
    <numFmt numFmtId="167" formatCode="0.0%"/>
  </numFmts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B6770"/>
      <sz val="9"/>
    </font>
    <font>
      <name val="Microsoft YaHei"/>
      <i val="1"/>
      <color rgb="005B6770"/>
      <sz val="8.5"/>
    </font>
    <font>
      <name val="Microsoft YaHei"/>
      <b val="1"/>
      <color rgb="002F6B4F"/>
      <sz val="11"/>
    </font>
    <font>
      <name val="Microsoft YaHei"/>
      <b val="1"/>
      <color rgb="005B4A3A"/>
      <sz val="9.5"/>
    </font>
    <font>
      <name val="Microsoft YaHei"/>
      <color rgb="001F2933"/>
      <sz val="9.5"/>
    </font>
    <font>
      <name val="Microsoft YaHei"/>
      <color rgb="001A73E8"/>
      <sz val="9.5"/>
    </font>
    <font>
      <name val="Microsoft YaHei"/>
      <color rgb="005B6770"/>
      <sz val="9.5"/>
    </font>
    <font>
      <name val="Microsoft YaHei"/>
      <b val="1"/>
      <color rgb="001F2933"/>
      <sz val="9.5"/>
    </font>
    <font>
      <name val="Microsoft YaHei"/>
      <b val="1"/>
      <color rgb="002F6B4F"/>
      <sz val="9.5"/>
    </font>
    <font>
      <name val="Microsoft YaHei"/>
      <b val="1"/>
      <color rgb="00B23A2E"/>
      <sz val="9.5"/>
    </font>
    <font>
      <name val="Microsoft YaHei"/>
      <b val="1"/>
      <color rgb="00B23A2E"/>
      <sz val="10.5"/>
    </font>
    <font>
      <name val="Microsoft YaHei"/>
      <color rgb="00B23A2E"/>
      <sz val="9.5"/>
    </font>
    <font>
      <name val="Microsoft YaHei"/>
      <color rgb="001F2933"/>
      <sz val="9"/>
    </font>
    <font>
      <name val="Microsoft YaHei"/>
      <color rgb="002F6B4F"/>
      <sz val="9.5"/>
    </font>
  </fonts>
  <fills count="7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FBF7EA"/>
      </patternFill>
    </fill>
    <fill>
      <patternFill patternType="solid">
        <fgColor rgb="00E8EFE9"/>
      </patternFill>
    </fill>
    <fill>
      <patternFill patternType="solid">
        <fgColor rgb="00EFE8D8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  <border>
      <left/>
      <right/>
      <top style="thin">
        <color rgb="00D9D2C5"/>
      </top>
      <bottom/>
      <diagonal/>
    </border>
    <border>
      <left/>
      <right style="thin">
        <color rgb="00D9D2C5"/>
      </right>
      <top style="thin">
        <color rgb="00D9D2C5"/>
      </top>
      <bottom/>
      <diagonal/>
    </border>
    <border>
      <left/>
      <right/>
      <top style="thin">
        <color rgb="00D9D2C5"/>
      </top>
      <bottom style="thin">
        <color rgb="00D9D2C5"/>
      </bottom>
      <diagonal/>
    </border>
    <border>
      <left/>
      <right style="thin">
        <color rgb="00D9D2C5"/>
      </right>
      <top style="thin">
        <color rgb="00D9D2C5"/>
      </top>
      <bottom style="thin">
        <color rgb="00D9D2C5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2" fontId="7" fillId="6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4" fontId="7" fillId="6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2" fontId="10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166" fontId="7" fillId="6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 indent="1"/>
    </xf>
    <xf numFmtId="164" fontId="6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2" fontId="13" fillId="0" borderId="1" applyAlignment="1" pivotButton="0" quotePrefix="0" xfId="0">
      <alignment horizontal="right" vertical="center"/>
    </xf>
    <xf numFmtId="2" fontId="1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归母净利润（亿元）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'历史财务'!$B$5:$G$5</f>
            </numRef>
          </cat>
          <val>
            <numRef>
              <f>'历史财务'!$B$7:$G$7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qt.gtimg.cn/q=sh601088" TargetMode="External" Id="rId1"/><Relationship Type="http://schemas.openxmlformats.org/officeDocument/2006/relationships/hyperlink" Target="http://app.cnstock.com/zzb/zgzqb/html/2026-10/24/nw.D110000zgzqb_20261024_1-B151.htm" TargetMode="External" Id="rId2"/><Relationship Type="http://schemas.openxmlformats.org/officeDocument/2006/relationships/hyperlink" Target="http://app.cnstock.com/zzb/zgzqb/html/2026-10/24/nw.D110000zgzqb_20261024_1-B151.htm" TargetMode="External" Id="rId3"/><Relationship Type="http://schemas.openxmlformats.org/officeDocument/2006/relationships/hyperlink" Target="https://www.sse.com.cn/" TargetMode="External" Id="rId4"/><Relationship Type="http://schemas.openxmlformats.org/officeDocument/2006/relationships/hyperlink" Target="https://www.sse.com.cn/" TargetMode="External" Id="rId5"/><Relationship Type="http://schemas.openxmlformats.org/officeDocument/2006/relationships/hyperlink" Target="https://emweb.securities.eastmoney.com/" TargetMode="External" Id="rId6"/><Relationship Type="http://schemas.openxmlformats.org/officeDocument/2006/relationships/hyperlink" Target="https://www.cctd.com.cn/" TargetMode="External" Id="rId7"/></Relationships>
</file>

<file path=xl/worksheets/sheet1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G4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46" customWidth="1" min="4" max="4"/>
    <col width="3" customWidth="1" min="5" max="5"/>
    <col width="3" customWidth="1" min="6" max="6"/>
    <col width="3" customWidth="1" min="7" max="7"/>
  </cols>
  <sheetData>
    <row r="1" ht="28" customHeight="1">
      <c r="A1" s="1" t="inlineStr">
        <is>
          <t>中国神华 601088.SH · 巴菲特框架估值模型</t>
        </is>
      </c>
    </row>
    <row r="2" ht="18" customHeight="1">
      <c r="A2" s="2" t="inlineStr">
        <is>
          <t>报告日 2026-10-30｜价格日 2026-10-30｜单位：人民币亿元、元/股｜蓝色=输入，黑色=公式</t>
        </is>
      </c>
    </row>
    <row r="3" ht="30" customHeight="1">
      <c r="A3" s="3" t="inlineStr">
        <is>
          <t>本模型只用于研究记录，不构成投资建议。事实、计算、假设与判断分开标注；来源见“来源”页。</t>
        </is>
      </c>
    </row>
    <row r="5" ht="22" customHeight="1">
      <c r="A5" s="4" t="inlineStr">
        <is>
          <t>一、市场与估值结论</t>
        </is>
      </c>
    </row>
    <row r="6" ht="28" customHeight="1">
      <c r="A6" s="5" t="inlineStr">
        <is>
          <t>指标</t>
        </is>
      </c>
      <c r="B6" s="5" t="inlineStr">
        <is>
          <t>数值</t>
        </is>
      </c>
      <c r="C6" s="5" t="inlineStr">
        <is>
          <t>单位 / 说明</t>
        </is>
      </c>
      <c r="D6" s="5" t="inlineStr"/>
      <c r="E6" s="5" t="inlineStr"/>
      <c r="F6" s="5" t="inlineStr"/>
      <c r="G6" s="5" t="inlineStr"/>
    </row>
    <row r="7">
      <c r="A7" s="6" t="inlineStr">
        <is>
          <t>收盘价</t>
        </is>
      </c>
      <c r="B7" s="7" t="n">
        <v>51.99</v>
      </c>
      <c r="C7" s="8" t="inlineStr">
        <is>
          <t>元/股</t>
        </is>
      </c>
      <c r="D7" s="9" t="n"/>
      <c r="E7" s="9" t="n"/>
      <c r="F7" s="9" t="n"/>
      <c r="G7" s="10" t="n"/>
    </row>
    <row r="8">
      <c r="A8" s="6" t="inlineStr">
        <is>
          <t>总股本</t>
        </is>
      </c>
      <c r="B8" s="11" t="n">
        <v>216.89434304</v>
      </c>
      <c r="C8" s="8" t="inlineStr">
        <is>
          <t>亿股</t>
        </is>
      </c>
      <c r="D8" s="9" t="n"/>
      <c r="E8" s="9" t="n"/>
      <c r="F8" s="9" t="n"/>
      <c r="G8" s="10" t="n"/>
    </row>
    <row r="9">
      <c r="A9" s="6" t="inlineStr">
        <is>
          <t>总市值</t>
        </is>
      </c>
      <c r="B9" s="12">
        <f>B7*B8</f>
        <v/>
      </c>
      <c r="C9" s="8" t="inlineStr">
        <is>
          <t>亿元</t>
        </is>
      </c>
      <c r="D9" s="9" t="n"/>
      <c r="E9" s="9" t="n"/>
      <c r="F9" s="9" t="n"/>
      <c r="G9" s="10" t="n"/>
    </row>
    <row r="10">
      <c r="A10" s="6" t="inlineStr">
        <is>
          <t>净债务</t>
        </is>
      </c>
      <c r="B10" s="11" t="n">
        <v>285.9</v>
      </c>
      <c r="C10" s="8" t="inlineStr">
        <is>
          <t>亿元</t>
        </is>
      </c>
      <c r="D10" s="9" t="n"/>
      <c r="E10" s="9" t="n"/>
      <c r="F10" s="9" t="n"/>
      <c r="G10" s="10" t="n"/>
    </row>
    <row r="11">
      <c r="A11" s="6" t="inlineStr">
        <is>
          <t>少数股东权益</t>
        </is>
      </c>
      <c r="B11" s="11" t="n">
        <v>969.25</v>
      </c>
      <c r="C11" s="8" t="inlineStr">
        <is>
          <t>亿元</t>
        </is>
      </c>
      <c r="D11" s="9" t="n"/>
      <c r="E11" s="9" t="n"/>
      <c r="F11" s="9" t="n"/>
      <c r="G11" s="10" t="n"/>
    </row>
    <row r="12">
      <c r="A12" s="6" t="inlineStr">
        <is>
          <t>2026E 归母净利</t>
        </is>
      </c>
      <c r="B12" s="13" t="n">
        <v>565</v>
      </c>
      <c r="C12" s="8" t="inlineStr">
        <is>
          <t>亿元</t>
        </is>
      </c>
      <c r="D12" s="9" t="n"/>
      <c r="E12" s="9" t="n"/>
      <c r="F12" s="9" t="n"/>
      <c r="G12" s="10" t="n"/>
    </row>
    <row r="13">
      <c r="A13" s="6" t="inlineStr">
        <is>
          <t>2026E EPS</t>
        </is>
      </c>
      <c r="B13" s="14">
        <f>B12/B8</f>
        <v/>
      </c>
      <c r="C13" s="8" t="inlineStr">
        <is>
          <t>元/股</t>
        </is>
      </c>
      <c r="D13" s="9" t="n"/>
      <c r="E13" s="9" t="n"/>
      <c r="F13" s="9" t="n"/>
      <c r="G13" s="10" t="n"/>
    </row>
    <row r="14">
      <c r="A14" s="6" t="inlineStr">
        <is>
          <t>2026E DPS</t>
        </is>
      </c>
      <c r="B14" s="15" t="n">
        <v>1.95</v>
      </c>
      <c r="C14" s="8" t="inlineStr">
        <is>
          <t>元/股</t>
        </is>
      </c>
      <c r="D14" s="9" t="n"/>
      <c r="E14" s="9" t="n"/>
      <c r="F14" s="9" t="n"/>
      <c r="G14" s="10" t="n"/>
    </row>
    <row r="15">
      <c r="A15" s="6" t="inlineStr">
        <is>
          <t>2026E 股息率</t>
        </is>
      </c>
      <c r="B15" s="16">
        <f>B14/B7</f>
        <v/>
      </c>
      <c r="C15" s="8" t="inlineStr">
        <is>
          <t>%</t>
        </is>
      </c>
      <c r="D15" s="9" t="n"/>
      <c r="E15" s="9" t="n"/>
      <c r="F15" s="9" t="n"/>
      <c r="G15" s="10" t="n"/>
    </row>
    <row r="16">
      <c r="A16" s="6" t="inlineStr">
        <is>
          <t>2026E PE</t>
        </is>
      </c>
      <c r="B16" s="17">
        <f>B7/B13</f>
        <v/>
      </c>
      <c r="C16" s="8" t="inlineStr">
        <is>
          <t>倍</t>
        </is>
      </c>
      <c r="D16" s="9" t="n"/>
      <c r="E16" s="9" t="n"/>
      <c r="F16" s="9" t="n"/>
      <c r="G16" s="10" t="n"/>
    </row>
    <row r="17">
      <c r="A17" s="6" t="inlineStr">
        <is>
          <t>每股净资产 BPS</t>
        </is>
      </c>
      <c r="B17" s="7" t="n">
        <v>20.5</v>
      </c>
      <c r="C17" s="8" t="inlineStr">
        <is>
          <t>元/股</t>
        </is>
      </c>
      <c r="D17" s="9" t="n"/>
      <c r="E17" s="9" t="n"/>
      <c r="F17" s="9" t="n"/>
      <c r="G17" s="10" t="n"/>
    </row>
    <row r="18">
      <c r="A18" s="6" t="inlineStr">
        <is>
          <t>PB</t>
        </is>
      </c>
      <c r="B18" s="18">
        <f>B7/B17</f>
        <v/>
      </c>
      <c r="C18" s="8" t="inlineStr">
        <is>
          <t>倍</t>
        </is>
      </c>
      <c r="D18" s="9" t="n"/>
      <c r="E18" s="9" t="n"/>
      <c r="F18" s="9" t="n"/>
      <c r="G18" s="10" t="n"/>
    </row>
    <row r="19">
      <c r="A19" s="6" t="inlineStr">
        <is>
          <t>2026E ROE</t>
        </is>
      </c>
      <c r="B19" s="19" t="n">
        <v>0.12</v>
      </c>
      <c r="C19" s="8" t="inlineStr">
        <is>
          <t>%</t>
        </is>
      </c>
      <c r="D19" s="9" t="n"/>
      <c r="E19" s="9" t="n"/>
      <c r="F19" s="9" t="n"/>
      <c r="G19" s="10" t="n"/>
    </row>
    <row r="20">
      <c r="A20" s="6" t="inlineStr">
        <is>
          <t>估值方法 1：FCFF DCF</t>
        </is>
      </c>
      <c r="B20" s="18" t="n">
        <v>38.19</v>
      </c>
      <c r="C20" s="8" t="inlineStr">
        <is>
          <t>元/股</t>
        </is>
      </c>
      <c r="D20" s="9" t="n"/>
      <c r="E20" s="9" t="n"/>
      <c r="F20" s="9" t="n"/>
      <c r="G20" s="10" t="n"/>
    </row>
    <row r="21">
      <c r="A21" s="6" t="inlineStr">
        <is>
          <t>估值方法 2：DDM</t>
        </is>
      </c>
      <c r="B21" s="18" t="n">
        <v>32.5</v>
      </c>
      <c r="C21" s="8" t="inlineStr">
        <is>
          <t>元/股</t>
        </is>
      </c>
      <c r="D21" s="9" t="n"/>
      <c r="E21" s="9" t="n"/>
      <c r="F21" s="9" t="n"/>
      <c r="G21" s="10" t="n"/>
    </row>
    <row r="22">
      <c r="A22" s="6" t="inlineStr">
        <is>
          <t>估值方法 3：PE</t>
        </is>
      </c>
      <c r="B22" s="18" t="n">
        <v>39</v>
      </c>
      <c r="C22" s="8" t="inlineStr">
        <is>
          <t>元/股</t>
        </is>
      </c>
      <c r="D22" s="9" t="n"/>
      <c r="E22" s="9" t="n"/>
      <c r="F22" s="9" t="n"/>
      <c r="G22" s="10" t="n"/>
    </row>
    <row r="23">
      <c r="A23" s="20" t="inlineStr">
        <is>
          <t>综合基准价值</t>
        </is>
      </c>
      <c r="B23" s="21">
        <f>B20*0.5+B21*0.3+B22*0.2</f>
        <v/>
      </c>
      <c r="C23" s="8" t="inlineStr">
        <is>
          <t>元/股</t>
        </is>
      </c>
      <c r="D23" s="9" t="n"/>
      <c r="E23" s="9" t="n"/>
      <c r="F23" s="9" t="n"/>
      <c r="G23" s="10" t="n"/>
    </row>
    <row r="24">
      <c r="A24" s="20" t="inlineStr">
        <is>
          <t>安全边际</t>
        </is>
      </c>
      <c r="B24" s="22">
        <f>1-B7/B23</f>
        <v/>
      </c>
      <c r="C24" s="8" t="inlineStr">
        <is>
          <t>正=折价，负=溢价</t>
        </is>
      </c>
      <c r="D24" s="9" t="n"/>
      <c r="E24" s="9" t="n"/>
      <c r="F24" s="9" t="n"/>
      <c r="G24" s="10" t="n"/>
    </row>
    <row r="25">
      <c r="A25" s="20" t="inlineStr">
        <is>
          <t>评级</t>
        </is>
      </c>
      <c r="B25" s="23" t="inlineStr">
        <is>
          <t>昂贵</t>
        </is>
      </c>
      <c r="C25" s="6" t="inlineStr"/>
      <c r="D25" s="9" t="n"/>
      <c r="E25" s="9" t="n"/>
      <c r="F25" s="9" t="n"/>
      <c r="G25" s="10" t="n"/>
    </row>
    <row r="26">
      <c r="A26" s="6" t="inlineStr">
        <is>
          <t>置信度</t>
        </is>
      </c>
      <c r="B26" s="24" t="inlineStr">
        <is>
          <t>中高</t>
        </is>
      </c>
      <c r="C26" s="6" t="inlineStr"/>
      <c r="D26" s="9" t="n"/>
      <c r="E26" s="9" t="n"/>
      <c r="F26" s="9" t="n"/>
      <c r="G26" s="10" t="n"/>
    </row>
    <row r="27" ht="42" customHeight="1">
      <c r="A27" s="25" t="inlineStr">
        <is>
          <t>结论：昂贵：现价接近乐观情景，19–20 倍 PE 为周期高位盈利付费；收购推高杠杆与少数股东权益，A/H 溢价显著。</t>
        </is>
      </c>
    </row>
    <row r="29" ht="22" customHeight="1">
      <c r="A29" s="4" t="inlineStr">
        <is>
          <t>二、关键假设</t>
        </is>
      </c>
    </row>
    <row r="30" ht="28" customHeight="1">
      <c r="A30" s="5" t="inlineStr">
        <is>
          <t>假设</t>
        </is>
      </c>
      <c r="B30" s="5" t="inlineStr">
        <is>
          <t>数值</t>
        </is>
      </c>
      <c r="C30" s="5" t="inlineStr">
        <is>
          <t>说明</t>
        </is>
      </c>
      <c r="D30" s="5" t="inlineStr"/>
      <c r="E30" s="5" t="inlineStr"/>
      <c r="F30" s="5" t="inlineStr"/>
      <c r="G30" s="5" t="inlineStr"/>
    </row>
    <row r="31" ht="24" customHeight="1">
      <c r="A31" s="6" t="inlineStr">
        <is>
          <t>归一化 FCFF</t>
        </is>
      </c>
      <c r="B31" s="13" t="n">
        <v>620</v>
      </c>
      <c r="C31" s="26" t="inlineStr">
        <is>
          <t>亿元；2026E CFO − capex，按中周期煤价调整</t>
        </is>
      </c>
      <c r="D31" s="9" t="n"/>
      <c r="E31" s="9" t="n"/>
      <c r="F31" s="9" t="n"/>
      <c r="G31" s="10" t="n"/>
    </row>
    <row r="32" ht="24" customHeight="1">
      <c r="A32" s="6" t="inlineStr">
        <is>
          <t>WACC</t>
        </is>
      </c>
      <c r="B32" s="19" t="n">
        <v>0.08</v>
      </c>
      <c r="C32" s="26" t="inlineStr">
        <is>
          <t>周期资源股要求回报</t>
        </is>
      </c>
      <c r="D32" s="9" t="n"/>
      <c r="E32" s="9" t="n"/>
      <c r="F32" s="9" t="n"/>
      <c r="G32" s="10" t="n"/>
    </row>
    <row r="33" ht="24" customHeight="1">
      <c r="A33" s="6" t="inlineStr">
        <is>
          <t>永续增长 g</t>
        </is>
      </c>
      <c r="B33" s="19" t="n">
        <v>0.015</v>
      </c>
      <c r="C33" s="26" t="inlineStr">
        <is>
          <t>煤价长期通胀，低于名义 GDP</t>
        </is>
      </c>
      <c r="D33" s="9" t="n"/>
      <c r="E33" s="9" t="n"/>
      <c r="F33" s="9" t="n"/>
      <c r="G33" s="10" t="n"/>
    </row>
    <row r="34" ht="24" customHeight="1">
      <c r="A34" s="6" t="inlineStr">
        <is>
          <t>DPS（2026E）</t>
        </is>
      </c>
      <c r="B34" s="15" t="n">
        <v>1.95</v>
      </c>
      <c r="C34" s="26" t="inlineStr">
        <is>
          <t>分红率约 75%</t>
        </is>
      </c>
      <c r="D34" s="9" t="n"/>
      <c r="E34" s="9" t="n"/>
      <c r="F34" s="9" t="n"/>
      <c r="G34" s="10" t="n"/>
    </row>
    <row r="35" ht="24" customHeight="1">
      <c r="A35" s="6" t="inlineStr">
        <is>
          <t>COE</t>
        </is>
      </c>
      <c r="B35" s="19" t="n">
        <v>0.08</v>
      </c>
      <c r="C35" s="26" t="inlineStr">
        <is>
          <t>DDM 折现率</t>
        </is>
      </c>
      <c r="D35" s="9" t="n"/>
      <c r="E35" s="9" t="n"/>
      <c r="F35" s="9" t="n"/>
      <c r="G35" s="10" t="n"/>
    </row>
    <row r="36" ht="24" customHeight="1">
      <c r="A36" s="6" t="inlineStr">
        <is>
          <t>DDM g</t>
        </is>
      </c>
      <c r="B36" s="19" t="n">
        <v>0.02</v>
      </c>
      <c r="C36" s="26" t="inlineStr">
        <is>
          <t>股息长期增长</t>
        </is>
      </c>
      <c r="D36" s="9" t="n"/>
      <c r="E36" s="9" t="n"/>
      <c r="F36" s="9" t="n"/>
      <c r="G36" s="10" t="n"/>
    </row>
    <row r="37" ht="24" customHeight="1">
      <c r="A37" s="6" t="inlineStr">
        <is>
          <t>PE 中枢</t>
        </is>
      </c>
      <c r="B37" s="27" t="n">
        <v>15</v>
      </c>
      <c r="C37" s="26" t="inlineStr">
        <is>
          <t>周期股中周期合理 PE</t>
        </is>
      </c>
      <c r="D37" s="9" t="n"/>
      <c r="E37" s="9" t="n"/>
      <c r="F37" s="9" t="n"/>
      <c r="G37" s="10" t="n"/>
    </row>
    <row r="39" ht="22" customHeight="1">
      <c r="A39" s="4" t="inlineStr">
        <is>
          <t>三、三情景</t>
        </is>
      </c>
    </row>
    <row r="40" ht="28" customHeight="1">
      <c r="A40" s="5" t="inlineStr">
        <is>
          <t>情景</t>
        </is>
      </c>
      <c r="B40" s="5" t="inlineStr">
        <is>
          <t>每股价值（元）</t>
        </is>
      </c>
      <c r="C40" s="5" t="inlineStr">
        <is>
          <t>相对现价</t>
        </is>
      </c>
      <c r="D40" s="5" t="inlineStr">
        <is>
          <t>核心假设</t>
        </is>
      </c>
      <c r="E40" s="5" t="inlineStr"/>
      <c r="F40" s="5" t="inlineStr"/>
      <c r="G40" s="5" t="inlineStr"/>
    </row>
    <row r="41" ht="30" customHeight="1">
      <c r="A41" s="24" t="inlineStr">
        <is>
          <t>悲观</t>
        </is>
      </c>
      <c r="B41" s="28" t="n">
        <v>25.55</v>
      </c>
      <c r="C41" s="29">
        <f>B41/B7-1</f>
        <v/>
      </c>
      <c r="D41" s="26" t="inlineStr">
        <is>
          <t>煤价回落；FCFF 520 亿、WACC 8.5%</t>
        </is>
      </c>
      <c r="E41" s="9" t="n"/>
      <c r="F41" s="9" t="n"/>
      <c r="G41" s="10" t="n"/>
    </row>
    <row r="42" ht="30" customHeight="1">
      <c r="A42" s="30" t="inlineStr">
        <is>
          <t>基准</t>
        </is>
      </c>
      <c r="B42" s="21" t="n">
        <v>36.64</v>
      </c>
      <c r="C42" s="22">
        <f>B42/B7-1</f>
        <v/>
      </c>
      <c r="D42" s="26" t="inlineStr">
        <is>
          <t>中周期煤价；FCFF 620 亿、WACC 8.0%</t>
        </is>
      </c>
      <c r="E42" s="9" t="n"/>
      <c r="F42" s="9" t="n"/>
      <c r="G42" s="10" t="n"/>
    </row>
    <row r="43" ht="30" customHeight="1">
      <c r="A43" s="24" t="inlineStr">
        <is>
          <t>乐观</t>
        </is>
      </c>
      <c r="B43" s="28" t="n">
        <v>50.09</v>
      </c>
      <c r="C43" s="29">
        <f>B43/B7-1</f>
        <v/>
      </c>
      <c r="D43" s="26" t="inlineStr">
        <is>
          <t>煤价高位、收购协同；FCFF 720 亿、WACC 7.5%</t>
        </is>
      </c>
      <c r="E43" s="9" t="n"/>
      <c r="F43" s="9" t="n"/>
      <c r="G43" s="10" t="n"/>
    </row>
    <row r="45" ht="22" customHeight="1">
      <c r="A45" s="4" t="inlineStr">
        <is>
          <t>四、结论边界</t>
        </is>
      </c>
    </row>
    <row r="46" ht="26" customHeight="1">
      <c r="A46" s="31" t="inlineStr">
        <is>
          <t>• 一体化煤炭龙头，长协煤与煤电运化对冲部分周期；但仍是周期股。</t>
        </is>
      </c>
    </row>
    <row r="47" ht="26" customHeight="1">
      <c r="A47" s="31" t="inlineStr">
        <is>
          <t>• 现价 20 倍 PE，接近乐观情景；A/H 溢价显著，H 股股息率约 6.7%。</t>
        </is>
      </c>
    </row>
    <row r="48" ht="26" customHeight="1">
      <c r="A48" s="31" t="inlineStr">
        <is>
          <t>• 若要求 20% 安全边际，对应价格约 29.3 元；现价不满足。</t>
        </is>
      </c>
    </row>
  </sheetData>
  <mergeCells count="41">
    <mergeCell ref="C34:G34"/>
    <mergeCell ref="C24:G24"/>
    <mergeCell ref="C15:G15"/>
    <mergeCell ref="C33:G33"/>
    <mergeCell ref="A29:G29"/>
    <mergeCell ref="C14:G14"/>
    <mergeCell ref="D42:G42"/>
    <mergeCell ref="C26:G26"/>
    <mergeCell ref="C35:G35"/>
    <mergeCell ref="C20:G20"/>
    <mergeCell ref="C10:G10"/>
    <mergeCell ref="C16:G16"/>
    <mergeCell ref="A39:G39"/>
    <mergeCell ref="C25:G25"/>
    <mergeCell ref="A48:G48"/>
    <mergeCell ref="C31:G31"/>
    <mergeCell ref="C22:G22"/>
    <mergeCell ref="C9:G9"/>
    <mergeCell ref="A45:G45"/>
    <mergeCell ref="C21:G21"/>
    <mergeCell ref="A1:G1"/>
    <mergeCell ref="C12:G12"/>
    <mergeCell ref="C11:G11"/>
    <mergeCell ref="C36:G36"/>
    <mergeCell ref="C23:G23"/>
    <mergeCell ref="C8:G8"/>
    <mergeCell ref="C17:G17"/>
    <mergeCell ref="A46:G46"/>
    <mergeCell ref="D41:G41"/>
    <mergeCell ref="C7:G7"/>
    <mergeCell ref="A27:G27"/>
    <mergeCell ref="C32:G32"/>
    <mergeCell ref="A3:G3"/>
    <mergeCell ref="C19:G19"/>
    <mergeCell ref="A2:G2"/>
    <mergeCell ref="C37:G37"/>
    <mergeCell ref="D43:G43"/>
    <mergeCell ref="C13:G13"/>
    <mergeCell ref="C18:G18"/>
    <mergeCell ref="A47:G47"/>
    <mergeCell ref="A5:G5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I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2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 ht="28" customHeight="1">
      <c r="A1" s="1" t="inlineStr">
        <is>
          <t>中国神华 · 2021–2025 财务与分红</t>
        </is>
      </c>
    </row>
    <row r="2" ht="18" customHeight="1">
      <c r="A2" s="2" t="inlineStr">
        <is>
          <t>单位：亿元、元/股、%；2026E 为模型估计；银行口径为营业收入/归母净利润</t>
        </is>
      </c>
    </row>
    <row r="3" ht="30" customHeight="1">
      <c r="A3" s="3" t="inlineStr">
        <is>
          <t>数据来源：公司年报/季报、东方财富 F10；ROE 2021–2023 为按平均归母权益计算，2024–2025 采用披露值。</t>
        </is>
      </c>
    </row>
    <row r="5" ht="28" customHeight="1">
      <c r="A5" s="5" t="inlineStr">
        <is>
          <t>指标</t>
        </is>
      </c>
      <c r="B5" s="5" t="inlineStr">
        <is>
          <t>2021</t>
        </is>
      </c>
      <c r="C5" s="5" t="inlineStr">
        <is>
          <t>2022</t>
        </is>
      </c>
      <c r="D5" s="5" t="inlineStr">
        <is>
          <t>2023</t>
        </is>
      </c>
      <c r="E5" s="5" t="inlineStr">
        <is>
          <t>2024</t>
        </is>
      </c>
      <c r="F5" s="5" t="inlineStr">
        <is>
          <t>2025</t>
        </is>
      </c>
      <c r="G5" s="5" t="inlineStr">
        <is>
          <t>2026E</t>
        </is>
      </c>
      <c r="H5" s="5" t="inlineStr"/>
      <c r="I5" s="5" t="inlineStr"/>
    </row>
    <row r="6">
      <c r="A6" s="6" t="inlineStr">
        <is>
          <t>营业收入</t>
        </is>
      </c>
      <c r="B6" s="32" t="n">
        <v>3356.4</v>
      </c>
      <c r="C6" s="32" t="n">
        <v>3445.33</v>
      </c>
      <c r="D6" s="32" t="n">
        <v>3430.74</v>
      </c>
      <c r="E6" s="32" t="n">
        <v>3397.88</v>
      </c>
      <c r="F6" s="32" t="n">
        <v>2949.16</v>
      </c>
      <c r="G6" s="33" t="n">
        <v>3960</v>
      </c>
    </row>
    <row r="7">
      <c r="A7" s="20" t="inlineStr">
        <is>
          <t>归母净利润</t>
        </is>
      </c>
      <c r="B7" s="32" t="n">
        <v>500.84</v>
      </c>
      <c r="C7" s="32" t="n">
        <v>696.48</v>
      </c>
      <c r="D7" s="32" t="n">
        <v>596.9400000000001</v>
      </c>
      <c r="E7" s="32" t="n">
        <v>558.05</v>
      </c>
      <c r="F7" s="32" t="n">
        <v>528.49</v>
      </c>
      <c r="G7" s="33" t="n">
        <v>565</v>
      </c>
    </row>
    <row r="8">
      <c r="A8" s="6" t="inlineStr">
        <is>
          <t>EPS（元）</t>
        </is>
      </c>
      <c r="B8" s="34" t="n">
        <v>2.52</v>
      </c>
      <c r="C8" s="34" t="n">
        <v>3.505</v>
      </c>
      <c r="D8" s="34" t="n">
        <v>3.004</v>
      </c>
      <c r="E8" s="34" t="n">
        <v>2.809</v>
      </c>
      <c r="F8" s="34" t="n">
        <v>2.66</v>
      </c>
      <c r="G8" s="35" t="n">
        <v>2.6</v>
      </c>
    </row>
    <row r="9">
      <c r="A9" s="20" t="inlineStr">
        <is>
          <t>ROE（%）</t>
        </is>
      </c>
      <c r="B9" s="28" t="n">
        <v>13.6</v>
      </c>
      <c r="C9" s="28" t="n">
        <v>18.1</v>
      </c>
      <c r="D9" s="28" t="n">
        <v>14.9</v>
      </c>
      <c r="E9" s="28" t="n">
        <v>13.5</v>
      </c>
      <c r="F9" s="28" t="n">
        <v>12.8</v>
      </c>
      <c r="G9" s="21" t="n">
        <v>12</v>
      </c>
    </row>
    <row r="10">
      <c r="A10" s="6" t="inlineStr">
        <is>
          <t>毛利率（%）</t>
        </is>
      </c>
      <c r="B10" s="36" t="n">
        <v>32.9</v>
      </c>
      <c r="C10" s="36" t="n">
        <v>39</v>
      </c>
      <c r="D10" s="36" t="n">
        <v>35.9</v>
      </c>
      <c r="E10" s="36" t="n">
        <v>34.1</v>
      </c>
      <c r="F10" s="36" t="n">
        <v>35.1</v>
      </c>
      <c r="G10" s="37" t="n">
        <v>35</v>
      </c>
    </row>
    <row r="11">
      <c r="A11" s="6" t="inlineStr">
        <is>
          <t>净利率（%）</t>
        </is>
      </c>
      <c r="B11" s="36" t="n">
        <v>14.9</v>
      </c>
      <c r="C11" s="36" t="n">
        <v>20.2</v>
      </c>
      <c r="D11" s="36" t="n">
        <v>17.4</v>
      </c>
      <c r="E11" s="36" t="n">
        <v>16.4</v>
      </c>
      <c r="F11" s="36" t="n">
        <v>21.3</v>
      </c>
      <c r="G11" s="37" t="n">
        <v>19.1</v>
      </c>
    </row>
    <row r="12">
      <c r="A12" s="6" t="inlineStr">
        <is>
          <t>资产负债率（%）</t>
        </is>
      </c>
      <c r="B12" s="36" t="n">
        <v>26.6</v>
      </c>
      <c r="C12" s="36" t="n">
        <v>26.1</v>
      </c>
      <c r="D12" s="36" t="n">
        <v>24.1</v>
      </c>
      <c r="E12" s="36" t="n">
        <v>25.7</v>
      </c>
      <c r="F12" s="36" t="n">
        <v>33.2</v>
      </c>
      <c r="G12" s="37" t="n">
        <v>40.8</v>
      </c>
    </row>
    <row r="13">
      <c r="A13" s="6" t="inlineStr">
        <is>
          <t>DPS（元）</t>
        </is>
      </c>
      <c r="B13" s="34" t="n">
        <v>2.54</v>
      </c>
      <c r="C13" s="34" t="n">
        <v>2.55</v>
      </c>
      <c r="D13" s="34" t="n">
        <v>2.26</v>
      </c>
      <c r="E13" s="34" t="n">
        <v>2.26</v>
      </c>
      <c r="F13" s="34" t="n">
        <v>2.01</v>
      </c>
      <c r="G13" s="35" t="n">
        <v>1.95</v>
      </c>
    </row>
    <row r="14">
      <c r="A14" s="6" t="inlineStr">
        <is>
          <t>分红率（%）</t>
        </is>
      </c>
      <c r="B14" s="36" t="n">
        <v>100.8</v>
      </c>
      <c r="C14" s="36" t="n">
        <v>72.8</v>
      </c>
      <c r="D14" s="36" t="n">
        <v>75.2</v>
      </c>
      <c r="E14" s="36" t="n">
        <v>80.5</v>
      </c>
      <c r="F14" s="36" t="n">
        <v>79.09999999999999</v>
      </c>
      <c r="G14" s="37" t="n">
        <v>75</v>
      </c>
    </row>
    <row r="16" ht="22" customHeight="1">
      <c r="A16" s="4" t="inlineStr">
        <is>
          <t>2026E 关键假设</t>
        </is>
      </c>
    </row>
    <row r="17" ht="28" customHeight="1">
      <c r="A17" s="5" t="inlineStr">
        <is>
          <t>项目</t>
        </is>
      </c>
      <c r="B17" s="5" t="inlineStr">
        <is>
          <t>数值</t>
        </is>
      </c>
      <c r="C17" s="5" t="inlineStr">
        <is>
          <t>说明</t>
        </is>
      </c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6" t="inlineStr">
        <is>
          <t>2026E 归母净利</t>
        </is>
      </c>
      <c r="B18" s="13" t="n">
        <v>565</v>
      </c>
      <c r="C18" s="8" t="inlineStr">
        <is>
          <t>9M 444.03 + Q4E 约 121</t>
        </is>
      </c>
      <c r="D18" s="9" t="n"/>
      <c r="E18" s="9" t="n"/>
      <c r="F18" s="9" t="n"/>
      <c r="G18" s="9" t="n"/>
      <c r="H18" s="9" t="n"/>
      <c r="I18" s="10" t="n"/>
    </row>
    <row r="19">
      <c r="A19" s="6" t="inlineStr">
        <is>
          <t>2026E EPS</t>
        </is>
      </c>
      <c r="B19" s="7" t="n">
        <v>2.6</v>
      </c>
      <c r="C19" s="8" t="inlineStr">
        <is>
          <t>/ 216.89 亿股</t>
        </is>
      </c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2026E DPS</t>
        </is>
      </c>
      <c r="B20" s="15" t="n">
        <v>1.95</v>
      </c>
      <c r="C20" s="8" t="inlineStr">
        <is>
          <t>分红率约 75%</t>
        </is>
      </c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2026E ROE</t>
        </is>
      </c>
      <c r="B21" s="27" t="n">
        <v>12</v>
      </c>
      <c r="C21" s="8" t="inlineStr">
        <is>
          <t>归母净利 / 平均归母权益</t>
        </is>
      </c>
      <c r="D21" s="9" t="n"/>
      <c r="E21" s="9" t="n"/>
      <c r="F21" s="9" t="n"/>
      <c r="G21" s="9" t="n"/>
      <c r="H21" s="9" t="n"/>
      <c r="I21" s="10" t="n"/>
    </row>
  </sheetData>
  <mergeCells count="8">
    <mergeCell ref="A2:I2"/>
    <mergeCell ref="C18:I18"/>
    <mergeCell ref="C21:I21"/>
    <mergeCell ref="A1:I1"/>
    <mergeCell ref="C20:I20"/>
    <mergeCell ref="A3:I3"/>
    <mergeCell ref="C19:I19"/>
    <mergeCell ref="A16:I16"/>
  </mergeCell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56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中国神华 · 2026 年前三季度分部</t>
        </is>
      </c>
    </row>
    <row r="2" ht="18" customHeight="1">
      <c r="A2" s="2" t="inlineStr">
        <is>
          <t>煤电路港航化一体化；2026Q3 煤价 448 元/吨（+7.4%），自产煤毛利率 42.4%</t>
        </is>
      </c>
    </row>
    <row r="4" ht="28" customHeight="1">
      <c r="A4" s="5" t="inlineStr">
        <is>
          <t>分部</t>
        </is>
      </c>
      <c r="B4" s="5" t="inlineStr">
        <is>
          <t>收入（亿元）</t>
        </is>
      </c>
      <c r="C4" s="5" t="inlineStr">
        <is>
          <t>毛利（亿元）</t>
        </is>
      </c>
      <c r="D4" s="5" t="inlineStr">
        <is>
          <t>毛利率</t>
        </is>
      </c>
      <c r="E4" s="5" t="inlineStr">
        <is>
          <t>同比</t>
        </is>
      </c>
      <c r="F4" s="5" t="inlineStr">
        <is>
          <t>说明</t>
        </is>
      </c>
      <c r="G4" s="5" t="inlineStr"/>
      <c r="H4" s="5" t="inlineStr"/>
    </row>
    <row r="5" ht="28" customHeight="1">
      <c r="A5" s="6" t="inlineStr">
        <is>
          <t>煤炭</t>
        </is>
      </c>
      <c r="B5" s="38" t="inlineStr">
        <is>
          <t>—</t>
        </is>
      </c>
      <c r="C5" s="38" t="n">
        <v>672.98</v>
      </c>
      <c r="D5" s="24" t="inlineStr">
        <is>
          <t>42.4%（自产）</t>
        </is>
      </c>
      <c r="E5" s="39" t="inlineStr">
        <is>
          <t>+7.1%</t>
        </is>
      </c>
      <c r="F5" s="26" t="inlineStr">
        <is>
          <t>产量 3.82 亿吨（-2.3%），销量 4.61 亿吨（+0.1%）</t>
        </is>
      </c>
      <c r="G5" s="9" t="n"/>
      <c r="H5" s="10" t="n"/>
    </row>
    <row r="6" ht="28" customHeight="1">
      <c r="A6" s="6" t="inlineStr">
        <is>
          <t>发电</t>
        </is>
      </c>
      <c r="B6" s="38" t="inlineStr">
        <is>
          <t>—</t>
        </is>
      </c>
      <c r="C6" s="38" t="inlineStr">
        <is>
          <t>—</t>
        </is>
      </c>
      <c r="D6" s="24" t="inlineStr">
        <is>
          <t>13.4%</t>
        </is>
      </c>
      <c r="E6" s="40" t="inlineStr">
        <is>
          <t>-4.9pct</t>
        </is>
      </c>
      <c r="F6" s="26" t="inlineStr">
        <is>
          <t>发电 2,175 亿 kWh（+2.3%），电价 370 元/MWh</t>
        </is>
      </c>
      <c r="G6" s="9" t="n"/>
      <c r="H6" s="10" t="n"/>
    </row>
    <row r="7" ht="28" customHeight="1">
      <c r="A7" s="6" t="inlineStr">
        <is>
          <t>煤化工</t>
        </is>
      </c>
      <c r="B7" s="38" t="n">
        <v>237.39</v>
      </c>
      <c r="C7" s="38" t="n">
        <v>66.83</v>
      </c>
      <c r="D7" s="24" t="inlineStr">
        <is>
          <t>28.2%</t>
        </is>
      </c>
      <c r="E7" s="39" t="inlineStr">
        <is>
          <t>+450.9%</t>
        </is>
      </c>
      <c r="F7" s="26" t="inlineStr">
        <is>
          <t>收入 +50%，扭亏为盈</t>
        </is>
      </c>
      <c r="G7" s="9" t="n"/>
      <c r="H7" s="10" t="n"/>
    </row>
    <row r="8" ht="28" customHeight="1">
      <c r="A8" s="6" t="inlineStr">
        <is>
          <t>运输/港口</t>
        </is>
      </c>
      <c r="B8" s="38" t="inlineStr">
        <is>
          <t>—</t>
        </is>
      </c>
      <c r="C8" s="38" t="inlineStr">
        <is>
          <t>—</t>
        </is>
      </c>
      <c r="D8" s="24" t="inlineStr">
        <is>
          <t>—</t>
        </is>
      </c>
      <c r="E8" s="40" t="inlineStr">
        <is>
          <t>—</t>
        </is>
      </c>
      <c r="F8" s="26" t="inlineStr">
        <is>
          <t>一体化配套，稳定器</t>
        </is>
      </c>
      <c r="G8" s="9" t="n"/>
      <c r="H8" s="10" t="n"/>
    </row>
    <row r="10" ht="22" customHeight="1">
      <c r="A10" s="4" t="inlineStr">
        <is>
          <t>运营数据</t>
        </is>
      </c>
    </row>
    <row r="11" ht="28" customHeight="1">
      <c r="A11" s="5" t="inlineStr">
        <is>
          <t>指标</t>
        </is>
      </c>
      <c r="B11" s="5" t="inlineStr">
        <is>
          <t>2026 9M</t>
        </is>
      </c>
      <c r="C11" s="5" t="inlineStr">
        <is>
          <t>同比</t>
        </is>
      </c>
      <c r="D11" s="5" t="inlineStr">
        <is>
          <t>说明</t>
        </is>
      </c>
      <c r="E11" s="5" t="inlineStr"/>
      <c r="F11" s="5" t="inlineStr"/>
      <c r="G11" s="5" t="inlineStr"/>
      <c r="H11" s="5" t="inlineStr"/>
    </row>
    <row r="12">
      <c r="A12" s="6" t="inlineStr">
        <is>
          <t>商品煤产量（亿吨）</t>
        </is>
      </c>
      <c r="B12" s="38" t="n">
        <v>3.82</v>
      </c>
      <c r="C12" s="40" t="inlineStr">
        <is>
          <t>-2.3%</t>
        </is>
      </c>
      <c r="D12" s="8" t="inlineStr">
        <is>
          <t>核定产能约束</t>
        </is>
      </c>
      <c r="E12" s="9" t="n"/>
      <c r="F12" s="9" t="n"/>
      <c r="G12" s="9" t="n"/>
      <c r="H12" s="10" t="n"/>
    </row>
    <row r="13">
      <c r="A13" s="6" t="inlineStr">
        <is>
          <t>商品煤销量（亿吨）</t>
        </is>
      </c>
      <c r="B13" s="38" t="n">
        <v>4.61</v>
      </c>
      <c r="C13" s="39" t="inlineStr">
        <is>
          <t>+0.1%</t>
        </is>
      </c>
      <c r="D13" s="8" t="inlineStr">
        <is>
          <t>外购煤增加</t>
        </is>
      </c>
      <c r="E13" s="9" t="n"/>
      <c r="F13" s="9" t="n"/>
      <c r="G13" s="9" t="n"/>
      <c r="H13" s="10" t="n"/>
    </row>
    <row r="14">
      <c r="A14" s="6" t="inlineStr">
        <is>
          <t>自产煤销量（亿吨）</t>
        </is>
      </c>
      <c r="B14" s="38" t="n">
        <v>3.76</v>
      </c>
      <c r="C14" s="40" t="inlineStr">
        <is>
          <t>-3.1%</t>
        </is>
      </c>
      <c r="D14" s="8" t="inlineStr"/>
      <c r="E14" s="9" t="n"/>
      <c r="F14" s="9" t="n"/>
      <c r="G14" s="9" t="n"/>
      <c r="H14" s="10" t="n"/>
    </row>
    <row r="15">
      <c r="A15" s="6" t="inlineStr">
        <is>
          <t>自产煤售价（元/吨）</t>
        </is>
      </c>
      <c r="B15" s="38" t="n">
        <v>448</v>
      </c>
      <c r="C15" s="39" t="inlineStr">
        <is>
          <t>+7.4%</t>
        </is>
      </c>
      <c r="D15" s="8" t="inlineStr">
        <is>
          <t>长协价 717 元/吨</t>
        </is>
      </c>
      <c r="E15" s="9" t="n"/>
      <c r="F15" s="9" t="n"/>
      <c r="G15" s="9" t="n"/>
      <c r="H15" s="10" t="n"/>
    </row>
    <row r="16">
      <c r="A16" s="6" t="inlineStr">
        <is>
          <t>自产煤单位成本（元/吨）</t>
        </is>
      </c>
      <c r="B16" s="38" t="n">
        <v>157.5</v>
      </c>
      <c r="C16" s="40" t="inlineStr">
        <is>
          <t>-3.9%</t>
        </is>
      </c>
      <c r="D16" s="8" t="inlineStr">
        <is>
          <t>成本控制良好</t>
        </is>
      </c>
      <c r="E16" s="9" t="n"/>
      <c r="F16" s="9" t="n"/>
      <c r="G16" s="9" t="n"/>
      <c r="H16" s="10" t="n"/>
    </row>
    <row r="17">
      <c r="A17" s="6" t="inlineStr">
        <is>
          <t>发电量（亿 kWh）</t>
        </is>
      </c>
      <c r="B17" s="38" t="n">
        <v>2175</v>
      </c>
      <c r="C17" s="39" t="inlineStr">
        <is>
          <t>+2.3%</t>
        </is>
      </c>
      <c r="D17" s="8" t="inlineStr">
        <is>
          <t>装机 7,208 万千瓦</t>
        </is>
      </c>
      <c r="E17" s="9" t="n"/>
      <c r="F17" s="9" t="n"/>
      <c r="G17" s="9" t="n"/>
      <c r="H17" s="10" t="n"/>
    </row>
    <row r="18">
      <c r="A18" s="6" t="inlineStr">
        <is>
          <t>上网电价（元/MWh）</t>
        </is>
      </c>
      <c r="B18" s="38" t="n">
        <v>370</v>
      </c>
      <c r="C18" s="39" t="inlineStr">
        <is>
          <t>+0.5%</t>
        </is>
      </c>
      <c r="D18" s="8" t="inlineStr"/>
      <c r="E18" s="9" t="n"/>
      <c r="F18" s="9" t="n"/>
      <c r="G18" s="9" t="n"/>
      <c r="H18" s="10" t="n"/>
    </row>
    <row r="19">
      <c r="A19" s="6" t="inlineStr">
        <is>
          <t>电力成本（元/MWh）</t>
        </is>
      </c>
      <c r="B19" s="38" t="n">
        <v>337.5</v>
      </c>
      <c r="C19" s="39" t="inlineStr">
        <is>
          <t>+8.1%</t>
        </is>
      </c>
      <c r="D19" s="8" t="inlineStr">
        <is>
          <t>煤价上行挤压</t>
        </is>
      </c>
      <c r="E19" s="9" t="n"/>
      <c r="F19" s="9" t="n"/>
      <c r="G19" s="9" t="n"/>
      <c r="H19" s="10" t="n"/>
    </row>
  </sheetData>
  <mergeCells count="15">
    <mergeCell ref="A1:H1"/>
    <mergeCell ref="D12:H12"/>
    <mergeCell ref="F6:H6"/>
    <mergeCell ref="F5:H5"/>
    <mergeCell ref="D15:H15"/>
    <mergeCell ref="D16:H16"/>
    <mergeCell ref="A2:H2"/>
    <mergeCell ref="D19:H19"/>
    <mergeCell ref="A10:H10"/>
    <mergeCell ref="D13:H13"/>
    <mergeCell ref="F8:H8"/>
    <mergeCell ref="D14:H14"/>
    <mergeCell ref="F7:H7"/>
    <mergeCell ref="D18:H18"/>
    <mergeCell ref="D17:H17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60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中国神华 · FCFF DCF、DDM 与 PE 交叉</t>
        </is>
      </c>
    </row>
    <row r="2" ht="18" customHeight="1">
      <c r="A2" s="2" t="inlineStr">
        <is>
          <t>周期资源股：以中周期 FCF 为主，避免用峰值利润×低 PE；EV 扣除净债务与少数股东权益</t>
        </is>
      </c>
    </row>
    <row r="4" ht="22" customHeight="1">
      <c r="A4" s="4" t="inlineStr">
        <is>
          <t>A. FCFF DCF</t>
        </is>
      </c>
    </row>
    <row r="5" ht="28" customHeight="1">
      <c r="A5" s="5" t="inlineStr">
        <is>
          <t>项目</t>
        </is>
      </c>
      <c r="B5" s="5" t="inlineStr">
        <is>
          <t>数值</t>
        </is>
      </c>
      <c r="C5" s="5" t="inlineStr">
        <is>
          <t>单位</t>
        </is>
      </c>
      <c r="D5" s="5" t="inlineStr">
        <is>
          <t>公式/说明</t>
        </is>
      </c>
      <c r="E5" s="5" t="inlineStr"/>
      <c r="F5" s="5" t="inlineStr"/>
      <c r="G5" s="5" t="inlineStr"/>
      <c r="H5" s="5" t="inlineStr"/>
    </row>
    <row r="6">
      <c r="A6" s="6" t="inlineStr">
        <is>
          <t>归一化 FCFF</t>
        </is>
      </c>
      <c r="B6" s="13" t="n">
        <v>620</v>
      </c>
      <c r="C6" s="41" t="inlineStr">
        <is>
          <t>亿元</t>
        </is>
      </c>
      <c r="D6" s="8" t="inlineStr">
        <is>
          <t>输入</t>
        </is>
      </c>
      <c r="E6" s="9" t="n"/>
      <c r="F6" s="9" t="n"/>
      <c r="G6" s="9" t="n"/>
      <c r="H6" s="10" t="n"/>
    </row>
    <row r="7">
      <c r="A7" s="6" t="inlineStr">
        <is>
          <t>WACC</t>
        </is>
      </c>
      <c r="B7" s="19" t="n">
        <v>0.08</v>
      </c>
      <c r="C7" s="41" t="inlineStr">
        <is>
          <t>%</t>
        </is>
      </c>
      <c r="D7" s="8" t="inlineStr">
        <is>
          <t>输入</t>
        </is>
      </c>
      <c r="E7" s="9" t="n"/>
      <c r="F7" s="9" t="n"/>
      <c r="G7" s="9" t="n"/>
      <c r="H7" s="10" t="n"/>
    </row>
    <row r="8">
      <c r="A8" s="6" t="inlineStr">
        <is>
          <t>永续增长 g</t>
        </is>
      </c>
      <c r="B8" s="19" t="n">
        <v>0.015</v>
      </c>
      <c r="C8" s="41" t="inlineStr">
        <is>
          <t>%</t>
        </is>
      </c>
      <c r="D8" s="8" t="inlineStr">
        <is>
          <t>输入</t>
        </is>
      </c>
      <c r="E8" s="9" t="n"/>
      <c r="F8" s="9" t="n"/>
      <c r="G8" s="9" t="n"/>
      <c r="H8" s="10" t="n"/>
    </row>
    <row r="9">
      <c r="A9" s="6" t="inlineStr">
        <is>
          <t>企业价值 EV</t>
        </is>
      </c>
      <c r="B9" s="42">
        <f>B6/(B7-B8)</f>
        <v/>
      </c>
      <c r="C9" s="41" t="inlineStr">
        <is>
          <t>亿元</t>
        </is>
      </c>
      <c r="D9" s="8" t="inlineStr">
        <is>
          <t>FCFF/(WACC−g)</t>
        </is>
      </c>
      <c r="E9" s="9" t="n"/>
      <c r="F9" s="9" t="n"/>
      <c r="G9" s="9" t="n"/>
      <c r="H9" s="10" t="n"/>
    </row>
    <row r="10">
      <c r="A10" s="6" t="inlineStr">
        <is>
          <t>减：净债务</t>
        </is>
      </c>
      <c r="B10" s="13" t="n">
        <v>285.9</v>
      </c>
      <c r="C10" s="41" t="inlineStr">
        <is>
          <t>亿元</t>
        </is>
      </c>
      <c r="D10" s="8" t="inlineStr">
        <is>
          <t>输入</t>
        </is>
      </c>
      <c r="E10" s="9" t="n"/>
      <c r="F10" s="9" t="n"/>
      <c r="G10" s="9" t="n"/>
      <c r="H10" s="10" t="n"/>
    </row>
    <row r="11">
      <c r="A11" s="6" t="inlineStr">
        <is>
          <t>减：少数股东权益</t>
        </is>
      </c>
      <c r="B11" s="13" t="n">
        <v>969.25</v>
      </c>
      <c r="C11" s="41" t="inlineStr">
        <is>
          <t>亿元</t>
        </is>
      </c>
      <c r="D11" s="8" t="inlineStr">
        <is>
          <t>输入</t>
        </is>
      </c>
      <c r="E11" s="9" t="n"/>
      <c r="F11" s="9" t="n"/>
      <c r="G11" s="9" t="n"/>
      <c r="H11" s="10" t="n"/>
    </row>
    <row r="12">
      <c r="A12" s="6" t="inlineStr">
        <is>
          <t>股权价值</t>
        </is>
      </c>
      <c r="B12" s="42">
        <f>B9-B10-B11</f>
        <v/>
      </c>
      <c r="C12" s="41" t="inlineStr">
        <is>
          <t>亿元</t>
        </is>
      </c>
      <c r="D12" s="8" t="inlineStr">
        <is>
          <t>EV−净债务−少数</t>
        </is>
      </c>
      <c r="E12" s="9" t="n"/>
      <c r="F12" s="9" t="n"/>
      <c r="G12" s="9" t="n"/>
      <c r="H12" s="10" t="n"/>
    </row>
    <row r="13">
      <c r="A13" s="6" t="inlineStr">
        <is>
          <t>总股本</t>
        </is>
      </c>
      <c r="B13" s="11" t="n">
        <v>216.89434304</v>
      </c>
      <c r="C13" s="41" t="inlineStr">
        <is>
          <t>亿股</t>
        </is>
      </c>
      <c r="D13" s="8" t="inlineStr">
        <is>
          <t>输入</t>
        </is>
      </c>
      <c r="E13" s="9" t="n"/>
      <c r="F13" s="9" t="n"/>
      <c r="G13" s="9" t="n"/>
      <c r="H13" s="10" t="n"/>
    </row>
    <row r="14">
      <c r="A14" s="6" t="inlineStr">
        <is>
          <t>每股价值</t>
        </is>
      </c>
      <c r="B14" s="18">
        <f>B12/B13</f>
        <v/>
      </c>
      <c r="C14" s="41" t="inlineStr">
        <is>
          <t>元/股</t>
        </is>
      </c>
      <c r="D14" s="8" t="inlineStr">
        <is>
          <t>股权价值/股本</t>
        </is>
      </c>
      <c r="E14" s="9" t="n"/>
      <c r="F14" s="9" t="n"/>
      <c r="G14" s="9" t="n"/>
      <c r="H14" s="10" t="n"/>
    </row>
    <row r="16" ht="22" customHeight="1">
      <c r="A16" s="4" t="inlineStr">
        <is>
          <t>B. DDM 与 PE</t>
        </is>
      </c>
    </row>
    <row r="17" ht="28" customHeight="1">
      <c r="A17" s="5" t="inlineStr">
        <is>
          <t>项目</t>
        </is>
      </c>
      <c r="B17" s="5" t="inlineStr">
        <is>
          <t>数值</t>
        </is>
      </c>
      <c r="C17" s="5" t="inlineStr">
        <is>
          <t>单位</t>
        </is>
      </c>
      <c r="D17" s="5" t="inlineStr">
        <is>
          <t>说明</t>
        </is>
      </c>
      <c r="E17" s="5" t="inlineStr"/>
      <c r="F17" s="5" t="inlineStr"/>
      <c r="G17" s="5" t="inlineStr"/>
      <c r="H17" s="5" t="inlineStr"/>
    </row>
    <row r="18">
      <c r="A18" s="6" t="inlineStr">
        <is>
          <t>2026E DPS</t>
        </is>
      </c>
      <c r="B18" s="15" t="n">
        <v>1.95</v>
      </c>
      <c r="C18" s="41" t="inlineStr">
        <is>
          <t>元/股</t>
        </is>
      </c>
      <c r="D18" s="8" t="inlineStr">
        <is>
          <t>分红率约 75%</t>
        </is>
      </c>
      <c r="E18" s="9" t="n"/>
      <c r="F18" s="9" t="n"/>
      <c r="G18" s="9" t="n"/>
      <c r="H18" s="10" t="n"/>
    </row>
    <row r="19">
      <c r="A19" s="6" t="inlineStr">
        <is>
          <t>COE</t>
        </is>
      </c>
      <c r="B19" s="19" t="n">
        <v>0.08</v>
      </c>
      <c r="C19" s="41" t="inlineStr">
        <is>
          <t>%</t>
        </is>
      </c>
      <c r="D19" s="8" t="inlineStr">
        <is>
          <t>与 WACC 一致</t>
        </is>
      </c>
      <c r="E19" s="9" t="n"/>
      <c r="F19" s="9" t="n"/>
      <c r="G19" s="9" t="n"/>
      <c r="H19" s="10" t="n"/>
    </row>
    <row r="20">
      <c r="A20" s="6" t="inlineStr">
        <is>
          <t>DDM g</t>
        </is>
      </c>
      <c r="B20" s="19" t="n">
        <v>0.02</v>
      </c>
      <c r="C20" s="41" t="inlineStr">
        <is>
          <t>%</t>
        </is>
      </c>
      <c r="D20" s="8" t="inlineStr">
        <is>
          <t>股息长期增长</t>
        </is>
      </c>
      <c r="E20" s="9" t="n"/>
      <c r="F20" s="9" t="n"/>
      <c r="G20" s="9" t="n"/>
      <c r="H20" s="10" t="n"/>
    </row>
    <row r="21">
      <c r="A21" s="6" t="inlineStr">
        <is>
          <t>DDM 每股价值</t>
        </is>
      </c>
      <c r="B21" s="21">
        <f>B18/(B19-B20)</f>
        <v/>
      </c>
      <c r="C21" s="41" t="inlineStr">
        <is>
          <t>元/股</t>
        </is>
      </c>
      <c r="D21" s="8" t="inlineStr">
        <is>
          <t>DPS/(COE−g)</t>
        </is>
      </c>
      <c r="E21" s="9" t="n"/>
      <c r="F21" s="9" t="n"/>
      <c r="G21" s="9" t="n"/>
      <c r="H21" s="10" t="n"/>
    </row>
    <row r="22">
      <c r="A22" s="6" t="inlineStr">
        <is>
          <t>2026E EPS</t>
        </is>
      </c>
      <c r="B22" s="7" t="n">
        <v>2.6</v>
      </c>
      <c r="C22" s="41" t="inlineStr">
        <is>
          <t>元/股</t>
        </is>
      </c>
      <c r="D22" s="8" t="inlineStr">
        <is>
          <t>归母净利/股本</t>
        </is>
      </c>
      <c r="E22" s="9" t="n"/>
      <c r="F22" s="9" t="n"/>
      <c r="G22" s="9" t="n"/>
      <c r="H22" s="10" t="n"/>
    </row>
    <row r="23">
      <c r="A23" s="6" t="inlineStr">
        <is>
          <t>中周期 PE</t>
        </is>
      </c>
      <c r="B23" s="27" t="n">
        <v>15</v>
      </c>
      <c r="C23" s="41" t="inlineStr">
        <is>
          <t>倍</t>
        </is>
      </c>
      <c r="D23" s="8" t="inlineStr">
        <is>
          <t>周期股合理中枢</t>
        </is>
      </c>
      <c r="E23" s="9" t="n"/>
      <c r="F23" s="9" t="n"/>
      <c r="G23" s="9" t="n"/>
      <c r="H23" s="10" t="n"/>
    </row>
    <row r="24">
      <c r="A24" s="6" t="inlineStr">
        <is>
          <t>PE 每股价值</t>
        </is>
      </c>
      <c r="B24" s="21">
        <f>B22*B23</f>
        <v/>
      </c>
      <c r="C24" s="41" t="inlineStr">
        <is>
          <t>元/股</t>
        </is>
      </c>
      <c r="D24" s="8" t="inlineStr">
        <is>
          <t>EPS×PE</t>
        </is>
      </c>
      <c r="E24" s="9" t="n"/>
      <c r="F24" s="9" t="n"/>
      <c r="G24" s="9" t="n"/>
      <c r="H24" s="10" t="n"/>
    </row>
    <row r="26" ht="22" customHeight="1">
      <c r="A26" s="4" t="inlineStr">
        <is>
          <t>C. 反向 DCF</t>
        </is>
      </c>
    </row>
    <row r="27" ht="28" customHeight="1">
      <c r="A27" s="5" t="inlineStr">
        <is>
          <t>项目</t>
        </is>
      </c>
      <c r="B27" s="5" t="inlineStr">
        <is>
          <t>数值</t>
        </is>
      </c>
      <c r="C27" s="5" t="inlineStr">
        <is>
          <t>单位</t>
        </is>
      </c>
      <c r="D27" s="5" t="inlineStr">
        <is>
          <t>说明</t>
        </is>
      </c>
      <c r="E27" s="5" t="inlineStr"/>
      <c r="F27" s="5" t="inlineStr"/>
      <c r="G27" s="5" t="inlineStr"/>
      <c r="H27" s="5" t="inlineStr"/>
    </row>
    <row r="28">
      <c r="A28" s="6" t="inlineStr">
        <is>
          <t>现价隐含 EV</t>
        </is>
      </c>
      <c r="B28" s="42">
        <f>51.99*216.89434304+285.9+969.25</f>
        <v/>
      </c>
      <c r="C28" s="41" t="inlineStr">
        <is>
          <t>亿元</t>
        </is>
      </c>
      <c r="D28" s="8" t="inlineStr">
        <is>
          <t>市值+净债务+少数股东权益</t>
        </is>
      </c>
      <c r="E28" s="9" t="n"/>
      <c r="F28" s="9" t="n"/>
      <c r="G28" s="9" t="n"/>
      <c r="H28" s="10" t="n"/>
    </row>
    <row r="29">
      <c r="A29" s="6" t="inlineStr">
        <is>
          <t>隐含永续 g（WACC 8.0%）</t>
        </is>
      </c>
      <c r="B29" s="16">
        <f>0.08-B6/B28</f>
        <v/>
      </c>
      <c r="C29" s="41" t="inlineStr">
        <is>
          <t>%</t>
        </is>
      </c>
      <c r="D29" s="8" t="inlineStr">
        <is>
          <t>WACC − FCF/EV</t>
        </is>
      </c>
      <c r="E29" s="9" t="n"/>
      <c r="F29" s="9" t="n"/>
      <c r="G29" s="9" t="n"/>
      <c r="H29" s="10" t="n"/>
    </row>
    <row r="30">
      <c r="A30" s="6" t="inlineStr">
        <is>
          <t>隐含 WACC（g 1.5%）</t>
        </is>
      </c>
      <c r="B30" s="16">
        <f>0.015+B6/B28</f>
        <v/>
      </c>
      <c r="C30" s="41" t="inlineStr">
        <is>
          <t>%</t>
        </is>
      </c>
      <c r="D30" s="8" t="inlineStr">
        <is>
          <t>g + FCF/EV</t>
        </is>
      </c>
      <c r="E30" s="9" t="n"/>
      <c r="F30" s="9" t="n"/>
      <c r="G30" s="9" t="n"/>
      <c r="H30" s="10" t="n"/>
    </row>
  </sheetData>
  <mergeCells count="24">
    <mergeCell ref="D20:H20"/>
    <mergeCell ref="D10:H10"/>
    <mergeCell ref="D19:H19"/>
    <mergeCell ref="A1:H1"/>
    <mergeCell ref="D22:H22"/>
    <mergeCell ref="D21:H21"/>
    <mergeCell ref="D6:H6"/>
    <mergeCell ref="A16:H16"/>
    <mergeCell ref="D11:H11"/>
    <mergeCell ref="D13:H13"/>
    <mergeCell ref="D7:H7"/>
    <mergeCell ref="A26:H26"/>
    <mergeCell ref="A2:H2"/>
    <mergeCell ref="D28:H28"/>
    <mergeCell ref="D18:H18"/>
    <mergeCell ref="D9:H9"/>
    <mergeCell ref="A4:H4"/>
    <mergeCell ref="D12:H12"/>
    <mergeCell ref="D30:H30"/>
    <mergeCell ref="D8:H8"/>
    <mergeCell ref="D24:H24"/>
    <mergeCell ref="D29:H29"/>
    <mergeCell ref="D23:H23"/>
    <mergeCell ref="D14:H14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" customWidth="1" min="9" max="9"/>
  </cols>
  <sheetData>
    <row r="1" ht="28" customHeight="1">
      <c r="A1" s="1" t="inlineStr">
        <is>
          <t>中国神华 · DCF 敏感性：WACC × 归一化 FCFF</t>
        </is>
      </c>
    </row>
    <row r="2" ht="18" customHeight="1">
      <c r="A2" s="2" t="inlineStr">
        <is>
          <t>单元格为每股价值（元/股）；净债务 285.9 亿、少数股东 969.25 亿；现价 51.99 元</t>
        </is>
      </c>
    </row>
    <row r="4" ht="28" customHeight="1">
      <c r="A4" s="5" t="inlineStr">
        <is>
          <t>WACC \ FCF</t>
        </is>
      </c>
      <c r="B4" s="5" t="inlineStr">
        <is>
          <t>520</t>
        </is>
      </c>
      <c r="C4" s="5" t="inlineStr">
        <is>
          <t>560</t>
        </is>
      </c>
      <c r="D4" s="5" t="inlineStr">
        <is>
          <t>600</t>
        </is>
      </c>
      <c r="E4" s="5" t="inlineStr">
        <is>
          <t>620</t>
        </is>
      </c>
      <c r="F4" s="5" t="inlineStr">
        <is>
          <t>660</t>
        </is>
      </c>
      <c r="G4" s="5" t="inlineStr">
        <is>
          <t>700</t>
        </is>
      </c>
      <c r="H4" s="5" t="inlineStr">
        <is>
          <t>720</t>
        </is>
      </c>
      <c r="I4" s="5" t="inlineStr"/>
      <c r="J4" s="5" t="inlineStr"/>
    </row>
    <row r="5">
      <c r="A5" s="30" t="inlineStr">
        <is>
          <t>7.00%</t>
        </is>
      </c>
      <c r="B5" s="43" t="n">
        <v>37.8</v>
      </c>
      <c r="C5" s="43" t="n">
        <v>41.16</v>
      </c>
      <c r="D5" s="43" t="n">
        <v>44.51</v>
      </c>
      <c r="E5" s="43" t="n">
        <v>46.19</v>
      </c>
      <c r="F5" s="43" t="n">
        <v>49.54</v>
      </c>
      <c r="G5" s="44" t="n">
        <v>52.89</v>
      </c>
      <c r="H5" s="44" t="n">
        <v>54.57</v>
      </c>
    </row>
    <row r="6">
      <c r="A6" s="30" t="inlineStr">
        <is>
          <t>7.25%</t>
        </is>
      </c>
      <c r="B6" s="43" t="n">
        <v>35.91</v>
      </c>
      <c r="C6" s="43" t="n">
        <v>39.12</v>
      </c>
      <c r="D6" s="43" t="n">
        <v>42.32</v>
      </c>
      <c r="E6" s="43" t="n">
        <v>43.93</v>
      </c>
      <c r="F6" s="43" t="n">
        <v>47.13</v>
      </c>
      <c r="G6" s="43" t="n">
        <v>50.34</v>
      </c>
      <c r="H6" s="43" t="n">
        <v>51.95</v>
      </c>
    </row>
    <row r="7">
      <c r="A7" s="30" t="inlineStr">
        <is>
          <t>7.50%</t>
        </is>
      </c>
      <c r="B7" s="43" t="n">
        <v>34.17</v>
      </c>
      <c r="C7" s="43" t="n">
        <v>37.24</v>
      </c>
      <c r="D7" s="43" t="n">
        <v>40.32</v>
      </c>
      <c r="E7" s="43" t="n">
        <v>41.86</v>
      </c>
      <c r="F7" s="43" t="n">
        <v>44.93</v>
      </c>
      <c r="G7" s="43" t="n">
        <v>48</v>
      </c>
      <c r="H7" s="43" t="n">
        <v>49.54</v>
      </c>
    </row>
    <row r="8">
      <c r="A8" s="30" t="inlineStr">
        <is>
          <t>7.75%</t>
        </is>
      </c>
      <c r="B8" s="43" t="n">
        <v>32.57</v>
      </c>
      <c r="C8" s="43" t="n">
        <v>35.52</v>
      </c>
      <c r="D8" s="43" t="n">
        <v>38.47</v>
      </c>
      <c r="E8" s="43" t="n">
        <v>39.95</v>
      </c>
      <c r="F8" s="43" t="n">
        <v>42.9</v>
      </c>
      <c r="G8" s="43" t="n">
        <v>45.85</v>
      </c>
      <c r="H8" s="43" t="n">
        <v>47.33</v>
      </c>
    </row>
    <row r="9">
      <c r="A9" s="30" t="inlineStr">
        <is>
          <t>8.00%</t>
        </is>
      </c>
      <c r="B9" s="43" t="n">
        <v>31.1</v>
      </c>
      <c r="C9" s="43" t="n">
        <v>33.93</v>
      </c>
      <c r="D9" s="43" t="n">
        <v>36.77</v>
      </c>
      <c r="E9" s="43" t="n">
        <v>38.19</v>
      </c>
      <c r="F9" s="43" t="n">
        <v>41.03</v>
      </c>
      <c r="G9" s="43" t="n">
        <v>43.87</v>
      </c>
      <c r="H9" s="43" t="n">
        <v>45.28</v>
      </c>
    </row>
    <row r="10">
      <c r="A10" s="30" t="inlineStr">
        <is>
          <t>8.25%</t>
        </is>
      </c>
      <c r="B10" s="43" t="n">
        <v>29.73</v>
      </c>
      <c r="C10" s="43" t="n">
        <v>32.46</v>
      </c>
      <c r="D10" s="43" t="n">
        <v>35.2</v>
      </c>
      <c r="E10" s="43" t="n">
        <v>36.56</v>
      </c>
      <c r="F10" s="43" t="n">
        <v>39.29</v>
      </c>
      <c r="G10" s="43" t="n">
        <v>42.03</v>
      </c>
      <c r="H10" s="43" t="n">
        <v>43.39</v>
      </c>
    </row>
    <row r="11">
      <c r="A11" s="30" t="inlineStr">
        <is>
          <t>8.50%</t>
        </is>
      </c>
      <c r="B11" s="43" t="n">
        <v>28.46</v>
      </c>
      <c r="C11" s="43" t="n">
        <v>31.1</v>
      </c>
      <c r="D11" s="43" t="n">
        <v>33.73</v>
      </c>
      <c r="E11" s="43" t="n">
        <v>35.05</v>
      </c>
      <c r="F11" s="43" t="n">
        <v>37.68</v>
      </c>
      <c r="G11" s="43" t="n">
        <v>40.32</v>
      </c>
      <c r="H11" s="43" t="n">
        <v>41.64</v>
      </c>
    </row>
    <row r="13" ht="30" customHeight="1">
      <c r="A13" s="3" t="inlineStr">
        <is>
          <t>计算：EV=FCF/(WACC−1.5%)；股权=EV−净债务−少数股东权益；每股=股权/216.89 亿股。</t>
        </is>
      </c>
    </row>
  </sheetData>
  <mergeCells count="3">
    <mergeCell ref="A13:H13"/>
    <mergeCell ref="A2:H2"/>
    <mergeCell ref="A1:H1"/>
  </mergeCells>
  <conditionalFormatting sqref="B5:H11">
    <cfRule type="colorScale" priority="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56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中国神华 · 三情景假设与结果</t>
        </is>
      </c>
    </row>
    <row r="2" ht="18" customHeight="1">
      <c r="A2" s="2" t="inlineStr">
        <is>
          <t>悲观/基准/乐观不是预测，而是用于界定估值区间；所有情景均使用同一套会计口径</t>
        </is>
      </c>
    </row>
    <row r="4" ht="28" customHeight="1">
      <c r="A4" s="5" t="inlineStr">
        <is>
          <t>假设/结果</t>
        </is>
      </c>
      <c r="B4" s="5" t="inlineStr">
        <is>
          <t>悲观</t>
        </is>
      </c>
      <c r="C4" s="5" t="inlineStr">
        <is>
          <t>基准</t>
        </is>
      </c>
      <c r="D4" s="5" t="inlineStr">
        <is>
          <t>乐观</t>
        </is>
      </c>
      <c r="E4" s="5" t="inlineStr">
        <is>
          <t>说明</t>
        </is>
      </c>
      <c r="F4" s="5" t="inlineStr"/>
      <c r="G4" s="5" t="inlineStr"/>
      <c r="H4" s="5" t="inlineStr"/>
    </row>
    <row r="5">
      <c r="A5" s="6" t="inlineStr">
        <is>
          <t>归一化 FCFF（亿元）</t>
        </is>
      </c>
      <c r="B5" s="24" t="inlineStr">
        <is>
          <t>520</t>
        </is>
      </c>
      <c r="C5" s="24" t="inlineStr">
        <is>
          <t>620</t>
        </is>
      </c>
      <c r="D5" s="24" t="inlineStr">
        <is>
          <t>720</t>
        </is>
      </c>
      <c r="E5" s="8" t="inlineStr">
        <is>
          <t>中周期煤价与收购协同</t>
        </is>
      </c>
      <c r="F5" s="9" t="n"/>
      <c r="G5" s="9" t="n"/>
      <c r="H5" s="10" t="n"/>
    </row>
    <row r="6">
      <c r="A6" s="6" t="inlineStr">
        <is>
          <t>WACC</t>
        </is>
      </c>
      <c r="B6" s="24" t="inlineStr">
        <is>
          <t>8.5%</t>
        </is>
      </c>
      <c r="C6" s="24" t="inlineStr">
        <is>
          <t>8.0%</t>
        </is>
      </c>
      <c r="D6" s="24" t="inlineStr">
        <is>
          <t>7.5%</t>
        </is>
      </c>
      <c r="E6" s="8" t="inlineStr">
        <is>
          <t>周期股要求回报</t>
        </is>
      </c>
      <c r="F6" s="9" t="n"/>
      <c r="G6" s="9" t="n"/>
      <c r="H6" s="10" t="n"/>
    </row>
    <row r="7">
      <c r="A7" s="6" t="inlineStr">
        <is>
          <t>永续 g</t>
        </is>
      </c>
      <c r="B7" s="24" t="inlineStr">
        <is>
          <t>1.0%</t>
        </is>
      </c>
      <c r="C7" s="24" t="inlineStr">
        <is>
          <t>1.5%</t>
        </is>
      </c>
      <c r="D7" s="24" t="inlineStr">
        <is>
          <t>2.0%</t>
        </is>
      </c>
      <c r="E7" s="8" t="inlineStr">
        <is>
          <t>长期通胀</t>
        </is>
      </c>
      <c r="F7" s="9" t="n"/>
      <c r="G7" s="9" t="n"/>
      <c r="H7" s="10" t="n"/>
    </row>
    <row r="8">
      <c r="A8" s="6" t="inlineStr">
        <is>
          <t>DCF 每股（元）</t>
        </is>
      </c>
      <c r="B8" s="24" t="inlineStr">
        <is>
          <t>26.18</t>
        </is>
      </c>
      <c r="C8" s="24" t="inlineStr">
        <is>
          <t>38.19</t>
        </is>
      </c>
      <c r="D8" s="24" t="inlineStr">
        <is>
          <t>54.57</t>
        </is>
      </c>
      <c r="E8" s="8" t="inlineStr">
        <is>
          <t>FCFF/(WACC−g)</t>
        </is>
      </c>
      <c r="F8" s="9" t="n"/>
      <c r="G8" s="9" t="n"/>
      <c r="H8" s="10" t="n"/>
    </row>
    <row r="9">
      <c r="A9" s="6" t="inlineStr">
        <is>
          <t>DPS（元）</t>
        </is>
      </c>
      <c r="B9" s="24" t="inlineStr">
        <is>
          <t>1.70</t>
        </is>
      </c>
      <c r="C9" s="24" t="inlineStr">
        <is>
          <t>1.95</t>
        </is>
      </c>
      <c r="D9" s="24" t="inlineStr">
        <is>
          <t>2.20</t>
        </is>
      </c>
      <c r="E9" s="8" t="inlineStr">
        <is>
          <t>分红率 65–75%</t>
        </is>
      </c>
      <c r="F9" s="9" t="n"/>
      <c r="G9" s="9" t="n"/>
      <c r="H9" s="10" t="n"/>
    </row>
    <row r="10">
      <c r="A10" s="6" t="inlineStr">
        <is>
          <t>COE</t>
        </is>
      </c>
      <c r="B10" s="24" t="inlineStr">
        <is>
          <t>8.5%</t>
        </is>
      </c>
      <c r="C10" s="24" t="inlineStr">
        <is>
          <t>8.0%</t>
        </is>
      </c>
      <c r="D10" s="24" t="inlineStr">
        <is>
          <t>7.5%</t>
        </is>
      </c>
      <c r="E10" s="8" t="inlineStr"/>
      <c r="F10" s="9" t="n"/>
      <c r="G10" s="9" t="n"/>
      <c r="H10" s="10" t="n"/>
    </row>
    <row r="11">
      <c r="A11" s="6" t="inlineStr">
        <is>
          <t>DDM g</t>
        </is>
      </c>
      <c r="B11" s="24" t="inlineStr">
        <is>
          <t>1.5%</t>
        </is>
      </c>
      <c r="C11" s="24" t="inlineStr">
        <is>
          <t>2.0%</t>
        </is>
      </c>
      <c r="D11" s="24" t="inlineStr">
        <is>
          <t>2.0%</t>
        </is>
      </c>
      <c r="E11" s="8" t="inlineStr"/>
      <c r="F11" s="9" t="n"/>
      <c r="G11" s="9" t="n"/>
      <c r="H11" s="10" t="n"/>
    </row>
    <row r="12">
      <c r="A12" s="6" t="inlineStr">
        <is>
          <t>DDM 每股（元）</t>
        </is>
      </c>
      <c r="B12" s="24" t="inlineStr">
        <is>
          <t>24.29</t>
        </is>
      </c>
      <c r="C12" s="24" t="inlineStr">
        <is>
          <t>32.50</t>
        </is>
      </c>
      <c r="D12" s="24" t="inlineStr">
        <is>
          <t>40.00</t>
        </is>
      </c>
      <c r="E12" s="8" t="inlineStr">
        <is>
          <t>DPS/(COE−g)</t>
        </is>
      </c>
      <c r="F12" s="9" t="n"/>
      <c r="G12" s="9" t="n"/>
      <c r="H12" s="10" t="n"/>
    </row>
    <row r="13">
      <c r="A13" s="6" t="inlineStr">
        <is>
          <t>PE（倍）</t>
        </is>
      </c>
      <c r="B13" s="24" t="inlineStr">
        <is>
          <t>11.0</t>
        </is>
      </c>
      <c r="C13" s="24" t="inlineStr">
        <is>
          <t>15.0</t>
        </is>
      </c>
      <c r="D13" s="24" t="inlineStr">
        <is>
          <t>18.0</t>
        </is>
      </c>
      <c r="E13" s="8" t="inlineStr">
        <is>
          <t>中周期</t>
        </is>
      </c>
      <c r="F13" s="9" t="n"/>
      <c r="G13" s="9" t="n"/>
      <c r="H13" s="10" t="n"/>
    </row>
    <row r="14">
      <c r="A14" s="6" t="inlineStr">
        <is>
          <t>PE 每股（元）</t>
        </is>
      </c>
      <c r="B14" s="24" t="inlineStr">
        <is>
          <t>25.85</t>
        </is>
      </c>
      <c r="C14" s="24" t="inlineStr">
        <is>
          <t>39.00</t>
        </is>
      </c>
      <c r="D14" s="24" t="inlineStr">
        <is>
          <t>54.00</t>
        </is>
      </c>
      <c r="E14" s="8" t="inlineStr">
        <is>
          <t>EPS 2.35/2.60/3.00</t>
        </is>
      </c>
      <c r="F14" s="9" t="n"/>
      <c r="G14" s="9" t="n"/>
      <c r="H14" s="10" t="n"/>
    </row>
    <row r="15">
      <c r="A15" s="20" t="inlineStr">
        <is>
          <t>综合每股（元）</t>
        </is>
      </c>
      <c r="B15" s="30" t="inlineStr">
        <is>
          <t>25.55</t>
        </is>
      </c>
      <c r="C15" s="45" t="inlineStr">
        <is>
          <t>36.64</t>
        </is>
      </c>
      <c r="D15" s="30" t="inlineStr">
        <is>
          <t>50.09</t>
        </is>
      </c>
      <c r="E15" s="8" t="inlineStr">
        <is>
          <t>50/30/20 加权</t>
        </is>
      </c>
      <c r="F15" s="9" t="n"/>
      <c r="G15" s="9" t="n"/>
      <c r="H15" s="10" t="n"/>
    </row>
    <row r="16">
      <c r="A16" s="6" t="inlineStr">
        <is>
          <t>相对现价</t>
        </is>
      </c>
      <c r="B16" s="24" t="inlineStr">
        <is>
          <t>-50.9%</t>
        </is>
      </c>
      <c r="C16" s="24" t="inlineStr">
        <is>
          <t>-29.5%</t>
        </is>
      </c>
      <c r="D16" s="24" t="inlineStr">
        <is>
          <t>-3.7%</t>
        </is>
      </c>
      <c r="E16" s="8" t="inlineStr">
        <is>
          <t>现价 51.99</t>
        </is>
      </c>
      <c r="F16" s="9" t="n"/>
      <c r="G16" s="9" t="n"/>
      <c r="H16" s="10" t="n"/>
    </row>
  </sheetData>
  <mergeCells count="14">
    <mergeCell ref="E14:H14"/>
    <mergeCell ref="E9:H9"/>
    <mergeCell ref="E8:H8"/>
    <mergeCell ref="A2:H2"/>
    <mergeCell ref="E12:H12"/>
    <mergeCell ref="E6:H6"/>
    <mergeCell ref="E16:H16"/>
    <mergeCell ref="E15:H15"/>
    <mergeCell ref="E7:H7"/>
    <mergeCell ref="A1:H1"/>
    <mergeCell ref="E11:H11"/>
    <mergeCell ref="E10:H10"/>
    <mergeCell ref="E5:H5"/>
    <mergeCell ref="E13:H13"/>
  </mergeCell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50" customWidth="1" min="4" max="4"/>
    <col width="60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中国神华 · 数据与来源</t>
        </is>
      </c>
    </row>
    <row r="2" ht="18" customHeight="1">
      <c r="A2" s="2" t="inlineStr">
        <is>
          <t>价格日 2026-10-30；财务数据以公司披露为准；第三方数据仅用于交叉核对</t>
        </is>
      </c>
    </row>
    <row r="4" ht="28" customHeight="1">
      <c r="A4" s="5" t="inlineStr">
        <is>
          <t>类别</t>
        </is>
      </c>
      <c r="B4" s="5" t="inlineStr">
        <is>
          <t>来源</t>
        </is>
      </c>
      <c r="C4" s="5" t="inlineStr">
        <is>
          <t>日期</t>
        </is>
      </c>
      <c r="D4" s="5" t="inlineStr">
        <is>
          <t>用途/备注</t>
        </is>
      </c>
      <c r="E4" s="5" t="inlineStr">
        <is>
          <t>链接</t>
        </is>
      </c>
      <c r="F4" s="5" t="inlineStr"/>
      <c r="G4" s="5" t="inlineStr"/>
      <c r="H4" s="5" t="inlineStr"/>
    </row>
    <row r="5" ht="30" customHeight="1">
      <c r="A5" s="24" t="inlineStr">
        <is>
          <t>行情</t>
        </is>
      </c>
      <c r="B5" s="6" t="inlineStr">
        <is>
          <t>腾讯证券 / 东方财富</t>
        </is>
      </c>
      <c r="C5" s="24" t="inlineStr">
        <is>
          <t>2026-10-30</t>
        </is>
      </c>
      <c r="D5" s="46" t="inlineStr">
        <is>
          <t>收盘价 51.99 元、总市值 11,276.34 亿、PE 20.70、PB 2.54</t>
        </is>
      </c>
      <c r="E5" s="47" t="inlineStr">
        <is>
          <t>https://qt.gtimg.cn/q=sh601088</t>
        </is>
      </c>
      <c r="F5" s="9" t="n"/>
      <c r="G5" s="9" t="n"/>
      <c r="H5" s="10" t="n"/>
    </row>
    <row r="6" ht="30" customHeight="1">
      <c r="A6" s="24" t="inlineStr">
        <is>
          <t>2026 三季报</t>
        </is>
      </c>
      <c r="B6" s="6" t="inlineStr">
        <is>
          <t>中国神华 2026 年第三季度报告</t>
        </is>
      </c>
      <c r="C6" s="24" t="inlineStr">
        <is>
          <t>2026-10-24</t>
        </is>
      </c>
      <c r="D6" s="46" t="inlineStr">
        <is>
          <t>营收 2,960.31 亿、归母净利 444.03 亿、扣非 428.08 亿</t>
        </is>
      </c>
      <c r="E6" s="47" t="inlineStr">
        <is>
          <t>http://app.cnstock.com/zzb/zgzqb/html/2026-10/24/nw.D110000zgzqb_20261024_1-B151.htm</t>
        </is>
      </c>
      <c r="F6" s="9" t="n"/>
      <c r="G6" s="9" t="n"/>
      <c r="H6" s="10" t="n"/>
    </row>
    <row r="7" ht="30" customHeight="1">
      <c r="A7" s="24" t="inlineStr">
        <is>
          <t>收购</t>
        </is>
      </c>
      <c r="B7" s="6" t="inlineStr">
        <is>
          <t>发行股份及支付现金购买资产并配套募资</t>
        </is>
      </c>
      <c r="C7" s="24" t="inlineStr">
        <is>
          <t>2026-03</t>
        </is>
      </c>
      <c r="D7" s="46" t="inlineStr">
        <is>
          <t>12 家标的、作价 1,335.98 亿；11 家并表；同一控制下合并</t>
        </is>
      </c>
      <c r="E7" s="47" t="inlineStr">
        <is>
          <t>http://app.cnstock.com/zzb/zgzqb/html/2026-10/24/nw.D110000zgzqb_20261024_1-B151.htm</t>
        </is>
      </c>
      <c r="F7" s="9" t="n"/>
      <c r="G7" s="9" t="n"/>
      <c r="H7" s="10" t="n"/>
    </row>
    <row r="8" ht="30" customHeight="1">
      <c r="A8" s="24" t="inlineStr">
        <is>
          <t>2025 年报</t>
        </is>
      </c>
      <c r="B8" s="6" t="inlineStr">
        <is>
          <t>中国神华 2025 年年度报告</t>
        </is>
      </c>
      <c r="C8" s="24" t="inlineStr">
        <is>
          <t>2026-03</t>
        </is>
      </c>
      <c r="D8" s="46" t="inlineStr">
        <is>
          <t>营收 2,949.16 亿、归母净利 528.49 亿、DPS 2.01 元</t>
        </is>
      </c>
      <c r="E8" s="47" t="inlineStr">
        <is>
          <t>https://www.sse.com.cn/</t>
        </is>
      </c>
      <c r="F8" s="9" t="n"/>
      <c r="G8" s="9" t="n"/>
      <c r="H8" s="10" t="n"/>
    </row>
    <row r="9" ht="30" customHeight="1">
      <c r="A9" s="24" t="inlineStr">
        <is>
          <t>分红政策</t>
        </is>
      </c>
      <c r="B9" s="6" t="inlineStr">
        <is>
          <t>2025–2027 年股东回报规划</t>
        </is>
      </c>
      <c r="C9" s="24" t="inlineStr">
        <is>
          <t>2025</t>
        </is>
      </c>
      <c r="D9" s="46" t="inlineStr">
        <is>
          <t>每年现金分红不低于 65%</t>
        </is>
      </c>
      <c r="E9" s="47" t="inlineStr">
        <is>
          <t>https://www.sse.com.cn/</t>
        </is>
      </c>
      <c r="F9" s="9" t="n"/>
      <c r="G9" s="9" t="n"/>
      <c r="H9" s="10" t="n"/>
    </row>
    <row r="10" ht="30" customHeight="1">
      <c r="A10" s="24" t="inlineStr">
        <is>
          <t>财务数据</t>
        </is>
      </c>
      <c r="B10" s="6" t="inlineStr">
        <is>
          <t>东方财富 F10</t>
        </is>
      </c>
      <c r="C10" s="24" t="inlineStr">
        <is>
          <t>2026-10-30</t>
        </is>
      </c>
      <c r="D10" s="46" t="inlineStr">
        <is>
          <t>历史报表、分红、估值指标</t>
        </is>
      </c>
      <c r="E10" s="47" t="inlineStr">
        <is>
          <t>https://emweb.securities.eastmoney.com/</t>
        </is>
      </c>
      <c r="F10" s="9" t="n"/>
      <c r="G10" s="9" t="n"/>
      <c r="H10" s="10" t="n"/>
    </row>
    <row r="11" ht="30" customHeight="1">
      <c r="A11" s="24" t="inlineStr">
        <is>
          <t>煤价</t>
        </is>
      </c>
      <c r="B11" s="6" t="inlineStr">
        <is>
          <t>秦皇岛 5500 现货 / 长协</t>
        </is>
      </c>
      <c r="C11" s="24" t="inlineStr">
        <is>
          <t>2026-10-30</t>
        </is>
      </c>
      <c r="D11" s="46" t="inlineStr">
        <is>
          <t>现货 1,020 元/吨；年度长协 717 元/吨</t>
        </is>
      </c>
      <c r="E11" s="47" t="inlineStr">
        <is>
          <t>https://www.cctd.com.cn/</t>
        </is>
      </c>
      <c r="F11" s="9" t="n"/>
      <c r="G11" s="9" t="n"/>
      <c r="H11" s="10" t="n"/>
    </row>
    <row r="13" ht="30" customHeight="1">
      <c r="A13" s="3" t="inlineStr">
        <is>
          <t>注：部分公告链接为交易所/公司公告页；东方财富 F10 为数据供应商，原始数据以公司公告为准。</t>
        </is>
      </c>
    </row>
  </sheetData>
  <mergeCells count="10">
    <mergeCell ref="E9:H9"/>
    <mergeCell ref="E8:H8"/>
    <mergeCell ref="A2:H2"/>
    <mergeCell ref="E6:H6"/>
    <mergeCell ref="A13:H13"/>
    <mergeCell ref="E7:H7"/>
    <mergeCell ref="A1:H1"/>
    <mergeCell ref="E11:H11"/>
    <mergeCell ref="E10:H10"/>
    <mergeCell ref="E5:H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Claudian · 巴菲特框架</dc:creator>
  <dc:title xmlns:dc="http://purl.org/dc/elements/1.1/">中国神华 601088.SH 估值模型</dc:title>
  <dc:subject xmlns:dc="http://purl.org/dc/elements/1.1/">巴菲特框架估值，不构成投资建议</dc:subject>
  <dcterms:created xmlns:dcterms="http://purl.org/dc/terms/" xmlns:xsi="http://www.w3.org/2001/XMLSchema-instance" xsi:type="dcterms:W3CDTF">2026-10-30T07:21:05Z</dcterms:created>
  <dcterms:modified xmlns:dcterms="http://purl.org/dc/terms/" xmlns:xsi="http://www.w3.org/2001/XMLSchema-instance" xsi:type="dcterms:W3CDTF">2026-10-30T07:21:05Z</dcterms:modified>
</cp:coreProperties>
</file>