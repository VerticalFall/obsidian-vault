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ocuments\Obsidian Vault\大土豆开源最新文件\估值skills（持续更新）\巴菲特skills-改良版\输出\688825.SH-2026-10-29\"/>
    </mc:Choice>
  </mc:AlternateContent>
  <xr:revisionPtr revIDLastSave="0" documentId="13_ncr:1_{ED8DD50D-C9A4-417F-A4FD-5AE904FF84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结论" sheetId="1" r:id="rId1"/>
    <sheet name="历史财务" sheetId="2" r:id="rId2"/>
    <sheet name="分部" sheetId="3" r:id="rId3"/>
    <sheet name="FCFF桥" sheetId="4" r:id="rId4"/>
    <sheet name="DCF" sheetId="5" r:id="rId5"/>
    <sheet name="敏感性" sheetId="6" r:id="rId6"/>
    <sheet name="来源" sheetId="7" r:id="rId7"/>
  </sheets>
  <definedNames>
    <definedName name="_xlnm.Print_Area" localSheetId="4">DCF!$A$1:$N$78</definedName>
    <definedName name="_xlnm.Print_Area" localSheetId="3">FCFF桥!$A$1:$C$25</definedName>
    <definedName name="_xlnm.Print_Area" localSheetId="2">分部!$A$1:$F$22</definedName>
    <definedName name="_xlnm.Print_Area" localSheetId="0">结论!$A$1:$M$47</definedName>
    <definedName name="_xlnm.Print_Area" localSheetId="6">来源!$A$1:$D$13</definedName>
    <definedName name="_xlnm.Print_Area" localSheetId="1">历史财务!$A$1:$H$27</definedName>
    <definedName name="_xlnm.Print_Area" localSheetId="5">敏感性!$A$1:$G$43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7" i="5" l="1"/>
  <c r="B76" i="5"/>
  <c r="M72" i="5"/>
  <c r="M71" i="5"/>
  <c r="M70" i="5"/>
  <c r="M69" i="5"/>
  <c r="M68" i="5"/>
  <c r="M67" i="5"/>
  <c r="M66" i="5"/>
  <c r="M65" i="5"/>
  <c r="M64" i="5"/>
  <c r="M63" i="5"/>
  <c r="C63" i="5"/>
  <c r="B54" i="5"/>
  <c r="B53" i="5"/>
  <c r="M49" i="5"/>
  <c r="M48" i="5"/>
  <c r="M47" i="5"/>
  <c r="M46" i="5"/>
  <c r="M45" i="5"/>
  <c r="M44" i="5"/>
  <c r="M43" i="5"/>
  <c r="M42" i="5"/>
  <c r="M41" i="5"/>
  <c r="M40" i="5"/>
  <c r="C40" i="5"/>
  <c r="B31" i="5"/>
  <c r="B30" i="5"/>
  <c r="M26" i="5"/>
  <c r="M25" i="5"/>
  <c r="M24" i="5"/>
  <c r="M23" i="5"/>
  <c r="M22" i="5"/>
  <c r="M21" i="5"/>
  <c r="M20" i="5"/>
  <c r="M19" i="5"/>
  <c r="M18" i="5"/>
  <c r="M17" i="5"/>
  <c r="H17" i="5"/>
  <c r="C17" i="5"/>
  <c r="B18" i="4"/>
  <c r="B17" i="4"/>
  <c r="B15" i="4"/>
  <c r="B7" i="4"/>
  <c r="B12" i="4" s="1"/>
  <c r="B16" i="4" s="1"/>
  <c r="F18" i="2"/>
  <c r="E18" i="2"/>
  <c r="D18" i="2"/>
  <c r="C18" i="2"/>
  <c r="B18" i="2"/>
  <c r="F17" i="2"/>
  <c r="E17" i="2"/>
  <c r="D17" i="2"/>
  <c r="C17" i="2"/>
  <c r="B17" i="2"/>
  <c r="F16" i="2"/>
  <c r="E16" i="2"/>
  <c r="D16" i="2"/>
  <c r="C16" i="2"/>
  <c r="B16" i="2"/>
  <c r="F15" i="2"/>
  <c r="E15" i="2"/>
  <c r="D15" i="2"/>
  <c r="C15" i="2"/>
  <c r="B15" i="2"/>
  <c r="F14" i="2"/>
  <c r="E14" i="2"/>
  <c r="D14" i="2"/>
  <c r="C14" i="2"/>
  <c r="B14" i="2"/>
  <c r="F13" i="2"/>
  <c r="E13" i="2"/>
  <c r="D13" i="2"/>
  <c r="C13" i="2"/>
  <c r="D35" i="1"/>
  <c r="C35" i="1"/>
  <c r="D34" i="1"/>
  <c r="C34" i="1"/>
  <c r="D33" i="1"/>
  <c r="C33" i="1"/>
  <c r="B28" i="1"/>
  <c r="B24" i="1"/>
  <c r="B23" i="1"/>
  <c r="B12" i="1"/>
  <c r="C64" i="5" l="1"/>
  <c r="K63" i="5"/>
  <c r="J63" i="5"/>
  <c r="H63" i="5"/>
  <c r="E63" i="5"/>
  <c r="F63" i="5" s="1"/>
  <c r="C41" i="5"/>
  <c r="H40" i="5"/>
  <c r="E40" i="5"/>
  <c r="F40" i="5" s="1"/>
  <c r="L40" i="5" s="1"/>
  <c r="N40" i="5" s="1"/>
  <c r="K40" i="5"/>
  <c r="J40" i="5"/>
  <c r="J17" i="5"/>
  <c r="K17" i="5"/>
  <c r="C18" i="5"/>
  <c r="E17" i="5"/>
  <c r="F17" i="5" s="1"/>
  <c r="L17" i="5" s="1"/>
  <c r="N17" i="5" s="1"/>
  <c r="B25" i="1"/>
  <c r="B14" i="1"/>
  <c r="L63" i="5" l="1"/>
  <c r="N63" i="5" s="1"/>
  <c r="E64" i="5"/>
  <c r="F64" i="5" s="1"/>
  <c r="L64" i="5" s="1"/>
  <c r="N64" i="5" s="1"/>
  <c r="C65" i="5"/>
  <c r="H64" i="5"/>
  <c r="J64" i="5"/>
  <c r="K64" i="5"/>
  <c r="J41" i="5"/>
  <c r="K41" i="5"/>
  <c r="E41" i="5"/>
  <c r="F41" i="5" s="1"/>
  <c r="H41" i="5"/>
  <c r="C42" i="5"/>
  <c r="K18" i="5"/>
  <c r="H18" i="5"/>
  <c r="C19" i="5"/>
  <c r="E18" i="5"/>
  <c r="F18" i="5" s="1"/>
  <c r="J18" i="5"/>
  <c r="B26" i="1"/>
  <c r="B22" i="1"/>
  <c r="L41" i="5" l="1"/>
  <c r="N41" i="5" s="1"/>
  <c r="J65" i="5"/>
  <c r="K65" i="5"/>
  <c r="E65" i="5"/>
  <c r="F65" i="5" s="1"/>
  <c r="H65" i="5"/>
  <c r="C66" i="5"/>
  <c r="J42" i="5"/>
  <c r="K42" i="5"/>
  <c r="E42" i="5"/>
  <c r="F42" i="5" s="1"/>
  <c r="H42" i="5"/>
  <c r="C43" i="5"/>
  <c r="H19" i="5"/>
  <c r="J19" i="5"/>
  <c r="C20" i="5"/>
  <c r="E19" i="5"/>
  <c r="F19" i="5" s="1"/>
  <c r="K19" i="5"/>
  <c r="L18" i="5"/>
  <c r="N18" i="5" s="1"/>
  <c r="E66" i="5" l="1"/>
  <c r="F66" i="5" s="1"/>
  <c r="L66" i="5" s="1"/>
  <c r="N66" i="5" s="1"/>
  <c r="H66" i="5"/>
  <c r="J66" i="5"/>
  <c r="K66" i="5"/>
  <c r="C67" i="5"/>
  <c r="H43" i="5"/>
  <c r="J43" i="5"/>
  <c r="K43" i="5"/>
  <c r="E43" i="5"/>
  <c r="F43" i="5" s="1"/>
  <c r="L43" i="5" s="1"/>
  <c r="N43" i="5" s="1"/>
  <c r="C44" i="5"/>
  <c r="H20" i="5"/>
  <c r="E20" i="5"/>
  <c r="F20" i="5" s="1"/>
  <c r="K20" i="5"/>
  <c r="C21" i="5"/>
  <c r="J20" i="5"/>
  <c r="L65" i="5"/>
  <c r="N65" i="5" s="1"/>
  <c r="L42" i="5"/>
  <c r="N42" i="5" s="1"/>
  <c r="L19" i="5"/>
  <c r="N19" i="5" s="1"/>
  <c r="E67" i="5" l="1"/>
  <c r="F67" i="5" s="1"/>
  <c r="H67" i="5"/>
  <c r="J67" i="5"/>
  <c r="K67" i="5"/>
  <c r="C68" i="5"/>
  <c r="C45" i="5"/>
  <c r="E44" i="5"/>
  <c r="F44" i="5" s="1"/>
  <c r="H44" i="5"/>
  <c r="J44" i="5"/>
  <c r="K44" i="5"/>
  <c r="J21" i="5"/>
  <c r="E21" i="5"/>
  <c r="F21" i="5" s="1"/>
  <c r="H21" i="5"/>
  <c r="K21" i="5"/>
  <c r="C22" i="5"/>
  <c r="L20" i="5"/>
  <c r="N20" i="5" s="1"/>
  <c r="L44" i="5" l="1"/>
  <c r="N44" i="5" s="1"/>
  <c r="H68" i="5"/>
  <c r="K68" i="5"/>
  <c r="C69" i="5"/>
  <c r="E68" i="5"/>
  <c r="F68" i="5" s="1"/>
  <c r="J68" i="5"/>
  <c r="J45" i="5"/>
  <c r="C46" i="5"/>
  <c r="E45" i="5"/>
  <c r="F45" i="5" s="1"/>
  <c r="H45" i="5"/>
  <c r="K45" i="5"/>
  <c r="C23" i="5"/>
  <c r="E22" i="5"/>
  <c r="F22" i="5" s="1"/>
  <c r="K22" i="5"/>
  <c r="H22" i="5"/>
  <c r="J22" i="5"/>
  <c r="L21" i="5"/>
  <c r="N21" i="5" s="1"/>
  <c r="L67" i="5"/>
  <c r="N67" i="5" s="1"/>
  <c r="L68" i="5" l="1"/>
  <c r="N68" i="5" s="1"/>
  <c r="E69" i="5"/>
  <c r="F69" i="5" s="1"/>
  <c r="L69" i="5" s="1"/>
  <c r="N69" i="5" s="1"/>
  <c r="H69" i="5"/>
  <c r="J69" i="5"/>
  <c r="K69" i="5"/>
  <c r="C70" i="5"/>
  <c r="E46" i="5"/>
  <c r="F46" i="5" s="1"/>
  <c r="H46" i="5"/>
  <c r="J46" i="5"/>
  <c r="K46" i="5"/>
  <c r="C47" i="5"/>
  <c r="C24" i="5"/>
  <c r="E23" i="5"/>
  <c r="F23" i="5" s="1"/>
  <c r="H23" i="5"/>
  <c r="J23" i="5"/>
  <c r="K23" i="5"/>
  <c r="L45" i="5"/>
  <c r="N45" i="5" s="1"/>
  <c r="L22" i="5"/>
  <c r="N22" i="5" s="1"/>
  <c r="L23" i="5" l="1"/>
  <c r="N23" i="5" s="1"/>
  <c r="E70" i="5"/>
  <c r="F70" i="5" s="1"/>
  <c r="H70" i="5"/>
  <c r="J70" i="5"/>
  <c r="K70" i="5"/>
  <c r="C71" i="5"/>
  <c r="E47" i="5"/>
  <c r="F47" i="5" s="1"/>
  <c r="H47" i="5"/>
  <c r="J47" i="5"/>
  <c r="K47" i="5"/>
  <c r="C48" i="5"/>
  <c r="E24" i="5"/>
  <c r="F24" i="5" s="1"/>
  <c r="L24" i="5" s="1"/>
  <c r="N24" i="5" s="1"/>
  <c r="H24" i="5"/>
  <c r="J24" i="5"/>
  <c r="K24" i="5"/>
  <c r="C25" i="5"/>
  <c r="L46" i="5"/>
  <c r="N46" i="5" s="1"/>
  <c r="L70" i="5" l="1"/>
  <c r="N70" i="5" s="1"/>
  <c r="E71" i="5"/>
  <c r="F71" i="5" s="1"/>
  <c r="H71" i="5"/>
  <c r="J71" i="5"/>
  <c r="K71" i="5"/>
  <c r="C72" i="5"/>
  <c r="E48" i="5"/>
  <c r="F48" i="5" s="1"/>
  <c r="H48" i="5"/>
  <c r="J48" i="5"/>
  <c r="K48" i="5"/>
  <c r="C49" i="5"/>
  <c r="C26" i="5"/>
  <c r="E25" i="5"/>
  <c r="F25" i="5" s="1"/>
  <c r="H25" i="5"/>
  <c r="J25" i="5"/>
  <c r="K25" i="5"/>
  <c r="L47" i="5"/>
  <c r="N47" i="5" s="1"/>
  <c r="L25" i="5" l="1"/>
  <c r="N25" i="5" s="1"/>
  <c r="E72" i="5"/>
  <c r="F72" i="5" s="1"/>
  <c r="H72" i="5"/>
  <c r="J72" i="5"/>
  <c r="K72" i="5"/>
  <c r="E49" i="5"/>
  <c r="F49" i="5" s="1"/>
  <c r="H49" i="5"/>
  <c r="J49" i="5"/>
  <c r="K49" i="5"/>
  <c r="H26" i="5"/>
  <c r="J26" i="5"/>
  <c r="E26" i="5"/>
  <c r="F26" i="5" s="1"/>
  <c r="K26" i="5"/>
  <c r="L71" i="5"/>
  <c r="N71" i="5" s="1"/>
  <c r="L48" i="5"/>
  <c r="N48" i="5" s="1"/>
  <c r="L26" i="5" l="1"/>
  <c r="L72" i="5"/>
  <c r="L49" i="5"/>
  <c r="B27" i="5" l="1"/>
  <c r="B28" i="5" s="1"/>
  <c r="N26" i="5"/>
  <c r="B73" i="5"/>
  <c r="B74" i="5" s="1"/>
  <c r="B75" i="5" s="1"/>
  <c r="B78" i="5" s="1"/>
  <c r="B79" i="5" s="1"/>
  <c r="N72" i="5"/>
  <c r="B50" i="5"/>
  <c r="B51" i="5" s="1"/>
  <c r="B52" i="5" s="1"/>
  <c r="B55" i="5" s="1"/>
  <c r="B56" i="5" s="1"/>
  <c r="N49" i="5"/>
  <c r="B29" i="5" l="1"/>
  <c r="B32" i="5" s="1"/>
  <c r="B33" i="5" s="1"/>
</calcChain>
</file>

<file path=xl/sharedStrings.xml><?xml version="1.0" encoding="utf-8"?>
<sst xmlns="http://schemas.openxmlformats.org/spreadsheetml/2006/main" count="324" uniqueCount="234">
  <si>
    <t>长鑫科技（688825.SH）巴菲特框架估值</t>
  </si>
  <si>
    <t>研究日 2026-10-29｜收盘价 ¥42.87｜最新财报：2026 中报（2026-08-28）</t>
  </si>
  <si>
    <t>市值按 678.8410 亿股计算；净负债 = 债务 + 融资租赁 − 现金；数据边界见报告第 1 节。</t>
  </si>
  <si>
    <t>一句话结论</t>
  </si>
  <si>
    <t>很贵：正常化 DCF 16.3 元，现价 42.87 元；周期峰值。</t>
  </si>
  <si>
    <t>关键数据（亿元 / 倍 / 百分比）</t>
  </si>
  <si>
    <t>项目</t>
  </si>
  <si>
    <t>数值</t>
  </si>
  <si>
    <t>备注</t>
  </si>
  <si>
    <t>收盘价（元）</t>
  </si>
  <si>
    <t>2026-10-29 收盘 42.87 元（2026-07-27 上市）</t>
  </si>
  <si>
    <t>总股本（亿股）</t>
  </si>
  <si>
    <t>最新总股本</t>
  </si>
  <si>
    <t>市值（亿元）</t>
  </si>
  <si>
    <t>价格 × 股数</t>
  </si>
  <si>
    <t>净负债（亿元）</t>
  </si>
  <si>
    <t>负数 = 净现金</t>
  </si>
  <si>
    <t>企业价值（亿元）</t>
  </si>
  <si>
    <t>市值 + 净负债</t>
  </si>
  <si>
    <t>TTM 收入</t>
  </si>
  <si>
    <t>最近四个季度/半年年化</t>
  </si>
  <si>
    <t>TTM 经营利润</t>
  </si>
  <si>
    <t>剔除利息与投资收益</t>
  </si>
  <si>
    <t>TTM NOPAT</t>
  </si>
  <si>
    <t>经营利润 × (1−10%)</t>
  </si>
  <si>
    <t>TTM 自由现金流</t>
  </si>
  <si>
    <t>CFO − 现金 capex</t>
  </si>
  <si>
    <t>DCF 起始收入（2026E）</t>
  </si>
  <si>
    <t>基准情景第 1 年起点</t>
  </si>
  <si>
    <t>TTM EPS（元）</t>
  </si>
  <si>
    <t>最近四个季度</t>
  </si>
  <si>
    <t>2026E EPS（元）</t>
  </si>
  <si>
    <t>本文估计/一致预期</t>
  </si>
  <si>
    <t>EV / TTM EBIT</t>
  </si>
  <si>
    <t>企业价值 / 经营利润</t>
  </si>
  <si>
    <t>P/E TTM</t>
  </si>
  <si>
    <t>价格 / TTM EPS</t>
  </si>
  <si>
    <t>P/E 前瞻</t>
  </si>
  <si>
    <t>价格 / 前瞻 EPS</t>
  </si>
  <si>
    <t>FCF 收益率</t>
  </si>
  <si>
    <t>TTM FCF / 市值</t>
  </si>
  <si>
    <t>EV / TTM FCF</t>
  </si>
  <si>
    <t>企业价值 / TTM FCF</t>
  </si>
  <si>
    <t>Capex / 收入</t>
  </si>
  <si>
    <t>TTM</t>
  </si>
  <si>
    <t>FCF / NOPAT</t>
  </si>
  <si>
    <t>现金转化率；&gt;100% 说明营运资金贡献</t>
  </si>
  <si>
    <t>股息率</t>
  </si>
  <si>
    <t>年化股息 / 价格</t>
  </si>
  <si>
    <t>情景</t>
  </si>
  <si>
    <t>每股价值（元）</t>
  </si>
  <si>
    <t>较现价</t>
  </si>
  <si>
    <t>安全边际（1−价/值）</t>
  </si>
  <si>
    <t>10 年 IRR</t>
  </si>
  <si>
    <t>悲观</t>
  </si>
  <si>
    <t>基准</t>
  </si>
  <si>
    <t>乐观</t>
  </si>
  <si>
    <t>现价</t>
  </si>
  <si>
    <t>—</t>
  </si>
  <si>
    <t>结论与观察条件</t>
  </si>
  <si>
    <t>• 基准价值 ¥16，现价 ¥42.87；现价高估 163.3%。</t>
  </si>
  <si>
    <t>• 悲观 ¥8；基准 ¥16；乐观 ¥30；概率加权约 ¥17（30%/45%/25%）。</t>
  </si>
  <si>
    <t>• 反推：现价隐含未来 10 年收入 CAGR 约 20.5%，基准情景约 9.2%。</t>
  </si>
  <si>
    <t>• 若要求 20% 安全边际，观察价约 ¥13（基准价值 × 0.8）。</t>
  </si>
  <si>
    <t>• 结论是“观察/不追高”，不是个性化买卖指令；估值对增速、利润率和 WACC 高度敏感。</t>
  </si>
  <si>
    <t>• 这不是投资建议；所有假设与数据边界见报告。</t>
  </si>
  <si>
    <t>长鑫科技五年财务与现金流（亿元，除每股数据）</t>
  </si>
  <si>
    <t>来源：公司年报/中报；2026H1 为半年数据，不与年度直接比较。</t>
  </si>
  <si>
    <t>2022</t>
  </si>
  <si>
    <t>2023</t>
  </si>
  <si>
    <t>2024</t>
  </si>
  <si>
    <t>2025</t>
  </si>
  <si>
    <t>2026H1</t>
  </si>
  <si>
    <t>收入</t>
  </si>
  <si>
    <t>年度 / 半年报</t>
  </si>
  <si>
    <t>经营利润</t>
  </si>
  <si>
    <t>净利润</t>
  </si>
  <si>
    <t>经营现金流</t>
  </si>
  <si>
    <t>资本开支</t>
  </si>
  <si>
    <t>自由现金流</t>
  </si>
  <si>
    <t>EPS（元）</t>
  </si>
  <si>
    <t>收入增速</t>
  </si>
  <si>
    <t>经营利润率</t>
  </si>
  <si>
    <t>净利率</t>
  </si>
  <si>
    <t>FCF 利润率</t>
  </si>
  <si>
    <t>关键读数</t>
  </si>
  <si>
    <t>• 2022–2025 年收入 CAGR 95.3%，但 2022–2024 年累计亏损 318 亿；2025 年才实现净利 18.7 亿。</t>
  </si>
  <si>
    <t>• 2026H1 收入 1,503 亿（+873.6%）、净利 776 亿（上年同期 -23.3 亿）；Q2 净利 528 亿，环比 +113%。</t>
  </si>
  <si>
    <t>• 毛利率 84.7%、净利率 71.6%、ROE 81.1%（半年），是 DRAM 超级周期的峰值水平，不是常态。</t>
  </si>
  <si>
    <t>• 2022–2024 年资本开支合计 1,503 亿，FCF 连续为负；2025 年 FCF -132 亿，2026H1 才转正 1,096 亿。</t>
  </si>
  <si>
    <t>• 全球 DRAM 第四、中国第一，2025Q4 份额 7.67%、2026Q1 约 8%；三座 12 英寸厂，2026 年底产能约 350k wpm。</t>
  </si>
  <si>
    <t>• 公司不生产 HBM；本轮盈利来自普通 DRAM 涨价。IPO 募资约 579 亿，用于扩产与制程迭代。</t>
  </si>
  <si>
    <t>长鑫科技：分部与关键运营数据</t>
  </si>
  <si>
    <t>单位：亿元，另有注明除外；同比为公开披露口径。</t>
  </si>
  <si>
    <t>2026H1 经营与产能</t>
  </si>
  <si>
    <t>单位：亿元；比率为百分比。</t>
  </si>
  <si>
    <t>指标</t>
  </si>
  <si>
    <t>同比/备注</t>
  </si>
  <si>
    <t>说明</t>
  </si>
  <si>
    <t>营业收入</t>
  </si>
  <si>
    <t>+873.6%</t>
  </si>
  <si>
    <t>DRAM 量价齐升</t>
  </si>
  <si>
    <t>归母净利润</t>
  </si>
  <si>
    <t>上年同期 -23.3 亿</t>
  </si>
  <si>
    <t>Q2 净利 528.4 亿，环比 +113%</t>
  </si>
  <si>
    <t>毛利率</t>
  </si>
  <si>
    <t>+? pct</t>
  </si>
  <si>
    <t>价格暴涨、成本仅 +70.8%</t>
  </si>
  <si>
    <t>周期峰值</t>
  </si>
  <si>
    <t>ROE（半年）</t>
  </si>
  <si>
    <t>年化极高</t>
  </si>
  <si>
    <t>+2985.6%</t>
  </si>
  <si>
    <t>现金回流</t>
  </si>
  <si>
    <t>H1 口径；全年将更高</t>
  </si>
  <si>
    <t>全球 DRAM 份额</t>
  </si>
  <si>
    <t>2025Q4；2026Q1 约 8%</t>
  </si>
  <si>
    <t>全球第四、中国第一</t>
  </si>
  <si>
    <t>产能</t>
  </si>
  <si>
    <t>2026 年底 wpm</t>
  </si>
  <si>
    <t>2028 年底目标 500k wpm</t>
  </si>
  <si>
    <t>解读</t>
  </si>
  <si>
    <t>688825.SH TTM FCFF 桥：从经营利润到自由现金流</t>
  </si>
  <si>
    <t>单位：亿元；TTM = 最近四个季度；经营利润已扣除 SBC。</t>
  </si>
  <si>
    <t>经营利润（EBIT）</t>
  </si>
  <si>
    <t>有效税率</t>
  </si>
  <si>
    <t>正常化假设</t>
  </si>
  <si>
    <t>NOPAT</t>
  </si>
  <si>
    <t>EBIT × (1−税率)</t>
  </si>
  <si>
    <t>+ 折旧摊销</t>
  </si>
  <si>
    <t>+ 股权激励（SBC）</t>
  </si>
  <si>
    <t>非现金，但会稀释</t>
  </si>
  <si>
    <t>− 资本开支（现金）</t>
  </si>
  <si>
    <t>+ 营运资金及其他</t>
  </si>
  <si>
    <t>应收账款、存货、预收款等</t>
  </si>
  <si>
    <t>自由现金流（FCFF 口径）</t>
  </si>
  <si>
    <t>与报告 FCF 对齐</t>
  </si>
  <si>
    <t>报告 CFO</t>
  </si>
  <si>
    <t>与 FCFF 差 -497.2 亿（四舍五入）</t>
  </si>
  <si>
    <t>现金转化率</t>
  </si>
  <si>
    <t>Capex / D&amp;A</t>
  </si>
  <si>
    <t>资本开支是折旧的倍数</t>
  </si>
  <si>
    <t>• 2025 年经营现金流 365 亿，净利仅 18.7 亿；D&amp;A 271 亿是主要非现金项。</t>
  </si>
  <si>
    <t>• 2025 年资本开支 497 亿，占收入 80%；2022–2024 年 capex 合计 1,503 亿，FCF 连续为负。</t>
  </si>
  <si>
    <t>• 2026H1 经营现金流 1,312 亿、FCF 1,096 亿，是价格暴涨带来的峰值现金，不可持续。</t>
  </si>
  <si>
    <t>• 净现金 531 亿（现金 1,434 + 理财 502 − 债务 1,406），但相对 2.9 万亿市值很小。</t>
  </si>
  <si>
    <t>三情景 FCFF DCF（2026E 起算，10 年明确预测）</t>
  </si>
  <si>
    <t>单位：亿元，除每股数据；终值用永续增长；股权价值 = EV − 净负债 + 非经营投资。</t>
  </si>
  <si>
    <t>起始收入 2026E 3,153 亿元；净现金 531 亿元；DCF 假设 2028–2029 年 DRAM 周期回落、利润率正常化。</t>
  </si>
  <si>
    <t>全局输入</t>
  </si>
  <si>
    <t>起始收入（2026E）</t>
  </si>
  <si>
    <t>税率</t>
  </si>
  <si>
    <t>营运资金/增量收入</t>
  </si>
  <si>
    <t>净负债（含融资租赁）</t>
  </si>
  <si>
    <t>非经营投资/理财</t>
  </si>
  <si>
    <t>股数（亿股）</t>
  </si>
  <si>
    <t>注：净负债 = 1405.52 + 0.00 − 1434.26 = -28.74 亿元；非经营投资/理财 502.10 亿元单独加回，避免与 FCFF 重复。</t>
  </si>
  <si>
    <t>悲观情景</t>
  </si>
  <si>
    <t>WACC</t>
  </si>
  <si>
    <t>终值增长 g</t>
  </si>
  <si>
    <t>Year</t>
  </si>
  <si>
    <t>EBIT 利润率</t>
  </si>
  <si>
    <t>EBIT</t>
  </si>
  <si>
    <t>D&amp;A %</t>
  </si>
  <si>
    <t>D&amp;A</t>
  </si>
  <si>
    <t>Capex %</t>
  </si>
  <si>
    <t>Capex</t>
  </si>
  <si>
    <t>ΔNWC</t>
  </si>
  <si>
    <t>FCFF</t>
  </si>
  <si>
    <t>折现因子</t>
  </si>
  <si>
    <t>PV</t>
  </si>
  <si>
    <t>终值</t>
  </si>
  <si>
    <t>PV 终值</t>
  </si>
  <si>
    <t>EV</t>
  </si>
  <si>
    <t>− 净负债</t>
  </si>
  <si>
    <t>+ 非经营投资</t>
  </si>
  <si>
    <t>股权价值</t>
  </si>
  <si>
    <t>每股价值</t>
  </si>
  <si>
    <t>TV 占比 31%；终值 FCF 556.2 亿；终值收入 2498 亿</t>
  </si>
  <si>
    <t>基准情景</t>
  </si>
  <si>
    <t>TV 占比 37%；终值 FCF 1051.7 亿；终值收入 4723 亿</t>
  </si>
  <si>
    <t>乐观情景</t>
  </si>
  <si>
    <t>TV 占比 45%；终值 FCF 1834.4 亿；终值收入 7646 亿</t>
  </si>
  <si>
    <t>估值敏感性：WACC、终值 capex、终值利润率</t>
  </si>
  <si>
    <t>基准情景；每股价值（元）；由 Python 独立计算。</t>
  </si>
  <si>
    <t>终值 Capex / 收入</t>
  </si>
  <si>
    <t>终值 EBIT 利润率</t>
  </si>
  <si>
    <t>反推：现价隐含的 10 年收入 CAGR</t>
  </si>
  <si>
    <t>现价 ¥42.87</t>
  </si>
  <si>
    <t>基准情景 10 年 CAGR</t>
  </si>
  <si>
    <t>交叉检查：DCF、中期盈利、倍数</t>
  </si>
  <si>
    <t>方法</t>
  </si>
  <si>
    <t>相对现价</t>
  </si>
  <si>
    <t>读数</t>
  </si>
  <si>
    <t>DCF 基准（周期正常化）</t>
  </si>
  <si>
    <t>¥16.3</t>
  </si>
  <si>
    <t>现价高 163%</t>
  </si>
  <si>
    <t>很贵</t>
  </si>
  <si>
    <t>中期 EPS 1.8 × 15x</t>
  </si>
  <si>
    <t>¥27</t>
  </si>
  <si>
    <t>现价高 59%</t>
  </si>
  <si>
    <t>仍贵</t>
  </si>
  <si>
    <t>P/E 2026E 19.4x（峰值利润）</t>
  </si>
  <si>
    <t>看似不高</t>
  </si>
  <si>
    <t>利润处于周期峰值</t>
  </si>
  <si>
    <t>EV/EBIT 22.2x</t>
  </si>
  <si>
    <t>峰值利润率</t>
  </si>
  <si>
    <t>正常化后 50x+</t>
  </si>
  <si>
    <t>三种方法均低于现价；现价隐含 10 年收入 CAGR 20.5%，远超基准 4.1%。</t>
  </si>
  <si>
    <t>数据来源与日期</t>
  </si>
  <si>
    <t>研究截止 2026-10-29；财务数据来自公司公告与交易所。</t>
  </si>
  <si>
    <t>数据</t>
  </si>
  <si>
    <t>来源</t>
  </si>
  <si>
    <t>日期</t>
  </si>
  <si>
    <t>链接/备注</t>
  </si>
  <si>
    <t>2026 年半年度报告</t>
  </si>
  <si>
    <t>上交所 / 长鑫科技</t>
  </si>
  <si>
    <t>2026-08-28</t>
  </si>
  <si>
    <t>营收 1,503.1 亿、归母净利 776.1 亿；毛利率 84.7%</t>
  </si>
  <si>
    <t>招股说明书</t>
  </si>
  <si>
    <t>2026-07</t>
  </si>
  <si>
    <t>发行价 8.66 元；募资约 579.19 亿；2026-07-27 上市</t>
  </si>
  <si>
    <t>半年度业绩说明会</t>
  </si>
  <si>
    <t>证券时报 / 上海证券报</t>
  </si>
  <si>
    <t>2026-09-07</t>
  </si>
  <si>
    <t>下半年 DRAM 供给紧缺延续；公司不生产 HBM</t>
  </si>
  <si>
    <t>DRAM 价格</t>
  </si>
  <si>
    <t>TrendForce / 国盛证券</t>
  </si>
  <si>
    <t>2026-09</t>
  </si>
  <si>
    <t>Q1 合约价 +93–98%、Q2 +53–58%、Q3 预计 +13–18%</t>
  </si>
  <si>
    <t>股价与估值</t>
  </si>
  <si>
    <t>东方财富行情</t>
  </si>
  <si>
    <t>2026-10-29</t>
  </si>
  <si>
    <t>收盘 42.87 元；PE TTM 35.57x、PB 15.13x</t>
  </si>
  <si>
    <t>免责声明：本模型为公开信息研究与教学用途，不构成投资建议，也不构成任何个性化买卖指令。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</si>
</sst>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\¥#,##0.00"/>
    <numFmt numFmtId="177" formatCode="0.000"/>
    <numFmt numFmtId="178" formatCode="#,##0.0"/>
    <numFmt numFmtId="179" formatCode="0.0&quot;x&quot;"/>
    <numFmt numFmtId="180" formatCode="0.0%"/>
  </numFmts>
  <fonts count="12">
    <font>
      <sz val="11"/>
      <color theme="1"/>
      <name val="宋体"/>
      <family val="2"/>
      <scheme val="minor"/>
    </font>
    <font>
      <b/>
      <sz val="16"/>
      <color rgb="FF1F2933"/>
      <name val="Microsoft YaHei"/>
      <family val="2"/>
      <charset val="134"/>
    </font>
    <font>
      <sz val="10"/>
      <color rgb="FF5B6770"/>
      <name val="Microsoft YaHei"/>
      <family val="2"/>
      <charset val="134"/>
    </font>
    <font>
      <b/>
      <sz val="11"/>
      <color rgb="FF1F2933"/>
      <name val="Microsoft YaHei"/>
      <family val="2"/>
      <charset val="134"/>
    </font>
    <font>
      <b/>
      <sz val="11"/>
      <color rgb="FFB23A2E"/>
      <name val="Microsoft YaHei"/>
      <family val="2"/>
      <charset val="134"/>
    </font>
    <font>
      <b/>
      <sz val="9"/>
      <color rgb="FFFFFFFF"/>
      <name val="Microsoft YaHei"/>
      <family val="2"/>
      <charset val="134"/>
    </font>
    <font>
      <sz val="9"/>
      <color rgb="FF1F2933"/>
      <name val="Microsoft YaHei"/>
      <family val="2"/>
      <charset val="134"/>
    </font>
    <font>
      <b/>
      <sz val="9"/>
      <color rgb="FF1F2933"/>
      <name val="Microsoft YaHei"/>
      <family val="2"/>
      <charset val="134"/>
    </font>
    <font>
      <b/>
      <sz val="9"/>
      <color rgb="FFB23A2E"/>
      <name val="Microsoft YaHei"/>
      <family val="2"/>
      <charset val="134"/>
    </font>
    <font>
      <sz val="10"/>
      <color rgb="FF1F2933"/>
      <name val="Microsoft YaHei"/>
      <family val="2"/>
      <charset val="134"/>
    </font>
    <font>
      <sz val="9"/>
      <color rgb="FF5B6770"/>
      <name val="Microsoft YaHei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2D5"/>
      </patternFill>
    </fill>
    <fill>
      <patternFill patternType="solid">
        <fgColor rgb="FF1F2933"/>
      </patternFill>
    </fill>
  </fills>
  <borders count="2">
    <border>
      <left/>
      <right/>
      <top/>
      <bottom/>
      <diagonal/>
    </border>
    <border>
      <left style="thin">
        <color rgb="FFD8D2C4"/>
      </left>
      <right style="thin">
        <color rgb="FFD8D2C4"/>
      </right>
      <top style="thin">
        <color rgb="FFD8D2C4"/>
      </top>
      <bottom style="thin">
        <color rgb="FFD8D2C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2" borderId="1" xfId="0" applyFill="1" applyBorder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76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177" fontId="6" fillId="0" borderId="1" xfId="0" applyNumberFormat="1" applyFont="1" applyBorder="1" applyAlignment="1">
      <alignment horizontal="right" vertical="center"/>
    </xf>
    <xf numFmtId="3" fontId="7" fillId="0" borderId="1" xfId="0" applyNumberFormat="1" applyFont="1" applyBorder="1" applyAlignment="1">
      <alignment horizontal="right" vertical="center"/>
    </xf>
    <xf numFmtId="178" fontId="6" fillId="0" borderId="1" xfId="0" applyNumberFormat="1" applyFont="1" applyBorder="1" applyAlignment="1">
      <alignment horizontal="right" vertical="center"/>
    </xf>
    <xf numFmtId="2" fontId="6" fillId="0" borderId="1" xfId="0" applyNumberFormat="1" applyFont="1" applyBorder="1" applyAlignment="1">
      <alignment horizontal="right" vertical="center"/>
    </xf>
    <xf numFmtId="179" fontId="7" fillId="0" borderId="1" xfId="0" applyNumberFormat="1" applyFont="1" applyBorder="1" applyAlignment="1">
      <alignment horizontal="right" vertical="center"/>
    </xf>
    <xf numFmtId="10" fontId="7" fillId="0" borderId="1" xfId="0" applyNumberFormat="1" applyFont="1" applyBorder="1" applyAlignment="1">
      <alignment horizontal="right" vertical="center"/>
    </xf>
    <xf numFmtId="180" fontId="6" fillId="0" borderId="1" xfId="0" applyNumberFormat="1" applyFont="1" applyBorder="1" applyAlignment="1">
      <alignment horizontal="right" vertical="center"/>
    </xf>
    <xf numFmtId="180" fontId="7" fillId="0" borderId="1" xfId="0" applyNumberFormat="1" applyFont="1" applyBorder="1" applyAlignment="1">
      <alignment horizontal="right" vertical="center"/>
    </xf>
    <xf numFmtId="10" fontId="6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176" fontId="8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right" vertical="center"/>
    </xf>
    <xf numFmtId="1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9" fillId="0" borderId="0" xfId="0" applyFont="1" applyAlignment="1">
      <alignment vertical="center" wrapText="1"/>
    </xf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 wrapText="1"/>
    </xf>
    <xf numFmtId="0" fontId="10" fillId="0" borderId="0" xfId="0" applyFont="1"/>
    <xf numFmtId="0" fontId="10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t>688825.SH 三情景每股价值 vs 现价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结论!$B$32</c:f>
              <c:strCache>
                <c:ptCount val="1"/>
                <c:pt idx="0">
                  <c:v>每股价值（元）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B2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75C-406C-8168-04456F17C83E}"/>
              </c:ext>
            </c:extLst>
          </c:dPt>
          <c:dPt>
            <c:idx val="1"/>
            <c:invertIfNegative val="1"/>
            <c:bubble3D val="0"/>
            <c:spPr>
              <a:solidFill>
                <a:srgbClr val="C9A2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75C-406C-8168-04456F17C83E}"/>
              </c:ext>
            </c:extLst>
          </c:dPt>
          <c:dPt>
            <c:idx val="2"/>
            <c:invertIfNegative val="1"/>
            <c:bubble3D val="0"/>
            <c:spPr>
              <a:solidFill>
                <a:srgbClr val="2F6B4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75C-406C-8168-04456F17C83E}"/>
              </c:ext>
            </c:extLst>
          </c:dPt>
          <c:dPt>
            <c:idx val="3"/>
            <c:invertIfNegative val="1"/>
            <c:bubble3D val="0"/>
            <c:spPr>
              <a:solidFill>
                <a:srgbClr val="1A73E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75C-406C-8168-04456F17C83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结论!$A$33:$A$36</c:f>
              <c:strCache>
                <c:ptCount val="4"/>
                <c:pt idx="0">
                  <c:v>悲观</c:v>
                </c:pt>
                <c:pt idx="1">
                  <c:v>基准</c:v>
                </c:pt>
                <c:pt idx="2">
                  <c:v>乐观</c:v>
                </c:pt>
                <c:pt idx="3">
                  <c:v>现价</c:v>
                </c:pt>
              </c:strCache>
            </c:strRef>
          </c:cat>
          <c:val>
            <c:numRef>
              <c:f>结论!$B$33:$B$36</c:f>
              <c:numCache>
                <c:formatCode>\¥#,##0.00</c:formatCode>
                <c:ptCount val="4"/>
                <c:pt idx="0">
                  <c:v>7.660416409470642</c:v>
                </c:pt>
                <c:pt idx="1">
                  <c:v>16.282944014892539</c:v>
                </c:pt>
                <c:pt idx="2">
                  <c:v>30.120380742484809</c:v>
                </c:pt>
                <c:pt idx="3">
                  <c:v>42.87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75C-406C-8168-04456F17C83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元/股</a:t>
                </a:r>
              </a:p>
            </c:rich>
          </c:tx>
          <c:overlay val="1"/>
        </c:title>
        <c:numFmt formatCode="\¥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基准情景 FCFF 路径（亿元）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DCF!$L$39</c:f>
              <c:strCache>
                <c:ptCount val="1"/>
                <c:pt idx="0">
                  <c:v>FCFF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DCF!$A$40:$A$49</c:f>
              <c:numCache>
                <c:formatCode>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DCF!$L$40:$L$49</c:f>
              <c:numCache>
                <c:formatCode>#,##0.0</c:formatCode>
                <c:ptCount val="10"/>
                <c:pt idx="0">
                  <c:v>1622.4076800000003</c:v>
                </c:pt>
                <c:pt idx="1">
                  <c:v>1397.9947967999999</c:v>
                </c:pt>
                <c:pt idx="2">
                  <c:v>1145.4319295999999</c:v>
                </c:pt>
                <c:pt idx="3">
                  <c:v>917.54338099200027</c:v>
                </c:pt>
                <c:pt idx="4">
                  <c:v>896.65309827072019</c:v>
                </c:pt>
                <c:pt idx="5">
                  <c:v>980.35605309358107</c:v>
                </c:pt>
                <c:pt idx="6">
                  <c:v>1076.9700075848664</c:v>
                </c:pt>
                <c:pt idx="7">
                  <c:v>1133.9876980107069</c:v>
                </c:pt>
                <c:pt idx="8">
                  <c:v>1100.1675279689432</c:v>
                </c:pt>
                <c:pt idx="9">
                  <c:v>1051.6846723359417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1EA-4CE0-BDC1-2413752E7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Year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FCFF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8</xdr:row>
      <xdr:rowOff>0</xdr:rowOff>
    </xdr:from>
    <xdr:ext cx="522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12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4"/>
  <sheetViews>
    <sheetView showGridLines="0" tabSelected="1" workbookViewId="0"/>
  </sheetViews>
  <sheetFormatPr defaultRowHeight="14.4"/>
  <cols>
    <col min="1" max="1" width="30" customWidth="1"/>
    <col min="2" max="2" width="18" customWidth="1"/>
    <col min="3" max="3" width="40" customWidth="1"/>
    <col min="4" max="4" width="18" customWidth="1"/>
    <col min="5" max="5" width="14" customWidth="1"/>
  </cols>
  <sheetData>
    <row r="1" spans="1:13" ht="23.4">
      <c r="A1" s="1" t="s">
        <v>0</v>
      </c>
    </row>
    <row r="2" spans="1:13" ht="15.6">
      <c r="A2" s="28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ht="15.6">
      <c r="A3" s="28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5" spans="1:13" ht="16.2">
      <c r="A5" s="3" t="s">
        <v>3</v>
      </c>
      <c r="B5" s="4"/>
      <c r="C5" s="4"/>
      <c r="D5" s="4"/>
      <c r="E5" s="4"/>
    </row>
    <row r="6" spans="1:13" ht="54" customHeight="1">
      <c r="A6" s="29" t="s">
        <v>4</v>
      </c>
      <c r="B6" s="27"/>
      <c r="C6" s="27"/>
      <c r="D6" s="27"/>
      <c r="E6" s="27"/>
    </row>
    <row r="8" spans="1:13" ht="16.2">
      <c r="A8" s="3" t="s">
        <v>5</v>
      </c>
      <c r="B8" s="4"/>
      <c r="C8" s="4"/>
      <c r="D8" s="4"/>
      <c r="E8" s="4"/>
    </row>
    <row r="9" spans="1:13">
      <c r="A9" s="5" t="s">
        <v>6</v>
      </c>
      <c r="B9" s="5" t="s">
        <v>7</v>
      </c>
      <c r="C9" s="5" t="s">
        <v>8</v>
      </c>
    </row>
    <row r="10" spans="1:13" ht="22.05" customHeight="1">
      <c r="A10" s="6" t="s">
        <v>9</v>
      </c>
      <c r="B10" s="7">
        <v>42.87</v>
      </c>
      <c r="C10" s="8" t="s">
        <v>10</v>
      </c>
    </row>
    <row r="11" spans="1:13" ht="22.05" customHeight="1">
      <c r="A11" s="6" t="s">
        <v>11</v>
      </c>
      <c r="B11" s="9">
        <v>678.84100000000001</v>
      </c>
      <c r="C11" s="8" t="s">
        <v>12</v>
      </c>
    </row>
    <row r="12" spans="1:13" ht="22.05" customHeight="1">
      <c r="A12" s="6" t="s">
        <v>13</v>
      </c>
      <c r="B12" s="10">
        <f>B10*B11</f>
        <v>29101.913669999998</v>
      </c>
      <c r="C12" s="8" t="s">
        <v>14</v>
      </c>
    </row>
    <row r="13" spans="1:13" ht="22.05" customHeight="1">
      <c r="A13" s="6" t="s">
        <v>15</v>
      </c>
      <c r="B13" s="11">
        <v>-28.74</v>
      </c>
      <c r="C13" s="8" t="s">
        <v>16</v>
      </c>
    </row>
    <row r="14" spans="1:13" ht="22.05" customHeight="1">
      <c r="A14" s="6" t="s">
        <v>17</v>
      </c>
      <c r="B14" s="10">
        <f>B12+B13</f>
        <v>29073.173669999996</v>
      </c>
      <c r="C14" s="8" t="s">
        <v>18</v>
      </c>
    </row>
    <row r="15" spans="1:13" ht="22.05" customHeight="1">
      <c r="A15" s="6" t="s">
        <v>19</v>
      </c>
      <c r="B15" s="11">
        <v>1966.7</v>
      </c>
      <c r="C15" s="8" t="s">
        <v>20</v>
      </c>
    </row>
    <row r="16" spans="1:13" ht="22.05" customHeight="1">
      <c r="A16" s="6" t="s">
        <v>21</v>
      </c>
      <c r="B16" s="11">
        <v>1289.5</v>
      </c>
      <c r="C16" s="8" t="s">
        <v>22</v>
      </c>
    </row>
    <row r="17" spans="1:5" ht="22.05" customHeight="1">
      <c r="A17" s="6" t="s">
        <v>23</v>
      </c>
      <c r="B17" s="11">
        <v>1160.55</v>
      </c>
      <c r="C17" s="8" t="s">
        <v>24</v>
      </c>
    </row>
    <row r="18" spans="1:5" ht="22.05" customHeight="1">
      <c r="A18" s="6" t="s">
        <v>25</v>
      </c>
      <c r="B18" s="11">
        <v>1095.5999999999999</v>
      </c>
      <c r="C18" s="8" t="s">
        <v>26</v>
      </c>
    </row>
    <row r="19" spans="1:5" ht="22.05" customHeight="1">
      <c r="A19" s="6" t="s">
        <v>27</v>
      </c>
      <c r="B19" s="11">
        <v>3153</v>
      </c>
      <c r="C19" s="8" t="s">
        <v>28</v>
      </c>
    </row>
    <row r="20" spans="1:5" ht="22.05" customHeight="1">
      <c r="A20" s="6" t="s">
        <v>29</v>
      </c>
      <c r="B20" s="12">
        <v>1.2050000000000001</v>
      </c>
      <c r="C20" s="8" t="s">
        <v>30</v>
      </c>
    </row>
    <row r="21" spans="1:5" ht="22.05" customHeight="1">
      <c r="A21" s="6" t="s">
        <v>31</v>
      </c>
      <c r="B21" s="12">
        <v>2.21</v>
      </c>
      <c r="C21" s="8" t="s">
        <v>32</v>
      </c>
    </row>
    <row r="22" spans="1:5" ht="22.05" customHeight="1">
      <c r="A22" s="6" t="s">
        <v>33</v>
      </c>
      <c r="B22" s="13">
        <f>B14/B16</f>
        <v>22.546082721985265</v>
      </c>
      <c r="C22" s="8" t="s">
        <v>34</v>
      </c>
    </row>
    <row r="23" spans="1:5" ht="22.05" customHeight="1">
      <c r="A23" s="6" t="s">
        <v>35</v>
      </c>
      <c r="B23" s="13">
        <f>B10/B20</f>
        <v>35.576763485477173</v>
      </c>
      <c r="C23" s="8" t="s">
        <v>36</v>
      </c>
    </row>
    <row r="24" spans="1:5" ht="22.05" customHeight="1">
      <c r="A24" s="6" t="s">
        <v>37</v>
      </c>
      <c r="B24" s="13">
        <f>B10/B21</f>
        <v>19.398190045248867</v>
      </c>
      <c r="C24" s="8" t="s">
        <v>38</v>
      </c>
    </row>
    <row r="25" spans="1:5" ht="22.05" customHeight="1">
      <c r="A25" s="6" t="s">
        <v>39</v>
      </c>
      <c r="B25" s="14">
        <f>B18/B12</f>
        <v>3.764700879892343E-2</v>
      </c>
      <c r="C25" s="8" t="s">
        <v>40</v>
      </c>
    </row>
    <row r="26" spans="1:5" ht="22.05" customHeight="1">
      <c r="A26" s="6" t="s">
        <v>41</v>
      </c>
      <c r="B26" s="13">
        <f>B14/B18</f>
        <v>26.53630309419496</v>
      </c>
      <c r="C26" s="8" t="s">
        <v>42</v>
      </c>
    </row>
    <row r="27" spans="1:5" ht="22.05" customHeight="1">
      <c r="A27" s="6" t="s">
        <v>43</v>
      </c>
      <c r="B27" s="15">
        <v>0.25291096761071852</v>
      </c>
      <c r="C27" s="8" t="s">
        <v>44</v>
      </c>
    </row>
    <row r="28" spans="1:5" ht="22.05" customHeight="1">
      <c r="A28" s="6" t="s">
        <v>45</v>
      </c>
      <c r="B28" s="16">
        <f>B18/B17</f>
        <v>0.94403515574512076</v>
      </c>
      <c r="C28" s="8" t="s">
        <v>46</v>
      </c>
    </row>
    <row r="29" spans="1:5" ht="22.05" customHeight="1">
      <c r="A29" s="6" t="s">
        <v>47</v>
      </c>
      <c r="B29" s="17">
        <v>0</v>
      </c>
      <c r="C29" s="8" t="s">
        <v>48</v>
      </c>
    </row>
    <row r="32" spans="1:5">
      <c r="A32" s="5" t="s">
        <v>49</v>
      </c>
      <c r="B32" s="5" t="s">
        <v>50</v>
      </c>
      <c r="C32" s="5" t="s">
        <v>51</v>
      </c>
      <c r="D32" s="5" t="s">
        <v>52</v>
      </c>
      <c r="E32" s="5" t="s">
        <v>53</v>
      </c>
    </row>
    <row r="33" spans="1:5">
      <c r="A33" s="6" t="s">
        <v>54</v>
      </c>
      <c r="B33" s="7">
        <v>7.660416409470642</v>
      </c>
      <c r="C33" s="15">
        <f>B33/$B$10-1</f>
        <v>-0.82131055727850144</v>
      </c>
      <c r="D33" s="15">
        <f>1-$B$10/B33</f>
        <v>-4.5963015205021271</v>
      </c>
      <c r="E33" s="17">
        <v>4.0899999999999999E-2</v>
      </c>
    </row>
    <row r="34" spans="1:5">
      <c r="A34" s="18" t="s">
        <v>55</v>
      </c>
      <c r="B34" s="19">
        <v>16.282944014892539</v>
      </c>
      <c r="C34" s="15">
        <f>B34/$B$10-1</f>
        <v>-0.62017858607668441</v>
      </c>
      <c r="D34" s="15">
        <f>1-$B$10/B34</f>
        <v>-1.6328162745502706</v>
      </c>
      <c r="E34" s="17">
        <v>6.0100000000000001E-2</v>
      </c>
    </row>
    <row r="35" spans="1:5">
      <c r="A35" s="6" t="s">
        <v>56</v>
      </c>
      <c r="B35" s="7">
        <v>30.120380742484809</v>
      </c>
      <c r="C35" s="15">
        <f>B35/$B$10-1</f>
        <v>-0.29740189544005569</v>
      </c>
      <c r="D35" s="15">
        <f>1-$B$10/B35</f>
        <v>-0.4232887813244619</v>
      </c>
      <c r="E35" s="17">
        <v>8.5900000000000004E-2</v>
      </c>
    </row>
    <row r="36" spans="1:5">
      <c r="A36" s="20" t="s">
        <v>57</v>
      </c>
      <c r="B36" s="21">
        <v>42.87</v>
      </c>
      <c r="C36" s="15">
        <v>0</v>
      </c>
      <c r="D36" s="15">
        <v>0</v>
      </c>
      <c r="E36" s="22" t="s">
        <v>58</v>
      </c>
    </row>
    <row r="38" spans="1:5" ht="16.2">
      <c r="A38" s="3" t="s">
        <v>59</v>
      </c>
      <c r="B38" s="4"/>
      <c r="C38" s="4"/>
      <c r="D38" s="4"/>
      <c r="E38" s="4"/>
    </row>
    <row r="39" spans="1:5" ht="30" customHeight="1">
      <c r="A39" s="26" t="s">
        <v>60</v>
      </c>
      <c r="B39" s="27"/>
      <c r="C39" s="27"/>
      <c r="D39" s="27"/>
      <c r="E39" s="27"/>
    </row>
    <row r="40" spans="1:5" ht="30" customHeight="1">
      <c r="A40" s="26" t="s">
        <v>61</v>
      </c>
      <c r="B40" s="27"/>
      <c r="C40" s="27"/>
      <c r="D40" s="27"/>
      <c r="E40" s="27"/>
    </row>
    <row r="41" spans="1:5" ht="30" customHeight="1">
      <c r="A41" s="26" t="s">
        <v>62</v>
      </c>
      <c r="B41" s="27"/>
      <c r="C41" s="27"/>
      <c r="D41" s="27"/>
      <c r="E41" s="27"/>
    </row>
    <row r="42" spans="1:5" ht="30" customHeight="1">
      <c r="A42" s="26" t="s">
        <v>63</v>
      </c>
      <c r="B42" s="27"/>
      <c r="C42" s="27"/>
      <c r="D42" s="27"/>
      <c r="E42" s="27"/>
    </row>
    <row r="43" spans="1:5" ht="30" customHeight="1">
      <c r="A43" s="26" t="s">
        <v>64</v>
      </c>
      <c r="B43" s="27"/>
      <c r="C43" s="27"/>
      <c r="D43" s="27"/>
      <c r="E43" s="27"/>
    </row>
    <row r="44" spans="1:5" ht="30" customHeight="1">
      <c r="A44" s="26" t="s">
        <v>65</v>
      </c>
      <c r="B44" s="27"/>
      <c r="C44" s="27"/>
      <c r="D44" s="27"/>
      <c r="E44" s="27"/>
    </row>
  </sheetData>
  <mergeCells count="9">
    <mergeCell ref="A3:M3"/>
    <mergeCell ref="A44:E44"/>
    <mergeCell ref="A6:E6"/>
    <mergeCell ref="A2:M2"/>
    <mergeCell ref="A39:E39"/>
    <mergeCell ref="A43:E43"/>
    <mergeCell ref="A42:E42"/>
    <mergeCell ref="A41:E41"/>
    <mergeCell ref="A40:E40"/>
  </mergeCells>
  <phoneticPr fontId="11" type="noConversion"/>
  <pageMargins left="0.25" right="0.25" top="0.35" bottom="0.35" header="0.15" footer="0.1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6"/>
  <sheetViews>
    <sheetView showGridLines="0" workbookViewId="0"/>
  </sheetViews>
  <sheetFormatPr defaultRowHeight="14.4"/>
  <cols>
    <col min="1" max="1" width="30" customWidth="1"/>
    <col min="2" max="7" width="12" customWidth="1"/>
    <col min="8" max="8" width="34" customWidth="1"/>
  </cols>
  <sheetData>
    <row r="1" spans="1:8" ht="23.4">
      <c r="A1" s="1" t="s">
        <v>66</v>
      </c>
    </row>
    <row r="2" spans="1:8" ht="15.6">
      <c r="A2" s="28" t="s">
        <v>67</v>
      </c>
      <c r="B2" s="27"/>
      <c r="C2" s="27"/>
      <c r="D2" s="27"/>
      <c r="E2" s="27"/>
      <c r="F2" s="27"/>
      <c r="G2" s="27"/>
      <c r="H2" s="27"/>
    </row>
    <row r="4" spans="1:8">
      <c r="A4" s="5" t="s">
        <v>6</v>
      </c>
      <c r="B4" s="5" t="s">
        <v>68</v>
      </c>
      <c r="C4" s="5" t="s">
        <v>69</v>
      </c>
      <c r="D4" s="5" t="s">
        <v>70</v>
      </c>
      <c r="E4" s="5" t="s">
        <v>71</v>
      </c>
      <c r="F4" s="5" t="s">
        <v>72</v>
      </c>
      <c r="G4" s="5" t="s">
        <v>8</v>
      </c>
    </row>
    <row r="5" spans="1:8">
      <c r="A5" s="6" t="s">
        <v>73</v>
      </c>
      <c r="B5" s="11">
        <v>82.9</v>
      </c>
      <c r="C5" s="11">
        <v>90.9</v>
      </c>
      <c r="D5" s="11">
        <v>241.8</v>
      </c>
      <c r="E5" s="11">
        <v>618</v>
      </c>
      <c r="F5" s="11">
        <v>1503.1</v>
      </c>
      <c r="H5" s="6" t="s">
        <v>74</v>
      </c>
    </row>
    <row r="6" spans="1:8">
      <c r="A6" s="6" t="s">
        <v>75</v>
      </c>
      <c r="B6" s="11">
        <v>-92.1</v>
      </c>
      <c r="C6" s="11">
        <v>-193.4</v>
      </c>
      <c r="D6" s="11">
        <v>-89.7</v>
      </c>
      <c r="E6" s="11">
        <v>77.2</v>
      </c>
      <c r="F6" s="11">
        <v>1171.4000000000001</v>
      </c>
      <c r="H6" s="6" t="s">
        <v>74</v>
      </c>
    </row>
    <row r="7" spans="1:8">
      <c r="A7" s="6" t="s">
        <v>76</v>
      </c>
      <c r="B7" s="11">
        <v>-83.3</v>
      </c>
      <c r="C7" s="11">
        <v>-163.4</v>
      </c>
      <c r="D7" s="11">
        <v>-71.400000000000006</v>
      </c>
      <c r="E7" s="11">
        <v>18.7</v>
      </c>
      <c r="F7" s="11">
        <v>776.1</v>
      </c>
      <c r="H7" s="6" t="s">
        <v>74</v>
      </c>
    </row>
    <row r="8" spans="1:8">
      <c r="A8" s="6" t="s">
        <v>77</v>
      </c>
      <c r="B8" s="11">
        <v>-19.600000000000001</v>
      </c>
      <c r="C8" s="11">
        <v>-72.7</v>
      </c>
      <c r="D8" s="11">
        <v>69</v>
      </c>
      <c r="E8" s="11">
        <v>365.2</v>
      </c>
      <c r="F8" s="11">
        <v>1311.6</v>
      </c>
      <c r="H8" s="6" t="s">
        <v>74</v>
      </c>
    </row>
    <row r="9" spans="1:8">
      <c r="A9" s="6" t="s">
        <v>78</v>
      </c>
      <c r="B9" s="11">
        <v>354.3</v>
      </c>
      <c r="C9" s="11">
        <v>436.6</v>
      </c>
      <c r="D9" s="11">
        <v>712.3</v>
      </c>
      <c r="E9" s="11">
        <v>497.4</v>
      </c>
      <c r="F9" s="11">
        <v>215.9</v>
      </c>
      <c r="H9" s="6" t="s">
        <v>74</v>
      </c>
    </row>
    <row r="10" spans="1:8">
      <c r="A10" s="6" t="s">
        <v>79</v>
      </c>
      <c r="B10" s="11">
        <v>-373.9</v>
      </c>
      <c r="C10" s="11">
        <v>-509.3</v>
      </c>
      <c r="D10" s="11">
        <v>-643.29999999999995</v>
      </c>
      <c r="E10" s="11">
        <v>-132.19999999999999</v>
      </c>
      <c r="F10" s="11">
        <v>1095.5999999999999</v>
      </c>
      <c r="H10" s="6" t="s">
        <v>74</v>
      </c>
    </row>
    <row r="11" spans="1:8">
      <c r="A11" s="6" t="s">
        <v>80</v>
      </c>
      <c r="B11" s="12">
        <v>-0.16</v>
      </c>
      <c r="C11" s="12">
        <v>-0.3</v>
      </c>
      <c r="D11" s="12">
        <v>-0.13</v>
      </c>
      <c r="E11" s="12">
        <v>0.03</v>
      </c>
      <c r="F11" s="12">
        <v>1.2892999999999999</v>
      </c>
      <c r="H11" s="6" t="s">
        <v>74</v>
      </c>
    </row>
    <row r="13" spans="1:8">
      <c r="A13" s="6" t="s">
        <v>81</v>
      </c>
      <c r="C13" s="15">
        <f>C5/B5-1</f>
        <v>9.6501809408926498E-2</v>
      </c>
      <c r="D13" s="15">
        <f>D5/C5-1</f>
        <v>1.6600660066006601</v>
      </c>
      <c r="E13" s="15">
        <f>E5/D5-1</f>
        <v>1.5558312655086848</v>
      </c>
      <c r="F13" s="15">
        <f>F5/E5-1</f>
        <v>1.4322006472491906</v>
      </c>
    </row>
    <row r="14" spans="1:8">
      <c r="A14" s="6" t="s">
        <v>82</v>
      </c>
      <c r="B14" s="15">
        <f>B6/B5</f>
        <v>-1.1109770808202653</v>
      </c>
      <c r="C14" s="15">
        <f>C6/C5</f>
        <v>-2.1276127612761275</v>
      </c>
      <c r="D14" s="15">
        <f>D6/D5</f>
        <v>-0.37096774193548387</v>
      </c>
      <c r="E14" s="15">
        <f>E6/E5</f>
        <v>0.12491909385113269</v>
      </c>
      <c r="F14" s="15">
        <f>F6/F5</f>
        <v>0.77932273301842869</v>
      </c>
    </row>
    <row r="15" spans="1:8">
      <c r="A15" s="6" t="s">
        <v>83</v>
      </c>
      <c r="B15" s="15">
        <f>B7/B5</f>
        <v>-1.0048250904704463</v>
      </c>
      <c r="C15" s="15">
        <f>C7/C5</f>
        <v>-1.7975797579757975</v>
      </c>
      <c r="D15" s="15">
        <f>D7/D5</f>
        <v>-0.29528535980148884</v>
      </c>
      <c r="E15" s="15">
        <f>E7/E5</f>
        <v>3.0258899676375402E-2</v>
      </c>
      <c r="F15" s="15">
        <f>F7/F5</f>
        <v>0.51633291198190412</v>
      </c>
    </row>
    <row r="16" spans="1:8">
      <c r="A16" s="6" t="s">
        <v>84</v>
      </c>
      <c r="B16" s="15">
        <f>B10/B5</f>
        <v>-4.5102533172496981</v>
      </c>
      <c r="C16" s="15">
        <f>C10/C5</f>
        <v>-5.6028602860286023</v>
      </c>
      <c r="D16" s="15">
        <f>D10/D5</f>
        <v>-2.6604631927212568</v>
      </c>
      <c r="E16" s="15">
        <f>E10/E5</f>
        <v>-0.21391585760517798</v>
      </c>
      <c r="F16" s="15">
        <f>F10/F5</f>
        <v>0.72889361985230527</v>
      </c>
    </row>
    <row r="17" spans="1:8">
      <c r="A17" s="6" t="s">
        <v>43</v>
      </c>
      <c r="B17" s="15">
        <f>B9/B5</f>
        <v>4.2738238841978289</v>
      </c>
      <c r="C17" s="15">
        <f>C9/C5</f>
        <v>4.8030803080308031</v>
      </c>
      <c r="D17" s="15">
        <f>D9/D5</f>
        <v>2.9458229942100909</v>
      </c>
      <c r="E17" s="15">
        <f>E9/E5</f>
        <v>0.80485436893203877</v>
      </c>
      <c r="F17" s="15">
        <f>F9/F5</f>
        <v>0.14363648459849646</v>
      </c>
    </row>
    <row r="18" spans="1:8">
      <c r="A18" s="6" t="s">
        <v>45</v>
      </c>
      <c r="B18" s="15">
        <f>B10/(B6*(1-0.1))</f>
        <v>4.5107974423935335</v>
      </c>
      <c r="C18" s="15">
        <f>C10/(C6*(1-0.1))</f>
        <v>2.9260025278639552</v>
      </c>
      <c r="D18" s="15">
        <f>D10/(D6*(1-0.1))</f>
        <v>7.9685370989718809</v>
      </c>
      <c r="E18" s="15">
        <f>E10/(E6*(1-0.1))</f>
        <v>-1.9027058146229128</v>
      </c>
      <c r="F18" s="15">
        <f>F10/(F6*(1-0.1))</f>
        <v>1.0392123385123211</v>
      </c>
    </row>
    <row r="20" spans="1:8" ht="16.2">
      <c r="A20" s="3" t="s">
        <v>85</v>
      </c>
      <c r="B20" s="4"/>
      <c r="C20" s="4"/>
      <c r="D20" s="4"/>
      <c r="E20" s="4"/>
      <c r="F20" s="4"/>
      <c r="G20" s="4"/>
      <c r="H20" s="4"/>
    </row>
    <row r="21" spans="1:8" ht="30" customHeight="1">
      <c r="A21" s="26" t="s">
        <v>86</v>
      </c>
      <c r="B21" s="27"/>
      <c r="C21" s="27"/>
      <c r="D21" s="27"/>
      <c r="E21" s="27"/>
      <c r="F21" s="27"/>
      <c r="G21" s="27"/>
      <c r="H21" s="27"/>
    </row>
    <row r="22" spans="1:8" ht="30" customHeight="1">
      <c r="A22" s="26" t="s">
        <v>87</v>
      </c>
      <c r="B22" s="27"/>
      <c r="C22" s="27"/>
      <c r="D22" s="27"/>
      <c r="E22" s="27"/>
      <c r="F22" s="27"/>
      <c r="G22" s="27"/>
      <c r="H22" s="27"/>
    </row>
    <row r="23" spans="1:8" ht="30" customHeight="1">
      <c r="A23" s="26" t="s">
        <v>88</v>
      </c>
      <c r="B23" s="27"/>
      <c r="C23" s="27"/>
      <c r="D23" s="27"/>
      <c r="E23" s="27"/>
      <c r="F23" s="27"/>
      <c r="G23" s="27"/>
      <c r="H23" s="27"/>
    </row>
    <row r="24" spans="1:8" ht="30" customHeight="1">
      <c r="A24" s="26" t="s">
        <v>89</v>
      </c>
      <c r="B24" s="27"/>
      <c r="C24" s="27"/>
      <c r="D24" s="27"/>
      <c r="E24" s="27"/>
      <c r="F24" s="27"/>
      <c r="G24" s="27"/>
      <c r="H24" s="27"/>
    </row>
    <row r="25" spans="1:8" ht="30" customHeight="1">
      <c r="A25" s="26" t="s">
        <v>90</v>
      </c>
      <c r="B25" s="27"/>
      <c r="C25" s="27"/>
      <c r="D25" s="27"/>
      <c r="E25" s="27"/>
      <c r="F25" s="27"/>
      <c r="G25" s="27"/>
      <c r="H25" s="27"/>
    </row>
    <row r="26" spans="1:8" ht="30" customHeight="1">
      <c r="A26" s="26" t="s">
        <v>91</v>
      </c>
      <c r="B26" s="27"/>
      <c r="C26" s="27"/>
      <c r="D26" s="27"/>
      <c r="E26" s="27"/>
      <c r="F26" s="27"/>
      <c r="G26" s="27"/>
      <c r="H26" s="27"/>
    </row>
  </sheetData>
  <mergeCells count="7">
    <mergeCell ref="A26:H26"/>
    <mergeCell ref="A21:H21"/>
    <mergeCell ref="A25:H25"/>
    <mergeCell ref="A24:H24"/>
    <mergeCell ref="A2:H2"/>
    <mergeCell ref="A23:H23"/>
    <mergeCell ref="A22:H22"/>
  </mergeCells>
  <phoneticPr fontId="11" type="noConversion"/>
  <pageMargins left="0.25" right="0.25" top="0.35" bottom="0.35" header="0.15" footer="0.1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0"/>
  <sheetViews>
    <sheetView showGridLines="0" workbookViewId="0"/>
  </sheetViews>
  <sheetFormatPr defaultRowHeight="14.4"/>
  <cols>
    <col min="1" max="1" width="32" customWidth="1"/>
    <col min="2" max="3" width="15" customWidth="1"/>
    <col min="4" max="4" width="14" customWidth="1"/>
    <col min="5" max="5" width="44" customWidth="1"/>
    <col min="6" max="6" width="20" customWidth="1"/>
  </cols>
  <sheetData>
    <row r="1" spans="1:6" ht="23.4">
      <c r="A1" s="1" t="s">
        <v>92</v>
      </c>
    </row>
    <row r="2" spans="1:6" ht="15.6">
      <c r="A2" s="28" t="s">
        <v>93</v>
      </c>
      <c r="B2" s="27"/>
      <c r="C2" s="27"/>
      <c r="D2" s="27"/>
      <c r="E2" s="27"/>
      <c r="F2" s="27"/>
    </row>
    <row r="4" spans="1:6" ht="16.2">
      <c r="A4" s="3" t="s">
        <v>94</v>
      </c>
      <c r="B4" s="4"/>
      <c r="C4" s="4"/>
      <c r="D4" s="4"/>
      <c r="E4" s="4"/>
      <c r="F4" s="4"/>
    </row>
    <row r="5" spans="1:6" ht="15.6">
      <c r="A5" s="2" t="s">
        <v>95</v>
      </c>
    </row>
    <row r="6" spans="1:6">
      <c r="A6" s="5" t="s">
        <v>96</v>
      </c>
      <c r="B6" s="5" t="s">
        <v>7</v>
      </c>
      <c r="C6" s="5" t="s">
        <v>97</v>
      </c>
      <c r="D6" s="5" t="s">
        <v>98</v>
      </c>
    </row>
    <row r="7" spans="1:6">
      <c r="A7" s="6" t="s">
        <v>99</v>
      </c>
      <c r="B7" s="11">
        <v>1503.1</v>
      </c>
      <c r="C7" s="6" t="s">
        <v>100</v>
      </c>
      <c r="D7" s="6" t="s">
        <v>101</v>
      </c>
    </row>
    <row r="8" spans="1:6">
      <c r="A8" s="6" t="s">
        <v>102</v>
      </c>
      <c r="B8" s="11">
        <v>776.1</v>
      </c>
      <c r="C8" s="6" t="s">
        <v>103</v>
      </c>
      <c r="D8" s="6" t="s">
        <v>104</v>
      </c>
    </row>
    <row r="9" spans="1:6">
      <c r="A9" s="6" t="s">
        <v>105</v>
      </c>
      <c r="B9" s="11">
        <v>84.74</v>
      </c>
      <c r="C9" s="6" t="s">
        <v>106</v>
      </c>
      <c r="D9" s="6" t="s">
        <v>107</v>
      </c>
    </row>
    <row r="10" spans="1:6">
      <c r="A10" s="6" t="s">
        <v>83</v>
      </c>
      <c r="B10" s="11">
        <v>71.55</v>
      </c>
      <c r="C10" s="6" t="s">
        <v>58</v>
      </c>
      <c r="D10" s="6" t="s">
        <v>108</v>
      </c>
    </row>
    <row r="11" spans="1:6">
      <c r="A11" s="6" t="s">
        <v>109</v>
      </c>
      <c r="B11" s="11">
        <v>81.06</v>
      </c>
      <c r="C11" s="6" t="s">
        <v>58</v>
      </c>
      <c r="D11" s="6" t="s">
        <v>110</v>
      </c>
    </row>
    <row r="12" spans="1:6">
      <c r="A12" s="6" t="s">
        <v>77</v>
      </c>
      <c r="B12" s="11">
        <v>1311.6</v>
      </c>
      <c r="C12" s="6" t="s">
        <v>111</v>
      </c>
      <c r="D12" s="6" t="s">
        <v>112</v>
      </c>
    </row>
    <row r="13" spans="1:6">
      <c r="A13" s="6" t="s">
        <v>78</v>
      </c>
      <c r="B13" s="11">
        <v>215.9</v>
      </c>
      <c r="C13" s="6" t="s">
        <v>58</v>
      </c>
      <c r="D13" s="6" t="s">
        <v>113</v>
      </c>
    </row>
    <row r="14" spans="1:6">
      <c r="A14" s="6" t="s">
        <v>114</v>
      </c>
      <c r="B14" s="11">
        <v>7.7</v>
      </c>
      <c r="C14" s="6" t="s">
        <v>115</v>
      </c>
      <c r="D14" s="6" t="s">
        <v>116</v>
      </c>
    </row>
    <row r="15" spans="1:6">
      <c r="A15" s="6" t="s">
        <v>117</v>
      </c>
      <c r="B15" s="11">
        <v>350000</v>
      </c>
      <c r="C15" s="6" t="s">
        <v>118</v>
      </c>
      <c r="D15" s="6" t="s">
        <v>119</v>
      </c>
    </row>
    <row r="18" spans="1:6" ht="16.2">
      <c r="A18" s="3" t="s">
        <v>120</v>
      </c>
      <c r="B18" s="4"/>
      <c r="C18" s="4"/>
      <c r="D18" s="4"/>
      <c r="E18" s="4"/>
      <c r="F18" s="4"/>
    </row>
    <row r="19" spans="1:6" ht="31.95" customHeight="1">
      <c r="A19" s="26" t="s">
        <v>86</v>
      </c>
      <c r="B19" s="27"/>
      <c r="C19" s="27"/>
      <c r="D19" s="27"/>
      <c r="E19" s="27"/>
      <c r="F19" s="27"/>
    </row>
    <row r="20" spans="1:6" ht="31.95" customHeight="1">
      <c r="A20" s="26" t="s">
        <v>91</v>
      </c>
      <c r="B20" s="27"/>
      <c r="C20" s="27"/>
      <c r="D20" s="27"/>
      <c r="E20" s="27"/>
      <c r="F20" s="27"/>
    </row>
  </sheetData>
  <mergeCells count="3">
    <mergeCell ref="A19:F19"/>
    <mergeCell ref="A2:F2"/>
    <mergeCell ref="A20:F20"/>
  </mergeCells>
  <phoneticPr fontId="11" type="noConversion"/>
  <pageMargins left="0.25" right="0.25" top="0.35" bottom="0.35" header="0.15" footer="0.15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24"/>
  <sheetViews>
    <sheetView showGridLines="0" workbookViewId="0"/>
  </sheetViews>
  <sheetFormatPr defaultRowHeight="14.4"/>
  <cols>
    <col min="1" max="1" width="34" customWidth="1"/>
    <col min="2" max="2" width="18" customWidth="1"/>
    <col min="3" max="3" width="60" customWidth="1"/>
  </cols>
  <sheetData>
    <row r="1" spans="1:3" ht="23.4">
      <c r="A1" s="1" t="s">
        <v>121</v>
      </c>
    </row>
    <row r="2" spans="1:3" ht="15.6">
      <c r="A2" s="28" t="s">
        <v>122</v>
      </c>
      <c r="B2" s="27"/>
      <c r="C2" s="27"/>
    </row>
    <row r="4" spans="1:3">
      <c r="A4" s="5" t="s">
        <v>6</v>
      </c>
      <c r="B4" s="5" t="s">
        <v>7</v>
      </c>
      <c r="C4" s="5" t="s">
        <v>98</v>
      </c>
    </row>
    <row r="5" spans="1:3">
      <c r="A5" s="6" t="s">
        <v>123</v>
      </c>
      <c r="B5" s="11">
        <v>1289.5</v>
      </c>
      <c r="C5" s="8" t="s">
        <v>44</v>
      </c>
    </row>
    <row r="6" spans="1:3">
      <c r="A6" s="6" t="s">
        <v>124</v>
      </c>
      <c r="B6" s="15">
        <v>0.1</v>
      </c>
      <c r="C6" s="8" t="s">
        <v>125</v>
      </c>
    </row>
    <row r="7" spans="1:3">
      <c r="A7" s="6" t="s">
        <v>126</v>
      </c>
      <c r="B7" s="23">
        <f>B5*(1-B6)</f>
        <v>1160.55</v>
      </c>
      <c r="C7" s="8" t="s">
        <v>127</v>
      </c>
    </row>
    <row r="8" spans="1:3">
      <c r="A8" s="6" t="s">
        <v>128</v>
      </c>
      <c r="B8" s="11">
        <v>270.89999999999998</v>
      </c>
      <c r="C8" s="8" t="s">
        <v>44</v>
      </c>
    </row>
    <row r="9" spans="1:3">
      <c r="A9" s="6" t="s">
        <v>129</v>
      </c>
      <c r="B9" s="11">
        <v>10</v>
      </c>
      <c r="C9" s="8" t="s">
        <v>130</v>
      </c>
    </row>
    <row r="10" spans="1:3">
      <c r="A10" s="6" t="s">
        <v>131</v>
      </c>
      <c r="B10" s="11">
        <v>497.4</v>
      </c>
      <c r="C10" s="8" t="s">
        <v>44</v>
      </c>
    </row>
    <row r="11" spans="1:3">
      <c r="A11" s="6" t="s">
        <v>132</v>
      </c>
      <c r="B11" s="11">
        <v>-579</v>
      </c>
      <c r="C11" s="8" t="s">
        <v>133</v>
      </c>
    </row>
    <row r="12" spans="1:3">
      <c r="A12" s="18" t="s">
        <v>134</v>
      </c>
      <c r="B12" s="23">
        <f>B7+B8+B9-B10+B11</f>
        <v>365.04999999999984</v>
      </c>
      <c r="C12" s="8" t="s">
        <v>135</v>
      </c>
    </row>
    <row r="13" spans="1:3">
      <c r="A13" s="6" t="s">
        <v>136</v>
      </c>
      <c r="B13" s="11">
        <v>365.2</v>
      </c>
      <c r="C13" s="8" t="s">
        <v>44</v>
      </c>
    </row>
    <row r="14" spans="1:3">
      <c r="A14" s="6" t="s">
        <v>131</v>
      </c>
      <c r="B14" s="11">
        <v>497.4</v>
      </c>
      <c r="C14" s="8" t="s">
        <v>44</v>
      </c>
    </row>
    <row r="15" spans="1:3">
      <c r="A15" s="18" t="s">
        <v>26</v>
      </c>
      <c r="B15" s="23">
        <f>B13-B14</f>
        <v>-132.19999999999999</v>
      </c>
      <c r="C15" s="8" t="s">
        <v>137</v>
      </c>
    </row>
    <row r="16" spans="1:3">
      <c r="A16" s="6" t="s">
        <v>45</v>
      </c>
      <c r="B16" s="16">
        <f>B12/B7</f>
        <v>0.31454913618542918</v>
      </c>
      <c r="C16" s="8" t="s">
        <v>138</v>
      </c>
    </row>
    <row r="17" spans="1:3">
      <c r="A17" s="6" t="s">
        <v>43</v>
      </c>
      <c r="B17" s="16">
        <f>B10/1966.7</f>
        <v>0.25291096761071846</v>
      </c>
      <c r="C17" s="8" t="s">
        <v>44</v>
      </c>
    </row>
    <row r="18" spans="1:3">
      <c r="A18" s="6" t="s">
        <v>139</v>
      </c>
      <c r="B18" s="13">
        <f>B10/B8</f>
        <v>1.8361018826135105</v>
      </c>
      <c r="C18" s="8" t="s">
        <v>140</v>
      </c>
    </row>
    <row r="20" spans="1:3" ht="16.2">
      <c r="A20" s="3" t="s">
        <v>120</v>
      </c>
      <c r="B20" s="4"/>
      <c r="C20" s="4"/>
    </row>
    <row r="21" spans="1:3" ht="34.049999999999997" customHeight="1">
      <c r="A21" s="26" t="s">
        <v>141</v>
      </c>
      <c r="B21" s="27"/>
      <c r="C21" s="27"/>
    </row>
    <row r="22" spans="1:3" ht="34.049999999999997" customHeight="1">
      <c r="A22" s="26" t="s">
        <v>142</v>
      </c>
      <c r="B22" s="27"/>
      <c r="C22" s="27"/>
    </row>
    <row r="23" spans="1:3" ht="34.049999999999997" customHeight="1">
      <c r="A23" s="26" t="s">
        <v>143</v>
      </c>
      <c r="B23" s="27"/>
      <c r="C23" s="27"/>
    </row>
    <row r="24" spans="1:3" ht="34.049999999999997" customHeight="1">
      <c r="A24" s="26" t="s">
        <v>144</v>
      </c>
      <c r="B24" s="27"/>
      <c r="C24" s="27"/>
    </row>
  </sheetData>
  <mergeCells count="5">
    <mergeCell ref="A23:C23"/>
    <mergeCell ref="A22:C22"/>
    <mergeCell ref="A21:C21"/>
    <mergeCell ref="A24:C24"/>
    <mergeCell ref="A2:C2"/>
  </mergeCells>
  <phoneticPr fontId="11" type="noConversion"/>
  <pageMargins left="0.25" right="0.25" top="0.35" bottom="0.35" header="0.15" footer="0.1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79"/>
  <sheetViews>
    <sheetView showGridLines="0" workbookViewId="0"/>
  </sheetViews>
  <sheetFormatPr defaultRowHeight="14.4"/>
  <cols>
    <col min="1" max="1" width="20" customWidth="1"/>
    <col min="2" max="2" width="10" customWidth="1"/>
    <col min="3" max="3" width="11" customWidth="1"/>
    <col min="4" max="4" width="10" customWidth="1"/>
    <col min="5" max="6" width="11" customWidth="1"/>
    <col min="7" max="7" width="10" customWidth="1"/>
    <col min="8" max="8" width="9" customWidth="1"/>
    <col min="9" max="9" width="10" customWidth="1"/>
    <col min="10" max="10" width="9" customWidth="1"/>
    <col min="11" max="12" width="10" customWidth="1"/>
    <col min="13" max="13" width="9" customWidth="1"/>
    <col min="14" max="14" width="10" customWidth="1"/>
  </cols>
  <sheetData>
    <row r="1" spans="1:14" ht="23.4">
      <c r="A1" s="1" t="s">
        <v>145</v>
      </c>
    </row>
    <row r="2" spans="1:14" ht="15.6">
      <c r="A2" s="28" t="s">
        <v>146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5.6">
      <c r="A3" s="28" t="s">
        <v>147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4" ht="16.2">
      <c r="A4" s="3" t="s">
        <v>148</v>
      </c>
      <c r="B4" s="4"/>
      <c r="C4" s="4"/>
      <c r="D4" s="4"/>
      <c r="E4" s="4"/>
    </row>
    <row r="5" spans="1:14">
      <c r="A5" s="6" t="s">
        <v>149</v>
      </c>
      <c r="B5" s="11">
        <v>3153</v>
      </c>
    </row>
    <row r="6" spans="1:14">
      <c r="A6" s="6" t="s">
        <v>150</v>
      </c>
      <c r="B6" s="15">
        <v>0.1</v>
      </c>
    </row>
    <row r="7" spans="1:14">
      <c r="A7" s="6" t="s">
        <v>151</v>
      </c>
      <c r="B7" s="15">
        <v>0.08</v>
      </c>
    </row>
    <row r="8" spans="1:14">
      <c r="A8" s="6" t="s">
        <v>152</v>
      </c>
      <c r="B8" s="11">
        <v>-28.74</v>
      </c>
    </row>
    <row r="9" spans="1:14">
      <c r="A9" s="6" t="s">
        <v>153</v>
      </c>
      <c r="B9" s="11">
        <v>502.1</v>
      </c>
    </row>
    <row r="10" spans="1:14">
      <c r="A10" s="6" t="s">
        <v>154</v>
      </c>
      <c r="B10" s="9">
        <v>678.84100000000001</v>
      </c>
    </row>
    <row r="11" spans="1:14" ht="15">
      <c r="A11" s="30" t="s">
        <v>155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</row>
    <row r="13" spans="1:14" ht="16.2">
      <c r="A13" s="3" t="s">
        <v>156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6" t="s">
        <v>157</v>
      </c>
      <c r="B14" s="15">
        <v>0.13500000000000001</v>
      </c>
      <c r="C14" s="6" t="s">
        <v>158</v>
      </c>
      <c r="D14" s="15">
        <v>2.5000000000000001E-2</v>
      </c>
    </row>
    <row r="16" spans="1:14">
      <c r="A16" s="5" t="s">
        <v>159</v>
      </c>
      <c r="B16" s="5" t="s">
        <v>81</v>
      </c>
      <c r="C16" s="5" t="s">
        <v>73</v>
      </c>
      <c r="D16" s="5" t="s">
        <v>160</v>
      </c>
      <c r="E16" s="5" t="s">
        <v>161</v>
      </c>
      <c r="F16" s="5" t="s">
        <v>126</v>
      </c>
      <c r="G16" s="5" t="s">
        <v>162</v>
      </c>
      <c r="H16" s="5" t="s">
        <v>163</v>
      </c>
      <c r="I16" s="5" t="s">
        <v>164</v>
      </c>
      <c r="J16" s="5" t="s">
        <v>165</v>
      </c>
      <c r="K16" s="5" t="s">
        <v>166</v>
      </c>
      <c r="L16" s="5" t="s">
        <v>167</v>
      </c>
      <c r="M16" s="5" t="s">
        <v>168</v>
      </c>
      <c r="N16" s="5" t="s">
        <v>169</v>
      </c>
    </row>
    <row r="17" spans="1:14">
      <c r="A17" s="24">
        <v>1</v>
      </c>
      <c r="B17" s="15">
        <v>0</v>
      </c>
      <c r="C17" s="11">
        <f>$B$5*(1+B17)</f>
        <v>3153</v>
      </c>
      <c r="D17" s="15">
        <v>0.48</v>
      </c>
      <c r="E17" s="11">
        <f t="shared" ref="E17:E26" si="0">C17*D17</f>
        <v>1513.44</v>
      </c>
      <c r="F17" s="11">
        <f t="shared" ref="F17:F26" si="1">E17*(1-$B$6)</f>
        <v>1362.096</v>
      </c>
      <c r="G17" s="15">
        <v>0.06</v>
      </c>
      <c r="H17" s="11">
        <f t="shared" ref="H17:H26" si="2">C17*G17</f>
        <v>189.18</v>
      </c>
      <c r="I17" s="15">
        <v>0.15</v>
      </c>
      <c r="J17" s="11">
        <f t="shared" ref="J17:J26" si="3">C17*I17</f>
        <v>472.95</v>
      </c>
      <c r="K17" s="11">
        <f>(C17-$B$5)*$B$7</f>
        <v>0</v>
      </c>
      <c r="L17" s="11">
        <f t="shared" ref="L17:L26" si="4">F17+H17-J17-K17</f>
        <v>1078.326</v>
      </c>
      <c r="M17" s="9">
        <f>1/(1+$B$14)^1</f>
        <v>0.88105726872246692</v>
      </c>
      <c r="N17" s="11">
        <f t="shared" ref="N17:N26" si="5">L17*M17</f>
        <v>950.06696035242294</v>
      </c>
    </row>
    <row r="18" spans="1:14">
      <c r="A18" s="24">
        <v>2</v>
      </c>
      <c r="B18" s="15">
        <v>-0.12</v>
      </c>
      <c r="C18" s="11">
        <f t="shared" ref="C18:C26" si="6">C17*(1+B18)</f>
        <v>2774.64</v>
      </c>
      <c r="D18" s="15">
        <v>0.4</v>
      </c>
      <c r="E18" s="11">
        <f t="shared" si="0"/>
        <v>1109.856</v>
      </c>
      <c r="F18" s="11">
        <f t="shared" si="1"/>
        <v>998.87040000000002</v>
      </c>
      <c r="G18" s="15">
        <v>0.06</v>
      </c>
      <c r="H18" s="11">
        <f t="shared" si="2"/>
        <v>166.47839999999999</v>
      </c>
      <c r="I18" s="15">
        <v>0.15</v>
      </c>
      <c r="J18" s="11">
        <f t="shared" si="3"/>
        <v>416.19599999999997</v>
      </c>
      <c r="K18" s="11">
        <f t="shared" ref="K18:K26" si="7">(C18-C17)*$B$7</f>
        <v>-30.268800000000009</v>
      </c>
      <c r="L18" s="11">
        <f t="shared" si="4"/>
        <v>779.42160000000013</v>
      </c>
      <c r="M18" s="9">
        <f>1/(1+$B$14)^2</f>
        <v>0.77626191076869333</v>
      </c>
      <c r="N18" s="11">
        <f t="shared" si="5"/>
        <v>605.03530051039229</v>
      </c>
    </row>
    <row r="19" spans="1:14">
      <c r="A19" s="24">
        <v>3</v>
      </c>
      <c r="B19" s="15">
        <v>-0.18</v>
      </c>
      <c r="C19" s="11">
        <f t="shared" si="6"/>
        <v>2275.2048</v>
      </c>
      <c r="D19" s="15">
        <v>0.33</v>
      </c>
      <c r="E19" s="11">
        <f t="shared" si="0"/>
        <v>750.81758400000001</v>
      </c>
      <c r="F19" s="11">
        <f t="shared" si="1"/>
        <v>675.7358256</v>
      </c>
      <c r="G19" s="15">
        <v>0.06</v>
      </c>
      <c r="H19" s="11">
        <f t="shared" si="2"/>
        <v>136.51228799999998</v>
      </c>
      <c r="I19" s="15">
        <v>0.15</v>
      </c>
      <c r="J19" s="11">
        <f t="shared" si="3"/>
        <v>341.28071999999997</v>
      </c>
      <c r="K19" s="11">
        <f t="shared" si="7"/>
        <v>-39.954815999999994</v>
      </c>
      <c r="L19" s="11">
        <f t="shared" si="4"/>
        <v>510.92220960000003</v>
      </c>
      <c r="M19" s="9">
        <f>1/(1+$B$14)^3</f>
        <v>0.68393119891514842</v>
      </c>
      <c r="N19" s="11">
        <f t="shared" si="5"/>
        <v>349.43563936410476</v>
      </c>
    </row>
    <row r="20" spans="1:14">
      <c r="A20" s="24">
        <v>4</v>
      </c>
      <c r="B20" s="15">
        <v>-0.08</v>
      </c>
      <c r="C20" s="11">
        <f t="shared" si="6"/>
        <v>2093.188416</v>
      </c>
      <c r="D20" s="15">
        <v>0.3</v>
      </c>
      <c r="E20" s="11">
        <f t="shared" si="0"/>
        <v>627.95652480000001</v>
      </c>
      <c r="F20" s="11">
        <f t="shared" si="1"/>
        <v>565.16087232000007</v>
      </c>
      <c r="G20" s="15">
        <v>0.06</v>
      </c>
      <c r="H20" s="11">
        <f t="shared" si="2"/>
        <v>125.59130495999999</v>
      </c>
      <c r="I20" s="15">
        <v>0.15</v>
      </c>
      <c r="J20" s="11">
        <f t="shared" si="3"/>
        <v>313.97826240000001</v>
      </c>
      <c r="K20" s="11">
        <f t="shared" si="7"/>
        <v>-14.561310720000002</v>
      </c>
      <c r="L20" s="11">
        <f t="shared" si="4"/>
        <v>391.33522560000006</v>
      </c>
      <c r="M20" s="9">
        <f>1/(1+$B$14)^4</f>
        <v>0.60258255411026285</v>
      </c>
      <c r="N20" s="11">
        <f t="shared" si="5"/>
        <v>235.81177975536394</v>
      </c>
    </row>
    <row r="21" spans="1:14">
      <c r="A21" s="24">
        <v>5</v>
      </c>
      <c r="B21" s="15">
        <v>0</v>
      </c>
      <c r="C21" s="11">
        <f t="shared" si="6"/>
        <v>2093.188416</v>
      </c>
      <c r="D21" s="15">
        <v>0.3</v>
      </c>
      <c r="E21" s="11">
        <f t="shared" si="0"/>
        <v>627.95652480000001</v>
      </c>
      <c r="F21" s="11">
        <f t="shared" si="1"/>
        <v>565.16087232000007</v>
      </c>
      <c r="G21" s="15">
        <v>0.06</v>
      </c>
      <c r="H21" s="11">
        <f t="shared" si="2"/>
        <v>125.59130495999999</v>
      </c>
      <c r="I21" s="15">
        <v>0.15</v>
      </c>
      <c r="J21" s="11">
        <f t="shared" si="3"/>
        <v>313.97826240000001</v>
      </c>
      <c r="K21" s="11">
        <f t="shared" si="7"/>
        <v>0</v>
      </c>
      <c r="L21" s="11">
        <f t="shared" si="4"/>
        <v>376.77391488000006</v>
      </c>
      <c r="M21" s="9">
        <f>1/(1+$B$14)^5</f>
        <v>0.53090973930419638</v>
      </c>
      <c r="N21" s="11">
        <f t="shared" si="5"/>
        <v>200.03294092556231</v>
      </c>
    </row>
    <row r="22" spans="1:14">
      <c r="A22" s="24">
        <v>6</v>
      </c>
      <c r="B22" s="15">
        <v>0.04</v>
      </c>
      <c r="C22" s="11">
        <f t="shared" si="6"/>
        <v>2176.9159526399999</v>
      </c>
      <c r="D22" s="15">
        <v>0.31</v>
      </c>
      <c r="E22" s="11">
        <f t="shared" si="0"/>
        <v>674.84394531839996</v>
      </c>
      <c r="F22" s="11">
        <f t="shared" si="1"/>
        <v>607.35955078656002</v>
      </c>
      <c r="G22" s="15">
        <v>0.06</v>
      </c>
      <c r="H22" s="11">
        <f t="shared" si="2"/>
        <v>130.61495715839999</v>
      </c>
      <c r="I22" s="15">
        <v>0.15</v>
      </c>
      <c r="J22" s="11">
        <f t="shared" si="3"/>
        <v>326.53739289599997</v>
      </c>
      <c r="K22" s="11">
        <f t="shared" si="7"/>
        <v>6.6982029311999938</v>
      </c>
      <c r="L22" s="11">
        <f t="shared" si="4"/>
        <v>404.73891211776004</v>
      </c>
      <c r="M22" s="9">
        <f>1/(1+$B$14)^6</f>
        <v>0.4677618848495122</v>
      </c>
      <c r="N22" s="11">
        <f t="shared" si="5"/>
        <v>189.32143640414452</v>
      </c>
    </row>
    <row r="23" spans="1:14">
      <c r="A23" s="24">
        <v>7</v>
      </c>
      <c r="B23" s="15">
        <v>0.04</v>
      </c>
      <c r="C23" s="11">
        <f t="shared" si="6"/>
        <v>2263.9925907456</v>
      </c>
      <c r="D23" s="15">
        <v>0.32</v>
      </c>
      <c r="E23" s="11">
        <f t="shared" si="0"/>
        <v>724.477629038592</v>
      </c>
      <c r="F23" s="11">
        <f t="shared" si="1"/>
        <v>652.02986613473286</v>
      </c>
      <c r="G23" s="15">
        <v>0.06</v>
      </c>
      <c r="H23" s="11">
        <f t="shared" si="2"/>
        <v>135.83955544473599</v>
      </c>
      <c r="I23" s="15">
        <v>0.15</v>
      </c>
      <c r="J23" s="11">
        <f t="shared" si="3"/>
        <v>339.59888861183998</v>
      </c>
      <c r="K23" s="11">
        <f t="shared" si="7"/>
        <v>6.9661310484480055</v>
      </c>
      <c r="L23" s="11">
        <f t="shared" si="4"/>
        <v>441.30440191918086</v>
      </c>
      <c r="M23" s="9">
        <f>1/(1+$B$14)^7</f>
        <v>0.41212500867798435</v>
      </c>
      <c r="N23" s="11">
        <f t="shared" si="5"/>
        <v>181.87258047057512</v>
      </c>
    </row>
    <row r="24" spans="1:14">
      <c r="A24" s="24">
        <v>8</v>
      </c>
      <c r="B24" s="15">
        <v>0.04</v>
      </c>
      <c r="C24" s="11">
        <f t="shared" si="6"/>
        <v>2354.552294375424</v>
      </c>
      <c r="D24" s="15">
        <v>0.33</v>
      </c>
      <c r="E24" s="11">
        <f t="shared" si="0"/>
        <v>777.00225714389001</v>
      </c>
      <c r="F24" s="11">
        <f t="shared" si="1"/>
        <v>699.30203142950097</v>
      </c>
      <c r="G24" s="15">
        <v>0.06</v>
      </c>
      <c r="H24" s="11">
        <f t="shared" si="2"/>
        <v>141.27313766252544</v>
      </c>
      <c r="I24" s="15">
        <v>0.15</v>
      </c>
      <c r="J24" s="11">
        <f t="shared" si="3"/>
        <v>353.18284415631359</v>
      </c>
      <c r="K24" s="11">
        <f t="shared" si="7"/>
        <v>7.2447762903859259</v>
      </c>
      <c r="L24" s="11">
        <f t="shared" si="4"/>
        <v>480.14754864532688</v>
      </c>
      <c r="M24" s="9">
        <f>1/(1+$B$14)^8</f>
        <v>0.3631057345180479</v>
      </c>
      <c r="N24" s="11">
        <f t="shared" si="5"/>
        <v>174.34432832790154</v>
      </c>
    </row>
    <row r="25" spans="1:14">
      <c r="A25" s="24">
        <v>9</v>
      </c>
      <c r="B25" s="15">
        <v>0.03</v>
      </c>
      <c r="C25" s="11">
        <f t="shared" si="6"/>
        <v>2425.1888632066866</v>
      </c>
      <c r="D25" s="15">
        <v>0.34</v>
      </c>
      <c r="E25" s="11">
        <f t="shared" si="0"/>
        <v>824.56421349027346</v>
      </c>
      <c r="F25" s="11">
        <f t="shared" si="1"/>
        <v>742.10779214124614</v>
      </c>
      <c r="G25" s="15">
        <v>0.06</v>
      </c>
      <c r="H25" s="11">
        <f t="shared" si="2"/>
        <v>145.51133179240119</v>
      </c>
      <c r="I25" s="15">
        <v>0.15</v>
      </c>
      <c r="J25" s="11">
        <f t="shared" si="3"/>
        <v>363.77832948100297</v>
      </c>
      <c r="K25" s="11">
        <f t="shared" si="7"/>
        <v>5.6509255065010073</v>
      </c>
      <c r="L25" s="11">
        <f t="shared" si="4"/>
        <v>518.18986894614329</v>
      </c>
      <c r="M25" s="9">
        <f>1/(1+$B$14)^9</f>
        <v>0.31991694671193649</v>
      </c>
      <c r="N25" s="11">
        <f t="shared" si="5"/>
        <v>165.77772069030868</v>
      </c>
    </row>
    <row r="26" spans="1:14">
      <c r="A26" s="24">
        <v>10</v>
      </c>
      <c r="B26" s="15">
        <v>0.03</v>
      </c>
      <c r="C26" s="11">
        <f t="shared" si="6"/>
        <v>2497.9445291028874</v>
      </c>
      <c r="D26" s="15">
        <v>0.35</v>
      </c>
      <c r="E26" s="11">
        <f t="shared" si="0"/>
        <v>874.28058518601051</v>
      </c>
      <c r="F26" s="11">
        <f t="shared" si="1"/>
        <v>786.85252666740951</v>
      </c>
      <c r="G26" s="15">
        <v>0.06</v>
      </c>
      <c r="H26" s="11">
        <f t="shared" si="2"/>
        <v>149.87667174617323</v>
      </c>
      <c r="I26" s="15">
        <v>0.15</v>
      </c>
      <c r="J26" s="11">
        <f t="shared" si="3"/>
        <v>374.69167936543312</v>
      </c>
      <c r="K26" s="11">
        <f t="shared" si="7"/>
        <v>5.82045327169606</v>
      </c>
      <c r="L26" s="11">
        <f t="shared" si="4"/>
        <v>556.21706577645352</v>
      </c>
      <c r="M26" s="9">
        <f>1/(1+$B$14)^10</f>
        <v>0.28186515128804979</v>
      </c>
      <c r="N26" s="11">
        <f t="shared" si="5"/>
        <v>156.77820739407522</v>
      </c>
    </row>
    <row r="27" spans="1:14">
      <c r="A27" s="18" t="s">
        <v>170</v>
      </c>
      <c r="B27" s="11">
        <f>L26*(1+$D$14)/($B$14-$D$14)</f>
        <v>5182.9317492805885</v>
      </c>
    </row>
    <row r="28" spans="1:14">
      <c r="A28" s="6" t="s">
        <v>171</v>
      </c>
      <c r="B28" s="11">
        <f>B27/(1+$B$14)^10</f>
        <v>1460.8878416266095</v>
      </c>
    </row>
    <row r="29" spans="1:14">
      <c r="A29" s="18" t="s">
        <v>172</v>
      </c>
      <c r="B29" s="11">
        <f>SUM(N17:N26)+B28</f>
        <v>4669.3647358214612</v>
      </c>
    </row>
    <row r="30" spans="1:14">
      <c r="A30" s="6" t="s">
        <v>173</v>
      </c>
      <c r="B30" s="11">
        <f>$B$8</f>
        <v>-28.74</v>
      </c>
    </row>
    <row r="31" spans="1:14">
      <c r="A31" s="6" t="s">
        <v>174</v>
      </c>
      <c r="B31" s="11">
        <f>$B$9</f>
        <v>502.1</v>
      </c>
    </row>
    <row r="32" spans="1:14">
      <c r="A32" s="18" t="s">
        <v>175</v>
      </c>
      <c r="B32" s="11">
        <f>B29-B30+B31</f>
        <v>5200.2047358214613</v>
      </c>
    </row>
    <row r="33" spans="1:14">
      <c r="A33" s="18" t="s">
        <v>176</v>
      </c>
      <c r="B33" s="7">
        <f>B32/$B$10</f>
        <v>7.6604164094706437</v>
      </c>
      <c r="C33" s="6" t="s">
        <v>177</v>
      </c>
    </row>
    <row r="36" spans="1:14" ht="16.2">
      <c r="A36" s="3" t="s">
        <v>178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 s="6" t="s">
        <v>157</v>
      </c>
      <c r="B37" s="15">
        <v>0.12</v>
      </c>
      <c r="C37" s="6" t="s">
        <v>158</v>
      </c>
      <c r="D37" s="15">
        <v>0.03</v>
      </c>
    </row>
    <row r="39" spans="1:14">
      <c r="A39" s="5" t="s">
        <v>159</v>
      </c>
      <c r="B39" s="5" t="s">
        <v>81</v>
      </c>
      <c r="C39" s="5" t="s">
        <v>73</v>
      </c>
      <c r="D39" s="5" t="s">
        <v>160</v>
      </c>
      <c r="E39" s="5" t="s">
        <v>161</v>
      </c>
      <c r="F39" s="5" t="s">
        <v>126</v>
      </c>
      <c r="G39" s="5" t="s">
        <v>162</v>
      </c>
      <c r="H39" s="5" t="s">
        <v>163</v>
      </c>
      <c r="I39" s="5" t="s">
        <v>164</v>
      </c>
      <c r="J39" s="5" t="s">
        <v>165</v>
      </c>
      <c r="K39" s="5" t="s">
        <v>166</v>
      </c>
      <c r="L39" s="5" t="s">
        <v>167</v>
      </c>
      <c r="M39" s="5" t="s">
        <v>168</v>
      </c>
      <c r="N39" s="5" t="s">
        <v>169</v>
      </c>
    </row>
    <row r="40" spans="1:14">
      <c r="A40" s="24">
        <v>1</v>
      </c>
      <c r="B40" s="15">
        <v>0.12</v>
      </c>
      <c r="C40" s="11">
        <f>$B$5*(1+B40)</f>
        <v>3531.36</v>
      </c>
      <c r="D40" s="15">
        <v>0.62</v>
      </c>
      <c r="E40" s="11">
        <f t="shared" ref="E40:E49" si="8">C40*D40</f>
        <v>2189.4432000000002</v>
      </c>
      <c r="F40" s="11">
        <f t="shared" ref="F40:F49" si="9">E40*(1-$B$6)</f>
        <v>1970.4988800000001</v>
      </c>
      <c r="G40" s="15">
        <v>0.06</v>
      </c>
      <c r="H40" s="11">
        <f t="shared" ref="H40:H49" si="10">C40*G40</f>
        <v>211.88159999999999</v>
      </c>
      <c r="I40" s="15">
        <v>0.15</v>
      </c>
      <c r="J40" s="11">
        <f t="shared" ref="J40:J49" si="11">C40*I40</f>
        <v>529.70399999999995</v>
      </c>
      <c r="K40" s="11">
        <f>(C40-$B$5)*$B$7</f>
        <v>30.268800000000009</v>
      </c>
      <c r="L40" s="11">
        <f t="shared" ref="L40:L49" si="12">F40+H40-J40-K40</f>
        <v>1622.4076800000003</v>
      </c>
      <c r="M40" s="9">
        <f>1/(1+$B$37)^1</f>
        <v>0.89285714285714279</v>
      </c>
      <c r="N40" s="11">
        <f t="shared" ref="N40:N49" si="13">L40*M40</f>
        <v>1448.5782857142858</v>
      </c>
    </row>
    <row r="41" spans="1:14">
      <c r="A41" s="24">
        <v>2</v>
      </c>
      <c r="B41" s="15">
        <v>0.06</v>
      </c>
      <c r="C41" s="11">
        <f t="shared" ref="C41:C49" si="14">C40*(1+B41)</f>
        <v>3743.2416000000003</v>
      </c>
      <c r="D41" s="15">
        <v>0.52</v>
      </c>
      <c r="E41" s="11">
        <f t="shared" si="8"/>
        <v>1946.4856320000001</v>
      </c>
      <c r="F41" s="11">
        <f t="shared" si="9"/>
        <v>1751.8370688000002</v>
      </c>
      <c r="G41" s="15">
        <v>0.06</v>
      </c>
      <c r="H41" s="11">
        <f t="shared" si="10"/>
        <v>224.59449600000002</v>
      </c>
      <c r="I41" s="15">
        <v>0.15</v>
      </c>
      <c r="J41" s="11">
        <f t="shared" si="11"/>
        <v>561.48624000000007</v>
      </c>
      <c r="K41" s="11">
        <f t="shared" ref="K41:K49" si="15">(C41-C40)*$B$7</f>
        <v>16.950528000000013</v>
      </c>
      <c r="L41" s="11">
        <f t="shared" si="12"/>
        <v>1397.9947967999999</v>
      </c>
      <c r="M41" s="9">
        <f>1/(1+$B$37)^2</f>
        <v>0.79719387755102034</v>
      </c>
      <c r="N41" s="11">
        <f t="shared" si="13"/>
        <v>1114.4728928571426</v>
      </c>
    </row>
    <row r="42" spans="1:14">
      <c r="A42" s="24">
        <v>3</v>
      </c>
      <c r="B42" s="15">
        <v>0</v>
      </c>
      <c r="C42" s="11">
        <f t="shared" si="14"/>
        <v>3743.2416000000003</v>
      </c>
      <c r="D42" s="15">
        <v>0.44</v>
      </c>
      <c r="E42" s="11">
        <f t="shared" si="8"/>
        <v>1647.0263040000002</v>
      </c>
      <c r="F42" s="11">
        <f t="shared" si="9"/>
        <v>1482.3236736000001</v>
      </c>
      <c r="G42" s="15">
        <v>0.06</v>
      </c>
      <c r="H42" s="11">
        <f t="shared" si="10"/>
        <v>224.59449600000002</v>
      </c>
      <c r="I42" s="15">
        <v>0.15</v>
      </c>
      <c r="J42" s="11">
        <f t="shared" si="11"/>
        <v>561.48624000000007</v>
      </c>
      <c r="K42" s="11">
        <f t="shared" si="15"/>
        <v>0</v>
      </c>
      <c r="L42" s="11">
        <f t="shared" si="12"/>
        <v>1145.4319295999999</v>
      </c>
      <c r="M42" s="9">
        <f>1/(1+$B$37)^3</f>
        <v>0.71178024781341087</v>
      </c>
      <c r="N42" s="11">
        <f t="shared" si="13"/>
        <v>815.29582270408127</v>
      </c>
    </row>
    <row r="43" spans="1:14">
      <c r="A43" s="24">
        <v>4</v>
      </c>
      <c r="B43" s="15">
        <v>-0.04</v>
      </c>
      <c r="C43" s="11">
        <f t="shared" si="14"/>
        <v>3593.5119360000003</v>
      </c>
      <c r="D43" s="15">
        <v>0.38</v>
      </c>
      <c r="E43" s="11">
        <f t="shared" si="8"/>
        <v>1365.5345356800001</v>
      </c>
      <c r="F43" s="11">
        <f t="shared" si="9"/>
        <v>1228.9810821120002</v>
      </c>
      <c r="G43" s="15">
        <v>0.06</v>
      </c>
      <c r="H43" s="11">
        <f t="shared" si="10"/>
        <v>215.61071616000001</v>
      </c>
      <c r="I43" s="15">
        <v>0.15</v>
      </c>
      <c r="J43" s="11">
        <f t="shared" si="11"/>
        <v>539.02679039999998</v>
      </c>
      <c r="K43" s="11">
        <f t="shared" si="15"/>
        <v>-11.978373119999997</v>
      </c>
      <c r="L43" s="11">
        <f t="shared" si="12"/>
        <v>917.54338099200027</v>
      </c>
      <c r="M43" s="9">
        <f>1/(1+$B$37)^4</f>
        <v>0.63551807840483121</v>
      </c>
      <c r="N43" s="11">
        <f t="shared" si="13"/>
        <v>583.11540634110793</v>
      </c>
    </row>
    <row r="44" spans="1:14">
      <c r="A44" s="24">
        <v>5</v>
      </c>
      <c r="B44" s="15">
        <v>0.04</v>
      </c>
      <c r="C44" s="11">
        <f t="shared" si="14"/>
        <v>3737.2524134400005</v>
      </c>
      <c r="D44" s="15">
        <v>0.37</v>
      </c>
      <c r="E44" s="11">
        <f t="shared" si="8"/>
        <v>1382.7833929728001</v>
      </c>
      <c r="F44" s="11">
        <f t="shared" si="9"/>
        <v>1244.5050536755202</v>
      </c>
      <c r="G44" s="15">
        <v>0.06</v>
      </c>
      <c r="H44" s="11">
        <f t="shared" si="10"/>
        <v>224.23514480640003</v>
      </c>
      <c r="I44" s="15">
        <v>0.15</v>
      </c>
      <c r="J44" s="11">
        <f t="shared" si="11"/>
        <v>560.58786201600003</v>
      </c>
      <c r="K44" s="11">
        <f t="shared" si="15"/>
        <v>11.499238195200014</v>
      </c>
      <c r="L44" s="11">
        <f t="shared" si="12"/>
        <v>896.65309827072019</v>
      </c>
      <c r="M44" s="9">
        <f>1/(1+$B$37)^5</f>
        <v>0.56742685571859919</v>
      </c>
      <c r="N44" s="11">
        <f t="shared" si="13"/>
        <v>508.78504822209487</v>
      </c>
    </row>
    <row r="45" spans="1:14">
      <c r="A45" s="24">
        <v>6</v>
      </c>
      <c r="B45" s="15">
        <v>0.06</v>
      </c>
      <c r="C45" s="11">
        <f t="shared" si="14"/>
        <v>3961.4875582464006</v>
      </c>
      <c r="D45" s="15">
        <v>0.38</v>
      </c>
      <c r="E45" s="11">
        <f t="shared" si="8"/>
        <v>1505.3652721336323</v>
      </c>
      <c r="F45" s="11">
        <f t="shared" si="9"/>
        <v>1354.8287449202692</v>
      </c>
      <c r="G45" s="15">
        <v>0.06</v>
      </c>
      <c r="H45" s="11">
        <f t="shared" si="10"/>
        <v>237.68925349478403</v>
      </c>
      <c r="I45" s="15">
        <v>0.15</v>
      </c>
      <c r="J45" s="11">
        <f t="shared" si="11"/>
        <v>594.22313373696011</v>
      </c>
      <c r="K45" s="11">
        <f t="shared" si="15"/>
        <v>17.938811584512006</v>
      </c>
      <c r="L45" s="11">
        <f t="shared" si="12"/>
        <v>980.35605309358107</v>
      </c>
      <c r="M45" s="9">
        <f>1/(1+$B$37)^6</f>
        <v>0.50663112117732068</v>
      </c>
      <c r="N45" s="11">
        <f t="shared" si="13"/>
        <v>496.67888633177387</v>
      </c>
    </row>
    <row r="46" spans="1:14">
      <c r="A46" s="24">
        <v>7</v>
      </c>
      <c r="B46" s="15">
        <v>0.06</v>
      </c>
      <c r="C46" s="11">
        <f t="shared" si="14"/>
        <v>4199.1768117411848</v>
      </c>
      <c r="D46" s="15">
        <v>0.39</v>
      </c>
      <c r="E46" s="11">
        <f t="shared" si="8"/>
        <v>1637.6789565790621</v>
      </c>
      <c r="F46" s="11">
        <f t="shared" si="9"/>
        <v>1473.9110609211559</v>
      </c>
      <c r="G46" s="15">
        <v>0.06</v>
      </c>
      <c r="H46" s="11">
        <f t="shared" si="10"/>
        <v>251.95060870447108</v>
      </c>
      <c r="I46" s="15">
        <v>0.15</v>
      </c>
      <c r="J46" s="11">
        <f t="shared" si="11"/>
        <v>629.87652176117774</v>
      </c>
      <c r="K46" s="11">
        <f t="shared" si="15"/>
        <v>19.015140279582738</v>
      </c>
      <c r="L46" s="11">
        <f t="shared" si="12"/>
        <v>1076.9700075848664</v>
      </c>
      <c r="M46" s="9">
        <f>1/(1+$B$37)^7</f>
        <v>0.45234921533689343</v>
      </c>
      <c r="N46" s="11">
        <f t="shared" si="13"/>
        <v>487.16653787238249</v>
      </c>
    </row>
    <row r="47" spans="1:14">
      <c r="A47" s="24">
        <v>8</v>
      </c>
      <c r="B47" s="15">
        <v>0.05</v>
      </c>
      <c r="C47" s="11">
        <f t="shared" si="14"/>
        <v>4409.1356523282439</v>
      </c>
      <c r="D47" s="15">
        <v>0.39</v>
      </c>
      <c r="E47" s="11">
        <f t="shared" si="8"/>
        <v>1719.5629044080151</v>
      </c>
      <c r="F47" s="11">
        <f t="shared" si="9"/>
        <v>1547.6066139672137</v>
      </c>
      <c r="G47" s="15">
        <v>0.06</v>
      </c>
      <c r="H47" s="11">
        <f t="shared" si="10"/>
        <v>264.54813913969463</v>
      </c>
      <c r="I47" s="15">
        <v>0.15</v>
      </c>
      <c r="J47" s="11">
        <f t="shared" si="11"/>
        <v>661.37034784923651</v>
      </c>
      <c r="K47" s="11">
        <f t="shared" si="15"/>
        <v>16.796707246964726</v>
      </c>
      <c r="L47" s="11">
        <f t="shared" si="12"/>
        <v>1133.9876980107069</v>
      </c>
      <c r="M47" s="9">
        <f>1/(1+$B$37)^8</f>
        <v>0.4038832279793691</v>
      </c>
      <c r="N47" s="11">
        <f t="shared" si="13"/>
        <v>457.99861196145832</v>
      </c>
    </row>
    <row r="48" spans="1:14">
      <c r="A48" s="24">
        <v>9</v>
      </c>
      <c r="B48" s="15">
        <v>0.04</v>
      </c>
      <c r="C48" s="11">
        <f t="shared" si="14"/>
        <v>4585.5010784213737</v>
      </c>
      <c r="D48" s="15">
        <v>0.37</v>
      </c>
      <c r="E48" s="11">
        <f t="shared" si="8"/>
        <v>1696.6353990159082</v>
      </c>
      <c r="F48" s="11">
        <f t="shared" si="9"/>
        <v>1526.9718591143173</v>
      </c>
      <c r="G48" s="15">
        <v>0.06</v>
      </c>
      <c r="H48" s="11">
        <f t="shared" si="10"/>
        <v>275.13006470528239</v>
      </c>
      <c r="I48" s="15">
        <v>0.15</v>
      </c>
      <c r="J48" s="11">
        <f t="shared" si="11"/>
        <v>687.82516176320598</v>
      </c>
      <c r="K48" s="11">
        <f t="shared" si="15"/>
        <v>14.109234087450387</v>
      </c>
      <c r="L48" s="11">
        <f t="shared" si="12"/>
        <v>1100.1675279689432</v>
      </c>
      <c r="M48" s="9">
        <f>1/(1+$B$37)^9</f>
        <v>0.36061002498157957</v>
      </c>
      <c r="N48" s="11">
        <f t="shared" si="13"/>
        <v>396.73143974480325</v>
      </c>
    </row>
    <row r="49" spans="1:14">
      <c r="A49" s="24">
        <v>10</v>
      </c>
      <c r="B49" s="15">
        <v>0.03</v>
      </c>
      <c r="C49" s="11">
        <f t="shared" si="14"/>
        <v>4723.0661107740152</v>
      </c>
      <c r="D49" s="15">
        <v>0.35</v>
      </c>
      <c r="E49" s="11">
        <f t="shared" si="8"/>
        <v>1653.0731387709052</v>
      </c>
      <c r="F49" s="11">
        <f t="shared" si="9"/>
        <v>1487.7658248938146</v>
      </c>
      <c r="G49" s="15">
        <v>0.06</v>
      </c>
      <c r="H49" s="11">
        <f t="shared" si="10"/>
        <v>283.38396664644091</v>
      </c>
      <c r="I49" s="15">
        <v>0.15</v>
      </c>
      <c r="J49" s="11">
        <f t="shared" si="11"/>
        <v>708.4599166161023</v>
      </c>
      <c r="K49" s="11">
        <f t="shared" si="15"/>
        <v>11.005202588211324</v>
      </c>
      <c r="L49" s="11">
        <f t="shared" si="12"/>
        <v>1051.6846723359417</v>
      </c>
      <c r="M49" s="9">
        <f>1/(1+$B$37)^10</f>
        <v>0.32197323659069599</v>
      </c>
      <c r="N49" s="11">
        <f t="shared" si="13"/>
        <v>338.61431782482873</v>
      </c>
    </row>
    <row r="50" spans="1:14">
      <c r="A50" s="18" t="s">
        <v>170</v>
      </c>
      <c r="B50" s="11">
        <f>L49*(1+$D$37)/($B$37-$D$37)</f>
        <v>12035.946805622445</v>
      </c>
    </row>
    <row r="51" spans="1:14">
      <c r="A51" s="6" t="s">
        <v>171</v>
      </c>
      <c r="B51" s="11">
        <f>B50/(1+$B$37)^10</f>
        <v>3875.2527484397074</v>
      </c>
    </row>
    <row r="52" spans="1:14">
      <c r="A52" s="18" t="s">
        <v>172</v>
      </c>
      <c r="B52" s="11">
        <f>SUM(N40:N49)+B51</f>
        <v>10522.689998013668</v>
      </c>
    </row>
    <row r="53" spans="1:14">
      <c r="A53" s="6" t="s">
        <v>173</v>
      </c>
      <c r="B53" s="11">
        <f>$B$8</f>
        <v>-28.74</v>
      </c>
    </row>
    <row r="54" spans="1:14">
      <c r="A54" s="6" t="s">
        <v>174</v>
      </c>
      <c r="B54" s="11">
        <f>$B$9</f>
        <v>502.1</v>
      </c>
    </row>
    <row r="55" spans="1:14">
      <c r="A55" s="18" t="s">
        <v>175</v>
      </c>
      <c r="B55" s="11">
        <f>B52-B53+B54</f>
        <v>11053.529998013668</v>
      </c>
    </row>
    <row r="56" spans="1:14">
      <c r="A56" s="18" t="s">
        <v>176</v>
      </c>
      <c r="B56" s="7">
        <f>B55/$B$10</f>
        <v>16.282944014892543</v>
      </c>
      <c r="C56" s="6" t="s">
        <v>179</v>
      </c>
    </row>
    <row r="59" spans="1:14" ht="16.2">
      <c r="A59" s="3" t="s">
        <v>180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>
      <c r="A60" s="6" t="s">
        <v>157</v>
      </c>
      <c r="B60" s="15">
        <v>0.11</v>
      </c>
      <c r="C60" s="6" t="s">
        <v>158</v>
      </c>
      <c r="D60" s="15">
        <v>3.5000000000000003E-2</v>
      </c>
    </row>
    <row r="62" spans="1:14">
      <c r="A62" s="5" t="s">
        <v>159</v>
      </c>
      <c r="B62" s="5" t="s">
        <v>81</v>
      </c>
      <c r="C62" s="5" t="s">
        <v>73</v>
      </c>
      <c r="D62" s="5" t="s">
        <v>160</v>
      </c>
      <c r="E62" s="5" t="s">
        <v>161</v>
      </c>
      <c r="F62" s="5" t="s">
        <v>126</v>
      </c>
      <c r="G62" s="5" t="s">
        <v>162</v>
      </c>
      <c r="H62" s="5" t="s">
        <v>163</v>
      </c>
      <c r="I62" s="5" t="s">
        <v>164</v>
      </c>
      <c r="J62" s="5" t="s">
        <v>165</v>
      </c>
      <c r="K62" s="5" t="s">
        <v>166</v>
      </c>
      <c r="L62" s="5" t="s">
        <v>167</v>
      </c>
      <c r="M62" s="5" t="s">
        <v>168</v>
      </c>
      <c r="N62" s="5" t="s">
        <v>169</v>
      </c>
    </row>
    <row r="63" spans="1:14">
      <c r="A63" s="24">
        <v>1</v>
      </c>
      <c r="B63" s="15">
        <v>0.22</v>
      </c>
      <c r="C63" s="11">
        <f>$B$5*(1+B63)</f>
        <v>3846.66</v>
      </c>
      <c r="D63" s="15">
        <v>0.68</v>
      </c>
      <c r="E63" s="11">
        <f t="shared" ref="E63:E72" si="16">C63*D63</f>
        <v>2615.7287999999999</v>
      </c>
      <c r="F63" s="11">
        <f t="shared" ref="F63:F72" si="17">E63*(1-$B$6)</f>
        <v>2354.1559200000002</v>
      </c>
      <c r="G63" s="15">
        <v>0.06</v>
      </c>
      <c r="H63" s="11">
        <f t="shared" ref="H63:H72" si="18">C63*G63</f>
        <v>230.79959999999997</v>
      </c>
      <c r="I63" s="15">
        <v>0.15</v>
      </c>
      <c r="J63" s="11">
        <f t="shared" ref="J63:J72" si="19">C63*I63</f>
        <v>576.99899999999991</v>
      </c>
      <c r="K63" s="11">
        <f>(C63-$B$5)*$B$7</f>
        <v>55.492799999999988</v>
      </c>
      <c r="L63" s="11">
        <f t="shared" ref="L63:L72" si="20">F63+H63-J63-K63</f>
        <v>1952.4637200000002</v>
      </c>
      <c r="M63" s="9">
        <f>1/(1+$B$60)^1</f>
        <v>0.9009009009009008</v>
      </c>
      <c r="N63" s="11">
        <f t="shared" ref="N63:N72" si="21">L63*M63</f>
        <v>1758.9763243243242</v>
      </c>
    </row>
    <row r="64" spans="1:14">
      <c r="A64" s="24">
        <v>2</v>
      </c>
      <c r="B64" s="15">
        <v>0.18</v>
      </c>
      <c r="C64" s="11">
        <f t="shared" ref="C64:C72" si="22">C63*(1+B64)</f>
        <v>4539.0587999999998</v>
      </c>
      <c r="D64" s="15">
        <v>0.6</v>
      </c>
      <c r="E64" s="11">
        <f t="shared" si="16"/>
        <v>2723.4352799999997</v>
      </c>
      <c r="F64" s="11">
        <f t="shared" si="17"/>
        <v>2451.0917519999998</v>
      </c>
      <c r="G64" s="15">
        <v>0.06</v>
      </c>
      <c r="H64" s="11">
        <f t="shared" si="18"/>
        <v>272.34352799999999</v>
      </c>
      <c r="I64" s="15">
        <v>0.15</v>
      </c>
      <c r="J64" s="11">
        <f t="shared" si="19"/>
        <v>680.85881999999992</v>
      </c>
      <c r="K64" s="11">
        <f t="shared" ref="K64:K72" si="23">(C64-C63)*$B$7</f>
        <v>55.391903999999997</v>
      </c>
      <c r="L64" s="11">
        <f t="shared" si="20"/>
        <v>1987.1845559999997</v>
      </c>
      <c r="M64" s="9">
        <f>1/(1+$B$60)^2</f>
        <v>0.8116224332440547</v>
      </c>
      <c r="N64" s="11">
        <f t="shared" si="21"/>
        <v>1612.8435646457262</v>
      </c>
    </row>
    <row r="65" spans="1:14">
      <c r="A65" s="24">
        <v>3</v>
      </c>
      <c r="B65" s="15">
        <v>0.1</v>
      </c>
      <c r="C65" s="11">
        <f t="shared" si="22"/>
        <v>4992.96468</v>
      </c>
      <c r="D65" s="15">
        <v>0.53</v>
      </c>
      <c r="E65" s="11">
        <f t="shared" si="16"/>
        <v>2646.2712804000003</v>
      </c>
      <c r="F65" s="11">
        <f t="shared" si="17"/>
        <v>2381.6441523600001</v>
      </c>
      <c r="G65" s="15">
        <v>0.06</v>
      </c>
      <c r="H65" s="11">
        <f t="shared" si="18"/>
        <v>299.5778808</v>
      </c>
      <c r="I65" s="15">
        <v>0.15</v>
      </c>
      <c r="J65" s="11">
        <f t="shared" si="19"/>
        <v>748.94470200000001</v>
      </c>
      <c r="K65" s="11">
        <f t="shared" si="23"/>
        <v>36.312470400000024</v>
      </c>
      <c r="L65" s="11">
        <f t="shared" si="20"/>
        <v>1895.9648607600002</v>
      </c>
      <c r="M65" s="9">
        <f>1/(1+$B$60)^3</f>
        <v>0.73119138130095018</v>
      </c>
      <c r="N65" s="11">
        <f t="shared" si="21"/>
        <v>1386.3131654371682</v>
      </c>
    </row>
    <row r="66" spans="1:14">
      <c r="A66" s="24">
        <v>4</v>
      </c>
      <c r="B66" s="15">
        <v>0.06</v>
      </c>
      <c r="C66" s="11">
        <f t="shared" si="22"/>
        <v>5292.5425608000005</v>
      </c>
      <c r="D66" s="15">
        <v>0.47</v>
      </c>
      <c r="E66" s="11">
        <f t="shared" si="16"/>
        <v>2487.4950035760003</v>
      </c>
      <c r="F66" s="11">
        <f t="shared" si="17"/>
        <v>2238.7455032184002</v>
      </c>
      <c r="G66" s="15">
        <v>0.06</v>
      </c>
      <c r="H66" s="11">
        <f t="shared" si="18"/>
        <v>317.55255364800001</v>
      </c>
      <c r="I66" s="15">
        <v>0.15</v>
      </c>
      <c r="J66" s="11">
        <f t="shared" si="19"/>
        <v>793.88138412000001</v>
      </c>
      <c r="K66" s="11">
        <f t="shared" si="23"/>
        <v>23.966230464000038</v>
      </c>
      <c r="L66" s="11">
        <f t="shared" si="20"/>
        <v>1738.4504422824002</v>
      </c>
      <c r="M66" s="9">
        <f>1/(1+$B$60)^4</f>
        <v>0.65873097414500015</v>
      </c>
      <c r="N66" s="11">
        <f t="shared" si="21"/>
        <v>1145.1711533474918</v>
      </c>
    </row>
    <row r="67" spans="1:14">
      <c r="A67" s="24">
        <v>5</v>
      </c>
      <c r="B67" s="15">
        <v>0.08</v>
      </c>
      <c r="C67" s="11">
        <f t="shared" si="22"/>
        <v>5715.9459656640011</v>
      </c>
      <c r="D67" s="15">
        <v>0.44</v>
      </c>
      <c r="E67" s="11">
        <f t="shared" si="16"/>
        <v>2515.0162248921606</v>
      </c>
      <c r="F67" s="11">
        <f t="shared" si="17"/>
        <v>2263.5146024029445</v>
      </c>
      <c r="G67" s="15">
        <v>0.06</v>
      </c>
      <c r="H67" s="11">
        <f t="shared" si="18"/>
        <v>342.95675793984003</v>
      </c>
      <c r="I67" s="15">
        <v>0.15</v>
      </c>
      <c r="J67" s="11">
        <f t="shared" si="19"/>
        <v>857.39189484960013</v>
      </c>
      <c r="K67" s="11">
        <f t="shared" si="23"/>
        <v>33.872272389120042</v>
      </c>
      <c r="L67" s="11">
        <f t="shared" si="20"/>
        <v>1715.2071931040641</v>
      </c>
      <c r="M67" s="9">
        <f>1/(1+$B$60)^5</f>
        <v>0.5934513280585586</v>
      </c>
      <c r="N67" s="11">
        <f t="shared" si="21"/>
        <v>1017.8919866431994</v>
      </c>
    </row>
    <row r="68" spans="1:14">
      <c r="A68" s="24">
        <v>6</v>
      </c>
      <c r="B68" s="15">
        <v>0.08</v>
      </c>
      <c r="C68" s="11">
        <f t="shared" si="22"/>
        <v>6173.2216429171212</v>
      </c>
      <c r="D68" s="15">
        <v>0.43</v>
      </c>
      <c r="E68" s="11">
        <f t="shared" si="16"/>
        <v>2654.4853064543622</v>
      </c>
      <c r="F68" s="11">
        <f t="shared" si="17"/>
        <v>2389.036775808926</v>
      </c>
      <c r="G68" s="15">
        <v>0.06</v>
      </c>
      <c r="H68" s="11">
        <f t="shared" si="18"/>
        <v>370.39329857502725</v>
      </c>
      <c r="I68" s="15">
        <v>0.15</v>
      </c>
      <c r="J68" s="11">
        <f t="shared" si="19"/>
        <v>925.98324643756814</v>
      </c>
      <c r="K68" s="11">
        <f t="shared" si="23"/>
        <v>36.582054180249614</v>
      </c>
      <c r="L68" s="11">
        <f t="shared" si="20"/>
        <v>1796.8647737661354</v>
      </c>
      <c r="M68" s="9">
        <f>1/(1+$B$60)^6</f>
        <v>0.53464083608879154</v>
      </c>
      <c r="N68" s="11">
        <f t="shared" si="21"/>
        <v>960.67728498482393</v>
      </c>
    </row>
    <row r="69" spans="1:14">
      <c r="A69" s="24">
        <v>7</v>
      </c>
      <c r="B69" s="15">
        <v>7.0000000000000007E-2</v>
      </c>
      <c r="C69" s="11">
        <f t="shared" si="22"/>
        <v>6605.3471579213201</v>
      </c>
      <c r="D69" s="15">
        <v>0.42</v>
      </c>
      <c r="E69" s="11">
        <f t="shared" si="16"/>
        <v>2774.2458063269542</v>
      </c>
      <c r="F69" s="11">
        <f t="shared" si="17"/>
        <v>2496.8212256942588</v>
      </c>
      <c r="G69" s="15">
        <v>0.06</v>
      </c>
      <c r="H69" s="11">
        <f t="shared" si="18"/>
        <v>396.3208294752792</v>
      </c>
      <c r="I69" s="15">
        <v>0.15</v>
      </c>
      <c r="J69" s="11">
        <f t="shared" si="19"/>
        <v>990.80207368819799</v>
      </c>
      <c r="K69" s="11">
        <f t="shared" si="23"/>
        <v>34.570041200335908</v>
      </c>
      <c r="L69" s="11">
        <f t="shared" si="20"/>
        <v>1867.7699402810042</v>
      </c>
      <c r="M69" s="9">
        <f>1/(1+$B$60)^7</f>
        <v>0.48165841089080319</v>
      </c>
      <c r="N69" s="11">
        <f t="shared" si="21"/>
        <v>899.62710134535882</v>
      </c>
    </row>
    <row r="70" spans="1:14">
      <c r="A70" s="24">
        <v>8</v>
      </c>
      <c r="B70" s="15">
        <v>0.06</v>
      </c>
      <c r="C70" s="11">
        <f t="shared" si="22"/>
        <v>7001.6679873965995</v>
      </c>
      <c r="D70" s="15">
        <v>0.41</v>
      </c>
      <c r="E70" s="11">
        <f t="shared" si="16"/>
        <v>2870.6838748326059</v>
      </c>
      <c r="F70" s="11">
        <f t="shared" si="17"/>
        <v>2583.6154873493451</v>
      </c>
      <c r="G70" s="15">
        <v>0.06</v>
      </c>
      <c r="H70" s="11">
        <f t="shared" si="18"/>
        <v>420.10007924379596</v>
      </c>
      <c r="I70" s="15">
        <v>0.15</v>
      </c>
      <c r="J70" s="11">
        <f t="shared" si="19"/>
        <v>1050.2501981094899</v>
      </c>
      <c r="K70" s="11">
        <f t="shared" si="23"/>
        <v>31.705666358022356</v>
      </c>
      <c r="L70" s="11">
        <f t="shared" si="20"/>
        <v>1921.7597021256286</v>
      </c>
      <c r="M70" s="9">
        <f>1/(1+$B$60)^8</f>
        <v>0.43392649629802077</v>
      </c>
      <c r="N70" s="11">
        <f t="shared" si="21"/>
        <v>833.90245427010211</v>
      </c>
    </row>
    <row r="71" spans="1:14">
      <c r="A71" s="24">
        <v>9</v>
      </c>
      <c r="B71" s="15">
        <v>0.05</v>
      </c>
      <c r="C71" s="11">
        <f t="shared" si="22"/>
        <v>7351.7513867664302</v>
      </c>
      <c r="D71" s="15">
        <v>0.39</v>
      </c>
      <c r="E71" s="11">
        <f t="shared" si="16"/>
        <v>2867.1830408389078</v>
      </c>
      <c r="F71" s="11">
        <f t="shared" si="17"/>
        <v>2580.4647367550169</v>
      </c>
      <c r="G71" s="15">
        <v>0.06</v>
      </c>
      <c r="H71" s="11">
        <f t="shared" si="18"/>
        <v>441.10508320598581</v>
      </c>
      <c r="I71" s="15">
        <v>0.15</v>
      </c>
      <c r="J71" s="11">
        <f t="shared" si="19"/>
        <v>1102.7627080149646</v>
      </c>
      <c r="K71" s="11">
        <f t="shared" si="23"/>
        <v>28.006671949586455</v>
      </c>
      <c r="L71" s="11">
        <f t="shared" si="20"/>
        <v>1890.8004399964518</v>
      </c>
      <c r="M71" s="9">
        <f>1/(1+$B$60)^9</f>
        <v>0.39092477143965831</v>
      </c>
      <c r="N71" s="11">
        <f t="shared" si="21"/>
        <v>739.16072984361836</v>
      </c>
    </row>
    <row r="72" spans="1:14">
      <c r="A72" s="24">
        <v>10</v>
      </c>
      <c r="B72" s="15">
        <v>0.04</v>
      </c>
      <c r="C72" s="11">
        <f t="shared" si="22"/>
        <v>7645.8214422370875</v>
      </c>
      <c r="D72" s="15">
        <v>0.37</v>
      </c>
      <c r="E72" s="11">
        <f t="shared" si="16"/>
        <v>2828.9539336277221</v>
      </c>
      <c r="F72" s="11">
        <f t="shared" si="17"/>
        <v>2546.0585402649499</v>
      </c>
      <c r="G72" s="15">
        <v>0.06</v>
      </c>
      <c r="H72" s="11">
        <f t="shared" si="18"/>
        <v>458.74928653422523</v>
      </c>
      <c r="I72" s="15">
        <v>0.15</v>
      </c>
      <c r="J72" s="11">
        <f t="shared" si="19"/>
        <v>1146.873216335563</v>
      </c>
      <c r="K72" s="11">
        <f t="shared" si="23"/>
        <v>23.525604437652582</v>
      </c>
      <c r="L72" s="11">
        <f t="shared" si="20"/>
        <v>1834.4090060259593</v>
      </c>
      <c r="M72" s="9">
        <f>1/(1+$B$60)^10</f>
        <v>0.3521844787744669</v>
      </c>
      <c r="N72" s="11">
        <f t="shared" si="21"/>
        <v>646.05037964644043</v>
      </c>
    </row>
    <row r="73" spans="1:14">
      <c r="A73" s="18" t="s">
        <v>170</v>
      </c>
      <c r="B73" s="11">
        <f>L72*(1+$D$60)/($B$60-$D$60)</f>
        <v>25314.844283158236</v>
      </c>
    </row>
    <row r="74" spans="1:14">
      <c r="A74" s="6" t="s">
        <v>171</v>
      </c>
      <c r="B74" s="11">
        <f>B73/(1+$B$60)^10</f>
        <v>8915.4952391208772</v>
      </c>
    </row>
    <row r="75" spans="1:14">
      <c r="A75" s="18" t="s">
        <v>172</v>
      </c>
      <c r="B75" s="11">
        <f>SUM(N63:N72)+B74</f>
        <v>19916.109383609131</v>
      </c>
    </row>
    <row r="76" spans="1:14">
      <c r="A76" s="6" t="s">
        <v>173</v>
      </c>
      <c r="B76" s="11">
        <f>$B$8</f>
        <v>-28.74</v>
      </c>
    </row>
    <row r="77" spans="1:14">
      <c r="A77" s="6" t="s">
        <v>174</v>
      </c>
      <c r="B77" s="11">
        <f>$B$9</f>
        <v>502.1</v>
      </c>
    </row>
    <row r="78" spans="1:14">
      <c r="A78" s="18" t="s">
        <v>175</v>
      </c>
      <c r="B78" s="11">
        <f>B75-B76+B77</f>
        <v>20446.949383609131</v>
      </c>
    </row>
    <row r="79" spans="1:14">
      <c r="A79" s="18" t="s">
        <v>176</v>
      </c>
      <c r="B79" s="7">
        <f>B78/$B$10</f>
        <v>30.120380742484812</v>
      </c>
      <c r="C79" s="6" t="s">
        <v>181</v>
      </c>
    </row>
  </sheetData>
  <mergeCells count="3">
    <mergeCell ref="A3:N3"/>
    <mergeCell ref="A2:N2"/>
    <mergeCell ref="A11:N11"/>
  </mergeCells>
  <phoneticPr fontId="11" type="noConversion"/>
  <pageMargins left="0.25" right="0.25" top="0.35" bottom="0.35" header="0.15" footer="0.15"/>
  <pageSetup paperSize="9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42"/>
  <sheetViews>
    <sheetView showGridLines="0" workbookViewId="0"/>
  </sheetViews>
  <sheetFormatPr defaultRowHeight="14.4"/>
  <cols>
    <col min="1" max="1" width="30" customWidth="1"/>
    <col min="2" max="7" width="15" customWidth="1"/>
  </cols>
  <sheetData>
    <row r="1" spans="1:7" ht="23.4">
      <c r="A1" s="1" t="s">
        <v>182</v>
      </c>
    </row>
    <row r="2" spans="1:7" ht="15.6">
      <c r="A2" s="28" t="s">
        <v>183</v>
      </c>
      <c r="B2" s="27"/>
      <c r="C2" s="27"/>
      <c r="D2" s="27"/>
      <c r="E2" s="27"/>
      <c r="F2" s="27"/>
      <c r="G2" s="27"/>
    </row>
    <row r="4" spans="1:7">
      <c r="A4" s="5" t="s">
        <v>157</v>
      </c>
      <c r="B4" s="5" t="s">
        <v>176</v>
      </c>
    </row>
    <row r="5" spans="1:7">
      <c r="A5" s="15">
        <v>0.104</v>
      </c>
      <c r="B5" s="7">
        <v>19.21</v>
      </c>
    </row>
    <row r="6" spans="1:7">
      <c r="A6" s="15">
        <v>0.107</v>
      </c>
      <c r="B6" s="7">
        <v>18.57</v>
      </c>
    </row>
    <row r="7" spans="1:7">
      <c r="A7" s="15">
        <v>0.11</v>
      </c>
      <c r="B7" s="7">
        <v>17.98</v>
      </c>
    </row>
    <row r="8" spans="1:7">
      <c r="A8" s="15">
        <v>0.115</v>
      </c>
      <c r="B8" s="7">
        <v>17.079999999999998</v>
      </c>
    </row>
    <row r="9" spans="1:7">
      <c r="A9" s="15">
        <v>0.12</v>
      </c>
      <c r="B9" s="7">
        <v>16.28</v>
      </c>
    </row>
    <row r="10" spans="1:7">
      <c r="A10" s="15">
        <v>0.125</v>
      </c>
      <c r="B10" s="7">
        <v>15.57</v>
      </c>
    </row>
    <row r="11" spans="1:7">
      <c r="A11" s="15">
        <v>0.13</v>
      </c>
      <c r="B11" s="7">
        <v>14.92</v>
      </c>
    </row>
    <row r="12" spans="1:7">
      <c r="A12" s="15">
        <v>0.13500000000000001</v>
      </c>
      <c r="B12" s="7">
        <v>14.33</v>
      </c>
    </row>
    <row r="14" spans="1:7">
      <c r="A14" s="5" t="s">
        <v>184</v>
      </c>
      <c r="B14" s="5" t="s">
        <v>176</v>
      </c>
    </row>
    <row r="15" spans="1:7">
      <c r="A15" s="15">
        <v>0.12</v>
      </c>
      <c r="B15" s="7">
        <v>17.12</v>
      </c>
    </row>
    <row r="16" spans="1:7">
      <c r="A16" s="15">
        <v>0.13</v>
      </c>
      <c r="B16" s="7">
        <v>16.84</v>
      </c>
    </row>
    <row r="17" spans="1:3">
      <c r="A17" s="15">
        <v>0.14000000000000001</v>
      </c>
      <c r="B17" s="7">
        <v>16.559999999999999</v>
      </c>
    </row>
    <row r="18" spans="1:3">
      <c r="A18" s="15">
        <v>0.15</v>
      </c>
      <c r="B18" s="7">
        <v>16.28</v>
      </c>
    </row>
    <row r="19" spans="1:3">
      <c r="A19" s="15">
        <v>0.16</v>
      </c>
      <c r="B19" s="7">
        <v>16</v>
      </c>
    </row>
    <row r="20" spans="1:3">
      <c r="A20" s="15">
        <v>0.17</v>
      </c>
      <c r="B20" s="7">
        <v>15.73</v>
      </c>
    </row>
    <row r="23" spans="1:3">
      <c r="A23" s="5" t="s">
        <v>185</v>
      </c>
      <c r="B23" s="5" t="s">
        <v>176</v>
      </c>
    </row>
    <row r="24" spans="1:3">
      <c r="A24" s="15">
        <v>0.28999999999999998</v>
      </c>
      <c r="B24" s="7">
        <v>14.78</v>
      </c>
    </row>
    <row r="25" spans="1:3">
      <c r="A25" s="15">
        <v>0.31</v>
      </c>
      <c r="B25" s="7">
        <v>15.28</v>
      </c>
    </row>
    <row r="26" spans="1:3">
      <c r="A26" s="15">
        <v>0.33</v>
      </c>
      <c r="B26" s="7">
        <v>15.78</v>
      </c>
    </row>
    <row r="27" spans="1:3">
      <c r="A27" s="15">
        <v>0.35</v>
      </c>
      <c r="B27" s="7">
        <v>16.28</v>
      </c>
    </row>
    <row r="28" spans="1:3">
      <c r="A28" s="15">
        <v>0.37</v>
      </c>
      <c r="B28" s="7">
        <v>16.78</v>
      </c>
    </row>
    <row r="29" spans="1:3">
      <c r="A29" s="15">
        <v>0.39</v>
      </c>
      <c r="B29" s="7">
        <v>17.29</v>
      </c>
    </row>
    <row r="30" spans="1:3">
      <c r="A30" s="15">
        <v>0.41</v>
      </c>
      <c r="B30" s="7">
        <v>17.79</v>
      </c>
    </row>
    <row r="32" spans="1:3" ht="16.2">
      <c r="A32" s="3" t="s">
        <v>186</v>
      </c>
      <c r="B32" s="4"/>
      <c r="C32" s="4"/>
    </row>
    <row r="33" spans="1:7">
      <c r="A33" s="6" t="s">
        <v>187</v>
      </c>
      <c r="B33" s="15">
        <v>0.20499646095796609</v>
      </c>
    </row>
    <row r="34" spans="1:7">
      <c r="A34" s="6" t="s">
        <v>188</v>
      </c>
      <c r="B34" s="15">
        <v>9.1562458192777862E-2</v>
      </c>
    </row>
    <row r="36" spans="1:7" ht="16.2">
      <c r="A36" s="3" t="s">
        <v>189</v>
      </c>
      <c r="B36" s="4"/>
      <c r="C36" s="4"/>
      <c r="D36" s="4"/>
      <c r="E36" s="4"/>
      <c r="F36" s="4"/>
      <c r="G36" s="4"/>
    </row>
    <row r="37" spans="1:7">
      <c r="A37" s="5" t="s">
        <v>190</v>
      </c>
      <c r="B37" s="5" t="s">
        <v>176</v>
      </c>
      <c r="C37" s="5" t="s">
        <v>191</v>
      </c>
      <c r="D37" s="5" t="s">
        <v>192</v>
      </c>
    </row>
    <row r="38" spans="1:7">
      <c r="A38" s="6" t="s">
        <v>193</v>
      </c>
      <c r="B38" s="25" t="s">
        <v>194</v>
      </c>
      <c r="C38" s="25" t="s">
        <v>195</v>
      </c>
      <c r="D38" s="25" t="s">
        <v>196</v>
      </c>
    </row>
    <row r="39" spans="1:7">
      <c r="A39" s="6" t="s">
        <v>197</v>
      </c>
      <c r="B39" s="25" t="s">
        <v>198</v>
      </c>
      <c r="C39" s="25" t="s">
        <v>199</v>
      </c>
      <c r="D39" s="25" t="s">
        <v>200</v>
      </c>
    </row>
    <row r="40" spans="1:7">
      <c r="A40" s="6" t="s">
        <v>201</v>
      </c>
      <c r="B40" s="25" t="s">
        <v>58</v>
      </c>
      <c r="C40" s="25" t="s">
        <v>202</v>
      </c>
      <c r="D40" s="25" t="s">
        <v>203</v>
      </c>
    </row>
    <row r="41" spans="1:7">
      <c r="A41" s="6" t="s">
        <v>204</v>
      </c>
      <c r="B41" s="25" t="s">
        <v>58</v>
      </c>
      <c r="C41" s="25" t="s">
        <v>205</v>
      </c>
      <c r="D41" s="25" t="s">
        <v>206</v>
      </c>
    </row>
    <row r="42" spans="1:7" ht="40.049999999999997" customHeight="1">
      <c r="A42" s="31" t="s">
        <v>207</v>
      </c>
      <c r="B42" s="27"/>
      <c r="C42" s="27"/>
      <c r="D42" s="27"/>
      <c r="E42" s="27"/>
      <c r="F42" s="27"/>
      <c r="G42" s="27"/>
    </row>
  </sheetData>
  <mergeCells count="2">
    <mergeCell ref="A2:G2"/>
    <mergeCell ref="A42:G42"/>
  </mergeCells>
  <phoneticPr fontId="11" type="noConversion"/>
  <pageMargins left="0.25" right="0.25" top="0.35" bottom="0.35" header="0.15" footer="0.15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12"/>
  <sheetViews>
    <sheetView showGridLines="0" workbookViewId="0"/>
  </sheetViews>
  <sheetFormatPr defaultRowHeight="14.4"/>
  <cols>
    <col min="1" max="1" width="34" customWidth="1"/>
    <col min="2" max="2" width="50" customWidth="1"/>
    <col min="3" max="3" width="16" customWidth="1"/>
    <col min="4" max="4" width="70" customWidth="1"/>
  </cols>
  <sheetData>
    <row r="1" spans="1:4" ht="23.4">
      <c r="A1" s="1" t="s">
        <v>208</v>
      </c>
    </row>
    <row r="2" spans="1:4" ht="15.6">
      <c r="A2" s="28" t="s">
        <v>209</v>
      </c>
      <c r="B2" s="27"/>
      <c r="C2" s="27"/>
      <c r="D2" s="27"/>
    </row>
    <row r="4" spans="1:4">
      <c r="A4" s="5" t="s">
        <v>210</v>
      </c>
      <c r="B4" s="5" t="s">
        <v>211</v>
      </c>
      <c r="C4" s="5" t="s">
        <v>212</v>
      </c>
      <c r="D4" s="5" t="s">
        <v>213</v>
      </c>
    </row>
    <row r="5" spans="1:4">
      <c r="A5" s="6" t="s">
        <v>214</v>
      </c>
      <c r="B5" s="6" t="s">
        <v>215</v>
      </c>
      <c r="C5" s="22" t="s">
        <v>216</v>
      </c>
      <c r="D5" s="8" t="s">
        <v>217</v>
      </c>
    </row>
    <row r="6" spans="1:4">
      <c r="A6" s="6" t="s">
        <v>218</v>
      </c>
      <c r="B6" s="6" t="s">
        <v>215</v>
      </c>
      <c r="C6" s="22" t="s">
        <v>219</v>
      </c>
      <c r="D6" s="8" t="s">
        <v>220</v>
      </c>
    </row>
    <row r="7" spans="1:4">
      <c r="A7" s="6" t="s">
        <v>221</v>
      </c>
      <c r="B7" s="6" t="s">
        <v>222</v>
      </c>
      <c r="C7" s="22" t="s">
        <v>223</v>
      </c>
      <c r="D7" s="8" t="s">
        <v>224</v>
      </c>
    </row>
    <row r="8" spans="1:4">
      <c r="A8" s="6" t="s">
        <v>225</v>
      </c>
      <c r="B8" s="6" t="s">
        <v>226</v>
      </c>
      <c r="C8" s="22" t="s">
        <v>227</v>
      </c>
      <c r="D8" s="8" t="s">
        <v>228</v>
      </c>
    </row>
    <row r="9" spans="1:4">
      <c r="A9" s="6" t="s">
        <v>229</v>
      </c>
      <c r="B9" s="6" t="s">
        <v>230</v>
      </c>
      <c r="C9" s="22" t="s">
        <v>231</v>
      </c>
      <c r="D9" s="8" t="s">
        <v>232</v>
      </c>
    </row>
    <row r="12" spans="1:4" ht="15">
      <c r="A12" s="30" t="s">
        <v>233</v>
      </c>
      <c r="B12" s="27"/>
      <c r="C12" s="27"/>
      <c r="D12" s="27"/>
    </row>
  </sheetData>
  <mergeCells count="2">
    <mergeCell ref="A12:D12"/>
    <mergeCell ref="A2:D2"/>
  </mergeCells>
  <phoneticPr fontId="11" type="noConversion"/>
  <pageMargins left="0.25" right="0.25" top="0.35" bottom="0.35" header="0.15" footer="0.1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结论</vt:lpstr>
      <vt:lpstr>历史财务</vt:lpstr>
      <vt:lpstr>分部</vt:lpstr>
      <vt:lpstr>FCFF桥</vt:lpstr>
      <vt:lpstr>DCF</vt:lpstr>
      <vt:lpstr>敏感性</vt:lpstr>
      <vt:lpstr>来源</vt:lpstr>
      <vt:lpstr>DCF!Print_Area</vt:lpstr>
      <vt:lpstr>FCFF桥!Print_Area</vt:lpstr>
      <vt:lpstr>分部!Print_Area</vt:lpstr>
      <vt:lpstr>结论!Print_Area</vt:lpstr>
      <vt:lpstr>来源!Print_Area</vt:lpstr>
      <vt:lpstr>历史财务!Print_Area</vt:lpstr>
      <vt:lpstr>敏感性!Print_Area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t4707</cp:lastModifiedBy>
  <dcterms:created xsi:type="dcterms:W3CDTF">2026-10-29T10:33:56Z</dcterms:created>
  <dcterms:modified xsi:type="dcterms:W3CDTF">2026-10-29T10:34:18Z</dcterms:modified>
</cp:coreProperties>
</file>