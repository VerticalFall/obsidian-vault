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" sheetId="1" state="visible" r:id="rId1"/>
    <sheet xmlns:r="http://schemas.openxmlformats.org/officeDocument/2006/relationships" name="历史财务" sheetId="2" state="visible" r:id="rId2"/>
    <sheet xmlns:r="http://schemas.openxmlformats.org/officeDocument/2006/relationships" name="分部" sheetId="3" state="visible" r:id="rId3"/>
    <sheet xmlns:r="http://schemas.openxmlformats.org/officeDocument/2006/relationships" name="RI" sheetId="4" state="visible" r:id="rId4"/>
    <sheet xmlns:r="http://schemas.openxmlformats.org/officeDocument/2006/relationships" name="敏感性" sheetId="5" state="visible" r:id="rId5"/>
    <sheet xmlns:r="http://schemas.openxmlformats.org/officeDocument/2006/relationships" name="情景" sheetId="6" state="visible" r:id="rId6"/>
    <sheet xmlns:r="http://schemas.openxmlformats.org/officeDocument/2006/relationships" name="来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"/>
    <numFmt numFmtId="166" formatCode="0.0"/>
    <numFmt numFmtId="167" formatCode="0.0%"/>
  </numFmts>
  <fonts count="17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color rgb="005B6770"/>
      <sz val="9"/>
    </font>
    <font>
      <name val="Microsoft YaHei"/>
      <i val="1"/>
      <color rgb="005B6770"/>
      <sz val="8.5"/>
    </font>
    <font>
      <name val="Microsoft YaHei"/>
      <b val="1"/>
      <color rgb="002F6B4F"/>
      <sz val="11"/>
    </font>
    <font>
      <name val="Microsoft YaHei"/>
      <b val="1"/>
      <color rgb="005B4A3A"/>
      <sz val="9.5"/>
    </font>
    <font>
      <name val="Microsoft YaHei"/>
      <color rgb="001F2933"/>
      <sz val="9.5"/>
    </font>
    <font>
      <name val="Microsoft YaHei"/>
      <color rgb="001A73E8"/>
      <sz val="9.5"/>
    </font>
    <font>
      <name val="Microsoft YaHei"/>
      <color rgb="005B6770"/>
      <sz val="9.5"/>
    </font>
    <font>
      <name val="Microsoft YaHei"/>
      <b val="1"/>
      <color rgb="001F2933"/>
      <sz val="9.5"/>
    </font>
    <font>
      <name val="Microsoft YaHei"/>
      <b val="1"/>
      <color rgb="002F6B4F"/>
      <sz val="9.5"/>
    </font>
    <font>
      <name val="Microsoft YaHei"/>
      <b val="1"/>
      <color rgb="00B23A2E"/>
      <sz val="9.5"/>
    </font>
    <font>
      <name val="Microsoft YaHei"/>
      <b val="1"/>
      <color rgb="00C9A227"/>
      <sz val="9.5"/>
    </font>
    <font>
      <name val="Microsoft YaHei"/>
      <b val="1"/>
      <color rgb="001F2933"/>
      <sz val="10.5"/>
    </font>
    <font>
      <name val="Microsoft YaHei"/>
      <color rgb="00B23A2E"/>
      <sz val="9.5"/>
    </font>
    <font>
      <name val="Microsoft YaHei"/>
      <color rgb="002F6B4F"/>
      <sz val="9.5"/>
    </font>
    <font>
      <name val="Microsoft YaHei"/>
      <color rgb="001F2933"/>
      <sz val="9"/>
    </font>
  </fonts>
  <fills count="7">
    <fill>
      <patternFill/>
    </fill>
    <fill>
      <patternFill patternType="gray125"/>
    </fill>
    <fill>
      <patternFill patternType="solid">
        <fgColor rgb="002F6B4F"/>
      </patternFill>
    </fill>
    <fill>
      <patternFill patternType="solid">
        <fgColor rgb="00FBF7EA"/>
      </patternFill>
    </fill>
    <fill>
      <patternFill patternType="solid">
        <fgColor rgb="00E8EFE9"/>
      </patternFill>
    </fill>
    <fill>
      <patternFill patternType="solid">
        <fgColor rgb="00EFE8D8"/>
      </patternFill>
    </fill>
    <fill>
      <patternFill patternType="solid">
        <fgColor rgb="00F2F7FB"/>
      </patternFill>
    </fill>
  </fills>
  <borders count="6">
    <border>
      <left/>
      <right/>
      <top/>
      <bottom/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  <border>
      <left/>
      <right/>
      <top style="thin">
        <color rgb="00D9D2C5"/>
      </top>
      <bottom/>
      <diagonal/>
    </border>
    <border>
      <left/>
      <right style="thin">
        <color rgb="00D9D2C5"/>
      </right>
      <top style="thin">
        <color rgb="00D9D2C5"/>
      </top>
      <bottom/>
      <diagonal/>
    </border>
    <border>
      <left/>
      <right/>
      <top style="thin">
        <color rgb="00D9D2C5"/>
      </top>
      <bottom style="thin">
        <color rgb="00D9D2C5"/>
      </bottom>
      <diagonal/>
    </border>
    <border>
      <left/>
      <right style="thin">
        <color rgb="00D9D2C5"/>
      </right>
      <top style="thin">
        <color rgb="00D9D2C5"/>
      </top>
      <bottom style="thin">
        <color rgb="00D9D2C5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wrapText="1" indent="1"/>
    </xf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2" fontId="7" fillId="6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4" fontId="7" fillId="6" borderId="1" applyAlignment="1" pivotButton="0" quotePrefix="0" xfId="0">
      <alignment horizontal="right" vertical="center"/>
    </xf>
    <xf numFmtId="4" fontId="9" fillId="0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2" fontId="9" fillId="0" borderId="1" applyAlignment="1" pivotButton="0" quotePrefix="0" xfId="0">
      <alignment horizontal="right" vertical="center"/>
    </xf>
    <xf numFmtId="10" fontId="7" fillId="6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2" fontId="10" fillId="0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wrapText="1"/>
    </xf>
    <xf numFmtId="2" fontId="6" fillId="0" borderId="1" applyAlignment="1" pivotButton="0" quotePrefix="0" xfId="0">
      <alignment horizontal="right" vertical="center"/>
    </xf>
    <xf numFmtId="167" fontId="14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167" fontId="15" fillId="0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 indent="1"/>
    </xf>
    <xf numFmtId="164" fontId="6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166" fontId="7" fillId="6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2" fontId="14" fillId="0" borderId="1" applyAlignment="1" pivotButton="0" quotePrefix="0" xfId="0">
      <alignment horizontal="right" vertical="center"/>
    </xf>
    <xf numFmtId="2" fontId="15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归母净利润（亿元）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'历史财务'!$B$5:$G$5</f>
            </numRef>
          </cat>
          <val>
            <numRef>
              <f>'历史财务'!$B$7:$G$7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qt.gtimg.cn/q=sz000001" TargetMode="External" Id="rId1"/><Relationship Type="http://schemas.openxmlformats.org/officeDocument/2006/relationships/hyperlink" Target="https://finance.eastmoney.com/a/202610243907088337.html" TargetMode="External" Id="rId2"/><Relationship Type="http://schemas.openxmlformats.org/officeDocument/2006/relationships/hyperlink" Target="https://www.szse.cn/" TargetMode="External" Id="rId3"/><Relationship Type="http://schemas.openxmlformats.org/officeDocument/2006/relationships/hyperlink" Target="https://www.szse.cn/" TargetMode="External" Id="rId4"/><Relationship Type="http://schemas.openxmlformats.org/officeDocument/2006/relationships/hyperlink" Target="https://emweb.securities.eastmoney.com/" TargetMode="External" Id="rId5"/><Relationship Type="http://schemas.openxmlformats.org/officeDocument/2006/relationships/hyperlink" Target="https://datacenter-web.eastmoney.com/" TargetMode="External" Id="rId6"/></Relationships>
</file>

<file path=xl/worksheets/sheet1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G4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46" customWidth="1" min="4" max="4"/>
    <col width="3" customWidth="1" min="5" max="5"/>
    <col width="3" customWidth="1" min="6" max="6"/>
    <col width="3" customWidth="1" min="7" max="7"/>
  </cols>
  <sheetData>
    <row r="1" ht="28" customHeight="1">
      <c r="A1" s="1" t="inlineStr">
        <is>
          <t>平安银行 000001.SZ · 巴菲特框架估值模型</t>
        </is>
      </c>
    </row>
    <row r="2" ht="18" customHeight="1">
      <c r="A2" s="2" t="inlineStr">
        <is>
          <t>报告日 2026-10-30｜价格日 2026-10-30｜单位：人民币亿元、元/股｜蓝色=输入，黑色=公式</t>
        </is>
      </c>
    </row>
    <row r="3" ht="30" customHeight="1">
      <c r="A3" s="3" t="inlineStr">
        <is>
          <t>本模型只用于研究记录，不构成投资建议。事实、计算、假设与判断分开标注；来源见“来源”页。</t>
        </is>
      </c>
    </row>
    <row r="5" ht="22" customHeight="1">
      <c r="A5" s="4" t="inlineStr">
        <is>
          <t>一、市场与估值结论</t>
        </is>
      </c>
    </row>
    <row r="6" ht="28" customHeight="1">
      <c r="A6" s="5" t="inlineStr">
        <is>
          <t>指标</t>
        </is>
      </c>
      <c r="B6" s="5" t="inlineStr">
        <is>
          <t>数值</t>
        </is>
      </c>
      <c r="C6" s="5" t="inlineStr">
        <is>
          <t>单位 / 说明</t>
        </is>
      </c>
      <c r="D6" s="5" t="inlineStr"/>
      <c r="E6" s="5" t="inlineStr"/>
      <c r="F6" s="5" t="inlineStr"/>
      <c r="G6" s="5" t="inlineStr"/>
    </row>
    <row r="7">
      <c r="A7" s="6" t="inlineStr">
        <is>
          <t>收盘价</t>
        </is>
      </c>
      <c r="B7" s="7" t="n">
        <v>11.64</v>
      </c>
      <c r="C7" s="8" t="inlineStr">
        <is>
          <t>元/股</t>
        </is>
      </c>
      <c r="D7" s="9" t="n"/>
      <c r="E7" s="9" t="n"/>
      <c r="F7" s="9" t="n"/>
      <c r="G7" s="10" t="n"/>
    </row>
    <row r="8">
      <c r="A8" s="6" t="inlineStr">
        <is>
          <t>总股本</t>
        </is>
      </c>
      <c r="B8" s="11" t="n">
        <v>194.06</v>
      </c>
      <c r="C8" s="8" t="inlineStr">
        <is>
          <t>亿股</t>
        </is>
      </c>
      <c r="D8" s="9" t="n"/>
      <c r="E8" s="9" t="n"/>
      <c r="F8" s="9" t="n"/>
      <c r="G8" s="10" t="n"/>
    </row>
    <row r="9">
      <c r="A9" s="6" t="inlineStr">
        <is>
          <t>总市值</t>
        </is>
      </c>
      <c r="B9" s="12">
        <f>B7*B8</f>
        <v/>
      </c>
      <c r="C9" s="8" t="inlineStr">
        <is>
          <t>亿元</t>
        </is>
      </c>
      <c r="D9" s="9" t="n"/>
      <c r="E9" s="9" t="n"/>
      <c r="F9" s="9" t="n"/>
      <c r="G9" s="10" t="n"/>
    </row>
    <row r="10">
      <c r="A10" s="6" t="inlineStr">
        <is>
          <t>净债务</t>
        </is>
      </c>
      <c r="B10" s="11" t="n">
        <v>0</v>
      </c>
      <c r="C10" s="8" t="inlineStr">
        <is>
          <t>亿元</t>
        </is>
      </c>
      <c r="D10" s="9" t="n"/>
      <c r="E10" s="9" t="n"/>
      <c r="F10" s="9" t="n"/>
      <c r="G10" s="10" t="n"/>
    </row>
    <row r="11">
      <c r="A11" s="6" t="inlineStr">
        <is>
          <t>少数股东权益</t>
        </is>
      </c>
      <c r="B11" s="11" t="n">
        <v>0</v>
      </c>
      <c r="C11" s="8" t="inlineStr">
        <is>
          <t>亿元</t>
        </is>
      </c>
      <c r="D11" s="9" t="n"/>
      <c r="E11" s="9" t="n"/>
      <c r="F11" s="9" t="n"/>
      <c r="G11" s="10" t="n"/>
    </row>
    <row r="12">
      <c r="A12" s="6" t="inlineStr">
        <is>
          <t>2026E 归母净利</t>
        </is>
      </c>
      <c r="B12" s="13" t="n">
        <v>435</v>
      </c>
      <c r="C12" s="8" t="inlineStr">
        <is>
          <t>亿元</t>
        </is>
      </c>
      <c r="D12" s="9" t="n"/>
      <c r="E12" s="9" t="n"/>
      <c r="F12" s="9" t="n"/>
      <c r="G12" s="10" t="n"/>
    </row>
    <row r="13">
      <c r="A13" s="6" t="inlineStr">
        <is>
          <t>2026E EPS</t>
        </is>
      </c>
      <c r="B13" s="14">
        <f>B12/B8</f>
        <v/>
      </c>
      <c r="C13" s="8" t="inlineStr">
        <is>
          <t>元/股</t>
        </is>
      </c>
      <c r="D13" s="9" t="n"/>
      <c r="E13" s="9" t="n"/>
      <c r="F13" s="9" t="n"/>
      <c r="G13" s="10" t="n"/>
    </row>
    <row r="14">
      <c r="A14" s="6" t="inlineStr">
        <is>
          <t>2026E DPS</t>
        </is>
      </c>
      <c r="B14" s="15" t="n">
        <v>0.65</v>
      </c>
      <c r="C14" s="8" t="inlineStr">
        <is>
          <t>元/股</t>
        </is>
      </c>
      <c r="D14" s="9" t="n"/>
      <c r="E14" s="9" t="n"/>
      <c r="F14" s="9" t="n"/>
      <c r="G14" s="10" t="n"/>
    </row>
    <row r="15">
      <c r="A15" s="6" t="inlineStr">
        <is>
          <t>2026E 股息率</t>
        </is>
      </c>
      <c r="B15" s="16">
        <f>B14/B7</f>
        <v/>
      </c>
      <c r="C15" s="8" t="inlineStr">
        <is>
          <t>%</t>
        </is>
      </c>
      <c r="D15" s="9" t="n"/>
      <c r="E15" s="9" t="n"/>
      <c r="F15" s="9" t="n"/>
      <c r="G15" s="10" t="n"/>
    </row>
    <row r="16">
      <c r="A16" s="6" t="inlineStr">
        <is>
          <t>2026E PE</t>
        </is>
      </c>
      <c r="B16" s="17">
        <f>B7/B13</f>
        <v/>
      </c>
      <c r="C16" s="8" t="inlineStr">
        <is>
          <t>倍</t>
        </is>
      </c>
      <c r="D16" s="9" t="n"/>
      <c r="E16" s="9" t="n"/>
      <c r="F16" s="9" t="n"/>
      <c r="G16" s="10" t="n"/>
    </row>
    <row r="17">
      <c r="A17" s="6" t="inlineStr">
        <is>
          <t>每股净资产 BPS</t>
        </is>
      </c>
      <c r="B17" s="7" t="n">
        <v>24.56</v>
      </c>
      <c r="C17" s="8" t="inlineStr">
        <is>
          <t>元/股</t>
        </is>
      </c>
      <c r="D17" s="9" t="n"/>
      <c r="E17" s="9" t="n"/>
      <c r="F17" s="9" t="n"/>
      <c r="G17" s="10" t="n"/>
    </row>
    <row r="18">
      <c r="A18" s="6" t="inlineStr">
        <is>
          <t>PB</t>
        </is>
      </c>
      <c r="B18" s="18">
        <f>B7/B17</f>
        <v/>
      </c>
      <c r="C18" s="8" t="inlineStr">
        <is>
          <t>倍</t>
        </is>
      </c>
      <c r="D18" s="9" t="n"/>
      <c r="E18" s="9" t="n"/>
      <c r="F18" s="9" t="n"/>
      <c r="G18" s="10" t="n"/>
    </row>
    <row r="19">
      <c r="A19" s="6" t="inlineStr">
        <is>
          <t>2026E ROE</t>
        </is>
      </c>
      <c r="B19" s="19" t="n">
        <v>0.08800000000000001</v>
      </c>
      <c r="C19" s="8" t="inlineStr">
        <is>
          <t>%</t>
        </is>
      </c>
      <c r="D19" s="9" t="n"/>
      <c r="E19" s="9" t="n"/>
      <c r="F19" s="9" t="n"/>
      <c r="G19" s="10" t="n"/>
    </row>
    <row r="20">
      <c r="A20" s="6" t="inlineStr">
        <is>
          <t>估值方法 1：剩余收益 RI</t>
        </is>
      </c>
      <c r="B20" s="18" t="n">
        <v>12.28</v>
      </c>
      <c r="C20" s="8" t="inlineStr">
        <is>
          <t>元/股</t>
        </is>
      </c>
      <c r="D20" s="9" t="n"/>
      <c r="E20" s="9" t="n"/>
      <c r="F20" s="9" t="n"/>
      <c r="G20" s="10" t="n"/>
    </row>
    <row r="21">
      <c r="A21" s="6" t="inlineStr">
        <is>
          <t>估值方法 2：DDM</t>
        </is>
      </c>
      <c r="B21" s="18" t="n">
        <v>8.130000000000001</v>
      </c>
      <c r="C21" s="8" t="inlineStr">
        <is>
          <t>元/股</t>
        </is>
      </c>
      <c r="D21" s="9" t="n"/>
      <c r="E21" s="9" t="n"/>
      <c r="F21" s="9" t="n"/>
      <c r="G21" s="10" t="n"/>
    </row>
    <row r="22">
      <c r="A22" s="20" t="inlineStr">
        <is>
          <t>综合基准价值</t>
        </is>
      </c>
      <c r="B22" s="21">
        <f>B20*0.7+B21*0.3</f>
        <v/>
      </c>
      <c r="C22" s="8" t="inlineStr">
        <is>
          <t>元/股</t>
        </is>
      </c>
      <c r="D22" s="9" t="n"/>
      <c r="E22" s="9" t="n"/>
      <c r="F22" s="9" t="n"/>
      <c r="G22" s="10" t="n"/>
    </row>
    <row r="23">
      <c r="A23" s="20" t="inlineStr">
        <is>
          <t>安全边际</t>
        </is>
      </c>
      <c r="B23" s="22">
        <f>1-B7/B22</f>
        <v/>
      </c>
      <c r="C23" s="8" t="inlineStr">
        <is>
          <t>正=折价，负=溢价</t>
        </is>
      </c>
      <c r="D23" s="9" t="n"/>
      <c r="E23" s="9" t="n"/>
      <c r="F23" s="9" t="n"/>
      <c r="G23" s="10" t="n"/>
    </row>
    <row r="24">
      <c r="A24" s="20" t="inlineStr">
        <is>
          <t>评级</t>
        </is>
      </c>
      <c r="B24" s="23" t="inlineStr">
        <is>
          <t>合理偏贵</t>
        </is>
      </c>
      <c r="C24" s="6" t="inlineStr"/>
      <c r="D24" s="9" t="n"/>
      <c r="E24" s="9" t="n"/>
      <c r="F24" s="9" t="n"/>
      <c r="G24" s="10" t="n"/>
    </row>
    <row r="25">
      <c r="A25" s="6" t="inlineStr">
        <is>
          <t>置信度</t>
        </is>
      </c>
      <c r="B25" s="24" t="inlineStr">
        <is>
          <t>中低</t>
        </is>
      </c>
      <c r="C25" s="6" t="inlineStr"/>
      <c r="D25" s="9" t="n"/>
      <c r="E25" s="9" t="n"/>
      <c r="F25" s="9" t="n"/>
      <c r="G25" s="10" t="n"/>
    </row>
    <row r="26" ht="42" customHeight="1">
      <c r="A26" s="25" t="inlineStr">
        <is>
          <t>结论：静态便宜、动态偏贵：0.47 倍 PB 已把 ROE 下行定价；DDM 受低分红率拖累，现价高于基准约 5.5%，安全边际不足。</t>
        </is>
      </c>
    </row>
    <row r="28" ht="22" customHeight="1">
      <c r="A28" s="4" t="inlineStr">
        <is>
          <t>二、关键假设</t>
        </is>
      </c>
    </row>
    <row r="29" ht="28" customHeight="1">
      <c r="A29" s="5" t="inlineStr">
        <is>
          <t>假设</t>
        </is>
      </c>
      <c r="B29" s="5" t="inlineStr">
        <is>
          <t>数值</t>
        </is>
      </c>
      <c r="C29" s="5" t="inlineStr">
        <is>
          <t>说明</t>
        </is>
      </c>
      <c r="D29" s="5" t="inlineStr"/>
      <c r="E29" s="5" t="inlineStr"/>
      <c r="F29" s="5" t="inlineStr"/>
      <c r="G29" s="5" t="inlineStr"/>
    </row>
    <row r="30" ht="24" customHeight="1">
      <c r="A30" s="6" t="inlineStr">
        <is>
          <t>BPS</t>
        </is>
      </c>
      <c r="B30" s="7" t="n">
        <v>24.56</v>
      </c>
      <c r="C30" s="26" t="inlineStr">
        <is>
          <t>2026Q3 归母净资产 / 总股本</t>
        </is>
      </c>
      <c r="D30" s="9" t="n"/>
      <c r="E30" s="9" t="n"/>
      <c r="F30" s="9" t="n"/>
      <c r="G30" s="10" t="n"/>
    </row>
    <row r="31" ht="24" customHeight="1">
      <c r="A31" s="6" t="inlineStr">
        <is>
          <t>可持续 ROE</t>
        </is>
      </c>
      <c r="B31" s="19" t="n">
        <v>0.075</v>
      </c>
      <c r="C31" s="26" t="inlineStr">
        <is>
          <t>2026E 8.8%，考虑 NIM 与信用成本后下调</t>
        </is>
      </c>
      <c r="D31" s="9" t="n"/>
      <c r="E31" s="9" t="n"/>
      <c r="F31" s="9" t="n"/>
      <c r="G31" s="10" t="n"/>
    </row>
    <row r="32" ht="24" customHeight="1">
      <c r="A32" s="6" t="inlineStr">
        <is>
          <t>COE</t>
        </is>
      </c>
      <c r="B32" s="19" t="n">
        <v>0.115</v>
      </c>
      <c r="C32" s="26" t="inlineStr">
        <is>
          <t>Rf 1.62% + 银行股权风险溢价</t>
        </is>
      </c>
      <c r="D32" s="9" t="n"/>
      <c r="E32" s="9" t="n"/>
      <c r="F32" s="9" t="n"/>
      <c r="G32" s="10" t="n"/>
    </row>
    <row r="33" ht="24" customHeight="1">
      <c r="A33" s="6" t="inlineStr">
        <is>
          <t>永续增长 g</t>
        </is>
      </c>
      <c r="B33" s="19" t="n">
        <v>0.035</v>
      </c>
      <c r="C33" s="26" t="inlineStr">
        <is>
          <t>与资本补充、分红率相匹配</t>
        </is>
      </c>
      <c r="D33" s="9" t="n"/>
      <c r="E33" s="9" t="n"/>
      <c r="F33" s="9" t="n"/>
      <c r="G33" s="10" t="n"/>
    </row>
    <row r="34" ht="24" customHeight="1">
      <c r="A34" s="6" t="inlineStr">
        <is>
          <t>DPS（归一化）</t>
        </is>
      </c>
      <c r="B34" s="15" t="n">
        <v>0.65</v>
      </c>
      <c r="C34" s="26" t="inlineStr">
        <is>
          <t>2026E 分红率约 29%</t>
        </is>
      </c>
      <c r="D34" s="9" t="n"/>
      <c r="E34" s="9" t="n"/>
      <c r="F34" s="9" t="n"/>
      <c r="G34" s="10" t="n"/>
    </row>
    <row r="35" ht="24" customHeight="1">
      <c r="A35" s="6" t="inlineStr">
        <is>
          <t>DDM g</t>
        </is>
      </c>
      <c r="B35" s="19" t="n">
        <v>0.035</v>
      </c>
      <c r="C35" s="26" t="inlineStr">
        <is>
          <t>与 RI 的 g 一致</t>
        </is>
      </c>
      <c r="D35" s="9" t="n"/>
      <c r="E35" s="9" t="n"/>
      <c r="F35" s="9" t="n"/>
      <c r="G35" s="10" t="n"/>
    </row>
    <row r="37" ht="22" customHeight="1">
      <c r="A37" s="4" t="inlineStr">
        <is>
          <t>三、三情景</t>
        </is>
      </c>
    </row>
    <row r="38" ht="28" customHeight="1">
      <c r="A38" s="5" t="inlineStr">
        <is>
          <t>情景</t>
        </is>
      </c>
      <c r="B38" s="5" t="inlineStr">
        <is>
          <t>每股价值（元）</t>
        </is>
      </c>
      <c r="C38" s="5" t="inlineStr">
        <is>
          <t>相对现价</t>
        </is>
      </c>
      <c r="D38" s="5" t="inlineStr">
        <is>
          <t>核心假设</t>
        </is>
      </c>
      <c r="E38" s="5" t="inlineStr"/>
      <c r="F38" s="5" t="inlineStr"/>
      <c r="G38" s="5" t="inlineStr"/>
    </row>
    <row r="39" ht="30" customHeight="1">
      <c r="A39" s="24" t="inlineStr">
        <is>
          <t>悲观</t>
        </is>
      </c>
      <c r="B39" s="27" t="n">
        <v>8.52</v>
      </c>
      <c r="C39" s="28">
        <f>B39/B7-1</f>
        <v/>
      </c>
      <c r="D39" s="26" t="inlineStr">
        <is>
          <t>ROE 6.5%、COE 12.0%；资产质量恶化</t>
        </is>
      </c>
      <c r="E39" s="9" t="n"/>
      <c r="F39" s="9" t="n"/>
      <c r="G39" s="10" t="n"/>
    </row>
    <row r="40" ht="30" customHeight="1">
      <c r="A40" s="29" t="inlineStr">
        <is>
          <t>基准</t>
        </is>
      </c>
      <c r="B40" s="21" t="n">
        <v>11.03</v>
      </c>
      <c r="C40" s="22">
        <f>B40/B7-1</f>
        <v/>
      </c>
      <c r="D40" s="26" t="inlineStr">
        <is>
          <t>ROE 7.5%、COE 11.5%、g 3.5%</t>
        </is>
      </c>
      <c r="E40" s="9" t="n"/>
      <c r="F40" s="9" t="n"/>
      <c r="G40" s="10" t="n"/>
    </row>
    <row r="41" ht="30" customHeight="1">
      <c r="A41" s="24" t="inlineStr">
        <is>
          <t>乐观</t>
        </is>
      </c>
      <c r="B41" s="27" t="n">
        <v>15.34</v>
      </c>
      <c r="C41" s="30">
        <f>B41/B7-1</f>
        <v/>
      </c>
      <c r="D41" s="26" t="inlineStr">
        <is>
          <t>ROE 8.5%、COE 11.0%；零售修复</t>
        </is>
      </c>
      <c r="E41" s="9" t="n"/>
      <c r="F41" s="9" t="n"/>
      <c r="G41" s="10" t="n"/>
    </row>
    <row r="43" ht="22" customHeight="1">
      <c r="A43" s="4" t="inlineStr">
        <is>
          <t>四、结论边界</t>
        </is>
      </c>
    </row>
    <row r="44" ht="26" customHeight="1">
      <c r="A44" s="31" t="inlineStr">
        <is>
          <t>• 静态便宜：0.47 倍 PB、5.6% 前瞻股息率；但 ROE 8.8% 低于 COE 11.5%。</t>
        </is>
      </c>
    </row>
    <row r="45" ht="26" customHeight="1">
      <c r="A45" s="31" t="inlineStr">
        <is>
          <t>• 低 PB 是结果，不是理由：市场在定价 ROE 下行与资产质量尾部风险。</t>
        </is>
      </c>
    </row>
    <row r="46" ht="26" customHeight="1">
      <c r="A46" s="31" t="inlineStr">
        <is>
          <t>• 若要求 20% 安全边际，对应价格约 8.8 元；现价不满足。</t>
        </is>
      </c>
    </row>
  </sheetData>
  <mergeCells count="39">
    <mergeCell ref="C30:G30"/>
    <mergeCell ref="C34:G34"/>
    <mergeCell ref="C24:G24"/>
    <mergeCell ref="D39:G39"/>
    <mergeCell ref="C15:G15"/>
    <mergeCell ref="C33:G33"/>
    <mergeCell ref="C14:G14"/>
    <mergeCell ref="A43:G43"/>
    <mergeCell ref="A28:G28"/>
    <mergeCell ref="C35:G35"/>
    <mergeCell ref="A44:G44"/>
    <mergeCell ref="C20:G20"/>
    <mergeCell ref="C10:G10"/>
    <mergeCell ref="C16:G16"/>
    <mergeCell ref="C25:G25"/>
    <mergeCell ref="C31:G31"/>
    <mergeCell ref="C22:G22"/>
    <mergeCell ref="C9:G9"/>
    <mergeCell ref="A45:G45"/>
    <mergeCell ref="D40:G40"/>
    <mergeCell ref="C21:G21"/>
    <mergeCell ref="A1:G1"/>
    <mergeCell ref="C12:G12"/>
    <mergeCell ref="C11:G11"/>
    <mergeCell ref="C23:G23"/>
    <mergeCell ref="C8:G8"/>
    <mergeCell ref="C17:G17"/>
    <mergeCell ref="A37:G37"/>
    <mergeCell ref="A46:G46"/>
    <mergeCell ref="D41:G41"/>
    <mergeCell ref="C7:G7"/>
    <mergeCell ref="C32:G32"/>
    <mergeCell ref="A3:G3"/>
    <mergeCell ref="A26:G26"/>
    <mergeCell ref="C19:G19"/>
    <mergeCell ref="A2:G2"/>
    <mergeCell ref="C13:G13"/>
    <mergeCell ref="C18:G18"/>
    <mergeCell ref="A5:G5"/>
  </mergeCell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I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62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</cols>
  <sheetData>
    <row r="1" ht="28" customHeight="1">
      <c r="A1" s="1" t="inlineStr">
        <is>
          <t>平安银行 · 2021–2025 财务与分红</t>
        </is>
      </c>
    </row>
    <row r="2" ht="18" customHeight="1">
      <c r="A2" s="2" t="inlineStr">
        <is>
          <t>单位：亿元、元/股、%；2026E 为模型估计；银行口径为营业收入/归母净利润</t>
        </is>
      </c>
    </row>
    <row r="3" ht="30" customHeight="1">
      <c r="A3" s="3" t="inlineStr">
        <is>
          <t>数据来源：公司年报/季报、东方财富 F10；ROE 2021–2023 为按平均归母权益计算，2024–2025 采用披露值。</t>
        </is>
      </c>
    </row>
    <row r="5" ht="28" customHeight="1">
      <c r="A5" s="5" t="inlineStr">
        <is>
          <t>指标</t>
        </is>
      </c>
      <c r="B5" s="5" t="inlineStr">
        <is>
          <t>2021</t>
        </is>
      </c>
      <c r="C5" s="5" t="inlineStr">
        <is>
          <t>2022</t>
        </is>
      </c>
      <c r="D5" s="5" t="inlineStr">
        <is>
          <t>2023</t>
        </is>
      </c>
      <c r="E5" s="5" t="inlineStr">
        <is>
          <t>2024</t>
        </is>
      </c>
      <c r="F5" s="5" t="inlineStr">
        <is>
          <t>2025</t>
        </is>
      </c>
      <c r="G5" s="5" t="inlineStr">
        <is>
          <t>2026E/最新</t>
        </is>
      </c>
      <c r="H5" s="5" t="inlineStr"/>
      <c r="I5" s="5" t="inlineStr"/>
    </row>
    <row r="6">
      <c r="A6" s="6" t="inlineStr">
        <is>
          <t>营业收入</t>
        </is>
      </c>
      <c r="B6" s="32" t="n">
        <v>1693.83</v>
      </c>
      <c r="C6" s="32" t="n">
        <v>1798.95</v>
      </c>
      <c r="D6" s="32" t="n">
        <v>1646.99</v>
      </c>
      <c r="E6" s="32" t="n">
        <v>1466.95</v>
      </c>
      <c r="F6" s="32" t="n">
        <v>1314.42</v>
      </c>
      <c r="G6" s="33" t="n">
        <v>1031</v>
      </c>
    </row>
    <row r="7">
      <c r="A7" s="20" t="inlineStr">
        <is>
          <t>归母净利润</t>
        </is>
      </c>
      <c r="B7" s="32" t="n">
        <v>363.36</v>
      </c>
      <c r="C7" s="32" t="n">
        <v>455.16</v>
      </c>
      <c r="D7" s="32" t="n">
        <v>464.55</v>
      </c>
      <c r="E7" s="32" t="n">
        <v>445.08</v>
      </c>
      <c r="F7" s="32" t="n">
        <v>426.33</v>
      </c>
      <c r="G7" s="33" t="n">
        <v>391.86</v>
      </c>
    </row>
    <row r="8">
      <c r="A8" s="6" t="inlineStr">
        <is>
          <t>EPS（元）</t>
        </is>
      </c>
      <c r="B8" s="34" t="n">
        <v>1.73</v>
      </c>
      <c r="C8" s="34" t="n">
        <v>2.2</v>
      </c>
      <c r="D8" s="34" t="n">
        <v>2.25</v>
      </c>
      <c r="E8" s="34" t="n">
        <v>2.15</v>
      </c>
      <c r="F8" s="34" t="n">
        <v>2.07</v>
      </c>
      <c r="G8" s="35" t="n">
        <v>1.94</v>
      </c>
    </row>
    <row r="9">
      <c r="A9" s="20" t="inlineStr">
        <is>
          <t>ROE（%）</t>
        </is>
      </c>
      <c r="B9" s="27" t="n">
        <v>10.85</v>
      </c>
      <c r="C9" s="27" t="n">
        <v>12.36</v>
      </c>
      <c r="D9" s="27" t="n">
        <v>11.38</v>
      </c>
      <c r="E9" s="27" t="n">
        <v>10.08</v>
      </c>
      <c r="F9" s="27" t="n">
        <v>9.15</v>
      </c>
      <c r="G9" s="21" t="n">
        <v>8.07</v>
      </c>
    </row>
    <row r="10">
      <c r="A10" s="6" t="inlineStr">
        <is>
          <t>净息差（%）</t>
        </is>
      </c>
      <c r="B10" s="27" t="n">
        <v>2.74</v>
      </c>
      <c r="C10" s="27" t="n">
        <v>2.75</v>
      </c>
      <c r="D10" s="27" t="n">
        <v>2.38</v>
      </c>
      <c r="E10" s="27" t="n">
        <v>1.87</v>
      </c>
      <c r="F10" s="27" t="n">
        <v>1.78</v>
      </c>
      <c r="G10" s="21" t="n">
        <v>1.8</v>
      </c>
    </row>
    <row r="11">
      <c r="A11" s="6" t="inlineStr">
        <is>
          <t>不良率（%）</t>
        </is>
      </c>
      <c r="B11" s="27" t="n">
        <v>1.02</v>
      </c>
      <c r="C11" s="27" t="n">
        <v>1.05</v>
      </c>
      <c r="D11" s="27" t="n">
        <v>1.06</v>
      </c>
      <c r="E11" s="27" t="n">
        <v>1.06</v>
      </c>
      <c r="F11" s="27" t="n">
        <v>1.05</v>
      </c>
      <c r="G11" s="21" t="n">
        <v>1.05</v>
      </c>
    </row>
    <row r="12">
      <c r="A12" s="6" t="inlineStr">
        <is>
          <t>拨备覆盖率（%）</t>
        </is>
      </c>
      <c r="B12" s="36" t="n">
        <v>288.42</v>
      </c>
      <c r="C12" s="36" t="n">
        <v>290.28</v>
      </c>
      <c r="D12" s="36" t="n">
        <v>261.14</v>
      </c>
      <c r="E12" s="36" t="n">
        <v>250.71</v>
      </c>
      <c r="F12" s="36" t="n">
        <v>220.88</v>
      </c>
      <c r="G12" s="37" t="n">
        <v>214.75</v>
      </c>
    </row>
    <row r="13">
      <c r="A13" s="6" t="inlineStr">
        <is>
          <t>核心一级资本（%）</t>
        </is>
      </c>
      <c r="B13" s="27" t="n">
        <v>8.6</v>
      </c>
      <c r="C13" s="27" t="n">
        <v>8.640000000000001</v>
      </c>
      <c r="D13" s="27" t="n">
        <v>9.220000000000001</v>
      </c>
      <c r="E13" s="27" t="n">
        <v>10.69</v>
      </c>
      <c r="F13" s="27" t="n">
        <v>11.49</v>
      </c>
      <c r="G13" s="21" t="n">
        <v>11.26</v>
      </c>
    </row>
    <row r="14">
      <c r="A14" s="6" t="inlineStr">
        <is>
          <t>DPS（元）</t>
        </is>
      </c>
      <c r="B14" s="34" t="n">
        <v>0.228</v>
      </c>
      <c r="C14" s="34" t="n">
        <v>0.285</v>
      </c>
      <c r="D14" s="34" t="n">
        <v>0.719</v>
      </c>
      <c r="E14" s="34" t="n">
        <v>0.608</v>
      </c>
      <c r="F14" s="34" t="n">
        <v>0.596</v>
      </c>
      <c r="G14" s="35" t="n">
        <v>0.249</v>
      </c>
    </row>
    <row r="15">
      <c r="A15" s="6" t="inlineStr">
        <is>
          <t>分红率（%）</t>
        </is>
      </c>
      <c r="B15" s="36" t="n">
        <v>13.2</v>
      </c>
      <c r="C15" s="36" t="n">
        <v>13</v>
      </c>
      <c r="D15" s="36" t="n">
        <v>32</v>
      </c>
      <c r="E15" s="36" t="n">
        <v>28.3</v>
      </c>
      <c r="F15" s="36" t="n">
        <v>28.8</v>
      </c>
      <c r="G15" s="37" t="inlineStr">
        <is>
          <t>—</t>
        </is>
      </c>
    </row>
    <row r="16" ht="22" customHeight="1">
      <c r="A16" s="4" t="inlineStr">
        <is>
          <t>2026E 关键假设</t>
        </is>
      </c>
    </row>
    <row r="17" ht="28" customHeight="1">
      <c r="A17" s="5" t="inlineStr">
        <is>
          <t>项目</t>
        </is>
      </c>
      <c r="B17" s="5" t="inlineStr">
        <is>
          <t>数值</t>
        </is>
      </c>
      <c r="C17" s="5" t="inlineStr">
        <is>
          <t>说明</t>
        </is>
      </c>
      <c r="D17" s="5" t="inlineStr"/>
      <c r="E17" s="5" t="inlineStr"/>
      <c r="F17" s="5" t="inlineStr"/>
      <c r="G17" s="5" t="inlineStr"/>
      <c r="H17" s="5" t="inlineStr"/>
      <c r="I17" s="5" t="inlineStr"/>
    </row>
    <row r="18">
      <c r="A18" s="6" t="inlineStr">
        <is>
          <t>2026E 归母净利</t>
        </is>
      </c>
      <c r="B18" s="13" t="n">
        <v>435</v>
      </c>
      <c r="C18" s="8" t="inlineStr">
        <is>
          <t>9M 391.86 亿 + Q4 约 43 亿</t>
        </is>
      </c>
      <c r="D18" s="9" t="n"/>
      <c r="E18" s="9" t="n"/>
      <c r="F18" s="9" t="n"/>
      <c r="G18" s="9" t="n"/>
      <c r="H18" s="9" t="n"/>
      <c r="I18" s="10" t="n"/>
    </row>
    <row r="19">
      <c r="A19" s="6" t="inlineStr">
        <is>
          <t>2026E EPS</t>
        </is>
      </c>
      <c r="B19" s="7" t="n">
        <v>2.24</v>
      </c>
      <c r="C19" s="8" t="inlineStr">
        <is>
          <t>归母净利 / 194.06 亿股</t>
        </is>
      </c>
      <c r="D19" s="9" t="n"/>
      <c r="E19" s="9" t="n"/>
      <c r="F19" s="9" t="n"/>
      <c r="G19" s="9" t="n"/>
      <c r="H19" s="9" t="n"/>
      <c r="I19" s="10" t="n"/>
    </row>
    <row r="20">
      <c r="A20" s="6" t="inlineStr">
        <is>
          <t>2026E DPS</t>
        </is>
      </c>
      <c r="B20" s="15" t="n">
        <v>0.65</v>
      </c>
      <c r="C20" s="8" t="inlineStr">
        <is>
          <t>分红率约 29%</t>
        </is>
      </c>
      <c r="D20" s="9" t="n"/>
      <c r="E20" s="9" t="n"/>
      <c r="F20" s="9" t="n"/>
      <c r="G20" s="9" t="n"/>
      <c r="H20" s="9" t="n"/>
      <c r="I20" s="10" t="n"/>
    </row>
    <row r="21">
      <c r="A21" s="6" t="inlineStr">
        <is>
          <t>2026E ROE</t>
        </is>
      </c>
      <c r="B21" s="38" t="n">
        <v>8.800000000000001</v>
      </c>
      <c r="C21" s="8" t="inlineStr">
        <is>
          <t>较 2025 年 9.15% 继续下行</t>
        </is>
      </c>
      <c r="D21" s="9" t="n"/>
      <c r="E21" s="9" t="n"/>
      <c r="F21" s="9" t="n"/>
      <c r="G21" s="9" t="n"/>
      <c r="H21" s="9" t="n"/>
      <c r="I21" s="10" t="n"/>
    </row>
  </sheetData>
  <mergeCells count="8">
    <mergeCell ref="A2:I2"/>
    <mergeCell ref="C18:I18"/>
    <mergeCell ref="C21:I21"/>
    <mergeCell ref="A1:I1"/>
    <mergeCell ref="C20:I20"/>
    <mergeCell ref="A3:I3"/>
    <mergeCell ref="C19:I19"/>
    <mergeCell ref="A16:I16"/>
  </mergeCell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56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28" customHeight="1">
      <c r="A1" s="1" t="inlineStr">
        <is>
          <t>平安银行 · 零售银行结构与资产质量</t>
        </is>
      </c>
    </row>
    <row r="2" ht="18" customHeight="1">
      <c r="A2" s="2" t="inlineStr">
        <is>
          <t>2026Q3 零售客户 1.3028 亿户、AUM 4.39 万亿；个人贷款 1.7225 万亿</t>
        </is>
      </c>
    </row>
    <row r="4" ht="28" customHeight="1">
      <c r="A4" s="5" t="inlineStr">
        <is>
          <t>指标</t>
        </is>
      </c>
      <c r="B4" s="5" t="inlineStr">
        <is>
          <t>2025</t>
        </is>
      </c>
      <c r="C4" s="5" t="inlineStr">
        <is>
          <t>2026Q3</t>
        </is>
      </c>
      <c r="D4" s="5" t="inlineStr">
        <is>
          <t>同比/较上年末</t>
        </is>
      </c>
      <c r="E4" s="5" t="inlineStr">
        <is>
          <t>说明</t>
        </is>
      </c>
      <c r="F4" s="5" t="inlineStr"/>
      <c r="G4" s="5" t="inlineStr"/>
      <c r="H4" s="5" t="inlineStr"/>
    </row>
    <row r="5">
      <c r="A5" s="6" t="inlineStr">
        <is>
          <t>零售客户数（万户）</t>
        </is>
      </c>
      <c r="B5" s="39" t="inlineStr">
        <is>
          <t>—</t>
        </is>
      </c>
      <c r="C5" s="39" t="n">
        <v>13028</v>
      </c>
      <c r="D5" s="40" t="inlineStr">
        <is>
          <t>+1.9%</t>
        </is>
      </c>
      <c r="E5" s="8" t="inlineStr">
        <is>
          <t>零售客户基础</t>
        </is>
      </c>
      <c r="F5" s="9" t="n"/>
      <c r="G5" s="9" t="n"/>
      <c r="H5" s="10" t="n"/>
    </row>
    <row r="6">
      <c r="A6" s="6" t="inlineStr">
        <is>
          <t>零售 AUM（万亿）</t>
        </is>
      </c>
      <c r="B6" s="39" t="inlineStr">
        <is>
          <t>—</t>
        </is>
      </c>
      <c r="C6" s="39" t="n">
        <v>4.39</v>
      </c>
      <c r="D6" s="40" t="inlineStr">
        <is>
          <t>+3.6%</t>
        </is>
      </c>
      <c r="E6" s="8" t="inlineStr">
        <is>
          <t>财富管理规模</t>
        </is>
      </c>
      <c r="F6" s="9" t="n"/>
      <c r="G6" s="9" t="n"/>
      <c r="H6" s="10" t="n"/>
    </row>
    <row r="7">
      <c r="A7" s="6" t="inlineStr">
        <is>
          <t>私行 AUM（万亿）</t>
        </is>
      </c>
      <c r="B7" s="39" t="inlineStr">
        <is>
          <t>—</t>
        </is>
      </c>
      <c r="C7" s="39" t="n">
        <v>2.1</v>
      </c>
      <c r="D7" s="40" t="inlineStr">
        <is>
          <t>+5.2%</t>
        </is>
      </c>
      <c r="E7" s="8" t="inlineStr">
        <is>
          <t>高净值客户</t>
        </is>
      </c>
      <c r="F7" s="9" t="n"/>
      <c r="G7" s="9" t="n"/>
      <c r="H7" s="10" t="n"/>
    </row>
    <row r="8">
      <c r="A8" s="6" t="inlineStr">
        <is>
          <t>个人贷款（万亿）</t>
        </is>
      </c>
      <c r="B8" s="39" t="inlineStr">
        <is>
          <t>—</t>
        </is>
      </c>
      <c r="C8" s="39" t="n">
        <v>1.7225</v>
      </c>
      <c r="D8" s="41" t="inlineStr">
        <is>
          <t>-0.3%</t>
        </is>
      </c>
      <c r="E8" s="8" t="inlineStr">
        <is>
          <t>主动压降高风险零售</t>
        </is>
      </c>
      <c r="F8" s="9" t="n"/>
      <c r="G8" s="9" t="n"/>
      <c r="H8" s="10" t="n"/>
    </row>
    <row r="9">
      <c r="A9" s="6" t="inlineStr">
        <is>
          <t>净息差（%）</t>
        </is>
      </c>
      <c r="B9" s="39" t="n">
        <v>1.78</v>
      </c>
      <c r="C9" s="39" t="n">
        <v>1.8</v>
      </c>
      <c r="D9" s="40" t="inlineStr">
        <is>
          <t>+1bp</t>
        </is>
      </c>
      <c r="E9" s="8" t="inlineStr">
        <is>
          <t>同比企稳</t>
        </is>
      </c>
      <c r="F9" s="9" t="n"/>
      <c r="G9" s="9" t="n"/>
      <c r="H9" s="10" t="n"/>
    </row>
    <row r="10">
      <c r="A10" s="6" t="inlineStr">
        <is>
          <t>不良率（%）</t>
        </is>
      </c>
      <c r="B10" s="39" t="n">
        <v>1.05</v>
      </c>
      <c r="C10" s="39" t="n">
        <v>1.05</v>
      </c>
      <c r="D10" s="40" t="inlineStr">
        <is>
          <t>持平</t>
        </is>
      </c>
      <c r="E10" s="8" t="inlineStr">
        <is>
          <t>总体稳定</t>
        </is>
      </c>
      <c r="F10" s="9" t="n"/>
      <c r="G10" s="9" t="n"/>
      <c r="H10" s="10" t="n"/>
    </row>
    <row r="11">
      <c r="A11" s="6" t="inlineStr">
        <is>
          <t>关注类占比（%）</t>
        </is>
      </c>
      <c r="B11" s="39" t="inlineStr">
        <is>
          <t>—</t>
        </is>
      </c>
      <c r="C11" s="39" t="n">
        <v>2.07</v>
      </c>
      <c r="D11" s="40" t="inlineStr">
        <is>
          <t>+24bp</t>
        </is>
      </c>
      <c r="E11" s="8" t="inlineStr">
        <is>
          <t>需重点跟踪</t>
        </is>
      </c>
      <c r="F11" s="9" t="n"/>
      <c r="G11" s="9" t="n"/>
      <c r="H11" s="10" t="n"/>
    </row>
    <row r="12">
      <c r="A12" s="6" t="inlineStr">
        <is>
          <t>逾期率（%）</t>
        </is>
      </c>
      <c r="B12" s="39" t="inlineStr">
        <is>
          <t>—</t>
        </is>
      </c>
      <c r="C12" s="39" t="n">
        <v>1.59</v>
      </c>
      <c r="D12" s="40" t="inlineStr">
        <is>
          <t>+10bp</t>
        </is>
      </c>
      <c r="E12" s="8" t="inlineStr">
        <is>
          <t>需重点跟踪</t>
        </is>
      </c>
      <c r="F12" s="9" t="n"/>
      <c r="G12" s="9" t="n"/>
      <c r="H12" s="10" t="n"/>
    </row>
    <row r="13">
      <c r="A13" s="6" t="inlineStr">
        <is>
          <t>拨备覆盖率（%）</t>
        </is>
      </c>
      <c r="B13" s="39" t="n">
        <v>220.88</v>
      </c>
      <c r="C13" s="39" t="n">
        <v>214.75</v>
      </c>
      <c r="D13" s="41" t="inlineStr">
        <is>
          <t>-6.13pct</t>
        </is>
      </c>
      <c r="E13" s="8" t="inlineStr">
        <is>
          <t>缓冲变薄</t>
        </is>
      </c>
      <c r="F13" s="9" t="n"/>
      <c r="G13" s="9" t="n"/>
      <c r="H13" s="10" t="n"/>
    </row>
    <row r="14">
      <c r="A14" s="6" t="inlineStr">
        <is>
          <t>核心一级资本（%）</t>
        </is>
      </c>
      <c r="B14" s="39" t="n">
        <v>11.49</v>
      </c>
      <c r="C14" s="39" t="n">
        <v>11.26</v>
      </c>
      <c r="D14" s="41" t="inlineStr">
        <is>
          <t>-0.23pct</t>
        </is>
      </c>
      <c r="E14" s="8" t="inlineStr">
        <is>
          <t>资本充足</t>
        </is>
      </c>
      <c r="F14" s="9" t="n"/>
      <c r="G14" s="9" t="n"/>
      <c r="H14" s="10" t="n"/>
    </row>
    <row r="16" ht="22" customHeight="1">
      <c r="A16" s="4" t="inlineStr">
        <is>
          <t>零售资产质量拆分（2026Q3）</t>
        </is>
      </c>
    </row>
    <row r="17" ht="28" customHeight="1">
      <c r="A17" s="5" t="inlineStr">
        <is>
          <t>产品</t>
        </is>
      </c>
      <c r="B17" s="5" t="inlineStr">
        <is>
          <t>不良率</t>
        </is>
      </c>
      <c r="C17" s="5" t="inlineStr">
        <is>
          <t>环比</t>
        </is>
      </c>
      <c r="D17" s="5" t="inlineStr">
        <is>
          <t>说明</t>
        </is>
      </c>
      <c r="E17" s="5" t="inlineStr"/>
      <c r="F17" s="5" t="inlineStr"/>
      <c r="G17" s="5" t="inlineStr"/>
      <c r="H17" s="5" t="inlineStr"/>
    </row>
    <row r="18">
      <c r="A18" s="6" t="inlineStr">
        <is>
          <t>信用卡</t>
        </is>
      </c>
      <c r="B18" s="27" t="n">
        <v>2.15</v>
      </c>
      <c r="C18" s="24" t="inlineStr">
        <is>
          <t>-8bp</t>
        </is>
      </c>
      <c r="D18" s="8" t="inlineStr">
        <is>
          <t>仍处高位，但边际改善</t>
        </is>
      </c>
      <c r="E18" s="9" t="n"/>
      <c r="F18" s="9" t="n"/>
      <c r="G18" s="9" t="n"/>
      <c r="H18" s="10" t="n"/>
    </row>
    <row r="19">
      <c r="A19" s="6" t="inlineStr">
        <is>
          <t>消费贷</t>
        </is>
      </c>
      <c r="B19" s="27" t="n">
        <v>1.16</v>
      </c>
      <c r="C19" s="24" t="inlineStr">
        <is>
          <t>-8bp</t>
        </is>
      </c>
      <c r="D19" s="8" t="inlineStr">
        <is>
          <t>压降高风险客群</t>
        </is>
      </c>
      <c r="E19" s="9" t="n"/>
      <c r="F19" s="9" t="n"/>
      <c r="G19" s="9" t="n"/>
      <c r="H19" s="10" t="n"/>
    </row>
    <row r="20">
      <c r="A20" s="6" t="inlineStr">
        <is>
          <t>按揭</t>
        </is>
      </c>
      <c r="B20" s="27" t="n">
        <v>0.26</v>
      </c>
      <c r="C20" s="24" t="inlineStr">
        <is>
          <t>—</t>
        </is>
      </c>
      <c r="D20" s="8" t="inlineStr">
        <is>
          <t>最优质资产</t>
        </is>
      </c>
      <c r="E20" s="9" t="n"/>
      <c r="F20" s="9" t="n"/>
      <c r="G20" s="9" t="n"/>
      <c r="H20" s="10" t="n"/>
    </row>
    <row r="21">
      <c r="A21" s="6" t="inlineStr">
        <is>
          <t>经营贷</t>
        </is>
      </c>
      <c r="B21" s="27" t="n">
        <v>1.17</v>
      </c>
      <c r="C21" s="24" t="inlineStr">
        <is>
          <t>—</t>
        </is>
      </c>
      <c r="D21" s="8" t="inlineStr">
        <is>
          <t>需跟踪小微景气</t>
        </is>
      </c>
      <c r="E21" s="9" t="n"/>
      <c r="F21" s="9" t="n"/>
      <c r="G21" s="9" t="n"/>
      <c r="H21" s="10" t="n"/>
    </row>
  </sheetData>
  <mergeCells count="17">
    <mergeCell ref="E14:H14"/>
    <mergeCell ref="D21:H21"/>
    <mergeCell ref="E9:H9"/>
    <mergeCell ref="D20:H20"/>
    <mergeCell ref="E8:H8"/>
    <mergeCell ref="A2:H2"/>
    <mergeCell ref="E12:H12"/>
    <mergeCell ref="A16:H16"/>
    <mergeCell ref="E6:H6"/>
    <mergeCell ref="D19:H19"/>
    <mergeCell ref="D18:H18"/>
    <mergeCell ref="E7:H7"/>
    <mergeCell ref="A1:H1"/>
    <mergeCell ref="E11:H11"/>
    <mergeCell ref="E10:H10"/>
    <mergeCell ref="E5:H5"/>
    <mergeCell ref="E13:H13"/>
  </mergeCell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H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60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28" customHeight="1">
      <c r="A1" s="1" t="inlineStr">
        <is>
          <t>平安银行 · 剩余收益（RI）与 PB-ROE</t>
        </is>
      </c>
    </row>
    <row r="2" ht="18" customHeight="1">
      <c r="A2" s="2" t="inlineStr">
        <is>
          <t>RI = BPS + (ROE − COE) × BPS / (COE − g)；Justified PB = (ROE − g)/(COE − g)</t>
        </is>
      </c>
    </row>
    <row r="4" ht="22" customHeight="1">
      <c r="A4" s="4" t="inlineStr">
        <is>
          <t>A. 剩余收益</t>
        </is>
      </c>
    </row>
    <row r="5" ht="28" customHeight="1">
      <c r="A5" s="5" t="inlineStr">
        <is>
          <t>项目</t>
        </is>
      </c>
      <c r="B5" s="5" t="inlineStr">
        <is>
          <t>数值</t>
        </is>
      </c>
      <c r="C5" s="5" t="inlineStr">
        <is>
          <t>单位</t>
        </is>
      </c>
      <c r="D5" s="5" t="inlineStr">
        <is>
          <t>公式/说明</t>
        </is>
      </c>
      <c r="E5" s="5" t="inlineStr"/>
      <c r="F5" s="5" t="inlineStr"/>
      <c r="G5" s="5" t="inlineStr"/>
      <c r="H5" s="5" t="inlineStr"/>
    </row>
    <row r="6">
      <c r="A6" s="6" t="inlineStr">
        <is>
          <t>BPS</t>
        </is>
      </c>
      <c r="B6" s="7" t="n">
        <v>24.56</v>
      </c>
      <c r="C6" s="42" t="inlineStr">
        <is>
          <t>元/股</t>
        </is>
      </c>
      <c r="D6" s="8" t="inlineStr">
        <is>
          <t>2026Q3</t>
        </is>
      </c>
      <c r="E6" s="9" t="n"/>
      <c r="F6" s="9" t="n"/>
      <c r="G6" s="9" t="n"/>
      <c r="H6" s="10" t="n"/>
    </row>
    <row r="7">
      <c r="A7" s="6" t="inlineStr">
        <is>
          <t>可持续 ROE</t>
        </is>
      </c>
      <c r="B7" s="19" t="n">
        <v>0.075</v>
      </c>
      <c r="C7" s="42" t="inlineStr">
        <is>
          <t>%</t>
        </is>
      </c>
      <c r="D7" s="8" t="inlineStr">
        <is>
          <t>输入</t>
        </is>
      </c>
      <c r="E7" s="9" t="n"/>
      <c r="F7" s="9" t="n"/>
      <c r="G7" s="9" t="n"/>
      <c r="H7" s="10" t="n"/>
    </row>
    <row r="8">
      <c r="A8" s="6" t="inlineStr">
        <is>
          <t>COE</t>
        </is>
      </c>
      <c r="B8" s="19" t="n">
        <v>0.115</v>
      </c>
      <c r="C8" s="42" t="inlineStr">
        <is>
          <t>%</t>
        </is>
      </c>
      <c r="D8" s="8" t="inlineStr">
        <is>
          <t>输入</t>
        </is>
      </c>
      <c r="E8" s="9" t="n"/>
      <c r="F8" s="9" t="n"/>
      <c r="G8" s="9" t="n"/>
      <c r="H8" s="10" t="n"/>
    </row>
    <row r="9">
      <c r="A9" s="6" t="inlineStr">
        <is>
          <t>永续增长 g</t>
        </is>
      </c>
      <c r="B9" s="19" t="n">
        <v>0.035</v>
      </c>
      <c r="C9" s="42" t="inlineStr">
        <is>
          <t>%</t>
        </is>
      </c>
      <c r="D9" s="8" t="inlineStr">
        <is>
          <t>输入</t>
        </is>
      </c>
      <c r="E9" s="9" t="n"/>
      <c r="F9" s="9" t="n"/>
      <c r="G9" s="9" t="n"/>
      <c r="H9" s="10" t="n"/>
    </row>
    <row r="10">
      <c r="A10" s="6" t="inlineStr">
        <is>
          <t>RI 每股价值</t>
        </is>
      </c>
      <c r="B10" s="21">
        <f>B6+(B7-B8)*B6/(B8-B9)</f>
        <v/>
      </c>
      <c r="C10" s="42" t="inlineStr">
        <is>
          <t>元/股</t>
        </is>
      </c>
      <c r="D10" s="8" t="inlineStr">
        <is>
          <t>BPS+(ROE−COE)×BPS/(COE−g)</t>
        </is>
      </c>
      <c r="E10" s="9" t="n"/>
      <c r="F10" s="9" t="n"/>
      <c r="G10" s="9" t="n"/>
      <c r="H10" s="10" t="n"/>
    </row>
    <row r="12" ht="22" customHeight="1">
      <c r="A12" s="4" t="inlineStr">
        <is>
          <t>B. PB-ROE 交叉</t>
        </is>
      </c>
    </row>
    <row r="13" ht="28" customHeight="1">
      <c r="A13" s="5" t="inlineStr">
        <is>
          <t>项目</t>
        </is>
      </c>
      <c r="B13" s="5" t="inlineStr">
        <is>
          <t>数值</t>
        </is>
      </c>
      <c r="C13" s="5" t="inlineStr">
        <is>
          <t>单位</t>
        </is>
      </c>
      <c r="D13" s="5" t="inlineStr">
        <is>
          <t>说明</t>
        </is>
      </c>
      <c r="E13" s="5" t="inlineStr"/>
      <c r="F13" s="5" t="inlineStr"/>
      <c r="G13" s="5" t="inlineStr"/>
      <c r="H13" s="5" t="inlineStr"/>
    </row>
    <row r="14">
      <c r="A14" s="6" t="inlineStr">
        <is>
          <t>Justified PB</t>
        </is>
      </c>
      <c r="B14" s="18">
        <f>(B7-B9)/(B8-B9)</f>
        <v/>
      </c>
      <c r="C14" s="42" t="inlineStr">
        <is>
          <t>倍</t>
        </is>
      </c>
      <c r="D14" s="8" t="inlineStr">
        <is>
          <t>(ROE−g)/(COE−g)</t>
        </is>
      </c>
      <c r="E14" s="9" t="n"/>
      <c r="F14" s="9" t="n"/>
      <c r="G14" s="9" t="n"/>
      <c r="H14" s="10" t="n"/>
    </row>
    <row r="15">
      <c r="A15" s="6" t="inlineStr">
        <is>
          <t>PB 估值</t>
        </is>
      </c>
      <c r="B15" s="21">
        <f>B6*B14</f>
        <v/>
      </c>
      <c r="C15" s="42" t="inlineStr">
        <is>
          <t>元/股</t>
        </is>
      </c>
      <c r="D15" s="8" t="inlineStr">
        <is>
          <t>BPS×Justified PB</t>
        </is>
      </c>
      <c r="E15" s="9" t="n"/>
      <c r="F15" s="9" t="n"/>
      <c r="G15" s="9" t="n"/>
      <c r="H15" s="10" t="n"/>
    </row>
    <row r="16">
      <c r="A16" s="6" t="inlineStr">
        <is>
          <t>现价隐含 ROE</t>
        </is>
      </c>
      <c r="B16" s="16">
        <f>0.474*(B8-B9)+B9</f>
        <v/>
      </c>
      <c r="C16" s="42" t="inlineStr">
        <is>
          <t>%</t>
        </is>
      </c>
      <c r="D16" s="8" t="inlineStr">
        <is>
          <t>PB×(COE−g)+g</t>
        </is>
      </c>
      <c r="E16" s="9" t="n"/>
      <c r="F16" s="9" t="n"/>
      <c r="G16" s="9" t="n"/>
      <c r="H16" s="10" t="n"/>
    </row>
    <row r="18" ht="22" customHeight="1">
      <c r="A18" s="4" t="inlineStr">
        <is>
          <t>C. DDM 交叉</t>
        </is>
      </c>
    </row>
    <row r="19" ht="28" customHeight="1">
      <c r="A19" s="5" t="inlineStr">
        <is>
          <t>项目</t>
        </is>
      </c>
      <c r="B19" s="5" t="inlineStr">
        <is>
          <t>数值</t>
        </is>
      </c>
      <c r="C19" s="5" t="inlineStr">
        <is>
          <t>单位</t>
        </is>
      </c>
      <c r="D19" s="5" t="inlineStr">
        <is>
          <t>说明</t>
        </is>
      </c>
      <c r="E19" s="5" t="inlineStr"/>
      <c r="F19" s="5" t="inlineStr"/>
      <c r="G19" s="5" t="inlineStr"/>
      <c r="H19" s="5" t="inlineStr"/>
    </row>
    <row r="20">
      <c r="A20" s="6" t="inlineStr">
        <is>
          <t>归一化 DPS</t>
        </is>
      </c>
      <c r="B20" s="15" t="n">
        <v>0.65</v>
      </c>
      <c r="C20" s="42" t="inlineStr">
        <is>
          <t>元/股</t>
        </is>
      </c>
      <c r="D20" s="8" t="inlineStr">
        <is>
          <t>2026E 分红率约 29%</t>
        </is>
      </c>
      <c r="E20" s="9" t="n"/>
      <c r="F20" s="9" t="n"/>
      <c r="G20" s="9" t="n"/>
      <c r="H20" s="10" t="n"/>
    </row>
    <row r="21">
      <c r="A21" s="6" t="inlineStr">
        <is>
          <t>COE</t>
        </is>
      </c>
      <c r="B21" s="19" t="n">
        <v>0.115</v>
      </c>
      <c r="C21" s="42" t="inlineStr">
        <is>
          <t>%</t>
        </is>
      </c>
      <c r="D21" s="8" t="inlineStr">
        <is>
          <t>与 RI 一致</t>
        </is>
      </c>
      <c r="E21" s="9" t="n"/>
      <c r="F21" s="9" t="n"/>
      <c r="G21" s="9" t="n"/>
      <c r="H21" s="10" t="n"/>
    </row>
    <row r="22">
      <c r="A22" s="6" t="inlineStr">
        <is>
          <t>DDM g</t>
        </is>
      </c>
      <c r="B22" s="19" t="n">
        <v>0.035</v>
      </c>
      <c r="C22" s="42" t="inlineStr">
        <is>
          <t>%</t>
        </is>
      </c>
      <c r="D22" s="8" t="inlineStr">
        <is>
          <t>与 RI 一致</t>
        </is>
      </c>
      <c r="E22" s="9" t="n"/>
      <c r="F22" s="9" t="n"/>
      <c r="G22" s="9" t="n"/>
      <c r="H22" s="10" t="n"/>
    </row>
    <row r="23">
      <c r="A23" s="6" t="inlineStr">
        <is>
          <t>DDM 每股价值</t>
        </is>
      </c>
      <c r="B23" s="21">
        <f>B20/(B21-B22)</f>
        <v/>
      </c>
      <c r="C23" s="42" t="inlineStr">
        <is>
          <t>元/股</t>
        </is>
      </c>
      <c r="D23" s="8" t="inlineStr">
        <is>
          <t>DPS/(COE−g)</t>
        </is>
      </c>
      <c r="E23" s="9" t="n"/>
      <c r="F23" s="9" t="n"/>
      <c r="G23" s="9" t="n"/>
      <c r="H23" s="10" t="n"/>
    </row>
  </sheetData>
  <mergeCells count="17">
    <mergeCell ref="A12:H12"/>
    <mergeCell ref="A4:H4"/>
    <mergeCell ref="A18:H18"/>
    <mergeCell ref="D7:H7"/>
    <mergeCell ref="D8:H8"/>
    <mergeCell ref="D6:H6"/>
    <mergeCell ref="D15:H15"/>
    <mergeCell ref="D16:H16"/>
    <mergeCell ref="D20:H20"/>
    <mergeCell ref="D21:H21"/>
    <mergeCell ref="D10:H10"/>
    <mergeCell ref="A2:H2"/>
    <mergeCell ref="D23:H23"/>
    <mergeCell ref="D14:H14"/>
    <mergeCell ref="A1:H1"/>
    <mergeCell ref="D22:H22"/>
    <mergeCell ref="D9:H9"/>
  </mergeCells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H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" customWidth="1" min="7" max="7"/>
    <col width="3" customWidth="1" min="8" max="8"/>
  </cols>
  <sheetData>
    <row r="1" ht="28" customHeight="1">
      <c r="A1" s="1" t="inlineStr">
        <is>
          <t>平安银行 · RI 敏感性：COE × 可持续 ROE</t>
        </is>
      </c>
    </row>
    <row r="2" ht="18" customHeight="1">
      <c r="A2" s="2" t="inlineStr">
        <is>
          <t>单元格为每股价值（元/股）；BPS 24.56 元、g 3.5%；现价 11.64 元</t>
        </is>
      </c>
    </row>
    <row r="4" ht="28" customHeight="1">
      <c r="A4" s="5" t="inlineStr">
        <is>
          <t>COE \ ROE</t>
        </is>
      </c>
      <c r="B4" s="5" t="inlineStr">
        <is>
          <t>6.5%</t>
        </is>
      </c>
      <c r="C4" s="5" t="inlineStr">
        <is>
          <t>7.0%</t>
        </is>
      </c>
      <c r="D4" s="5" t="inlineStr">
        <is>
          <t>7.5%</t>
        </is>
      </c>
      <c r="E4" s="5" t="inlineStr">
        <is>
          <t>8.0%</t>
        </is>
      </c>
      <c r="F4" s="5" t="inlineStr">
        <is>
          <t>8.5%</t>
        </is>
      </c>
      <c r="G4" s="5" t="inlineStr"/>
      <c r="H4" s="5" t="inlineStr"/>
    </row>
    <row r="5">
      <c r="A5" s="29" t="inlineStr">
        <is>
          <t>10.50%</t>
        </is>
      </c>
      <c r="B5" s="43" t="n">
        <v>10.53</v>
      </c>
      <c r="C5" s="44" t="n">
        <v>12.28</v>
      </c>
      <c r="D5" s="44" t="n">
        <v>14.03</v>
      </c>
      <c r="E5" s="44" t="n">
        <v>15.79</v>
      </c>
      <c r="F5" s="44" t="n">
        <v>17.54</v>
      </c>
    </row>
    <row r="6">
      <c r="A6" s="29" t="inlineStr">
        <is>
          <t>10.75%</t>
        </is>
      </c>
      <c r="B6" s="43" t="n">
        <v>10.16</v>
      </c>
      <c r="C6" s="44" t="n">
        <v>11.86</v>
      </c>
      <c r="D6" s="44" t="n">
        <v>13.55</v>
      </c>
      <c r="E6" s="44" t="n">
        <v>15.24</v>
      </c>
      <c r="F6" s="44" t="n">
        <v>16.94</v>
      </c>
    </row>
    <row r="7">
      <c r="A7" s="29" t="inlineStr">
        <is>
          <t>11.00%</t>
        </is>
      </c>
      <c r="B7" s="43" t="n">
        <v>9.82</v>
      </c>
      <c r="C7" s="43" t="n">
        <v>11.46</v>
      </c>
      <c r="D7" s="44" t="n">
        <v>13.1</v>
      </c>
      <c r="E7" s="44" t="n">
        <v>14.74</v>
      </c>
      <c r="F7" s="44" t="n">
        <v>16.37</v>
      </c>
    </row>
    <row r="8">
      <c r="A8" s="29" t="inlineStr">
        <is>
          <t>11.25%</t>
        </is>
      </c>
      <c r="B8" s="43" t="n">
        <v>9.51</v>
      </c>
      <c r="C8" s="43" t="n">
        <v>11.09</v>
      </c>
      <c r="D8" s="44" t="n">
        <v>12.68</v>
      </c>
      <c r="E8" s="44" t="n">
        <v>14.26</v>
      </c>
      <c r="F8" s="44" t="n">
        <v>15.85</v>
      </c>
    </row>
    <row r="9">
      <c r="A9" s="29" t="inlineStr">
        <is>
          <t>11.50%</t>
        </is>
      </c>
      <c r="B9" s="43" t="n">
        <v>9.210000000000001</v>
      </c>
      <c r="C9" s="43" t="n">
        <v>10.74</v>
      </c>
      <c r="D9" s="44" t="n">
        <v>12.28</v>
      </c>
      <c r="E9" s="44" t="n">
        <v>13.81</v>
      </c>
      <c r="F9" s="44" t="n">
        <v>15.35</v>
      </c>
    </row>
    <row r="10">
      <c r="A10" s="29" t="inlineStr">
        <is>
          <t>11.75%</t>
        </is>
      </c>
      <c r="B10" s="43" t="n">
        <v>8.93</v>
      </c>
      <c r="C10" s="43" t="n">
        <v>10.42</v>
      </c>
      <c r="D10" s="44" t="n">
        <v>11.91</v>
      </c>
      <c r="E10" s="44" t="n">
        <v>13.4</v>
      </c>
      <c r="F10" s="44" t="n">
        <v>14.88</v>
      </c>
    </row>
    <row r="11">
      <c r="A11" s="29" t="inlineStr">
        <is>
          <t>12.00%</t>
        </is>
      </c>
      <c r="B11" s="43" t="n">
        <v>8.67</v>
      </c>
      <c r="C11" s="43" t="n">
        <v>10.11</v>
      </c>
      <c r="D11" s="43" t="n">
        <v>11.56</v>
      </c>
      <c r="E11" s="44" t="n">
        <v>13</v>
      </c>
      <c r="F11" s="44" t="n">
        <v>14.45</v>
      </c>
    </row>
    <row r="13" ht="30" customHeight="1">
      <c r="A13" s="3" t="inlineStr">
        <is>
          <t>计算：RI=BPS+(ROE−COE)×BPS/(COE−g)。ROE 低于 COE 时，价值低于账面。</t>
        </is>
      </c>
    </row>
  </sheetData>
  <mergeCells count="3">
    <mergeCell ref="A13:H13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8D7DA"/>
        <color rgb="00FFF3CD"/>
        <color rgb="00D4EDDA"/>
      </colorScale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56" customWidth="1" min="5" max="5"/>
    <col width="3" customWidth="1" min="6" max="6"/>
    <col width="3" customWidth="1" min="7" max="7"/>
    <col width="3" customWidth="1" min="8" max="8"/>
  </cols>
  <sheetData>
    <row r="1" ht="28" customHeight="1">
      <c r="A1" s="1" t="inlineStr">
        <is>
          <t>平安银行 · 三情景假设与结果</t>
        </is>
      </c>
    </row>
    <row r="2" ht="18" customHeight="1">
      <c r="A2" s="2" t="inlineStr">
        <is>
          <t>悲观/基准/乐观不是预测，而是用于界定估值区间；所有情景均使用同一套会计口径</t>
        </is>
      </c>
    </row>
    <row r="4" ht="28" customHeight="1">
      <c r="A4" s="5" t="inlineStr">
        <is>
          <t>假设/结果</t>
        </is>
      </c>
      <c r="B4" s="5" t="inlineStr">
        <is>
          <t>悲观</t>
        </is>
      </c>
      <c r="C4" s="5" t="inlineStr">
        <is>
          <t>基准</t>
        </is>
      </c>
      <c r="D4" s="5" t="inlineStr">
        <is>
          <t>乐观</t>
        </is>
      </c>
      <c r="E4" s="5" t="inlineStr">
        <is>
          <t>说明</t>
        </is>
      </c>
      <c r="F4" s="5" t="inlineStr"/>
      <c r="G4" s="5" t="inlineStr"/>
      <c r="H4" s="5" t="inlineStr"/>
    </row>
    <row r="5">
      <c r="A5" s="6" t="inlineStr">
        <is>
          <t>可持续 ROE</t>
        </is>
      </c>
      <c r="B5" s="24" t="inlineStr">
        <is>
          <t>6.5%</t>
        </is>
      </c>
      <c r="C5" s="24" t="inlineStr">
        <is>
          <t>7.5%</t>
        </is>
      </c>
      <c r="D5" s="24" t="inlineStr">
        <is>
          <t>8.5%</t>
        </is>
      </c>
      <c r="E5" s="8" t="inlineStr">
        <is>
          <t>NIM/信用成本/零售修复</t>
        </is>
      </c>
      <c r="F5" s="9" t="n"/>
      <c r="G5" s="9" t="n"/>
      <c r="H5" s="10" t="n"/>
    </row>
    <row r="6">
      <c r="A6" s="6" t="inlineStr">
        <is>
          <t>COE</t>
        </is>
      </c>
      <c r="B6" s="24" t="inlineStr">
        <is>
          <t>12.0%</t>
        </is>
      </c>
      <c r="C6" s="24" t="inlineStr">
        <is>
          <t>11.5%</t>
        </is>
      </c>
      <c r="D6" s="24" t="inlineStr">
        <is>
          <t>11.0%</t>
        </is>
      </c>
      <c r="E6" s="8" t="inlineStr">
        <is>
          <t>股权风险溢价</t>
        </is>
      </c>
      <c r="F6" s="9" t="n"/>
      <c r="G6" s="9" t="n"/>
      <c r="H6" s="10" t="n"/>
    </row>
    <row r="7">
      <c r="A7" s="6" t="inlineStr">
        <is>
          <t>永续 g</t>
        </is>
      </c>
      <c r="B7" s="24" t="inlineStr">
        <is>
          <t>3.0%</t>
        </is>
      </c>
      <c r="C7" s="24" t="inlineStr">
        <is>
          <t>3.5%</t>
        </is>
      </c>
      <c r="D7" s="24" t="inlineStr">
        <is>
          <t>4.0%</t>
        </is>
      </c>
      <c r="E7" s="8" t="inlineStr">
        <is>
          <t>资本补充与分红</t>
        </is>
      </c>
      <c r="F7" s="9" t="n"/>
      <c r="G7" s="9" t="n"/>
      <c r="H7" s="10" t="n"/>
    </row>
    <row r="8">
      <c r="A8" s="6" t="inlineStr">
        <is>
          <t>RI 每股（元）</t>
        </is>
      </c>
      <c r="B8" s="24" t="inlineStr">
        <is>
          <t>9.55</t>
        </is>
      </c>
      <c r="C8" s="24" t="inlineStr">
        <is>
          <t>12.28</t>
        </is>
      </c>
      <c r="D8" s="24" t="inlineStr">
        <is>
          <t>15.79</t>
        </is>
      </c>
      <c r="E8" s="8" t="inlineStr">
        <is>
          <t>BPS 24.56</t>
        </is>
      </c>
      <c r="F8" s="9" t="n"/>
      <c r="G8" s="9" t="n"/>
      <c r="H8" s="10" t="n"/>
    </row>
    <row r="9">
      <c r="A9" s="6" t="inlineStr">
        <is>
          <t>DPS（元）</t>
        </is>
      </c>
      <c r="B9" s="24" t="inlineStr">
        <is>
          <t>0.55</t>
        </is>
      </c>
      <c r="C9" s="24" t="inlineStr">
        <is>
          <t>0.65</t>
        </is>
      </c>
      <c r="D9" s="24" t="inlineStr">
        <is>
          <t>1.00</t>
        </is>
      </c>
      <c r="E9" s="8" t="inlineStr">
        <is>
          <t>分红率提升情景</t>
        </is>
      </c>
      <c r="F9" s="9" t="n"/>
      <c r="G9" s="9" t="n"/>
      <c r="H9" s="10" t="n"/>
    </row>
    <row r="10">
      <c r="A10" s="6" t="inlineStr">
        <is>
          <t>DDM g</t>
        </is>
      </c>
      <c r="B10" s="24" t="inlineStr">
        <is>
          <t>3.0%</t>
        </is>
      </c>
      <c r="C10" s="24" t="inlineStr">
        <is>
          <t>3.5%</t>
        </is>
      </c>
      <c r="D10" s="24" t="inlineStr">
        <is>
          <t>4.0%</t>
        </is>
      </c>
      <c r="E10" s="8" t="inlineStr"/>
      <c r="F10" s="9" t="n"/>
      <c r="G10" s="9" t="n"/>
      <c r="H10" s="10" t="n"/>
    </row>
    <row r="11">
      <c r="A11" s="6" t="inlineStr">
        <is>
          <t>DDM 每股（元）</t>
        </is>
      </c>
      <c r="B11" s="24" t="inlineStr">
        <is>
          <t>6.11</t>
        </is>
      </c>
      <c r="C11" s="24" t="inlineStr">
        <is>
          <t>8.13</t>
        </is>
      </c>
      <c r="D11" s="24" t="inlineStr">
        <is>
          <t>14.29</t>
        </is>
      </c>
      <c r="E11" s="8" t="inlineStr">
        <is>
          <t>DPS/(COE−g)</t>
        </is>
      </c>
      <c r="F11" s="9" t="n"/>
      <c r="G11" s="9" t="n"/>
      <c r="H11" s="10" t="n"/>
    </row>
    <row r="12">
      <c r="A12" s="20" t="inlineStr">
        <is>
          <t>综合每股（元）</t>
        </is>
      </c>
      <c r="B12" s="29" t="inlineStr">
        <is>
          <t>8.52</t>
        </is>
      </c>
      <c r="C12" s="45" t="inlineStr">
        <is>
          <t>11.03</t>
        </is>
      </c>
      <c r="D12" s="29" t="inlineStr">
        <is>
          <t>15.34</t>
        </is>
      </c>
      <c r="E12" s="8" t="inlineStr">
        <is>
          <t>70/30 加权</t>
        </is>
      </c>
      <c r="F12" s="9" t="n"/>
      <c r="G12" s="9" t="n"/>
      <c r="H12" s="10" t="n"/>
    </row>
    <row r="13">
      <c r="A13" s="6" t="inlineStr">
        <is>
          <t>相对现价</t>
        </is>
      </c>
      <c r="B13" s="24" t="inlineStr">
        <is>
          <t>-26.8%</t>
        </is>
      </c>
      <c r="C13" s="24" t="inlineStr">
        <is>
          <t>-5.2%</t>
        </is>
      </c>
      <c r="D13" s="24" t="inlineStr">
        <is>
          <t>+31.8%</t>
        </is>
      </c>
      <c r="E13" s="8" t="inlineStr">
        <is>
          <t>现价 11.64</t>
        </is>
      </c>
      <c r="F13" s="9" t="n"/>
      <c r="G13" s="9" t="n"/>
      <c r="H13" s="10" t="n"/>
    </row>
  </sheetData>
  <mergeCells count="11">
    <mergeCell ref="E9:H9"/>
    <mergeCell ref="E8:H8"/>
    <mergeCell ref="A2:H2"/>
    <mergeCell ref="E12:H12"/>
    <mergeCell ref="E6:H6"/>
    <mergeCell ref="E7:H7"/>
    <mergeCell ref="A1:H1"/>
    <mergeCell ref="E11:H11"/>
    <mergeCell ref="E10:H10"/>
    <mergeCell ref="E5:H5"/>
    <mergeCell ref="E13:H13"/>
  </mergeCells>
  <printOptions horizontalCentered="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50" customWidth="1" min="4" max="4"/>
    <col width="60" customWidth="1" min="5" max="5"/>
    <col width="3" customWidth="1" min="6" max="6"/>
    <col width="3" customWidth="1" min="7" max="7"/>
    <col width="3" customWidth="1" min="8" max="8"/>
  </cols>
  <sheetData>
    <row r="1" ht="28" customHeight="1">
      <c r="A1" s="1" t="inlineStr">
        <is>
          <t>平安银行 · 数据与来源</t>
        </is>
      </c>
    </row>
    <row r="2" ht="18" customHeight="1">
      <c r="A2" s="2" t="inlineStr">
        <is>
          <t>价格日 2026-10-30；财务数据以公司披露为准；第三方数据仅用于交叉核对</t>
        </is>
      </c>
    </row>
    <row r="4" ht="28" customHeight="1">
      <c r="A4" s="5" t="inlineStr">
        <is>
          <t>类别</t>
        </is>
      </c>
      <c r="B4" s="5" t="inlineStr">
        <is>
          <t>来源</t>
        </is>
      </c>
      <c r="C4" s="5" t="inlineStr">
        <is>
          <t>日期</t>
        </is>
      </c>
      <c r="D4" s="5" t="inlineStr">
        <is>
          <t>用途/备注</t>
        </is>
      </c>
      <c r="E4" s="5" t="inlineStr">
        <is>
          <t>链接</t>
        </is>
      </c>
      <c r="F4" s="5" t="inlineStr"/>
      <c r="G4" s="5" t="inlineStr"/>
      <c r="H4" s="5" t="inlineStr"/>
    </row>
    <row r="5" ht="30" customHeight="1">
      <c r="A5" s="24" t="inlineStr">
        <is>
          <t>行情</t>
        </is>
      </c>
      <c r="B5" s="6" t="inlineStr">
        <is>
          <t>腾讯证券 / 东方财富</t>
        </is>
      </c>
      <c r="C5" s="24" t="inlineStr">
        <is>
          <t>2026-10-30</t>
        </is>
      </c>
      <c r="D5" s="46" t="inlineStr">
        <is>
          <t>收盘价 11.64 元、市值 2,258.86 亿、PE 5.20、PB 0.47</t>
        </is>
      </c>
      <c r="E5" s="47" t="inlineStr">
        <is>
          <t>https://qt.gtimg.cn/q=sz000001</t>
        </is>
      </c>
      <c r="F5" s="9" t="n"/>
      <c r="G5" s="9" t="n"/>
      <c r="H5" s="10" t="n"/>
    </row>
    <row r="6" ht="30" customHeight="1">
      <c r="A6" s="24" t="inlineStr">
        <is>
          <t>2026 三季报</t>
        </is>
      </c>
      <c r="B6" s="6" t="inlineStr">
        <is>
          <t>平安银行 2026 年第三季度报告</t>
        </is>
      </c>
      <c r="C6" s="24" t="inlineStr">
        <is>
          <t>2026-10-24</t>
        </is>
      </c>
      <c r="D6" s="46" t="inlineStr">
        <is>
          <t>营收 1,031 亿、归母净利 391.86 亿、NPL 1.05%、拨备 214.75%</t>
        </is>
      </c>
      <c r="E6" s="47" t="inlineStr">
        <is>
          <t>https://finance.eastmoney.com/a/202610243907088337.html</t>
        </is>
      </c>
      <c r="F6" s="9" t="n"/>
      <c r="G6" s="9" t="n"/>
      <c r="H6" s="10" t="n"/>
    </row>
    <row r="7" ht="30" customHeight="1">
      <c r="A7" s="24" t="inlineStr">
        <is>
          <t>2025 年报</t>
        </is>
      </c>
      <c r="B7" s="6" t="inlineStr">
        <is>
          <t>平安银行 2025 年年度报告</t>
        </is>
      </c>
      <c r="C7" s="24" t="inlineStr">
        <is>
          <t>2026-03</t>
        </is>
      </c>
      <c r="D7" s="46" t="inlineStr">
        <is>
          <t>营收 1,314.42 亿、归母净利 426.33 亿、DPS 0.596 元</t>
        </is>
      </c>
      <c r="E7" s="47" t="inlineStr">
        <is>
          <t>https://www.szse.cn/</t>
        </is>
      </c>
      <c r="F7" s="9" t="n"/>
      <c r="G7" s="9" t="n"/>
      <c r="H7" s="10" t="n"/>
    </row>
    <row r="8" ht="30" customHeight="1">
      <c r="A8" s="24" t="inlineStr">
        <is>
          <t>分红</t>
        </is>
      </c>
      <c r="B8" s="6" t="inlineStr">
        <is>
          <t>2025 年度及 2026 中期分红公告</t>
        </is>
      </c>
      <c r="C8" s="24" t="inlineStr">
        <is>
          <t>2026</t>
        </is>
      </c>
      <c r="D8" s="46" t="inlineStr">
        <is>
          <t>2025 全年 0.596 元；2026 中期 0.249 元</t>
        </is>
      </c>
      <c r="E8" s="47" t="inlineStr">
        <is>
          <t>https://www.szse.cn/</t>
        </is>
      </c>
      <c r="F8" s="9" t="n"/>
      <c r="G8" s="9" t="n"/>
      <c r="H8" s="10" t="n"/>
    </row>
    <row r="9" ht="30" customHeight="1">
      <c r="A9" s="24" t="inlineStr">
        <is>
          <t>财务数据</t>
        </is>
      </c>
      <c r="B9" s="6" t="inlineStr">
        <is>
          <t>东方财富 F10（银行报表）</t>
        </is>
      </c>
      <c r="C9" s="24" t="inlineStr">
        <is>
          <t>2026-10-30</t>
        </is>
      </c>
      <c r="D9" s="46" t="inlineStr">
        <is>
          <t>BINCOME/BCASHFLOW/BBALANCE</t>
        </is>
      </c>
      <c r="E9" s="47" t="inlineStr">
        <is>
          <t>https://emweb.securities.eastmoney.com/</t>
        </is>
      </c>
      <c r="F9" s="9" t="n"/>
      <c r="G9" s="9" t="n"/>
      <c r="H9" s="10" t="n"/>
    </row>
    <row r="10" ht="30" customHeight="1">
      <c r="A10" s="24" t="inlineStr">
        <is>
          <t>无风险利率</t>
        </is>
      </c>
      <c r="B10" s="6" t="inlineStr">
        <is>
          <t>中国 10 年期国债</t>
        </is>
      </c>
      <c r="C10" s="24" t="inlineStr">
        <is>
          <t>2026-10-29</t>
        </is>
      </c>
      <c r="D10" s="46" t="inlineStr">
        <is>
          <t>1.6233%</t>
        </is>
      </c>
      <c r="E10" s="47" t="inlineStr">
        <is>
          <t>https://datacenter-web.eastmoney.com/</t>
        </is>
      </c>
      <c r="F10" s="9" t="n"/>
      <c r="G10" s="9" t="n"/>
      <c r="H10" s="10" t="n"/>
    </row>
    <row r="12" ht="30" customHeight="1">
      <c r="A12" s="3" t="inlineStr">
        <is>
          <t>注：部分公告链接为交易所/公司公告页；东方财富 F10 为数据供应商，原始数据以公司公告为准。</t>
        </is>
      </c>
    </row>
  </sheetData>
  <mergeCells count="9">
    <mergeCell ref="A12:H12"/>
    <mergeCell ref="E9:H9"/>
    <mergeCell ref="E8:H8"/>
    <mergeCell ref="A2:H2"/>
    <mergeCell ref="E6:H6"/>
    <mergeCell ref="E7:H7"/>
    <mergeCell ref="A1:H1"/>
    <mergeCell ref="E10:H10"/>
    <mergeCell ref="E5:H5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</hyperlink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Claudian · 巴菲特框架</dc:creator>
  <dc:title xmlns:dc="http://purl.org/dc/elements/1.1/">平安银行 000001.SZ 估值模型</dc:title>
  <dc:subject xmlns:dc="http://purl.org/dc/elements/1.1/">巴菲特框架估值，不构成投资建议</dc:subject>
  <dcterms:created xmlns:dcterms="http://purl.org/dc/terms/" xmlns:xsi="http://www.w3.org/2001/XMLSchema-instance" xsi:type="dcterms:W3CDTF">2026-10-30T07:21:05Z</dcterms:created>
  <dcterms:modified xmlns:dcterms="http://purl.org/dc/terms/" xmlns:xsi="http://www.w3.org/2001/XMLSchema-instance" xsi:type="dcterms:W3CDTF">2026-10-30T07:21:05Z</dcterms:modified>
</cp:coreProperties>
</file>