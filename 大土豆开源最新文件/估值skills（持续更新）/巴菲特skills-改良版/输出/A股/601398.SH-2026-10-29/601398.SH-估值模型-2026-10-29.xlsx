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601398.SH-2026-10-29\"/>
    </mc:Choice>
  </mc:AlternateContent>
  <xr:revisionPtr revIDLastSave="0" documentId="13_ncr:1_{B5EC9CCD-8BBA-483E-BBBE-F72927C586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银行估值" sheetId="4" r:id="rId4"/>
    <sheet name="敏感性" sheetId="5" r:id="rId5"/>
    <sheet name="RI路径" sheetId="6" r:id="rId6"/>
    <sheet name="PB-ROE" sheetId="7" r:id="rId7"/>
    <sheet name="来源" sheetId="8" r:id="rId8"/>
  </sheets>
  <definedNames>
    <definedName name="_xlnm.Print_Area" localSheetId="6">'PB-ROE'!$A$1:$G$28</definedName>
    <definedName name="_xlnm.Print_Area" localSheetId="5">RI路径!$A$1:$G$24</definedName>
    <definedName name="_xlnm.Print_Area" localSheetId="2">分部!$A$1:$F$20</definedName>
    <definedName name="_xlnm.Print_Area" localSheetId="0">结论!$A$1:$E$40</definedName>
    <definedName name="_xlnm.Print_Area" localSheetId="7">来源!$A$1:$D$13</definedName>
    <definedName name="_xlnm.Print_Area" localSheetId="1">历史财务!$A$1:$H$24</definedName>
    <definedName name="_xlnm.Print_Area" localSheetId="4">敏感性!$A$1:$G$21</definedName>
    <definedName name="_xlnm.Print_Area" localSheetId="3">银行估值!$A$1:$G$37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B11" i="4"/>
  <c r="B14" i="4" s="1"/>
  <c r="B21" i="1"/>
  <c r="B20" i="1"/>
  <c r="B22" i="1" s="1"/>
  <c r="B16" i="1"/>
  <c r="B14" i="1"/>
  <c r="B12" i="1"/>
</calcChain>
</file>

<file path=xl/sharedStrings.xml><?xml version="1.0" encoding="utf-8"?>
<sst xmlns="http://schemas.openxmlformats.org/spreadsheetml/2006/main" count="264" uniqueCount="205">
  <si>
    <t>工商银行（601398.SH）巴菲特框架估值（银行）</t>
  </si>
  <si>
    <t>研究日 2026-10-29｜收盘价 ¥8.78｜最新财报：2026 中报（2026-08-28）</t>
  </si>
  <si>
    <t>银行不适用 FCFF；本模型用剩余收益（RI）与 DDM 交叉验证。</t>
  </si>
  <si>
    <t>一句话结论</t>
  </si>
  <si>
    <t>合理偏低：RI 9.71 元，现价 8.78 元；ROE 与分红率是关键。</t>
  </si>
  <si>
    <t>关键数据（元 / 倍 / 百分比）</t>
  </si>
  <si>
    <t>项目</t>
  </si>
  <si>
    <t>数值</t>
  </si>
  <si>
    <t>备注</t>
  </si>
  <si>
    <t>收盘价（元）</t>
  </si>
  <si>
    <t>2026-10-29 收盘 8.78 元</t>
  </si>
  <si>
    <t>总股本（亿股）</t>
  </si>
  <si>
    <t>最新总股本</t>
  </si>
  <si>
    <t>市值（亿元）</t>
  </si>
  <si>
    <t>价格 × 股数</t>
  </si>
  <si>
    <t>BPS（元）</t>
  </si>
  <si>
    <t>2026H1 归母净资产/股</t>
  </si>
  <si>
    <t>PB</t>
  </si>
  <si>
    <t>价格 / BPS</t>
  </si>
  <si>
    <t>DPS（元，2026E）</t>
  </si>
  <si>
    <t>分红率约 31%</t>
  </si>
  <si>
    <t>股息率</t>
  </si>
  <si>
    <t>DPS / 价格</t>
  </si>
  <si>
    <t>ROE</t>
  </si>
  <si>
    <t>可持续 ROE</t>
  </si>
  <si>
    <t>COE</t>
  </si>
  <si>
    <t>股权成本</t>
  </si>
  <si>
    <t>g</t>
  </si>
  <si>
    <t>永续增长</t>
  </si>
  <si>
    <t>RI 价值（元）</t>
  </si>
  <si>
    <t>BPS + (ROE−COE)×BPS/(COE−g)</t>
  </si>
  <si>
    <t>DDM 价值（元）</t>
  </si>
  <si>
    <t>DPS/(COE−g)</t>
  </si>
  <si>
    <t>现价 / RI</t>
  </si>
  <si>
    <t>负 = 现价低于 RI</t>
  </si>
  <si>
    <t>情景</t>
  </si>
  <si>
    <t>RI 价值</t>
  </si>
  <si>
    <t>DDM 价值</t>
  </si>
  <si>
    <t>较现价</t>
  </si>
  <si>
    <t>读数</t>
  </si>
  <si>
    <t>悲观</t>
  </si>
  <si>
    <t>偏高</t>
  </si>
  <si>
    <t>基准</t>
  </si>
  <si>
    <t>偏低</t>
  </si>
  <si>
    <t>乐观</t>
  </si>
  <si>
    <t>现价</t>
  </si>
  <si>
    <t>结论与观察条件</t>
  </si>
  <si>
    <t>• 基准 RI ¥9.71，现价 ¥8.78；现价低于基准 9.6%。</t>
  </si>
  <si>
    <t>• 悲观 ¥7.41；基准 ¥9.71；乐观 ¥12.90；概率加权约 ¥9.66（30%/50%/20%）。</t>
  </si>
  <si>
    <t>• 反推：现价隐含 COE 约 10.5%，或可持续 ROE 约 8.5%。</t>
  </si>
  <si>
    <t>• 若要求 20% 安全边际，观察价约 ¥7.77（基准 RI × 0.8）。</t>
  </si>
  <si>
    <t>• DDM 仅作下限参考：当前分红率 31%，留存利润的 ROE 低于 COE。</t>
  </si>
  <si>
    <t>• 这不是投资建议；所有假设与数据边界见报告。</t>
  </si>
  <si>
    <t>工商银行五年财务与资产质量（亿元，除每股数据）</t>
  </si>
  <si>
    <t>来源：公司年报/中报；2026H1 为半年数据。</t>
  </si>
  <si>
    <t>2021</t>
  </si>
  <si>
    <t>2022</t>
  </si>
  <si>
    <t>2023</t>
  </si>
  <si>
    <t>2024</t>
  </si>
  <si>
    <t>2025</t>
  </si>
  <si>
    <t>2026H1</t>
  </si>
  <si>
    <t>营业收入</t>
  </si>
  <si>
    <t>年度 / 半年报</t>
  </si>
  <si>
    <t>经营利润</t>
  </si>
  <si>
    <t>净利润</t>
  </si>
  <si>
    <t>EPS（元）</t>
  </si>
  <si>
    <t>DPS（元）</t>
  </si>
  <si>
    <t>净息差</t>
  </si>
  <si>
    <t>不良率</t>
  </si>
  <si>
    <t>拨备覆盖率</t>
  </si>
  <si>
    <t>n.a.</t>
  </si>
  <si>
    <t>关键读数</t>
  </si>
  <si>
    <t>• 营业收入从 2021 年 9,428 亿降至 2024 年 8,218 亿（-12.8%），2025 年 +2.0%、2026H1 +9.1%，营收引擎重启。</t>
  </si>
  <si>
    <t>• 归母净利 2021–2025 年 CAGR 1.4%，2026H1 +3.3%；利润增速低但稳定，典型国有大行。</t>
  </si>
  <si>
    <t>• 净息差从 2.11% 降至 2025 年 1.28%，2026H1 1.29%，较年初回升 1bp，负债成本下降 30bp 是主因。</t>
  </si>
  <si>
    <t>• 不良率 1.42%→1.29%，拨备覆盖率 217.58%；但零售端分化：个人贷款不良 1.77%、信用卡 5.37%、按揭 1.29%。</t>
  </si>
  <si>
    <t>• ROE 约 9.3%，低于 9.8% 的股权成本；分红率约 31%，DPS 0.31 元，股息率 3.6%。</t>
  </si>
  <si>
    <t>• 总资产突破 57 万亿元；规模扩张仍是利润增长的主要来源，资本约束与 ROE 是长期看点。</t>
  </si>
  <si>
    <t>工商银行：分部与关键运营数据</t>
  </si>
  <si>
    <t>单位：亿元，另有注明除外；同比为公开披露口径。</t>
  </si>
  <si>
    <t>2026H1 关键指标</t>
  </si>
  <si>
    <t>单位：亿元；比率为百分比。</t>
  </si>
  <si>
    <t>指标</t>
  </si>
  <si>
    <t>同比/较年初</t>
  </si>
  <si>
    <t>+9.1%</t>
  </si>
  <si>
    <t>营收引擎重启</t>
  </si>
  <si>
    <t>归母净利润</t>
  </si>
  <si>
    <t>+3.3%</t>
  </si>
  <si>
    <t>利润增速回正</t>
  </si>
  <si>
    <t>同比 -1bp；较年初 +1bp</t>
  </si>
  <si>
    <t>负债成本下降 30bp</t>
  </si>
  <si>
    <t>较年初 -2bp</t>
  </si>
  <si>
    <t>公司类 1.26%；个人 1.77%</t>
  </si>
  <si>
    <t>较年初 +3.98pct</t>
  </si>
  <si>
    <t>风险缓冲增厚</t>
  </si>
  <si>
    <t>中期 DPS</t>
  </si>
  <si>
    <t>+6.9%</t>
  </si>
  <si>
    <t>总资产</t>
  </si>
  <si>
    <t>+8%</t>
  </si>
  <si>
    <t>资产总额突破 57 万亿</t>
  </si>
  <si>
    <t>解读</t>
  </si>
  <si>
    <t>剩余收益（RI）与 DDM 估值</t>
  </si>
  <si>
    <t>V = BPS + (ROE − COE) × BPS / (COE − g)；g 为永续增长。</t>
  </si>
  <si>
    <t>输入</t>
  </si>
  <si>
    <t>永续增长 g</t>
  </si>
  <si>
    <t>RI 价值（元/股）</t>
  </si>
  <si>
    <t>DDM 价值（元/股）</t>
  </si>
  <si>
    <t>现价（元/股）</t>
  </si>
  <si>
    <t>DPS</t>
  </si>
  <si>
    <t>敏感性：COE × ROE</t>
  </si>
  <si>
    <t>COE \ ROE</t>
  </si>
  <si>
    <t>8.0%</t>
  </si>
  <si>
    <t>8.5%</t>
  </si>
  <si>
    <t>9.0%</t>
  </si>
  <si>
    <t>9.5%</t>
  </si>
  <si>
    <t>10.0%</t>
  </si>
  <si>
    <t>反推</t>
  </si>
  <si>
    <t>现价隐含 COE</t>
  </si>
  <si>
    <t>现价隐含可持续 ROE</t>
  </si>
  <si>
    <t>RI 敏感性：COE 与可持续 ROE</t>
  </si>
  <si>
    <t>基准 g 3.5%；每股价值（元）。</t>
  </si>
  <si>
    <t>交叉检查</t>
  </si>
  <si>
    <t>方法</t>
  </si>
  <si>
    <t>每股价值</t>
  </si>
  <si>
    <t>相对现价</t>
  </si>
  <si>
    <t>剩余收益：ROE 9.0%，COE 9.8%，g 3.5%</t>
  </si>
  <si>
    <t>¥9.71</t>
  </si>
  <si>
    <t>现价低 10%</t>
  </si>
  <si>
    <t>合理偏低</t>
  </si>
  <si>
    <t>P/B-ROE 合理 PB 0.87x vs 实际 0.79x</t>
  </si>
  <si>
    <t>折价 10%</t>
  </si>
  <si>
    <t>互相验证</t>
  </si>
  <si>
    <t>DDM：DPS 0.32，COE 9.8%，g 3.5%</t>
  </si>
  <si>
    <t>¥5.08</t>
  </si>
  <si>
    <t>不适用</t>
  </si>
  <si>
    <t>分红率仅 31%，留存复利低于 COE</t>
  </si>
  <si>
    <t>股息率 3.6% vs 10Y 1.6%</t>
  </si>
  <si>
    <t>—</t>
  </si>
  <si>
    <t>利差 200bp</t>
  </si>
  <si>
    <t>红利价值</t>
  </si>
  <si>
    <t>剩余收益与 P/B-ROE 一致指向 9.7 元；DDM 因分红率低而偏低，说明估值钥匙在 ROE 与分红率，而不是短期利润。</t>
  </si>
  <si>
    <t>十年剩余收益路径（基准情景）</t>
  </si>
  <si>
    <t>BPS 按 g 增长；RI = (ROE − COE) × 期初 BPS；终值按永续增长。</t>
  </si>
  <si>
    <t>年份</t>
  </si>
  <si>
    <t>期初 BPS</t>
  </si>
  <si>
    <t>RI（元）</t>
  </si>
  <si>
    <t>折现因子</t>
  </si>
  <si>
    <t>RI 现值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</si>
  <si>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</si>
  <si>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</si>
  <si>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</si>
  <si>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</si>
  <si>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</si>
  <si>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</si>
  <si>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</si>
  <si>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</si>
  <si>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</si>
  <si>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</si>
  <si>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终值</t>
  </si>
  <si>
    <t>加总与校验</t>
  </si>
  <si>
    <t>RI 现值合计</t>
  </si>
  <si>
    <t>终值现值</t>
  </si>
  <si>
    <t>闭式公式校验</t>
  </si>
  <si>
    <t>差异</t>
  </si>
  <si>
    <t>P/B 与 ROE 的匹配</t>
  </si>
  <si>
    <t>合理 P/B = (ROE − g) / (COE − g)；用现价 P/B 反推市场隐含 ROE。</t>
  </si>
  <si>
    <t>合理 P/B 矩阵（g = 3.5%）</t>
  </si>
  <si>
    <t>ROE（行）/ COE（列）</t>
  </si>
  <si>
    <t>10.5%</t>
  </si>
  <si>
    <t>11.0%</t>
  </si>
  <si>
    <t>现价反推</t>
  </si>
  <si>
    <t>现价 P/B</t>
  </si>
  <si>
    <t>合理 P/B（基准 ROE）</t>
  </si>
  <si>
    <t>现价隐含 ROE</t>
  </si>
  <si>
    <t>隐含 ROE 与基准差</t>
  </si>
  <si>
    <t>ROE 压力测试（COE 与 g 不变）</t>
  </si>
  <si>
    <t>合理 P/B</t>
  </si>
  <si>
    <t>高于现价</t>
  </si>
  <si>
    <t>低于现价</t>
  </si>
  <si>
    <t>压力测试只下调 ROE，不改变 COE、g 与 BPS；用于判断安全边际对盈利能力的敏感度。</t>
  </si>
  <si>
    <t>数据来源与日期</t>
  </si>
  <si>
    <t>研究截止 2026-10-29；财务数据来自公司公告与交易所。</t>
  </si>
  <si>
    <t>数据</t>
  </si>
  <si>
    <t>来源</t>
  </si>
  <si>
    <t>日期</t>
  </si>
  <si>
    <t>链接/备注</t>
  </si>
  <si>
    <t>2026 年半年度报告</t>
  </si>
  <si>
    <t>上交所 / 工商银行</t>
  </si>
  <si>
    <t>2026-08-28</t>
  </si>
  <si>
    <t>营收 4,658.6 亿、归母净利 1,736.8 亿；NIM 1.29%</t>
  </si>
  <si>
    <t>2026 中报点评</t>
  </si>
  <si>
    <t>上海证券报 / 国信证券</t>
  </si>
  <si>
    <t>2026-09</t>
  </si>
  <si>
    <t>分红率提升至 31%；不良率 1.29%、拨备覆盖率 217.58%</t>
  </si>
  <si>
    <t>2025 年年度报告</t>
  </si>
  <si>
    <t>2026-03</t>
  </si>
  <si>
    <t>FY2025 营收 8,382.7 亿、归母净利 3,685.6 亿</t>
  </si>
  <si>
    <t>股价与估值</t>
  </si>
  <si>
    <t>东方财富行情</t>
  </si>
  <si>
    <t>2026-10-29</t>
  </si>
  <si>
    <t>收盘 8.78 元；PE TTM 8.36x、PB 0.80x</t>
  </si>
  <si>
    <t>中国 10 年期国债</t>
  </si>
  <si>
    <t>中国货币网</t>
  </si>
  <si>
    <t>1.61%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</si>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</sst>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\¥#,##0.00"/>
    <numFmt numFmtId="177" formatCode="0.00&quot;x&quot;"/>
    <numFmt numFmtId="178" formatCode="0.0%"/>
    <numFmt numFmtId="179" formatCode="#,##0.0"/>
    <numFmt numFmtId="180" formatCode="0.0000"/>
    <numFmt numFmtId="181" formatCode="\+0.00%;\-0.00%"/>
    <numFmt numFmtId="182" formatCode="\+0.0%;\-0.0%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</font>
    <font>
      <sz val="10"/>
      <color rgb="FF5B6770"/>
      <name val="Microsoft YaHei"/>
    </font>
    <font>
      <b/>
      <sz val="11"/>
      <color rgb="FF1F2933"/>
      <name val="Microsoft YaHei"/>
    </font>
    <font>
      <b/>
      <sz val="11"/>
      <color rgb="FFB23A2E"/>
      <name val="Microsoft YaHei"/>
    </font>
    <font>
      <b/>
      <sz val="9"/>
      <color rgb="FFFFFFFF"/>
      <name val="Microsoft YaHei"/>
    </font>
    <font>
      <sz val="9"/>
      <color rgb="FF1F2933"/>
      <name val="Microsoft YaHei"/>
    </font>
    <font>
      <b/>
      <sz val="9"/>
      <color rgb="FF1F2933"/>
      <name val="Microsoft YaHei"/>
    </font>
    <font>
      <b/>
      <sz val="9"/>
      <color rgb="FFB23A2E"/>
      <name val="Microsoft YaHei"/>
    </font>
    <font>
      <sz val="10"/>
      <color rgb="FF1F2933"/>
      <name val="Microsoft YaHei"/>
    </font>
    <font>
      <sz val="9"/>
      <color rgb="FF5B6770"/>
      <name val="Microsoft YaHei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4" fontId="6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7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179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4" fontId="7" fillId="0" borderId="1" xfId="0" applyNumberFormat="1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182" fontId="6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 wrapText="1"/>
    </xf>
    <xf numFmtId="0" fontId="10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601398.SH 三情景 RI 价值 vs 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结论!$B$25</c:f>
              <c:strCache>
                <c:ptCount val="1"/>
                <c:pt idx="0">
                  <c:v>RI 价值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11-4983-A538-99A64DB2DF46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11-4983-A538-99A64DB2DF46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11-4983-A538-99A64DB2DF46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311-4983-A538-99A64DB2DF46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结论!$A$26:$A$29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结论!$B$26:$B$29</c:f>
              <c:numCache>
                <c:formatCode>\¥#,##0.00</c:formatCode>
                <c:ptCount val="4"/>
                <c:pt idx="0">
                  <c:v>7.413333333333334</c:v>
                </c:pt>
                <c:pt idx="1">
                  <c:v>9.7079365079365054</c:v>
                </c:pt>
                <c:pt idx="2">
                  <c:v>12.8992</c:v>
                </c:pt>
                <c:pt idx="3">
                  <c:v>8.7799999999999994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11-4983-A538-99A64DB2DF4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元/股</a:t>
                </a:r>
              </a:p>
            </c:rich>
          </c:tx>
          <c:overlay val="1"/>
        </c:title>
        <c:numFmt formatCode="\¥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7"/>
  <sheetViews>
    <sheetView showGridLines="0" tabSelected="1" workbookViewId="0"/>
  </sheetViews>
  <sheetFormatPr defaultRowHeight="14.4"/>
  <cols>
    <col min="1" max="1" width="30" customWidth="1"/>
    <col min="2" max="2" width="18" customWidth="1"/>
    <col min="3" max="3" width="42" customWidth="1"/>
    <col min="4" max="4" width="18" customWidth="1"/>
    <col min="5" max="5" width="14" customWidth="1"/>
  </cols>
  <sheetData>
    <row r="1" spans="1:5" ht="23.4">
      <c r="A1" s="1" t="s">
        <v>0</v>
      </c>
    </row>
    <row r="2" spans="1:5" ht="15.6">
      <c r="A2" s="31" t="s">
        <v>1</v>
      </c>
      <c r="B2" s="30"/>
      <c r="C2" s="30"/>
      <c r="D2" s="30"/>
      <c r="E2" s="30"/>
    </row>
    <row r="3" spans="1:5" ht="15.6">
      <c r="A3" s="31" t="s">
        <v>2</v>
      </c>
      <c r="B3" s="30"/>
      <c r="C3" s="30"/>
      <c r="D3" s="30"/>
      <c r="E3" s="30"/>
    </row>
    <row r="5" spans="1:5" ht="16.2">
      <c r="A5" s="3" t="s">
        <v>3</v>
      </c>
      <c r="B5" s="4"/>
      <c r="C5" s="4"/>
      <c r="D5" s="4"/>
      <c r="E5" s="4"/>
    </row>
    <row r="6" spans="1:5" ht="54" customHeight="1">
      <c r="A6" s="32" t="s">
        <v>4</v>
      </c>
      <c r="B6" s="30"/>
      <c r="C6" s="30"/>
      <c r="D6" s="30"/>
      <c r="E6" s="30"/>
    </row>
    <row r="8" spans="1:5" ht="16.2">
      <c r="A8" s="3" t="s">
        <v>5</v>
      </c>
      <c r="B8" s="4"/>
      <c r="C8" s="4"/>
      <c r="D8" s="4"/>
      <c r="E8" s="4"/>
    </row>
    <row r="9" spans="1:5">
      <c r="A9" s="5" t="s">
        <v>6</v>
      </c>
      <c r="B9" s="5" t="s">
        <v>7</v>
      </c>
      <c r="C9" s="5" t="s">
        <v>8</v>
      </c>
    </row>
    <row r="10" spans="1:5" ht="22.05" customHeight="1">
      <c r="A10" s="6" t="s">
        <v>9</v>
      </c>
      <c r="B10" s="7">
        <v>8.7799999999999994</v>
      </c>
      <c r="C10" s="8" t="s">
        <v>10</v>
      </c>
    </row>
    <row r="11" spans="1:5" ht="22.05" customHeight="1">
      <c r="A11" s="6" t="s">
        <v>11</v>
      </c>
      <c r="B11" s="9">
        <v>3564.06</v>
      </c>
      <c r="C11" s="8" t="s">
        <v>12</v>
      </c>
    </row>
    <row r="12" spans="1:5" ht="22.05" customHeight="1">
      <c r="A12" s="6" t="s">
        <v>13</v>
      </c>
      <c r="B12" s="10">
        <f>B10*B11</f>
        <v>31292.446799999998</v>
      </c>
      <c r="C12" s="8" t="s">
        <v>14</v>
      </c>
    </row>
    <row r="13" spans="1:5" ht="22.05" customHeight="1">
      <c r="A13" s="6" t="s">
        <v>15</v>
      </c>
      <c r="B13" s="11">
        <v>11.12</v>
      </c>
      <c r="C13" s="8" t="s">
        <v>16</v>
      </c>
    </row>
    <row r="14" spans="1:5" ht="22.05" customHeight="1">
      <c r="A14" s="6" t="s">
        <v>17</v>
      </c>
      <c r="B14" s="12">
        <f>B10/B13</f>
        <v>0.78956834532374098</v>
      </c>
      <c r="C14" s="8" t="s">
        <v>18</v>
      </c>
    </row>
    <row r="15" spans="1:5" ht="22.05" customHeight="1">
      <c r="A15" s="6" t="s">
        <v>19</v>
      </c>
      <c r="B15" s="11">
        <v>0.32</v>
      </c>
      <c r="C15" s="8" t="s">
        <v>20</v>
      </c>
    </row>
    <row r="16" spans="1:5" ht="22.05" customHeight="1">
      <c r="A16" s="6" t="s">
        <v>21</v>
      </c>
      <c r="B16" s="13">
        <f>B15/B10</f>
        <v>3.6446469248291577E-2</v>
      </c>
      <c r="C16" s="8" t="s">
        <v>22</v>
      </c>
    </row>
    <row r="17" spans="1:5" ht="22.05" customHeight="1">
      <c r="A17" s="6" t="s">
        <v>23</v>
      </c>
      <c r="B17" s="14">
        <v>0.09</v>
      </c>
      <c r="C17" s="8" t="s">
        <v>24</v>
      </c>
    </row>
    <row r="18" spans="1:5" ht="22.05" customHeight="1">
      <c r="A18" s="6" t="s">
        <v>25</v>
      </c>
      <c r="B18" s="14">
        <v>9.8000000000000004E-2</v>
      </c>
      <c r="C18" s="8" t="s">
        <v>26</v>
      </c>
    </row>
    <row r="19" spans="1:5" ht="22.05" customHeight="1">
      <c r="A19" s="6" t="s">
        <v>27</v>
      </c>
      <c r="B19" s="14">
        <v>3.5000000000000003E-2</v>
      </c>
      <c r="C19" s="8" t="s">
        <v>28</v>
      </c>
    </row>
    <row r="20" spans="1:5" ht="22.05" customHeight="1">
      <c r="A20" s="6" t="s">
        <v>29</v>
      </c>
      <c r="B20" s="15">
        <f>B13+(B17-B18)*B13/(B18-B19)</f>
        <v>9.7079365079365054</v>
      </c>
      <c r="C20" s="8" t="s">
        <v>30</v>
      </c>
    </row>
    <row r="21" spans="1:5" ht="22.05" customHeight="1">
      <c r="A21" s="6" t="s">
        <v>31</v>
      </c>
      <c r="B21" s="15">
        <f>B15/(B18-B19)</f>
        <v>5.0793650793650791</v>
      </c>
      <c r="C21" s="8" t="s">
        <v>32</v>
      </c>
    </row>
    <row r="22" spans="1:5" ht="22.05" customHeight="1">
      <c r="A22" s="6" t="s">
        <v>33</v>
      </c>
      <c r="B22" s="16">
        <f>B10/B20-1</f>
        <v>-9.5585349901896488E-2</v>
      </c>
      <c r="C22" s="8" t="s">
        <v>34</v>
      </c>
    </row>
    <row r="25" spans="1:5">
      <c r="A25" s="5" t="s">
        <v>35</v>
      </c>
      <c r="B25" s="5" t="s">
        <v>36</v>
      </c>
      <c r="C25" s="5" t="s">
        <v>37</v>
      </c>
      <c r="D25" s="5" t="s">
        <v>38</v>
      </c>
      <c r="E25" s="5" t="s">
        <v>39</v>
      </c>
    </row>
    <row r="26" spans="1:5">
      <c r="A26" s="6" t="s">
        <v>40</v>
      </c>
      <c r="B26" s="7">
        <v>7.413333333333334</v>
      </c>
      <c r="C26" s="7">
        <v>4</v>
      </c>
      <c r="D26" s="17">
        <v>0.18435251798561139</v>
      </c>
      <c r="E26" s="18" t="s">
        <v>41</v>
      </c>
    </row>
    <row r="27" spans="1:5">
      <c r="A27" s="19" t="s">
        <v>42</v>
      </c>
      <c r="B27" s="15">
        <v>9.7079365079365054</v>
      </c>
      <c r="C27" s="7">
        <v>5.0793650793650791</v>
      </c>
      <c r="D27" s="17">
        <v>-9.5585349901896488E-2</v>
      </c>
      <c r="E27" s="18" t="s">
        <v>43</v>
      </c>
    </row>
    <row r="28" spans="1:5">
      <c r="A28" s="6" t="s">
        <v>44</v>
      </c>
      <c r="B28" s="7">
        <v>12.8992</v>
      </c>
      <c r="C28" s="7">
        <v>6.8000000000000007</v>
      </c>
      <c r="D28" s="17">
        <v>-0.3193376333416027</v>
      </c>
      <c r="E28" s="18" t="s">
        <v>43</v>
      </c>
    </row>
    <row r="29" spans="1:5">
      <c r="A29" s="20" t="s">
        <v>45</v>
      </c>
      <c r="B29" s="21">
        <v>8.7799999999999994</v>
      </c>
    </row>
    <row r="31" spans="1:5" ht="16.2">
      <c r="A31" s="3" t="s">
        <v>46</v>
      </c>
      <c r="B31" s="4"/>
      <c r="C31" s="4"/>
      <c r="D31" s="4"/>
      <c r="E31" s="4"/>
    </row>
    <row r="32" spans="1:5" ht="28.05" customHeight="1">
      <c r="A32" s="29" t="s">
        <v>47</v>
      </c>
      <c r="B32" s="30"/>
      <c r="C32" s="30"/>
      <c r="D32" s="30"/>
      <c r="E32" s="30"/>
    </row>
    <row r="33" spans="1:5" ht="28.05" customHeight="1">
      <c r="A33" s="29" t="s">
        <v>48</v>
      </c>
      <c r="B33" s="30"/>
      <c r="C33" s="30"/>
      <c r="D33" s="30"/>
      <c r="E33" s="30"/>
    </row>
    <row r="34" spans="1:5" ht="28.05" customHeight="1">
      <c r="A34" s="29" t="s">
        <v>49</v>
      </c>
      <c r="B34" s="30"/>
      <c r="C34" s="30"/>
      <c r="D34" s="30"/>
      <c r="E34" s="30"/>
    </row>
    <row r="35" spans="1:5" ht="28.05" customHeight="1">
      <c r="A35" s="29" t="s">
        <v>50</v>
      </c>
      <c r="B35" s="30"/>
      <c r="C35" s="30"/>
      <c r="D35" s="30"/>
      <c r="E35" s="30"/>
    </row>
    <row r="36" spans="1:5" ht="28.05" customHeight="1">
      <c r="A36" s="29" t="s">
        <v>51</v>
      </c>
      <c r="B36" s="30"/>
      <c r="C36" s="30"/>
      <c r="D36" s="30"/>
      <c r="E36" s="30"/>
    </row>
    <row r="37" spans="1:5" ht="28.05" customHeight="1">
      <c r="A37" s="29" t="s">
        <v>52</v>
      </c>
      <c r="B37" s="30"/>
      <c r="C37" s="30"/>
      <c r="D37" s="30"/>
      <c r="E37" s="30"/>
    </row>
  </sheetData>
  <mergeCells count="9">
    <mergeCell ref="A34:E34"/>
    <mergeCell ref="A35:E35"/>
    <mergeCell ref="A2:E2"/>
    <mergeCell ref="A33:E33"/>
    <mergeCell ref="A37:E37"/>
    <mergeCell ref="A32:E32"/>
    <mergeCell ref="A36:E36"/>
    <mergeCell ref="A6:E6"/>
    <mergeCell ref="A3:E3"/>
  </mergeCells>
  <phoneticPr fontId="11" type="noConversion"/>
  <pageMargins left="0.25" right="0.25" top="0.35" bottom="0.35" header="0.15" footer="0.1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"/>
  <sheetViews>
    <sheetView showGridLines="0" workbookViewId="0"/>
  </sheetViews>
  <sheetFormatPr defaultRowHeight="14.4"/>
  <cols>
    <col min="1" max="1" width="30" customWidth="1"/>
    <col min="2" max="7" width="12" customWidth="1"/>
    <col min="8" max="8" width="34" customWidth="1"/>
  </cols>
  <sheetData>
    <row r="1" spans="1:8" ht="23.4">
      <c r="A1" s="1" t="s">
        <v>53</v>
      </c>
    </row>
    <row r="2" spans="1:8" ht="15.6">
      <c r="A2" s="31" t="s">
        <v>54</v>
      </c>
      <c r="B2" s="30"/>
      <c r="C2" s="30"/>
      <c r="D2" s="30"/>
      <c r="E2" s="30"/>
      <c r="F2" s="30"/>
      <c r="G2" s="30"/>
      <c r="H2" s="30"/>
    </row>
    <row r="4" spans="1:8">
      <c r="A4" s="5" t="s">
        <v>6</v>
      </c>
      <c r="B4" s="5" t="s">
        <v>55</v>
      </c>
      <c r="C4" s="5" t="s">
        <v>56</v>
      </c>
      <c r="D4" s="5" t="s">
        <v>57</v>
      </c>
      <c r="E4" s="5" t="s">
        <v>58</v>
      </c>
      <c r="F4" s="5" t="s">
        <v>59</v>
      </c>
      <c r="G4" s="5" t="s">
        <v>60</v>
      </c>
      <c r="H4" s="5" t="s">
        <v>8</v>
      </c>
    </row>
    <row r="5" spans="1:8">
      <c r="A5" s="6" t="s">
        <v>61</v>
      </c>
      <c r="B5" s="22">
        <v>9427.6</v>
      </c>
      <c r="C5" s="22">
        <v>8757.2999999999993</v>
      </c>
      <c r="D5" s="22">
        <v>8430.7000000000007</v>
      </c>
      <c r="E5" s="22">
        <v>8218</v>
      </c>
      <c r="F5" s="22">
        <v>8382.7000000000007</v>
      </c>
      <c r="G5" s="22">
        <v>4658.6000000000004</v>
      </c>
      <c r="H5" s="6" t="s">
        <v>62</v>
      </c>
    </row>
    <row r="6" spans="1:8">
      <c r="A6" s="6" t="s">
        <v>63</v>
      </c>
      <c r="B6" s="22">
        <v>4235.6000000000004</v>
      </c>
      <c r="C6" s="22">
        <v>4225.3</v>
      </c>
      <c r="D6" s="22">
        <v>4207.6000000000004</v>
      </c>
      <c r="E6" s="22">
        <v>4208.8999999999996</v>
      </c>
      <c r="F6" s="22">
        <v>4241.1000000000004</v>
      </c>
      <c r="G6" s="22">
        <v>2095.6</v>
      </c>
      <c r="H6" s="6" t="s">
        <v>62</v>
      </c>
    </row>
    <row r="7" spans="1:8">
      <c r="A7" s="6" t="s">
        <v>64</v>
      </c>
      <c r="B7" s="22">
        <v>3483.4</v>
      </c>
      <c r="C7" s="22">
        <v>3611.3</v>
      </c>
      <c r="D7" s="22">
        <v>3639.9</v>
      </c>
      <c r="E7" s="22">
        <v>3658.6</v>
      </c>
      <c r="F7" s="22">
        <v>3685.6</v>
      </c>
      <c r="G7" s="22">
        <v>1736.8</v>
      </c>
      <c r="H7" s="6" t="s">
        <v>62</v>
      </c>
    </row>
    <row r="8" spans="1:8">
      <c r="A8" s="6" t="s">
        <v>65</v>
      </c>
      <c r="B8" s="11">
        <v>0.95</v>
      </c>
      <c r="C8" s="11">
        <v>0.97</v>
      </c>
      <c r="D8" s="11">
        <v>0.98</v>
      </c>
      <c r="E8" s="11">
        <v>0.98</v>
      </c>
      <c r="F8" s="11">
        <v>1</v>
      </c>
      <c r="G8" s="11">
        <v>0.47</v>
      </c>
      <c r="H8" s="6" t="s">
        <v>62</v>
      </c>
    </row>
    <row r="9" spans="1:8">
      <c r="A9" s="6" t="s">
        <v>66</v>
      </c>
      <c r="B9" s="11">
        <v>0.30640000000000001</v>
      </c>
      <c r="C9" s="11">
        <v>0.30349999999999999</v>
      </c>
      <c r="D9" s="11">
        <v>0.30640000000000001</v>
      </c>
      <c r="E9" s="11">
        <v>0.308</v>
      </c>
      <c r="F9" s="11">
        <v>0.31030000000000002</v>
      </c>
      <c r="G9" s="11">
        <v>0.15110000000000001</v>
      </c>
      <c r="H9" s="6" t="s">
        <v>62</v>
      </c>
    </row>
    <row r="11" spans="1:8">
      <c r="A11" s="6" t="s">
        <v>67</v>
      </c>
      <c r="B11" s="14">
        <v>2.1100000000000001E-2</v>
      </c>
      <c r="C11" s="14">
        <v>1.9199999999999998E-2</v>
      </c>
      <c r="D11" s="14">
        <v>1.61E-2</v>
      </c>
      <c r="E11" s="14">
        <v>1.4200000000000001E-2</v>
      </c>
      <c r="F11" s="14">
        <v>1.2800000000000001E-2</v>
      </c>
      <c r="G11" s="14">
        <v>1.29E-2</v>
      </c>
    </row>
    <row r="12" spans="1:8">
      <c r="A12" s="6" t="s">
        <v>68</v>
      </c>
      <c r="B12" s="14">
        <v>1.4200000000000001E-2</v>
      </c>
      <c r="C12" s="14">
        <v>1.38E-2</v>
      </c>
      <c r="D12" s="14">
        <v>1.3599999999999999E-2</v>
      </c>
      <c r="E12" s="14">
        <v>1.34E-2</v>
      </c>
      <c r="F12" s="14">
        <v>1.3100000000000001E-2</v>
      </c>
      <c r="G12" s="14">
        <v>1.29E-2</v>
      </c>
    </row>
    <row r="13" spans="1:8">
      <c r="A13" s="6" t="s">
        <v>69</v>
      </c>
      <c r="B13" s="18" t="s">
        <v>70</v>
      </c>
      <c r="C13" s="18" t="s">
        <v>70</v>
      </c>
      <c r="D13" s="18" t="s">
        <v>70</v>
      </c>
      <c r="E13" s="18" t="s">
        <v>70</v>
      </c>
      <c r="F13" s="14">
        <v>2.1360000000000001</v>
      </c>
      <c r="G13" s="14">
        <v>2.1758000000000002</v>
      </c>
    </row>
    <row r="14" spans="1:8">
      <c r="A14" s="6" t="s">
        <v>23</v>
      </c>
      <c r="B14" s="14">
        <v>0.10199999999999999</v>
      </c>
      <c r="C14" s="14">
        <v>0.10100000000000001</v>
      </c>
      <c r="D14" s="14">
        <v>9.9000000000000005E-2</v>
      </c>
      <c r="E14" s="14">
        <v>9.6000000000000002E-2</v>
      </c>
      <c r="F14" s="14">
        <v>9.2999999999999999E-2</v>
      </c>
      <c r="G14" s="14">
        <v>4.2999999999999997E-2</v>
      </c>
    </row>
    <row r="17" spans="1:8" ht="16.2">
      <c r="A17" s="3" t="s">
        <v>71</v>
      </c>
      <c r="B17" s="4"/>
      <c r="C17" s="4"/>
      <c r="D17" s="4"/>
      <c r="E17" s="4"/>
      <c r="F17" s="4"/>
      <c r="G17" s="4"/>
      <c r="H17" s="4"/>
    </row>
    <row r="18" spans="1:8" ht="30" customHeight="1">
      <c r="A18" s="29" t="s">
        <v>72</v>
      </c>
      <c r="B18" s="30"/>
      <c r="C18" s="30"/>
      <c r="D18" s="30"/>
      <c r="E18" s="30"/>
      <c r="F18" s="30"/>
      <c r="G18" s="30"/>
      <c r="H18" s="30"/>
    </row>
    <row r="19" spans="1:8" ht="30" customHeight="1">
      <c r="A19" s="29" t="s">
        <v>73</v>
      </c>
      <c r="B19" s="30"/>
      <c r="C19" s="30"/>
      <c r="D19" s="30"/>
      <c r="E19" s="30"/>
      <c r="F19" s="30"/>
      <c r="G19" s="30"/>
      <c r="H19" s="30"/>
    </row>
    <row r="20" spans="1:8" ht="30" customHeight="1">
      <c r="A20" s="29" t="s">
        <v>74</v>
      </c>
      <c r="B20" s="30"/>
      <c r="C20" s="30"/>
      <c r="D20" s="30"/>
      <c r="E20" s="30"/>
      <c r="F20" s="30"/>
      <c r="G20" s="30"/>
      <c r="H20" s="30"/>
    </row>
    <row r="21" spans="1:8" ht="30" customHeight="1">
      <c r="A21" s="29" t="s">
        <v>75</v>
      </c>
      <c r="B21" s="30"/>
      <c r="C21" s="30"/>
      <c r="D21" s="30"/>
      <c r="E21" s="30"/>
      <c r="F21" s="30"/>
      <c r="G21" s="30"/>
      <c r="H21" s="30"/>
    </row>
    <row r="22" spans="1:8" ht="30" customHeight="1">
      <c r="A22" s="29" t="s">
        <v>76</v>
      </c>
      <c r="B22" s="30"/>
      <c r="C22" s="30"/>
      <c r="D22" s="30"/>
      <c r="E22" s="30"/>
      <c r="F22" s="30"/>
      <c r="G22" s="30"/>
      <c r="H22" s="30"/>
    </row>
    <row r="23" spans="1:8" ht="30" customHeight="1">
      <c r="A23" s="29" t="s">
        <v>77</v>
      </c>
      <c r="B23" s="30"/>
      <c r="C23" s="30"/>
      <c r="D23" s="30"/>
      <c r="E23" s="30"/>
      <c r="F23" s="30"/>
      <c r="G23" s="30"/>
      <c r="H23" s="30"/>
    </row>
  </sheetData>
  <mergeCells count="7">
    <mergeCell ref="A23:H23"/>
    <mergeCell ref="A22:H22"/>
    <mergeCell ref="A18:H18"/>
    <mergeCell ref="A21:H21"/>
    <mergeCell ref="A20:H20"/>
    <mergeCell ref="A2:H2"/>
    <mergeCell ref="A19:H19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8"/>
  <sheetViews>
    <sheetView showGridLines="0" workbookViewId="0"/>
  </sheetViews>
  <sheetFormatPr defaultRowHeight="14.4"/>
  <cols>
    <col min="1" max="1" width="32" customWidth="1"/>
    <col min="2" max="3" width="15" customWidth="1"/>
    <col min="4" max="4" width="14" customWidth="1"/>
    <col min="5" max="5" width="44" customWidth="1"/>
    <col min="6" max="6" width="20" customWidth="1"/>
  </cols>
  <sheetData>
    <row r="1" spans="1:6" ht="23.4">
      <c r="A1" s="1" t="s">
        <v>78</v>
      </c>
    </row>
    <row r="2" spans="1:6" ht="15.6">
      <c r="A2" s="31" t="s">
        <v>79</v>
      </c>
      <c r="B2" s="30"/>
      <c r="C2" s="30"/>
      <c r="D2" s="30"/>
      <c r="E2" s="30"/>
      <c r="F2" s="30"/>
    </row>
    <row r="4" spans="1:6" ht="16.2">
      <c r="A4" s="3" t="s">
        <v>80</v>
      </c>
      <c r="B4" s="4"/>
      <c r="C4" s="4"/>
      <c r="D4" s="4"/>
      <c r="E4" s="4"/>
      <c r="F4" s="4"/>
    </row>
    <row r="5" spans="1:6" ht="15.6">
      <c r="A5" s="2" t="s">
        <v>81</v>
      </c>
    </row>
    <row r="6" spans="1:6">
      <c r="A6" s="5" t="s">
        <v>82</v>
      </c>
      <c r="B6" s="5" t="s">
        <v>7</v>
      </c>
      <c r="C6" s="5" t="s">
        <v>83</v>
      </c>
      <c r="D6" s="5" t="s">
        <v>8</v>
      </c>
    </row>
    <row r="7" spans="1:6">
      <c r="A7" s="6" t="s">
        <v>61</v>
      </c>
      <c r="B7" s="22">
        <v>4658.6000000000004</v>
      </c>
      <c r="C7" s="6" t="s">
        <v>84</v>
      </c>
      <c r="D7" s="6" t="s">
        <v>85</v>
      </c>
    </row>
    <row r="8" spans="1:6">
      <c r="A8" s="6" t="s">
        <v>86</v>
      </c>
      <c r="B8" s="22">
        <v>1736.8</v>
      </c>
      <c r="C8" s="6" t="s">
        <v>87</v>
      </c>
      <c r="D8" s="6" t="s">
        <v>88</v>
      </c>
    </row>
    <row r="9" spans="1:6">
      <c r="A9" s="6" t="s">
        <v>67</v>
      </c>
      <c r="B9" s="22">
        <v>1.29</v>
      </c>
      <c r="C9" s="6" t="s">
        <v>89</v>
      </c>
      <c r="D9" s="6" t="s">
        <v>90</v>
      </c>
    </row>
    <row r="10" spans="1:6">
      <c r="A10" s="6" t="s">
        <v>68</v>
      </c>
      <c r="B10" s="22">
        <v>1.29</v>
      </c>
      <c r="C10" s="6" t="s">
        <v>91</v>
      </c>
      <c r="D10" s="6" t="s">
        <v>92</v>
      </c>
    </row>
    <row r="11" spans="1:6">
      <c r="A11" s="6" t="s">
        <v>69</v>
      </c>
      <c r="B11" s="22">
        <v>217.58</v>
      </c>
      <c r="C11" s="6" t="s">
        <v>93</v>
      </c>
      <c r="D11" s="6" t="s">
        <v>94</v>
      </c>
    </row>
    <row r="12" spans="1:6">
      <c r="A12" s="6" t="s">
        <v>95</v>
      </c>
      <c r="B12" s="22">
        <v>0.15110000000000001</v>
      </c>
      <c r="C12" s="6" t="s">
        <v>96</v>
      </c>
      <c r="D12" s="6" t="s">
        <v>20</v>
      </c>
    </row>
    <row r="13" spans="1:6">
      <c r="A13" s="6" t="s">
        <v>97</v>
      </c>
      <c r="B13" s="22">
        <v>570000</v>
      </c>
      <c r="C13" s="6" t="s">
        <v>98</v>
      </c>
      <c r="D13" s="6" t="s">
        <v>99</v>
      </c>
    </row>
    <row r="16" spans="1:6" ht="16.2">
      <c r="A16" s="3" t="s">
        <v>100</v>
      </c>
      <c r="B16" s="4"/>
      <c r="C16" s="4"/>
      <c r="D16" s="4"/>
      <c r="E16" s="4"/>
      <c r="F16" s="4"/>
    </row>
    <row r="17" spans="1:6" ht="31.95" customHeight="1">
      <c r="A17" s="29" t="s">
        <v>72</v>
      </c>
      <c r="B17" s="30"/>
      <c r="C17" s="30"/>
      <c r="D17" s="30"/>
      <c r="E17" s="30"/>
      <c r="F17" s="30"/>
    </row>
    <row r="18" spans="1:6" ht="31.95" customHeight="1">
      <c r="A18" s="29" t="s">
        <v>77</v>
      </c>
      <c r="B18" s="30"/>
      <c r="C18" s="30"/>
      <c r="D18" s="30"/>
      <c r="E18" s="30"/>
      <c r="F18" s="30"/>
    </row>
  </sheetData>
  <mergeCells count="3">
    <mergeCell ref="A2:F2"/>
    <mergeCell ref="A17:F17"/>
    <mergeCell ref="A18:F18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5"/>
  <sheetViews>
    <sheetView showGridLines="0" workbookViewId="0"/>
  </sheetViews>
  <sheetFormatPr defaultRowHeight="14.4"/>
  <cols>
    <col min="1" max="1" width="32" customWidth="1"/>
    <col min="2" max="7" width="16" customWidth="1"/>
  </cols>
  <sheetData>
    <row r="1" spans="1:7" ht="23.4">
      <c r="A1" s="1" t="s">
        <v>101</v>
      </c>
    </row>
    <row r="2" spans="1:7" ht="15.6">
      <c r="A2" s="31" t="s">
        <v>102</v>
      </c>
      <c r="B2" s="30"/>
      <c r="C2" s="30"/>
      <c r="D2" s="30"/>
      <c r="E2" s="30"/>
      <c r="F2" s="30"/>
      <c r="G2" s="30"/>
    </row>
    <row r="4" spans="1:7" ht="16.2">
      <c r="A4" s="3" t="s">
        <v>103</v>
      </c>
      <c r="B4" s="4"/>
      <c r="C4" s="4"/>
      <c r="D4" s="4"/>
      <c r="E4" s="4"/>
    </row>
    <row r="5" spans="1:7">
      <c r="A5" s="6" t="s">
        <v>15</v>
      </c>
      <c r="B5" s="11">
        <v>11.12</v>
      </c>
    </row>
    <row r="6" spans="1:7">
      <c r="A6" s="6" t="s">
        <v>66</v>
      </c>
      <c r="B6" s="11">
        <v>0.32</v>
      </c>
    </row>
    <row r="7" spans="1:7">
      <c r="A7" s="6" t="s">
        <v>24</v>
      </c>
      <c r="B7" s="14">
        <v>0.09</v>
      </c>
    </row>
    <row r="8" spans="1:7">
      <c r="A8" s="6" t="s">
        <v>25</v>
      </c>
      <c r="B8" s="14">
        <v>9.8000000000000004E-2</v>
      </c>
    </row>
    <row r="9" spans="1:7">
      <c r="A9" s="6" t="s">
        <v>104</v>
      </c>
      <c r="B9" s="14">
        <v>3.5000000000000003E-2</v>
      </c>
    </row>
    <row r="11" spans="1:7">
      <c r="A11" s="19" t="s">
        <v>105</v>
      </c>
      <c r="B11" s="15">
        <f>B5+(B7-B8)*B5/(B8-B9)</f>
        <v>9.7079365079365054</v>
      </c>
    </row>
    <row r="12" spans="1:7">
      <c r="A12" s="6" t="s">
        <v>106</v>
      </c>
      <c r="B12" s="7">
        <f>B6/(B8-B9)</f>
        <v>5.0793650793650791</v>
      </c>
    </row>
    <row r="13" spans="1:7">
      <c r="A13" s="6" t="s">
        <v>107</v>
      </c>
      <c r="B13" s="7">
        <v>8.7799999999999994</v>
      </c>
    </row>
    <row r="14" spans="1:7">
      <c r="A14" s="6" t="s">
        <v>33</v>
      </c>
      <c r="B14" s="17">
        <f>B13/B11-1</f>
        <v>-9.5585349901896488E-2</v>
      </c>
    </row>
    <row r="17" spans="1:7" ht="16.2">
      <c r="A17" s="3" t="s">
        <v>35</v>
      </c>
      <c r="B17" s="4"/>
      <c r="C17" s="4"/>
      <c r="D17" s="4"/>
      <c r="E17" s="4"/>
      <c r="F17" s="4"/>
      <c r="G17" s="4"/>
    </row>
    <row r="18" spans="1:7">
      <c r="A18" s="5" t="s">
        <v>35</v>
      </c>
      <c r="B18" s="5" t="s">
        <v>25</v>
      </c>
      <c r="C18" s="5" t="s">
        <v>27</v>
      </c>
      <c r="D18" s="5" t="s">
        <v>23</v>
      </c>
      <c r="E18" s="5" t="s">
        <v>108</v>
      </c>
      <c r="F18" s="5" t="s">
        <v>36</v>
      </c>
      <c r="G18" s="5" t="s">
        <v>37</v>
      </c>
    </row>
    <row r="19" spans="1:7">
      <c r="A19" s="6" t="s">
        <v>40</v>
      </c>
      <c r="B19" s="17">
        <v>0.105</v>
      </c>
      <c r="C19" s="17">
        <v>0.03</v>
      </c>
      <c r="D19" s="17">
        <v>0.08</v>
      </c>
      <c r="E19" s="11">
        <v>0.3</v>
      </c>
      <c r="F19" s="7">
        <v>7.413333333333334</v>
      </c>
      <c r="G19" s="7">
        <v>4</v>
      </c>
    </row>
    <row r="20" spans="1:7">
      <c r="A20" s="19" t="s">
        <v>42</v>
      </c>
      <c r="B20" s="17">
        <v>9.8000000000000004E-2</v>
      </c>
      <c r="C20" s="17">
        <v>3.5000000000000003E-2</v>
      </c>
      <c r="D20" s="17">
        <v>0.09</v>
      </c>
      <c r="E20" s="11">
        <v>0.32</v>
      </c>
      <c r="F20" s="15">
        <v>9.7079365079365054</v>
      </c>
      <c r="G20" s="7">
        <v>5.0793650793650791</v>
      </c>
    </row>
    <row r="21" spans="1:7">
      <c r="A21" s="6" t="s">
        <v>44</v>
      </c>
      <c r="B21" s="17">
        <v>0.09</v>
      </c>
      <c r="C21" s="17">
        <v>0.04</v>
      </c>
      <c r="D21" s="17">
        <v>9.8000000000000004E-2</v>
      </c>
      <c r="E21" s="11">
        <v>0.34</v>
      </c>
      <c r="F21" s="7">
        <v>12.8992</v>
      </c>
      <c r="G21" s="7">
        <v>6.8000000000000007</v>
      </c>
    </row>
    <row r="24" spans="1:7" ht="16.2">
      <c r="A24" s="3" t="s">
        <v>109</v>
      </c>
      <c r="B24" s="4"/>
      <c r="C24" s="4"/>
      <c r="D24" s="4"/>
      <c r="E24" s="4"/>
      <c r="F24" s="4"/>
      <c r="G24" s="4"/>
    </row>
    <row r="25" spans="1:7">
      <c r="A25" s="5" t="s">
        <v>110</v>
      </c>
      <c r="B25" s="5" t="s">
        <v>111</v>
      </c>
      <c r="C25" s="5" t="s">
        <v>112</v>
      </c>
      <c r="D25" s="5" t="s">
        <v>113</v>
      </c>
      <c r="E25" s="5" t="s">
        <v>114</v>
      </c>
      <c r="F25" s="5" t="s">
        <v>115</v>
      </c>
    </row>
    <row r="26" spans="1:7">
      <c r="A26" s="17">
        <v>0.09</v>
      </c>
      <c r="B26" s="7">
        <v>9.1</v>
      </c>
      <c r="C26" s="7">
        <v>10.11</v>
      </c>
      <c r="D26" s="7">
        <v>11.12</v>
      </c>
      <c r="E26" s="7">
        <v>12.13</v>
      </c>
      <c r="F26" s="7">
        <v>13.14</v>
      </c>
    </row>
    <row r="27" spans="1:7">
      <c r="A27" s="17">
        <v>9.5000000000000001E-2</v>
      </c>
      <c r="B27" s="7">
        <v>8.34</v>
      </c>
      <c r="C27" s="7">
        <v>9.27</v>
      </c>
      <c r="D27" s="7">
        <v>10.19</v>
      </c>
      <c r="E27" s="7">
        <v>11.12</v>
      </c>
      <c r="F27" s="7">
        <v>12.05</v>
      </c>
    </row>
    <row r="28" spans="1:7">
      <c r="A28" s="17">
        <v>0.1</v>
      </c>
      <c r="B28" s="7">
        <v>7.7</v>
      </c>
      <c r="C28" s="7">
        <v>8.5500000000000007</v>
      </c>
      <c r="D28" s="7">
        <v>9.41</v>
      </c>
      <c r="E28" s="7">
        <v>10.26</v>
      </c>
      <c r="F28" s="7">
        <v>11.12</v>
      </c>
    </row>
    <row r="29" spans="1:7">
      <c r="A29" s="17">
        <v>0.105</v>
      </c>
      <c r="B29" s="7">
        <v>7.15</v>
      </c>
      <c r="C29" s="7">
        <v>7.94</v>
      </c>
      <c r="D29" s="7">
        <v>8.74</v>
      </c>
      <c r="E29" s="7">
        <v>9.5299999999999994</v>
      </c>
      <c r="F29" s="7">
        <v>10.33</v>
      </c>
    </row>
    <row r="30" spans="1:7">
      <c r="A30" s="17">
        <v>0.11</v>
      </c>
      <c r="B30" s="7">
        <v>6.67</v>
      </c>
      <c r="C30" s="7">
        <v>7.41</v>
      </c>
      <c r="D30" s="7">
        <v>8.15</v>
      </c>
      <c r="E30" s="7">
        <v>8.9</v>
      </c>
      <c r="F30" s="7">
        <v>9.64</v>
      </c>
    </row>
    <row r="33" spans="1:3" ht="16.2">
      <c r="A33" s="3" t="s">
        <v>116</v>
      </c>
      <c r="B33" s="4"/>
      <c r="C33" s="4"/>
    </row>
    <row r="34" spans="1:3">
      <c r="A34" s="6" t="s">
        <v>117</v>
      </c>
      <c r="B34" s="17">
        <v>0.1046583143513999</v>
      </c>
    </row>
    <row r="35" spans="1:3">
      <c r="A35" s="6" t="s">
        <v>118</v>
      </c>
      <c r="B35" s="17">
        <v>8.4742805755013251E-2</v>
      </c>
    </row>
  </sheetData>
  <mergeCells count="1">
    <mergeCell ref="A2:G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9"/>
  <sheetViews>
    <sheetView showGridLines="0" workbookViewId="0"/>
  </sheetViews>
  <sheetFormatPr defaultRowHeight="14.4"/>
  <cols>
    <col min="1" max="1" width="30" customWidth="1"/>
    <col min="2" max="7" width="15" customWidth="1"/>
  </cols>
  <sheetData>
    <row r="1" spans="1:7" ht="23.4">
      <c r="A1" s="1" t="s">
        <v>119</v>
      </c>
    </row>
    <row r="2" spans="1:7" ht="15.6">
      <c r="A2" s="2" t="s">
        <v>120</v>
      </c>
    </row>
    <row r="4" spans="1:7">
      <c r="A4" s="5" t="s">
        <v>110</v>
      </c>
      <c r="B4" s="5" t="s">
        <v>111</v>
      </c>
      <c r="C4" s="5" t="s">
        <v>112</v>
      </c>
      <c r="D4" s="5" t="s">
        <v>113</v>
      </c>
      <c r="E4" s="5" t="s">
        <v>114</v>
      </c>
      <c r="F4" s="5" t="s">
        <v>115</v>
      </c>
    </row>
    <row r="5" spans="1:7">
      <c r="A5" s="17">
        <v>0.09</v>
      </c>
      <c r="B5" s="7">
        <v>9.1</v>
      </c>
      <c r="C5" s="7">
        <v>10.11</v>
      </c>
      <c r="D5" s="7">
        <v>11.12</v>
      </c>
      <c r="E5" s="7">
        <v>12.13</v>
      </c>
      <c r="F5" s="7">
        <v>13.14</v>
      </c>
    </row>
    <row r="6" spans="1:7">
      <c r="A6" s="17">
        <v>9.5000000000000001E-2</v>
      </c>
      <c r="B6" s="7">
        <v>8.34</v>
      </c>
      <c r="C6" s="7">
        <v>9.27</v>
      </c>
      <c r="D6" s="7">
        <v>10.19</v>
      </c>
      <c r="E6" s="7">
        <v>11.12</v>
      </c>
      <c r="F6" s="7">
        <v>12.05</v>
      </c>
    </row>
    <row r="7" spans="1:7">
      <c r="A7" s="17">
        <v>0.1</v>
      </c>
      <c r="B7" s="7">
        <v>7.7</v>
      </c>
      <c r="C7" s="7">
        <v>8.5500000000000007</v>
      </c>
      <c r="D7" s="7">
        <v>9.41</v>
      </c>
      <c r="E7" s="7">
        <v>10.26</v>
      </c>
      <c r="F7" s="7">
        <v>11.12</v>
      </c>
    </row>
    <row r="8" spans="1:7">
      <c r="A8" s="17">
        <v>0.105</v>
      </c>
      <c r="B8" s="7">
        <v>7.15</v>
      </c>
      <c r="C8" s="7">
        <v>7.94</v>
      </c>
      <c r="D8" s="7">
        <v>8.74</v>
      </c>
      <c r="E8" s="7">
        <v>9.5299999999999994</v>
      </c>
      <c r="F8" s="7">
        <v>10.33</v>
      </c>
    </row>
    <row r="9" spans="1:7">
      <c r="A9" s="17">
        <v>0.11</v>
      </c>
      <c r="B9" s="7">
        <v>6.67</v>
      </c>
      <c r="C9" s="7">
        <v>7.41</v>
      </c>
      <c r="D9" s="7">
        <v>8.15</v>
      </c>
      <c r="E9" s="7">
        <v>8.9</v>
      </c>
      <c r="F9" s="7">
        <v>9.64</v>
      </c>
    </row>
    <row r="12" spans="1:7" ht="16.2">
      <c r="A12" s="3" t="s">
        <v>121</v>
      </c>
      <c r="B12" s="4"/>
      <c r="C12" s="4"/>
      <c r="D12" s="4"/>
      <c r="E12" s="4"/>
      <c r="F12" s="4"/>
      <c r="G12" s="4"/>
    </row>
    <row r="13" spans="1:7">
      <c r="A13" s="5" t="s">
        <v>122</v>
      </c>
      <c r="B13" s="5" t="s">
        <v>123</v>
      </c>
      <c r="C13" s="5" t="s">
        <v>124</v>
      </c>
      <c r="D13" s="5" t="s">
        <v>39</v>
      </c>
    </row>
    <row r="14" spans="1:7">
      <c r="A14" s="6" t="s">
        <v>125</v>
      </c>
      <c r="B14" s="23" t="s">
        <v>126</v>
      </c>
      <c r="C14" s="23" t="s">
        <v>127</v>
      </c>
      <c r="D14" s="23" t="s">
        <v>128</v>
      </c>
    </row>
    <row r="15" spans="1:7">
      <c r="A15" s="6" t="s">
        <v>129</v>
      </c>
      <c r="B15" s="23" t="s">
        <v>126</v>
      </c>
      <c r="C15" s="23" t="s">
        <v>130</v>
      </c>
      <c r="D15" s="23" t="s">
        <v>131</v>
      </c>
    </row>
    <row r="16" spans="1:7">
      <c r="A16" s="6" t="s">
        <v>132</v>
      </c>
      <c r="B16" s="23" t="s">
        <v>133</v>
      </c>
      <c r="C16" s="23" t="s">
        <v>134</v>
      </c>
      <c r="D16" s="23" t="s">
        <v>135</v>
      </c>
    </row>
    <row r="17" spans="1:7">
      <c r="A17" s="6" t="s">
        <v>136</v>
      </c>
      <c r="B17" s="23" t="s">
        <v>137</v>
      </c>
      <c r="C17" s="23" t="s">
        <v>138</v>
      </c>
      <c r="D17" s="23" t="s">
        <v>139</v>
      </c>
    </row>
    <row r="19" spans="1:7" ht="40.049999999999997" customHeight="1">
      <c r="A19" s="33" t="s">
        <v>140</v>
      </c>
      <c r="B19" s="30"/>
      <c r="C19" s="30"/>
      <c r="D19" s="30"/>
      <c r="E19" s="30"/>
      <c r="F19" s="30"/>
      <c r="G19" s="30"/>
    </row>
  </sheetData>
  <mergeCells count="1">
    <mergeCell ref="A19:G19"/>
  </mergeCells>
  <phoneticPr fontId="11" type="noConversion"/>
  <pageMargins left="0.25" right="0.25" top="0.35" bottom="0.35" header="0.15" footer="0.15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23"/>
  <sheetViews>
    <sheetView showGridLines="0" workbookViewId="0"/>
  </sheetViews>
  <sheetFormatPr defaultRowHeight="14.4"/>
  <cols>
    <col min="1" max="1" width="12" customWidth="1"/>
    <col min="2" max="2" width="14" customWidth="1"/>
    <col min="3" max="4" width="11" customWidth="1"/>
    <col min="5" max="5" width="13" customWidth="1"/>
    <col min="6" max="6" width="12" customWidth="1"/>
    <col min="7" max="7" width="14" customWidth="1"/>
  </cols>
  <sheetData>
    <row r="1" spans="1:7" ht="23.4">
      <c r="A1" s="1" t="s">
        <v>141</v>
      </c>
    </row>
    <row r="2" spans="1:7" ht="15.6">
      <c r="A2" s="31" t="s">
        <v>142</v>
      </c>
      <c r="B2" s="30"/>
      <c r="C2" s="30"/>
      <c r="D2" s="30"/>
      <c r="E2" s="30"/>
      <c r="F2" s="30"/>
      <c r="G2" s="30"/>
    </row>
    <row r="4" spans="1:7">
      <c r="A4" s="5" t="s">
        <v>143</v>
      </c>
      <c r="B4" s="5" t="s">
        <v>144</v>
      </c>
      <c r="C4" s="5" t="s">
        <v>23</v>
      </c>
      <c r="D4" s="5" t="s">
        <v>25</v>
      </c>
      <c r="E4" s="5" t="s">
        <v>145</v>
      </c>
      <c r="F4" s="5" t="s">
        <v>146</v>
      </c>
      <c r="G4" s="5" t="s">
        <v>147</v>
      </c>
    </row>
    <row r="5" spans="1:7">
      <c r="A5" s="18" t="s">
        <v>148</v>
      </c>
      <c r="B5" s="9">
        <v>11.12</v>
      </c>
      <c r="C5" s="14">
        <v>0.09</v>
      </c>
      <c r="D5" s="14">
        <v>9.8000000000000004E-2</v>
      </c>
      <c r="E5" s="9">
        <v>-8.8960000000000067E-2</v>
      </c>
      <c r="F5" s="24">
        <v>0.91074681238615662</v>
      </c>
      <c r="G5" s="9">
        <v>-8.1020036429872558E-2</v>
      </c>
    </row>
    <row r="6" spans="1:7">
      <c r="A6" s="18" t="s">
        <v>149</v>
      </c>
      <c r="B6" s="9">
        <v>11.5092</v>
      </c>
      <c r="C6" s="14">
        <v>0.09</v>
      </c>
      <c r="D6" s="14">
        <v>9.8000000000000004E-2</v>
      </c>
      <c r="E6" s="9">
        <v>-9.2073600000000061E-2</v>
      </c>
      <c r="F6" s="24">
        <v>0.82945975627154511</v>
      </c>
      <c r="G6" s="9">
        <v>-7.637134581504379E-2</v>
      </c>
    </row>
    <row r="7" spans="1:7">
      <c r="A7" s="18" t="s">
        <v>150</v>
      </c>
      <c r="B7" s="9">
        <v>11.912022</v>
      </c>
      <c r="C7" s="14">
        <v>0.09</v>
      </c>
      <c r="D7" s="14">
        <v>9.8000000000000004E-2</v>
      </c>
      <c r="E7" s="9">
        <v>-9.529617600000008E-2</v>
      </c>
      <c r="F7" s="24">
        <v>0.75542782902690808</v>
      </c>
      <c r="G7" s="9">
        <v>-7.1989383350246197E-2</v>
      </c>
    </row>
    <row r="8" spans="1:7">
      <c r="A8" s="18" t="s">
        <v>151</v>
      </c>
      <c r="B8" s="9">
        <v>12.328942769999999</v>
      </c>
      <c r="C8" s="14">
        <v>0.09</v>
      </c>
      <c r="D8" s="14">
        <v>9.8000000000000004E-2</v>
      </c>
      <c r="E8" s="9">
        <v>-9.8631542160000057E-2</v>
      </c>
      <c r="F8" s="24">
        <v>0.68800348727405092</v>
      </c>
      <c r="G8" s="9">
        <v>-6.7858844961297612E-2</v>
      </c>
    </row>
    <row r="9" spans="1:7">
      <c r="A9" s="18" t="s">
        <v>152</v>
      </c>
      <c r="B9" s="9">
        <v>12.760455766950001</v>
      </c>
      <c r="C9" s="14">
        <v>0.09</v>
      </c>
      <c r="D9" s="14">
        <v>9.8000000000000004E-2</v>
      </c>
      <c r="E9" s="9">
        <v>-0.1020836461356001</v>
      </c>
      <c r="F9" s="24">
        <v>0.62659698294540156</v>
      </c>
      <c r="G9" s="9">
        <v>-6.3965304676633E-2</v>
      </c>
    </row>
    <row r="10" spans="1:7">
      <c r="A10" s="18" t="s">
        <v>153</v>
      </c>
      <c r="B10" s="9">
        <v>13.207071718793239</v>
      </c>
      <c r="C10" s="14">
        <v>0.09</v>
      </c>
      <c r="D10" s="14">
        <v>9.8000000000000004E-2</v>
      </c>
      <c r="E10" s="9">
        <v>-0.105656573750346</v>
      </c>
      <c r="F10" s="24">
        <v>0.57067120486830747</v>
      </c>
      <c r="G10" s="9">
        <v>-6.0295164244367157E-2</v>
      </c>
    </row>
    <row r="11" spans="1:7">
      <c r="A11" s="18" t="s">
        <v>154</v>
      </c>
      <c r="B11" s="9">
        <v>13.669319228951011</v>
      </c>
      <c r="C11" s="14">
        <v>0.09</v>
      </c>
      <c r="D11" s="14">
        <v>9.8000000000000004E-2</v>
      </c>
      <c r="E11" s="9">
        <v>-0.1093545538316081</v>
      </c>
      <c r="F11" s="24">
        <v>0.51973698075437824</v>
      </c>
      <c r="G11" s="9">
        <v>-5.6835605640182141E-2</v>
      </c>
    </row>
    <row r="12" spans="1:7">
      <c r="A12" s="18" t="s">
        <v>155</v>
      </c>
      <c r="B12" s="9">
        <v>14.14774540196429</v>
      </c>
      <c r="C12" s="14">
        <v>0.09</v>
      </c>
      <c r="D12" s="14">
        <v>9.8000000000000004E-2</v>
      </c>
      <c r="E12" s="9">
        <v>-0.1131819632157144</v>
      </c>
      <c r="F12" s="24">
        <v>0.47334879850125522</v>
      </c>
      <c r="G12" s="9">
        <v>-5.357454630017168E-2</v>
      </c>
    </row>
    <row r="13" spans="1:7">
      <c r="A13" s="18" t="s">
        <v>156</v>
      </c>
      <c r="B13" s="9">
        <v>14.64291649103304</v>
      </c>
      <c r="C13" s="14">
        <v>0.09</v>
      </c>
      <c r="D13" s="14">
        <v>9.8000000000000004E-2</v>
      </c>
      <c r="E13" s="9">
        <v>-0.1171433319282644</v>
      </c>
      <c r="F13" s="24">
        <v>0.43110090938183532</v>
      </c>
      <c r="G13" s="9">
        <v>-5.050059692229298E-2</v>
      </c>
    </row>
    <row r="14" spans="1:7">
      <c r="A14" s="18" t="s">
        <v>157</v>
      </c>
      <c r="B14" s="9">
        <v>15.155418568219201</v>
      </c>
      <c r="C14" s="14">
        <v>0.09</v>
      </c>
      <c r="D14" s="14">
        <v>9.8000000000000004E-2</v>
      </c>
      <c r="E14" s="9">
        <v>-0.12124334854575371</v>
      </c>
      <c r="F14" s="24">
        <v>0.39262377903627987</v>
      </c>
      <c r="G14" s="9">
        <v>-4.7603021689046648E-2</v>
      </c>
    </row>
    <row r="15" spans="1:7">
      <c r="A15" s="19" t="s">
        <v>158</v>
      </c>
      <c r="B15" s="25">
        <v>15.68585821810686</v>
      </c>
      <c r="E15" s="9">
        <v>-0.12548686574485499</v>
      </c>
      <c r="F15" s="24">
        <v>0.39262377903627987</v>
      </c>
      <c r="G15" s="25">
        <v>-0.78204964203433769</v>
      </c>
    </row>
    <row r="17" spans="1:7" ht="16.2">
      <c r="A17" s="3" t="s">
        <v>159</v>
      </c>
      <c r="B17" s="4"/>
      <c r="C17" s="4"/>
      <c r="D17" s="4"/>
      <c r="E17" s="4"/>
      <c r="F17" s="4"/>
      <c r="G17" s="4"/>
    </row>
    <row r="18" spans="1:7">
      <c r="A18" s="6" t="s">
        <v>144</v>
      </c>
      <c r="B18" s="9">
        <v>11.12</v>
      </c>
    </row>
    <row r="19" spans="1:7">
      <c r="A19" s="6" t="s">
        <v>160</v>
      </c>
      <c r="B19" s="9">
        <v>-0.63001385002915378</v>
      </c>
    </row>
    <row r="20" spans="1:7">
      <c r="A20" s="6" t="s">
        <v>161</v>
      </c>
      <c r="B20" s="9">
        <v>-0.78204964203433769</v>
      </c>
    </row>
    <row r="21" spans="1:7">
      <c r="A21" s="19" t="s">
        <v>105</v>
      </c>
      <c r="B21" s="15">
        <v>9.7079365079365072</v>
      </c>
    </row>
    <row r="22" spans="1:7">
      <c r="A22" s="6" t="s">
        <v>162</v>
      </c>
      <c r="B22" s="7">
        <v>9.7079365079365054</v>
      </c>
    </row>
    <row r="23" spans="1:7">
      <c r="A23" s="6" t="s">
        <v>163</v>
      </c>
      <c r="B23" s="24">
        <v>1.7763568394002501E-15</v>
      </c>
    </row>
  </sheetData>
  <mergeCells count="1">
    <mergeCell ref="A2:G2"/>
  </mergeCells>
  <phoneticPr fontId="11" type="noConversion"/>
  <pageMargins left="0.25" right="0.25" top="0.35" bottom="0.35" header="0.15" footer="0.1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27"/>
  <sheetViews>
    <sheetView showGridLines="0" workbookViewId="0"/>
  </sheetViews>
  <sheetFormatPr defaultRowHeight="14.4"/>
  <cols>
    <col min="1" max="1" width="26" customWidth="1"/>
    <col min="2" max="6" width="12" customWidth="1"/>
    <col min="7" max="7" width="14" customWidth="1"/>
  </cols>
  <sheetData>
    <row r="1" spans="1:7" ht="23.4">
      <c r="A1" s="1" t="s">
        <v>164</v>
      </c>
    </row>
    <row r="2" spans="1:7" ht="15.6">
      <c r="A2" s="31" t="s">
        <v>165</v>
      </c>
      <c r="B2" s="30"/>
      <c r="C2" s="30"/>
      <c r="D2" s="30"/>
      <c r="E2" s="30"/>
      <c r="F2" s="30"/>
      <c r="G2" s="30"/>
    </row>
    <row r="4" spans="1:7" ht="16.2">
      <c r="A4" s="3" t="s">
        <v>166</v>
      </c>
      <c r="B4" s="4"/>
      <c r="C4" s="4"/>
      <c r="D4" s="4"/>
      <c r="E4" s="4"/>
      <c r="F4" s="4"/>
      <c r="G4" s="4"/>
    </row>
    <row r="5" spans="1:7">
      <c r="A5" s="5" t="s">
        <v>167</v>
      </c>
      <c r="B5" s="5" t="s">
        <v>113</v>
      </c>
      <c r="C5" s="5" t="s">
        <v>114</v>
      </c>
      <c r="D5" s="5" t="s">
        <v>115</v>
      </c>
      <c r="E5" s="5" t="s">
        <v>168</v>
      </c>
      <c r="F5" s="5" t="s">
        <v>169</v>
      </c>
    </row>
    <row r="6" spans="1:7">
      <c r="A6" s="17">
        <v>7.4999999999999997E-2</v>
      </c>
      <c r="B6" s="26">
        <v>0.73</v>
      </c>
      <c r="C6" s="26">
        <v>0.67</v>
      </c>
      <c r="D6" s="26">
        <v>0.62</v>
      </c>
      <c r="E6" s="26">
        <v>0.56999999999999995</v>
      </c>
      <c r="F6" s="26">
        <v>0.53</v>
      </c>
    </row>
    <row r="7" spans="1:7">
      <c r="A7" s="17">
        <v>0.08</v>
      </c>
      <c r="B7" s="26">
        <v>0.82</v>
      </c>
      <c r="C7" s="26">
        <v>0.75</v>
      </c>
      <c r="D7" s="26">
        <v>0.69</v>
      </c>
      <c r="E7" s="26">
        <v>0.64</v>
      </c>
      <c r="F7" s="26">
        <v>0.6</v>
      </c>
    </row>
    <row r="8" spans="1:7">
      <c r="A8" s="17">
        <v>8.5000000000000006E-2</v>
      </c>
      <c r="B8" s="26">
        <v>0.91</v>
      </c>
      <c r="C8" s="26">
        <v>0.83</v>
      </c>
      <c r="D8" s="26">
        <v>0.77</v>
      </c>
      <c r="E8" s="26">
        <v>0.71</v>
      </c>
      <c r="F8" s="26">
        <v>0.67</v>
      </c>
    </row>
    <row r="9" spans="1:7">
      <c r="A9" s="16">
        <v>0.09</v>
      </c>
      <c r="B9" s="26">
        <v>1</v>
      </c>
      <c r="C9" s="26">
        <v>0.92</v>
      </c>
      <c r="D9" s="26">
        <v>0.85</v>
      </c>
      <c r="E9" s="26">
        <v>0.79</v>
      </c>
      <c r="F9" s="26">
        <v>0.73</v>
      </c>
    </row>
    <row r="10" spans="1:7">
      <c r="A10" s="17">
        <v>9.5000000000000001E-2</v>
      </c>
      <c r="B10" s="26">
        <v>1.0900000000000001</v>
      </c>
      <c r="C10" s="26">
        <v>1</v>
      </c>
      <c r="D10" s="26">
        <v>0.92</v>
      </c>
      <c r="E10" s="26">
        <v>0.86</v>
      </c>
      <c r="F10" s="26">
        <v>0.8</v>
      </c>
    </row>
    <row r="11" spans="1:7">
      <c r="A11" s="17">
        <v>0.1</v>
      </c>
      <c r="B11" s="26">
        <v>1.18</v>
      </c>
      <c r="C11" s="26">
        <v>1.08</v>
      </c>
      <c r="D11" s="26">
        <v>1</v>
      </c>
      <c r="E11" s="26">
        <v>0.93</v>
      </c>
      <c r="F11" s="26">
        <v>0.87</v>
      </c>
    </row>
    <row r="13" spans="1:7" ht="16.2">
      <c r="A13" s="3" t="s">
        <v>170</v>
      </c>
      <c r="B13" s="4"/>
      <c r="C13" s="4"/>
      <c r="D13" s="4"/>
      <c r="E13" s="4"/>
      <c r="F13" s="4"/>
      <c r="G13" s="4"/>
    </row>
    <row r="14" spans="1:7">
      <c r="A14" s="6" t="s">
        <v>171</v>
      </c>
      <c r="B14" s="12">
        <v>0.78956834532374098</v>
      </c>
    </row>
    <row r="15" spans="1:7">
      <c r="A15" s="6" t="s">
        <v>172</v>
      </c>
      <c r="B15" s="26">
        <v>0.87301587301587291</v>
      </c>
    </row>
    <row r="16" spans="1:7">
      <c r="A16" s="6" t="s">
        <v>173</v>
      </c>
      <c r="B16" s="13">
        <v>8.4742805755395695E-2</v>
      </c>
    </row>
    <row r="17" spans="1:7">
      <c r="A17" s="6" t="s">
        <v>174</v>
      </c>
      <c r="B17" s="27">
        <v>-5.2571942446043018E-3</v>
      </c>
    </row>
    <row r="19" spans="1:7" ht="16.2">
      <c r="A19" s="3" t="s">
        <v>175</v>
      </c>
      <c r="B19" s="4"/>
      <c r="C19" s="4"/>
      <c r="D19" s="4"/>
      <c r="E19" s="4"/>
      <c r="F19" s="4"/>
      <c r="G19" s="4"/>
    </row>
    <row r="20" spans="1:7">
      <c r="A20" s="5" t="s">
        <v>24</v>
      </c>
      <c r="B20" s="5" t="s">
        <v>36</v>
      </c>
      <c r="C20" s="5" t="s">
        <v>38</v>
      </c>
      <c r="D20" s="5" t="s">
        <v>176</v>
      </c>
      <c r="E20" s="5" t="s">
        <v>39</v>
      </c>
    </row>
    <row r="21" spans="1:7">
      <c r="A21" s="13">
        <v>0.09</v>
      </c>
      <c r="B21" s="15">
        <v>9.7079365079365054</v>
      </c>
      <c r="C21" s="28">
        <v>-9.5585349901896488E-2</v>
      </c>
      <c r="D21" s="26">
        <v>0.87301587301587291</v>
      </c>
      <c r="E21" s="18" t="s">
        <v>177</v>
      </c>
    </row>
    <row r="22" spans="1:7">
      <c r="A22" s="14">
        <v>8.4999999999999992E-2</v>
      </c>
      <c r="B22" s="7">
        <v>8.8253968253968225</v>
      </c>
      <c r="C22" s="28">
        <v>-5.1438848920860591E-3</v>
      </c>
      <c r="D22" s="26">
        <v>0.7936507936507935</v>
      </c>
      <c r="E22" s="18" t="s">
        <v>177</v>
      </c>
    </row>
    <row r="23" spans="1:7">
      <c r="A23" s="14">
        <v>0.08</v>
      </c>
      <c r="B23" s="7">
        <v>7.9428571428571422</v>
      </c>
      <c r="C23" s="28">
        <v>0.10539568345323749</v>
      </c>
      <c r="D23" s="26">
        <v>0.7142857142857143</v>
      </c>
      <c r="E23" s="18" t="s">
        <v>178</v>
      </c>
    </row>
    <row r="24" spans="1:7">
      <c r="A24" s="14">
        <v>7.4999999999999997E-2</v>
      </c>
      <c r="B24" s="7">
        <v>7.0603174603174592</v>
      </c>
      <c r="C24" s="28">
        <v>0.24357014388489229</v>
      </c>
      <c r="D24" s="26">
        <v>0.63492063492063477</v>
      </c>
      <c r="E24" s="18" t="s">
        <v>178</v>
      </c>
    </row>
    <row r="25" spans="1:7">
      <c r="A25" s="14">
        <v>6.9999999999999993E-2</v>
      </c>
      <c r="B25" s="7">
        <v>6.1777777777777754</v>
      </c>
      <c r="C25" s="28">
        <v>0.42122302158273423</v>
      </c>
      <c r="D25" s="26">
        <v>0.55555555555555536</v>
      </c>
      <c r="E25" s="18" t="s">
        <v>178</v>
      </c>
    </row>
    <row r="27" spans="1:7" ht="28.05" customHeight="1">
      <c r="A27" s="33" t="s">
        <v>179</v>
      </c>
      <c r="B27" s="30"/>
      <c r="C27" s="30"/>
      <c r="D27" s="30"/>
      <c r="E27" s="30"/>
      <c r="F27" s="30"/>
      <c r="G27" s="30"/>
    </row>
  </sheetData>
  <mergeCells count="2">
    <mergeCell ref="A27:G27"/>
    <mergeCell ref="A2:G2"/>
  </mergeCells>
  <phoneticPr fontId="11" type="noConversion"/>
  <pageMargins left="0.25" right="0.25" top="0.35" bottom="0.35" header="0.15" footer="0.1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12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180</v>
      </c>
    </row>
    <row r="2" spans="1:4" ht="15.6">
      <c r="A2" s="31" t="s">
        <v>181</v>
      </c>
      <c r="B2" s="30"/>
      <c r="C2" s="30"/>
      <c r="D2" s="30"/>
    </row>
    <row r="4" spans="1:4">
      <c r="A4" s="5" t="s">
        <v>182</v>
      </c>
      <c r="B4" s="5" t="s">
        <v>183</v>
      </c>
      <c r="C4" s="5" t="s">
        <v>184</v>
      </c>
      <c r="D4" s="5" t="s">
        <v>185</v>
      </c>
    </row>
    <row r="5" spans="1:4">
      <c r="A5" s="6" t="s">
        <v>186</v>
      </c>
      <c r="B5" s="6" t="s">
        <v>187</v>
      </c>
      <c r="C5" s="18" t="s">
        <v>188</v>
      </c>
      <c r="D5" s="8" t="s">
        <v>189</v>
      </c>
    </row>
    <row r="6" spans="1:4">
      <c r="A6" s="6" t="s">
        <v>190</v>
      </c>
      <c r="B6" s="6" t="s">
        <v>191</v>
      </c>
      <c r="C6" s="18" t="s">
        <v>192</v>
      </c>
      <c r="D6" s="8" t="s">
        <v>193</v>
      </c>
    </row>
    <row r="7" spans="1:4">
      <c r="A7" s="6" t="s">
        <v>194</v>
      </c>
      <c r="B7" s="6" t="s">
        <v>187</v>
      </c>
      <c r="C7" s="18" t="s">
        <v>195</v>
      </c>
      <c r="D7" s="8" t="s">
        <v>196</v>
      </c>
    </row>
    <row r="8" spans="1:4">
      <c r="A8" s="6" t="s">
        <v>197</v>
      </c>
      <c r="B8" s="6" t="s">
        <v>198</v>
      </c>
      <c r="C8" s="18" t="s">
        <v>199</v>
      </c>
      <c r="D8" s="8" t="s">
        <v>200</v>
      </c>
    </row>
    <row r="9" spans="1:4">
      <c r="A9" s="6" t="s">
        <v>201</v>
      </c>
      <c r="B9" s="6" t="s">
        <v>202</v>
      </c>
      <c r="C9" s="18" t="s">
        <v>199</v>
      </c>
      <c r="D9" s="8" t="s">
        <v>203</v>
      </c>
    </row>
    <row r="12" spans="1:4" ht="15">
      <c r="A12" s="33" t="s">
        <v>204</v>
      </c>
      <c r="B12" s="30"/>
      <c r="C12" s="30"/>
      <c r="D12" s="30"/>
    </row>
  </sheetData>
  <mergeCells count="2">
    <mergeCell ref="A12:D12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8</vt:i4>
      </vt:variant>
    </vt:vector>
  </HeadingPairs>
  <TitlesOfParts>
    <vt:vector size="16" baseType="lpstr">
      <vt:lpstr>结论</vt:lpstr>
      <vt:lpstr>历史财务</vt:lpstr>
      <vt:lpstr>分部</vt:lpstr>
      <vt:lpstr>银行估值</vt:lpstr>
      <vt:lpstr>敏感性</vt:lpstr>
      <vt:lpstr>RI路径</vt:lpstr>
      <vt:lpstr>PB-ROE</vt:lpstr>
      <vt:lpstr>来源</vt:lpstr>
      <vt:lpstr>'PB-ROE'!Print_Area</vt:lpstr>
      <vt:lpstr>RI路径!Print_Area</vt:lpstr>
      <vt:lpstr>分部!Print_Area</vt:lpstr>
      <vt:lpstr>结论!Print_Area</vt:lpstr>
      <vt:lpstr>来源!Print_Area</vt:lpstr>
      <vt:lpstr>历史财务!Print_Area</vt:lpstr>
      <vt:lpstr>敏感性!Print_Area</vt:lpstr>
      <vt:lpstr>银行估值!Print_Area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2026-10-29T10:38:20Z</dcterms:created>
  <dcterms:modified xsi:type="dcterms:W3CDTF">2026-10-29T10:38:21Z</dcterms:modified>
</cp:coreProperties>
</file>