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" sheetId="1" state="visible" r:id="rId1"/>
    <sheet xmlns:r="http://schemas.openxmlformats.org/officeDocument/2006/relationships" name="历史财务" sheetId="2" state="visible" r:id="rId2"/>
    <sheet xmlns:r="http://schemas.openxmlformats.org/officeDocument/2006/relationships" name="分部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敏感性" sheetId="5" state="visible" r:id="rId5"/>
    <sheet xmlns:r="http://schemas.openxmlformats.org/officeDocument/2006/relationships" name="情景" sheetId="6" state="visible" r:id="rId6"/>
    <sheet xmlns:r="http://schemas.openxmlformats.org/officeDocument/2006/relationships" name="来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"/>
    <numFmt numFmtId="166" formatCode="0.0"/>
    <numFmt numFmtId="167" formatCode="0.0%"/>
  </numFmts>
  <fonts count="17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color rgb="005B6770"/>
      <sz val="9"/>
    </font>
    <font>
      <name val="Microsoft YaHei"/>
      <i val="1"/>
      <color rgb="005B6770"/>
      <sz val="8.5"/>
    </font>
    <font>
      <name val="Microsoft YaHei"/>
      <b val="1"/>
      <color rgb="002F6B4F"/>
      <sz val="11"/>
    </font>
    <font>
      <name val="Microsoft YaHei"/>
      <b val="1"/>
      <color rgb="005B4A3A"/>
      <sz val="9.5"/>
    </font>
    <font>
      <name val="Microsoft YaHei"/>
      <color rgb="001F2933"/>
      <sz val="9.5"/>
    </font>
    <font>
      <name val="Microsoft YaHei"/>
      <color rgb="001A73E8"/>
      <sz val="9.5"/>
    </font>
    <font>
      <name val="Microsoft YaHei"/>
      <color rgb="005B6770"/>
      <sz val="9.5"/>
    </font>
    <font>
      <name val="Microsoft YaHei"/>
      <b val="1"/>
      <color rgb="001F2933"/>
      <sz val="9.5"/>
    </font>
    <font>
      <name val="Microsoft YaHei"/>
      <b val="1"/>
      <color rgb="002F6B4F"/>
      <sz val="9.5"/>
    </font>
    <font>
      <name val="Microsoft YaHei"/>
      <b val="1"/>
      <color rgb="00B23A2E"/>
      <sz val="9.5"/>
    </font>
    <font>
      <name val="Microsoft YaHei"/>
      <b val="1"/>
      <color rgb="00C9A227"/>
      <sz val="9.5"/>
    </font>
    <font>
      <name val="Microsoft YaHei"/>
      <b val="1"/>
      <color rgb="001F2933"/>
      <sz val="10.5"/>
    </font>
    <font>
      <name val="Microsoft YaHei"/>
      <color rgb="00B23A2E"/>
      <sz val="9.5"/>
    </font>
    <font>
      <name val="Microsoft YaHei"/>
      <color rgb="002F6B4F"/>
      <sz val="9.5"/>
    </font>
    <font>
      <name val="Microsoft YaHei"/>
      <color rgb="001F2933"/>
      <sz val="9"/>
    </font>
  </fonts>
  <fills count="7">
    <fill>
      <patternFill/>
    </fill>
    <fill>
      <patternFill patternType="gray125"/>
    </fill>
    <fill>
      <patternFill patternType="solid">
        <fgColor rgb="002F6B4F"/>
      </patternFill>
    </fill>
    <fill>
      <patternFill patternType="solid">
        <fgColor rgb="00FBF7EA"/>
      </patternFill>
    </fill>
    <fill>
      <patternFill patternType="solid">
        <fgColor rgb="00E8EFE9"/>
      </patternFill>
    </fill>
    <fill>
      <patternFill patternType="solid">
        <fgColor rgb="00EFE8D8"/>
      </patternFill>
    </fill>
    <fill>
      <patternFill patternType="solid">
        <fgColor rgb="00F2F7FB"/>
      </patternFill>
    </fill>
  </fills>
  <borders count="6">
    <border>
      <left/>
      <right/>
      <top/>
      <bottom/>
      <diagonal/>
    </border>
    <border>
      <left style="thin">
        <color rgb="00D9D2C5"/>
      </left>
      <right style="thin">
        <color rgb="00D9D2C5"/>
      </right>
      <top style="thin">
        <color rgb="00D9D2C5"/>
      </top>
      <bottom style="thin">
        <color rgb="00D9D2C5"/>
      </bottom>
    </border>
    <border>
      <left/>
      <right/>
      <top style="thin">
        <color rgb="00D9D2C5"/>
      </top>
      <bottom/>
      <diagonal/>
    </border>
    <border>
      <left/>
      <right style="thin">
        <color rgb="00D9D2C5"/>
      </right>
      <top style="thin">
        <color rgb="00D9D2C5"/>
      </top>
      <bottom/>
      <diagonal/>
    </border>
    <border>
      <left/>
      <right/>
      <top style="thin">
        <color rgb="00D9D2C5"/>
      </top>
      <bottom style="thin">
        <color rgb="00D9D2C5"/>
      </bottom>
      <diagonal/>
    </border>
    <border>
      <left/>
      <right style="thin">
        <color rgb="00D9D2C5"/>
      </right>
      <top style="thin">
        <color rgb="00D9D2C5"/>
      </top>
      <bottom style="thin">
        <color rgb="00D9D2C5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wrapText="1" indent="1"/>
    </xf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2" fontId="7" fillId="6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4" fontId="7" fillId="6" borderId="1" applyAlignment="1" pivotButton="0" quotePrefix="0" xfId="0">
      <alignment horizontal="right" vertical="center"/>
    </xf>
    <xf numFmtId="4" fontId="9" fillId="0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10" fontId="9" fillId="0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2" fontId="9" fillId="0" borderId="1" applyAlignment="1" pivotButton="0" quotePrefix="0" xfId="0">
      <alignment horizontal="right" vertical="center"/>
    </xf>
    <xf numFmtId="10" fontId="7" fillId="6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2" fontId="10" fillId="0" borderId="1" applyAlignment="1" pivotButton="0" quotePrefix="0" xfId="0">
      <alignment horizontal="right" vertical="center"/>
    </xf>
    <xf numFmtId="167" fontId="11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left" vertical="center" wrapText="1"/>
    </xf>
    <xf numFmtId="2" fontId="6" fillId="0" borderId="1" applyAlignment="1" pivotButton="0" quotePrefix="0" xfId="0">
      <alignment horizontal="right" vertical="center"/>
    </xf>
    <xf numFmtId="167" fontId="14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167" fontId="15" fillId="0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 indent="1"/>
    </xf>
    <xf numFmtId="164" fontId="6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166" fontId="7" fillId="6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right" vertical="center"/>
    </xf>
    <xf numFmtId="2" fontId="15" fillId="0" borderId="1" applyAlignment="1" pivotButton="0" quotePrefix="0" xfId="0">
      <alignment horizontal="right" vertical="center"/>
    </xf>
    <xf numFmtId="2" fontId="14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归母净利润（亿元）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'历史财务'!$B$5:$G$5</f>
            </numRef>
          </cat>
          <val>
            <numRef>
              <f>'历史财务'!$B$7:$G$7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亿元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qt.gtimg.cn/q=sh600900" TargetMode="External" Id="rId1"/><Relationship Type="http://schemas.openxmlformats.org/officeDocument/2006/relationships/hyperlink" Target="https://www.cnstock.com/commonDetail/783474" TargetMode="External" Id="rId2"/><Relationship Type="http://schemas.openxmlformats.org/officeDocument/2006/relationships/hyperlink" Target="https://www.cnfin.com/announ/detail/index.html?id=845134363539&amp;code=600900&amp;dannoun=lcdetail&amp;announ=lc" TargetMode="External" Id="rId3"/><Relationship Type="http://schemas.openxmlformats.org/officeDocument/2006/relationships/hyperlink" Target="https://www.sse.com.cn/" TargetMode="External" Id="rId4"/><Relationship Type="http://schemas.openxmlformats.org/officeDocument/2006/relationships/hyperlink" Target="https://www.sse.com.cn/" TargetMode="External" Id="rId5"/><Relationship Type="http://schemas.openxmlformats.org/officeDocument/2006/relationships/hyperlink" Target="https://emweb.securities.eastmoney.com/" TargetMode="External" Id="rId6"/><Relationship Type="http://schemas.openxmlformats.org/officeDocument/2006/relationships/hyperlink" Target="https://datacenter-web.eastmoney.com/" TargetMode="External" Id="rId7"/></Relationships>
</file>

<file path=xl/worksheets/sheet1.xml><?xml version="1.0" encoding="utf-8"?>
<worksheet xmlns="http://schemas.openxmlformats.org/spreadsheetml/2006/main">
  <sheetPr>
    <tabColor rgb="002F6B4F"/>
    <outlinePr summaryBelow="1" summaryRight="1"/>
    <pageSetUpPr fitToPage="1"/>
  </sheetPr>
  <dimension ref="A1:G4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46" customWidth="1" min="4" max="4"/>
    <col width="3" customWidth="1" min="5" max="5"/>
    <col width="3" customWidth="1" min="6" max="6"/>
    <col width="3" customWidth="1" min="7" max="7"/>
  </cols>
  <sheetData>
    <row r="1" ht="28" customHeight="1">
      <c r="A1" s="1" t="inlineStr">
        <is>
          <t>长江电力 600900.SH · 巴菲特框架估值模型</t>
        </is>
      </c>
    </row>
    <row r="2" ht="18" customHeight="1">
      <c r="A2" s="2" t="inlineStr">
        <is>
          <t>报告日 2026-10-30｜价格日 2026-10-30｜单位：人民币亿元、元/股｜蓝色=输入，黑色=公式</t>
        </is>
      </c>
    </row>
    <row r="3" ht="30" customHeight="1">
      <c r="A3" s="3" t="inlineStr">
        <is>
          <t>本模型只用于研究记录，不构成投资建议。事实、计算、假设与判断分开标注；来源见“来源”页。</t>
        </is>
      </c>
    </row>
    <row r="5" ht="22" customHeight="1">
      <c r="A5" s="4" t="inlineStr">
        <is>
          <t>一、市场与估值结论</t>
        </is>
      </c>
    </row>
    <row r="6" ht="28" customHeight="1">
      <c r="A6" s="5" t="inlineStr">
        <is>
          <t>指标</t>
        </is>
      </c>
      <c r="B6" s="5" t="inlineStr">
        <is>
          <t>数值</t>
        </is>
      </c>
      <c r="C6" s="5" t="inlineStr">
        <is>
          <t>单位 / 说明</t>
        </is>
      </c>
      <c r="D6" s="5" t="inlineStr"/>
      <c r="E6" s="5" t="inlineStr"/>
      <c r="F6" s="5" t="inlineStr"/>
      <c r="G6" s="5" t="inlineStr"/>
    </row>
    <row r="7">
      <c r="A7" s="6" t="inlineStr">
        <is>
          <t>收盘价</t>
        </is>
      </c>
      <c r="B7" s="7" t="n">
        <v>29.74</v>
      </c>
      <c r="C7" s="8" t="inlineStr">
        <is>
          <t>元/股</t>
        </is>
      </c>
      <c r="D7" s="9" t="n"/>
      <c r="E7" s="9" t="n"/>
      <c r="F7" s="9" t="n"/>
      <c r="G7" s="10" t="n"/>
    </row>
    <row r="8">
      <c r="A8" s="6" t="inlineStr">
        <is>
          <t>总股本</t>
        </is>
      </c>
      <c r="B8" s="11" t="n">
        <v>244.68217716</v>
      </c>
      <c r="C8" s="8" t="inlineStr">
        <is>
          <t>亿股</t>
        </is>
      </c>
      <c r="D8" s="9" t="n"/>
      <c r="E8" s="9" t="n"/>
      <c r="F8" s="9" t="n"/>
      <c r="G8" s="10" t="n"/>
    </row>
    <row r="9">
      <c r="A9" s="6" t="inlineStr">
        <is>
          <t>总市值</t>
        </is>
      </c>
      <c r="B9" s="12">
        <f>B7*B8</f>
        <v/>
      </c>
      <c r="C9" s="8" t="inlineStr">
        <is>
          <t>亿元</t>
        </is>
      </c>
      <c r="D9" s="9" t="n"/>
      <c r="E9" s="9" t="n"/>
      <c r="F9" s="9" t="n"/>
      <c r="G9" s="10" t="n"/>
    </row>
    <row r="10">
      <c r="A10" s="6" t="inlineStr">
        <is>
          <t>净债务</t>
        </is>
      </c>
      <c r="B10" s="11" t="n">
        <v>2734.9</v>
      </c>
      <c r="C10" s="8" t="inlineStr">
        <is>
          <t>亿元</t>
        </is>
      </c>
      <c r="D10" s="9" t="n"/>
      <c r="E10" s="9" t="n"/>
      <c r="F10" s="9" t="n"/>
      <c r="G10" s="10" t="n"/>
    </row>
    <row r="11">
      <c r="A11" s="6" t="inlineStr">
        <is>
          <t>少数股东权益</t>
        </is>
      </c>
      <c r="B11" s="11" t="n">
        <v>119.8</v>
      </c>
      <c r="C11" s="8" t="inlineStr">
        <is>
          <t>亿元</t>
        </is>
      </c>
      <c r="D11" s="9" t="n"/>
      <c r="E11" s="9" t="n"/>
      <c r="F11" s="9" t="n"/>
      <c r="G11" s="10" t="n"/>
    </row>
    <row r="12">
      <c r="A12" s="6" t="inlineStr">
        <is>
          <t>2026E 归母净利</t>
        </is>
      </c>
      <c r="B12" s="13" t="n">
        <v>322</v>
      </c>
      <c r="C12" s="8" t="inlineStr">
        <is>
          <t>亿元</t>
        </is>
      </c>
      <c r="D12" s="9" t="n"/>
      <c r="E12" s="9" t="n"/>
      <c r="F12" s="9" t="n"/>
      <c r="G12" s="10" t="n"/>
    </row>
    <row r="13">
      <c r="A13" s="6" t="inlineStr">
        <is>
          <t>2026E EPS</t>
        </is>
      </c>
      <c r="B13" s="14">
        <f>B12/B8</f>
        <v/>
      </c>
      <c r="C13" s="8" t="inlineStr">
        <is>
          <t>元/股</t>
        </is>
      </c>
      <c r="D13" s="9" t="n"/>
      <c r="E13" s="9" t="n"/>
      <c r="F13" s="9" t="n"/>
      <c r="G13" s="10" t="n"/>
    </row>
    <row r="14">
      <c r="A14" s="6" t="inlineStr">
        <is>
          <t>2026E DPS</t>
        </is>
      </c>
      <c r="B14" s="15" t="n">
        <v>0.92</v>
      </c>
      <c r="C14" s="8" t="inlineStr">
        <is>
          <t>元/股</t>
        </is>
      </c>
      <c r="D14" s="9" t="n"/>
      <c r="E14" s="9" t="n"/>
      <c r="F14" s="9" t="n"/>
      <c r="G14" s="10" t="n"/>
    </row>
    <row r="15">
      <c r="A15" s="6" t="inlineStr">
        <is>
          <t>2026E 股息率</t>
        </is>
      </c>
      <c r="B15" s="16">
        <f>B14/B7</f>
        <v/>
      </c>
      <c r="C15" s="8" t="inlineStr">
        <is>
          <t>%</t>
        </is>
      </c>
      <c r="D15" s="9" t="n"/>
      <c r="E15" s="9" t="n"/>
      <c r="F15" s="9" t="n"/>
      <c r="G15" s="10" t="n"/>
    </row>
    <row r="16">
      <c r="A16" s="6" t="inlineStr">
        <is>
          <t>2026E PE</t>
        </is>
      </c>
      <c r="B16" s="17">
        <f>B7/B13</f>
        <v/>
      </c>
      <c r="C16" s="8" t="inlineStr">
        <is>
          <t>倍</t>
        </is>
      </c>
      <c r="D16" s="9" t="n"/>
      <c r="E16" s="9" t="n"/>
      <c r="F16" s="9" t="n"/>
      <c r="G16" s="10" t="n"/>
    </row>
    <row r="17">
      <c r="A17" s="6" t="inlineStr">
        <is>
          <t>每股净资产 BPS</t>
        </is>
      </c>
      <c r="B17" s="7" t="n">
        <v>8.83</v>
      </c>
      <c r="C17" s="8" t="inlineStr">
        <is>
          <t>元/股</t>
        </is>
      </c>
      <c r="D17" s="9" t="n"/>
      <c r="E17" s="9" t="n"/>
      <c r="F17" s="9" t="n"/>
      <c r="G17" s="10" t="n"/>
    </row>
    <row r="18">
      <c r="A18" s="6" t="inlineStr">
        <is>
          <t>PB</t>
        </is>
      </c>
      <c r="B18" s="18">
        <f>B7/B17</f>
        <v/>
      </c>
      <c r="C18" s="8" t="inlineStr">
        <is>
          <t>倍</t>
        </is>
      </c>
      <c r="D18" s="9" t="n"/>
      <c r="E18" s="9" t="n"/>
      <c r="F18" s="9" t="n"/>
      <c r="G18" s="10" t="n"/>
    </row>
    <row r="19">
      <c r="A19" s="6" t="inlineStr">
        <is>
          <t>2026E ROE</t>
        </is>
      </c>
      <c r="B19" s="19" t="n">
        <v>0.146</v>
      </c>
      <c r="C19" s="8" t="inlineStr">
        <is>
          <t>%</t>
        </is>
      </c>
      <c r="D19" s="9" t="n"/>
      <c r="E19" s="9" t="n"/>
      <c r="F19" s="9" t="n"/>
      <c r="G19" s="10" t="n"/>
    </row>
    <row r="20">
      <c r="A20" s="6" t="inlineStr">
        <is>
          <t>估值方法 1：FCFF DCF</t>
        </is>
      </c>
      <c r="B20" s="18" t="n">
        <v>30.17</v>
      </c>
      <c r="C20" s="8" t="inlineStr">
        <is>
          <t>元/股</t>
        </is>
      </c>
      <c r="D20" s="9" t="n"/>
      <c r="E20" s="9" t="n"/>
      <c r="F20" s="9" t="n"/>
      <c r="G20" s="10" t="n"/>
    </row>
    <row r="21">
      <c r="A21" s="6" t="inlineStr">
        <is>
          <t>估值方法 2：DDM</t>
        </is>
      </c>
      <c r="B21" s="18" t="n">
        <v>25</v>
      </c>
      <c r="C21" s="8" t="inlineStr">
        <is>
          <t>元/股</t>
        </is>
      </c>
      <c r="D21" s="9" t="n"/>
      <c r="E21" s="9" t="n"/>
      <c r="F21" s="9" t="n"/>
      <c r="G21" s="10" t="n"/>
    </row>
    <row r="22">
      <c r="A22" s="20" t="inlineStr">
        <is>
          <t>综合基准价值</t>
        </is>
      </c>
      <c r="B22" s="21">
        <f>B20*0.5+B21*0.5</f>
        <v/>
      </c>
      <c r="C22" s="8" t="inlineStr">
        <is>
          <t>元/股</t>
        </is>
      </c>
      <c r="D22" s="9" t="n"/>
      <c r="E22" s="9" t="n"/>
      <c r="F22" s="9" t="n"/>
      <c r="G22" s="10" t="n"/>
    </row>
    <row r="23">
      <c r="A23" s="20" t="inlineStr">
        <is>
          <t>安全边际</t>
        </is>
      </c>
      <c r="B23" s="22">
        <f>1-B7/B22</f>
        <v/>
      </c>
      <c r="C23" s="8" t="inlineStr">
        <is>
          <t>正=折价，负=溢价</t>
        </is>
      </c>
      <c r="D23" s="9" t="n"/>
      <c r="E23" s="9" t="n"/>
      <c r="F23" s="9" t="n"/>
      <c r="G23" s="10" t="n"/>
    </row>
    <row r="24">
      <c r="A24" s="20" t="inlineStr">
        <is>
          <t>评级</t>
        </is>
      </c>
      <c r="B24" s="23" t="inlineStr">
        <is>
          <t>合理偏贵</t>
        </is>
      </c>
      <c r="C24" s="6" t="inlineStr"/>
      <c r="D24" s="9" t="n"/>
      <c r="E24" s="9" t="n"/>
      <c r="F24" s="9" t="n"/>
      <c r="G24" s="10" t="n"/>
    </row>
    <row r="25">
      <c r="A25" s="6" t="inlineStr">
        <is>
          <t>置信度</t>
        </is>
      </c>
      <c r="B25" s="24" t="inlineStr">
        <is>
          <t>中高</t>
        </is>
      </c>
      <c r="C25" s="6" t="inlineStr"/>
      <c r="D25" s="9" t="n"/>
      <c r="E25" s="9" t="n"/>
      <c r="F25" s="9" t="n"/>
      <c r="G25" s="10" t="n"/>
    </row>
    <row r="26" ht="42" customHeight="1">
      <c r="A26" s="25" t="inlineStr">
        <is>
          <t>结论：合理偏贵：好资产，价格已在上沿；现价较基准高约 7.8%，无安全边际。</t>
        </is>
      </c>
    </row>
    <row r="28" ht="22" customHeight="1">
      <c r="A28" s="4" t="inlineStr">
        <is>
          <t>二、关键假设</t>
        </is>
      </c>
    </row>
    <row r="29" ht="28" customHeight="1">
      <c r="A29" s="5" t="inlineStr">
        <is>
          <t>假设</t>
        </is>
      </c>
      <c r="B29" s="5" t="inlineStr">
        <is>
          <t>数值</t>
        </is>
      </c>
      <c r="C29" s="5" t="inlineStr">
        <is>
          <t>说明</t>
        </is>
      </c>
      <c r="D29" s="5" t="inlineStr"/>
      <c r="E29" s="5" t="inlineStr"/>
      <c r="F29" s="5" t="inlineStr"/>
      <c r="G29" s="5" t="inlineStr"/>
    </row>
    <row r="30" ht="24" customHeight="1">
      <c r="A30" s="6" t="inlineStr">
        <is>
          <t>归一化 FCFF</t>
        </is>
      </c>
      <c r="B30" s="13" t="n">
        <v>430</v>
      </c>
      <c r="C30" s="26" t="inlineStr">
        <is>
          <t>亿元；2025 CFO 605.6 − capex 184.9 + 利息/营运资金调整</t>
        </is>
      </c>
      <c r="D30" s="9" t="n"/>
      <c r="E30" s="9" t="n"/>
      <c r="F30" s="9" t="n"/>
      <c r="G30" s="10" t="n"/>
    </row>
    <row r="31" ht="24" customHeight="1">
      <c r="A31" s="6" t="inlineStr">
        <is>
          <t>WACC</t>
        </is>
      </c>
      <c r="B31" s="19" t="n">
        <v>0.06</v>
      </c>
      <c r="C31" s="26" t="inlineStr">
        <is>
          <t>无风险 1.62% + 风险溢价；水电类低杠杆</t>
        </is>
      </c>
      <c r="D31" s="9" t="n"/>
      <c r="E31" s="9" t="n"/>
      <c r="F31" s="9" t="n"/>
      <c r="G31" s="10" t="n"/>
    </row>
    <row r="32" ht="24" customHeight="1">
      <c r="A32" s="6" t="inlineStr">
        <is>
          <t>永续增长 g</t>
        </is>
      </c>
      <c r="B32" s="19" t="n">
        <v>0.018</v>
      </c>
      <c r="C32" s="26" t="inlineStr">
        <is>
          <t>电量与电价长期温和增长</t>
        </is>
      </c>
      <c r="D32" s="9" t="n"/>
      <c r="E32" s="9" t="n"/>
      <c r="F32" s="9" t="n"/>
      <c r="G32" s="10" t="n"/>
    </row>
    <row r="33" ht="24" customHeight="1">
      <c r="A33" s="6" t="inlineStr">
        <is>
          <t>DPS（归一化）</t>
        </is>
      </c>
      <c r="B33" s="15" t="n">
        <v>1</v>
      </c>
      <c r="C33" s="26" t="inlineStr">
        <is>
          <t>2025 年分红 1.00 元；2026-2030 承诺 ≥70%</t>
        </is>
      </c>
      <c r="D33" s="9" t="n"/>
      <c r="E33" s="9" t="n"/>
      <c r="F33" s="9" t="n"/>
      <c r="G33" s="10" t="n"/>
    </row>
    <row r="34" ht="24" customHeight="1">
      <c r="A34" s="6" t="inlineStr">
        <is>
          <t>COE</t>
        </is>
      </c>
      <c r="B34" s="19" t="n">
        <v>0.06</v>
      </c>
      <c r="C34" s="26" t="inlineStr">
        <is>
          <t>DDM 折现率</t>
        </is>
      </c>
      <c r="D34" s="9" t="n"/>
      <c r="E34" s="9" t="n"/>
      <c r="F34" s="9" t="n"/>
      <c r="G34" s="10" t="n"/>
    </row>
    <row r="35" ht="24" customHeight="1">
      <c r="A35" s="6" t="inlineStr">
        <is>
          <t>DDM 永续 g</t>
        </is>
      </c>
      <c r="B35" s="19" t="n">
        <v>0.02</v>
      </c>
      <c r="C35" s="26" t="inlineStr">
        <is>
          <t>股息长期增长</t>
        </is>
      </c>
      <c r="D35" s="9" t="n"/>
      <c r="E35" s="9" t="n"/>
      <c r="F35" s="9" t="n"/>
      <c r="G35" s="10" t="n"/>
    </row>
    <row r="37" ht="22" customHeight="1">
      <c r="A37" s="4" t="inlineStr">
        <is>
          <t>三、三情景</t>
        </is>
      </c>
    </row>
    <row r="38" ht="28" customHeight="1">
      <c r="A38" s="5" t="inlineStr">
        <is>
          <t>情景</t>
        </is>
      </c>
      <c r="B38" s="5" t="inlineStr">
        <is>
          <t>每股价值（元）</t>
        </is>
      </c>
      <c r="C38" s="5" t="inlineStr">
        <is>
          <t>相对现价</t>
        </is>
      </c>
      <c r="D38" s="5" t="inlineStr">
        <is>
          <t>核心假设</t>
        </is>
      </c>
      <c r="E38" s="5" t="inlineStr"/>
      <c r="F38" s="5" t="inlineStr"/>
      <c r="G38" s="5" t="inlineStr"/>
    </row>
    <row r="39" ht="30" customHeight="1">
      <c r="A39" s="24" t="inlineStr">
        <is>
          <t>悲观</t>
        </is>
      </c>
      <c r="B39" s="27" t="n">
        <v>19.73</v>
      </c>
      <c r="C39" s="28">
        <f>B39/B7-1</f>
        <v/>
      </c>
      <c r="D39" s="26" t="inlineStr">
        <is>
          <t>来水偏枯、利率上行；FCFF 400 亿、WACC 6.5%</t>
        </is>
      </c>
      <c r="E39" s="9" t="n"/>
      <c r="F39" s="9" t="n"/>
      <c r="G39" s="10" t="n"/>
    </row>
    <row r="40" ht="30" customHeight="1">
      <c r="A40" s="29" t="inlineStr">
        <is>
          <t>基准</t>
        </is>
      </c>
      <c r="B40" s="21" t="n">
        <v>27.59</v>
      </c>
      <c r="C40" s="22">
        <f>B40/B7-1</f>
        <v/>
      </c>
      <c r="D40" s="26" t="inlineStr">
        <is>
          <t>正常来水；FCFF 430 亿、WACC 6.0%、g 1.8%</t>
        </is>
      </c>
      <c r="E40" s="9" t="n"/>
      <c r="F40" s="9" t="n"/>
      <c r="G40" s="10" t="n"/>
    </row>
    <row r="41" ht="30" customHeight="1">
      <c r="A41" s="24" t="inlineStr">
        <is>
          <t>乐观</t>
        </is>
      </c>
      <c r="B41" s="27" t="n">
        <v>35.67</v>
      </c>
      <c r="C41" s="30">
        <f>B41/B7-1</f>
        <v/>
      </c>
      <c r="D41" s="26" t="inlineStr">
        <is>
          <t>来水偏丰、电价改革；FCFF 470 亿、WACC 5.7%</t>
        </is>
      </c>
      <c r="E41" s="9" t="n"/>
      <c r="F41" s="9" t="n"/>
      <c r="G41" s="10" t="n"/>
    </row>
    <row r="43" ht="22" customHeight="1">
      <c r="A43" s="4" t="inlineStr">
        <is>
          <t>四、结论边界</t>
        </is>
      </c>
    </row>
    <row r="44" ht="26" customHeight="1">
      <c r="A44" s="31" t="inlineStr">
        <is>
          <t>• 好生意：六库联调、边际成本近零、现金流可预测；但来水与利率是外生变量。</t>
        </is>
      </c>
    </row>
    <row r="45" ht="26" customHeight="1">
      <c r="A45" s="31" t="inlineStr">
        <is>
          <t>• 估值不便宜：2026E PE 22.6 倍、股息率 3.1%，现价高于综合基准约 7.8%。</t>
        </is>
      </c>
    </row>
    <row r="46" ht="26" customHeight="1">
      <c r="A46" s="31" t="inlineStr">
        <is>
          <t>• 若要求 20% 安全边际，对应价格约 22.1 元；现价不满足。</t>
        </is>
      </c>
    </row>
  </sheetData>
  <mergeCells count="39">
    <mergeCell ref="C30:G30"/>
    <mergeCell ref="C34:G34"/>
    <mergeCell ref="C24:G24"/>
    <mergeCell ref="D39:G39"/>
    <mergeCell ref="C15:G15"/>
    <mergeCell ref="C33:G33"/>
    <mergeCell ref="C14:G14"/>
    <mergeCell ref="A43:G43"/>
    <mergeCell ref="A28:G28"/>
    <mergeCell ref="C35:G35"/>
    <mergeCell ref="A44:G44"/>
    <mergeCell ref="C20:G20"/>
    <mergeCell ref="C10:G10"/>
    <mergeCell ref="C16:G16"/>
    <mergeCell ref="C25:G25"/>
    <mergeCell ref="C31:G31"/>
    <mergeCell ref="C22:G22"/>
    <mergeCell ref="C9:G9"/>
    <mergeCell ref="A45:G45"/>
    <mergeCell ref="D40:G40"/>
    <mergeCell ref="C21:G21"/>
    <mergeCell ref="A1:G1"/>
    <mergeCell ref="C12:G12"/>
    <mergeCell ref="C11:G11"/>
    <mergeCell ref="C23:G23"/>
    <mergeCell ref="C8:G8"/>
    <mergeCell ref="C17:G17"/>
    <mergeCell ref="A37:G37"/>
    <mergeCell ref="A46:G46"/>
    <mergeCell ref="D41:G41"/>
    <mergeCell ref="C7:G7"/>
    <mergeCell ref="C32:G32"/>
    <mergeCell ref="A3:G3"/>
    <mergeCell ref="A26:G26"/>
    <mergeCell ref="C19:G19"/>
    <mergeCell ref="A2:G2"/>
    <mergeCell ref="C13:G13"/>
    <mergeCell ref="C18:G18"/>
    <mergeCell ref="A5:G5"/>
  </mergeCells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F6B4F"/>
    <outlinePr summaryBelow="1" summaryRight="1"/>
    <pageSetUpPr fitToPage="1"/>
  </sheetPr>
  <dimension ref="A1:I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62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</cols>
  <sheetData>
    <row r="1" ht="28" customHeight="1">
      <c r="A1" s="1" t="inlineStr">
        <is>
          <t>长江电力 · 2021–2025 财务与分红</t>
        </is>
      </c>
    </row>
    <row r="2" ht="18" customHeight="1">
      <c r="A2" s="2" t="inlineStr">
        <is>
          <t>单位：亿元、元/股、%；2026E 为模型估计；银行口径为营业收入/归母净利润</t>
        </is>
      </c>
    </row>
    <row r="3" ht="30" customHeight="1">
      <c r="A3" s="3" t="inlineStr">
        <is>
          <t>数据来源：公司年报/季报、东方财富 F10；ROE 2021–2023 为按平均归母权益计算，2024–2025 采用披露值。</t>
        </is>
      </c>
    </row>
    <row r="5" ht="28" customHeight="1">
      <c r="A5" s="5" t="inlineStr">
        <is>
          <t>指标</t>
        </is>
      </c>
      <c r="B5" s="5" t="inlineStr">
        <is>
          <t>2021</t>
        </is>
      </c>
      <c r="C5" s="5" t="inlineStr">
        <is>
          <t>2022</t>
        </is>
      </c>
      <c r="D5" s="5" t="inlineStr">
        <is>
          <t>2023</t>
        </is>
      </c>
      <c r="E5" s="5" t="inlineStr">
        <is>
          <t>2024</t>
        </is>
      </c>
      <c r="F5" s="5" t="inlineStr">
        <is>
          <t>2025</t>
        </is>
      </c>
      <c r="G5" s="5" t="inlineStr">
        <is>
          <t>2026E</t>
        </is>
      </c>
      <c r="H5" s="5" t="inlineStr"/>
      <c r="I5" s="5" t="inlineStr"/>
    </row>
    <row r="6">
      <c r="A6" s="6" t="inlineStr">
        <is>
          <t>营业收入</t>
        </is>
      </c>
      <c r="B6" s="32" t="n">
        <v>556.46</v>
      </c>
      <c r="C6" s="32" t="n">
        <v>688.63</v>
      </c>
      <c r="D6" s="32" t="n">
        <v>781.4400000000001</v>
      </c>
      <c r="E6" s="32" t="n">
        <v>844.92</v>
      </c>
      <c r="F6" s="32" t="n">
        <v>862.42</v>
      </c>
      <c r="G6" s="33" t="n">
        <v>820</v>
      </c>
    </row>
    <row r="7">
      <c r="A7" s="20" t="inlineStr">
        <is>
          <t>归母净利润</t>
        </is>
      </c>
      <c r="B7" s="32" t="n">
        <v>262.73</v>
      </c>
      <c r="C7" s="32" t="n">
        <v>237.26</v>
      </c>
      <c r="D7" s="32" t="n">
        <v>272.45</v>
      </c>
      <c r="E7" s="32" t="n">
        <v>324.96</v>
      </c>
      <c r="F7" s="32" t="n">
        <v>345.03</v>
      </c>
      <c r="G7" s="33" t="n">
        <v>322</v>
      </c>
    </row>
    <row r="8">
      <c r="A8" s="6" t="inlineStr">
        <is>
          <t>EPS（元）</t>
        </is>
      </c>
      <c r="B8" s="34" t="n">
        <v>1.1553</v>
      </c>
      <c r="C8" s="34" t="n">
        <v>0.9697</v>
      </c>
      <c r="D8" s="34" t="n">
        <v>1.1135</v>
      </c>
      <c r="E8" s="34" t="n">
        <v>1.3281</v>
      </c>
      <c r="F8" s="34" t="n">
        <v>1.4101</v>
      </c>
      <c r="G8" s="35" t="n">
        <v>1.316</v>
      </c>
    </row>
    <row r="9">
      <c r="A9" s="20" t="inlineStr">
        <is>
          <t>ROE（%）</t>
        </is>
      </c>
      <c r="B9" s="27" t="n">
        <v>14.9</v>
      </c>
      <c r="C9" s="27" t="n">
        <v>11.6</v>
      </c>
      <c r="D9" s="27" t="n">
        <v>12.7</v>
      </c>
      <c r="E9" s="27" t="n">
        <v>15.8</v>
      </c>
      <c r="F9" s="27" t="n">
        <v>16</v>
      </c>
      <c r="G9" s="21" t="n">
        <v>14.6</v>
      </c>
    </row>
    <row r="10">
      <c r="A10" s="6" t="inlineStr">
        <is>
          <t>毛利率（%）</t>
        </is>
      </c>
      <c r="B10" s="36" t="n">
        <v>62.1</v>
      </c>
      <c r="C10" s="36" t="n">
        <v>57.1</v>
      </c>
      <c r="D10" s="36" t="n">
        <v>57.8</v>
      </c>
      <c r="E10" s="36" t="n">
        <v>59.1</v>
      </c>
      <c r="F10" s="36" t="n">
        <v>61.7</v>
      </c>
      <c r="G10" s="37" t="n">
        <v>58</v>
      </c>
    </row>
    <row r="11">
      <c r="A11" s="6" t="inlineStr">
        <is>
          <t>净利率（%）</t>
        </is>
      </c>
      <c r="B11" s="36" t="n">
        <v>47.2</v>
      </c>
      <c r="C11" s="36" t="n">
        <v>34.5</v>
      </c>
      <c r="D11" s="36" t="n">
        <v>34.9</v>
      </c>
      <c r="E11" s="36" t="n">
        <v>38.5</v>
      </c>
      <c r="F11" s="36" t="n">
        <v>40</v>
      </c>
      <c r="G11" s="37" t="n">
        <v>39.3</v>
      </c>
    </row>
    <row r="12">
      <c r="A12" s="6" t="inlineStr">
        <is>
          <t>资产负债率（%）</t>
        </is>
      </c>
      <c r="B12" s="36" t="n">
        <v>42.1</v>
      </c>
      <c r="C12" s="36" t="n">
        <v>55.7</v>
      </c>
      <c r="D12" s="36" t="n">
        <v>62.9</v>
      </c>
      <c r="E12" s="36" t="n">
        <v>60.8</v>
      </c>
      <c r="F12" s="36" t="n">
        <v>58.3</v>
      </c>
      <c r="G12" s="37" t="n">
        <v>58</v>
      </c>
    </row>
    <row r="13">
      <c r="A13" s="6" t="inlineStr">
        <is>
          <t>DPS（元）</t>
        </is>
      </c>
      <c r="B13" s="34" t="n">
        <v>0.8153</v>
      </c>
      <c r="C13" s="34" t="n">
        <v>0.8532999999999999</v>
      </c>
      <c r="D13" s="34" t="n">
        <v>0.82</v>
      </c>
      <c r="E13" s="34" t="n">
        <v>0.9429999999999999</v>
      </c>
      <c r="F13" s="34" t="n">
        <v>1</v>
      </c>
      <c r="G13" s="35" t="n">
        <v>0.92</v>
      </c>
    </row>
    <row r="14">
      <c r="A14" s="6" t="inlineStr">
        <is>
          <t>分红率（%）</t>
        </is>
      </c>
      <c r="B14" s="36" t="n">
        <v>70.59999999999999</v>
      </c>
      <c r="C14" s="36" t="n">
        <v>88</v>
      </c>
      <c r="D14" s="36" t="n">
        <v>73.59999999999999</v>
      </c>
      <c r="E14" s="36" t="n">
        <v>71</v>
      </c>
      <c r="F14" s="36" t="n">
        <v>70.90000000000001</v>
      </c>
      <c r="G14" s="37" t="n">
        <v>70</v>
      </c>
    </row>
    <row r="16" ht="22" customHeight="1">
      <c r="A16" s="4" t="inlineStr">
        <is>
          <t>2026E 关键假设</t>
        </is>
      </c>
    </row>
    <row r="17" ht="28" customHeight="1">
      <c r="A17" s="5" t="inlineStr">
        <is>
          <t>项目</t>
        </is>
      </c>
      <c r="B17" s="5" t="inlineStr">
        <is>
          <t>数值</t>
        </is>
      </c>
      <c r="C17" s="5" t="inlineStr">
        <is>
          <t>说明</t>
        </is>
      </c>
      <c r="D17" s="5" t="inlineStr"/>
      <c r="E17" s="5" t="inlineStr"/>
      <c r="F17" s="5" t="inlineStr"/>
      <c r="G17" s="5" t="inlineStr"/>
      <c r="H17" s="5" t="inlineStr"/>
      <c r="I17" s="5" t="inlineStr"/>
    </row>
    <row r="18">
      <c r="A18" s="6" t="inlineStr">
        <is>
          <t>2026E 归母净利</t>
        </is>
      </c>
      <c r="B18" s="13" t="n">
        <v>322</v>
      </c>
      <c r="C18" s="8" t="inlineStr">
        <is>
          <t>H1 147.56 + Q3E 约 116 + Q4E 约 58</t>
        </is>
      </c>
      <c r="D18" s="9" t="n"/>
      <c r="E18" s="9" t="n"/>
      <c r="F18" s="9" t="n"/>
      <c r="G18" s="9" t="n"/>
      <c r="H18" s="9" t="n"/>
      <c r="I18" s="10" t="n"/>
    </row>
    <row r="19">
      <c r="A19" s="6" t="inlineStr">
        <is>
          <t>2026E EPS</t>
        </is>
      </c>
      <c r="B19" s="15" t="n">
        <v>1.316</v>
      </c>
      <c r="C19" s="8" t="inlineStr">
        <is>
          <t>/ 244.68 亿股</t>
        </is>
      </c>
      <c r="D19" s="9" t="n"/>
      <c r="E19" s="9" t="n"/>
      <c r="F19" s="9" t="n"/>
      <c r="G19" s="9" t="n"/>
      <c r="H19" s="9" t="n"/>
      <c r="I19" s="10" t="n"/>
    </row>
    <row r="20">
      <c r="A20" s="6" t="inlineStr">
        <is>
          <t>2026E DPS</t>
        </is>
      </c>
      <c r="B20" s="15" t="n">
        <v>0.92</v>
      </c>
      <c r="C20" s="8" t="inlineStr">
        <is>
          <t>分红率 70%</t>
        </is>
      </c>
      <c r="D20" s="9" t="n"/>
      <c r="E20" s="9" t="n"/>
      <c r="F20" s="9" t="n"/>
      <c r="G20" s="9" t="n"/>
      <c r="H20" s="9" t="n"/>
      <c r="I20" s="10" t="n"/>
    </row>
    <row r="21">
      <c r="A21" s="6" t="inlineStr">
        <is>
          <t>2026E ROE</t>
        </is>
      </c>
      <c r="B21" s="38" t="n">
        <v>14.6</v>
      </c>
      <c r="C21" s="8" t="inlineStr">
        <is>
          <t>归母净利 / 平均归母权益</t>
        </is>
      </c>
      <c r="D21" s="9" t="n"/>
      <c r="E21" s="9" t="n"/>
      <c r="F21" s="9" t="n"/>
      <c r="G21" s="9" t="n"/>
      <c r="H21" s="9" t="n"/>
      <c r="I21" s="10" t="n"/>
    </row>
  </sheetData>
  <mergeCells count="8">
    <mergeCell ref="A2:I2"/>
    <mergeCell ref="C18:I18"/>
    <mergeCell ref="C21:I21"/>
    <mergeCell ref="A1:I1"/>
    <mergeCell ref="C20:I20"/>
    <mergeCell ref="A3:I3"/>
    <mergeCell ref="C19:I19"/>
    <mergeCell ref="A16:I16"/>
  </mergeCell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F6B4F"/>
    <outlinePr summaryBelow="1" summaryRight="1"/>
    <pageSetUpPr fitToPage="1"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56" customWidth="1" min="5" max="5"/>
    <col width="3" customWidth="1" min="6" max="6"/>
    <col width="3" customWidth="1" min="7" max="7"/>
    <col width="3" customWidth="1" min="8" max="8"/>
  </cols>
  <sheetData>
    <row r="1" ht="28" customHeight="1">
      <c r="A1" s="1" t="inlineStr">
        <is>
          <t>长江电力 · 运营指标与电站结构</t>
        </is>
      </c>
    </row>
    <row r="2" ht="18" customHeight="1">
      <c r="A2" s="2" t="inlineStr">
        <is>
          <t>2026Q3 单季发电量 923.14 亿 kWh，同比 -14.89%；前三季度 2,250.58 亿 kWh，同比 -4.28%</t>
        </is>
      </c>
    </row>
    <row r="4" ht="28" customHeight="1">
      <c r="A4" s="5" t="inlineStr">
        <is>
          <t>电站</t>
        </is>
      </c>
      <c r="B4" s="5" t="inlineStr">
        <is>
          <t>2026Q3 发电量（亿 kWh）</t>
        </is>
      </c>
      <c r="C4" s="5" t="inlineStr">
        <is>
          <t>同比</t>
        </is>
      </c>
      <c r="D4" s="5" t="inlineStr">
        <is>
          <t>来水/调度要点</t>
        </is>
      </c>
      <c r="E4" s="5" t="inlineStr"/>
      <c r="F4" s="5" t="inlineStr"/>
      <c r="G4" s="5" t="inlineStr"/>
      <c r="H4" s="5" t="inlineStr"/>
    </row>
    <row r="5" ht="26" customHeight="1">
      <c r="A5" s="6" t="inlineStr">
        <is>
          <t>乌东德</t>
        </is>
      </c>
      <c r="B5" s="39" t="n">
        <v>131.521</v>
      </c>
      <c r="C5" s="40" t="inlineStr">
        <is>
          <t>-10.46%</t>
        </is>
      </c>
      <c r="D5" s="26" t="inlineStr">
        <is>
          <t>乌东德水库来水 757.36 亿 m³，同比偏枯 9.29%</t>
        </is>
      </c>
      <c r="E5" s="9" t="n"/>
      <c r="F5" s="9" t="n"/>
      <c r="G5" s="9" t="n"/>
      <c r="H5" s="10" t="n"/>
    </row>
    <row r="6" ht="26" customHeight="1">
      <c r="A6" s="6" t="inlineStr">
        <is>
          <t>白鹤滩</t>
        </is>
      </c>
      <c r="B6" s="39" t="n">
        <v>194.2104</v>
      </c>
      <c r="C6" s="40" t="inlineStr">
        <is>
          <t>-8.45%</t>
        </is>
      </c>
      <c r="D6" s="26" t="inlineStr">
        <is>
          <t>与乌东德联合调度，Q3 电量承压</t>
        </is>
      </c>
      <c r="E6" s="9" t="n"/>
      <c r="F6" s="9" t="n"/>
      <c r="G6" s="9" t="n"/>
      <c r="H6" s="10" t="n"/>
    </row>
    <row r="7" ht="26" customHeight="1">
      <c r="A7" s="6" t="inlineStr">
        <is>
          <t>溪洛渡</t>
        </is>
      </c>
      <c r="B7" s="39" t="n">
        <v>187.8558</v>
      </c>
      <c r="C7" s="40" t="inlineStr">
        <is>
          <t>-3.18%</t>
        </is>
      </c>
      <c r="D7" s="26" t="inlineStr">
        <is>
          <t>相对稳定</t>
        </is>
      </c>
      <c r="E7" s="9" t="n"/>
      <c r="F7" s="9" t="n"/>
      <c r="G7" s="9" t="n"/>
      <c r="H7" s="10" t="n"/>
    </row>
    <row r="8" ht="26" customHeight="1">
      <c r="A8" s="6" t="inlineStr">
        <is>
          <t>向家坝</t>
        </is>
      </c>
      <c r="B8" s="39" t="n">
        <v>102.8065</v>
      </c>
      <c r="C8" s="40" t="inlineStr">
        <is>
          <t>-5.97%</t>
        </is>
      </c>
      <c r="D8" s="26" t="inlineStr">
        <is>
          <t>相对稳定</t>
        </is>
      </c>
      <c r="E8" s="9" t="n"/>
      <c r="F8" s="9" t="n"/>
      <c r="G8" s="9" t="n"/>
      <c r="H8" s="10" t="n"/>
    </row>
    <row r="9" ht="26" customHeight="1">
      <c r="A9" s="6" t="inlineStr">
        <is>
          <t>三峡</t>
        </is>
      </c>
      <c r="B9" s="39" t="n">
        <v>253.1851</v>
      </c>
      <c r="C9" s="40" t="inlineStr">
        <is>
          <t>-29.23%</t>
        </is>
      </c>
      <c r="D9" s="26" t="inlineStr">
        <is>
          <t>Q3 来水偏枯，电量降幅最大</t>
        </is>
      </c>
      <c r="E9" s="9" t="n"/>
      <c r="F9" s="9" t="n"/>
      <c r="G9" s="9" t="n"/>
      <c r="H9" s="10" t="n"/>
    </row>
    <row r="10" ht="26" customHeight="1">
      <c r="A10" s="6" t="inlineStr">
        <is>
          <t>葛洲坝</t>
        </is>
      </c>
      <c r="B10" s="39" t="n">
        <v>53.5618</v>
      </c>
      <c r="C10" s="40" t="inlineStr">
        <is>
          <t>-17.04%</t>
        </is>
      </c>
      <c r="D10" s="26" t="inlineStr">
        <is>
          <t>跟随三峡来水</t>
        </is>
      </c>
      <c r="E10" s="9" t="n"/>
      <c r="F10" s="9" t="n"/>
      <c r="G10" s="9" t="n"/>
      <c r="H10" s="10" t="n"/>
    </row>
    <row r="11" ht="26" customHeight="1">
      <c r="A11" s="20" t="inlineStr">
        <is>
          <t>合计</t>
        </is>
      </c>
      <c r="B11" s="12" t="n">
        <v>923.1405</v>
      </c>
      <c r="C11" s="40" t="inlineStr">
        <is>
          <t>-14.89%</t>
        </is>
      </c>
      <c r="D11" s="26" t="inlineStr">
        <is>
          <t>前三季度 2,250.58 亿 kWh，同比 -4.28%</t>
        </is>
      </c>
      <c r="E11" s="9" t="n"/>
      <c r="F11" s="9" t="n"/>
      <c r="G11" s="9" t="n"/>
      <c r="H11" s="10" t="n"/>
    </row>
    <row r="13" ht="22" customHeight="1">
      <c r="A13" s="4" t="inlineStr">
        <is>
          <t>经营杠杆</t>
        </is>
      </c>
    </row>
    <row r="14" ht="28" customHeight="1">
      <c r="A14" s="5" t="inlineStr">
        <is>
          <t>项目</t>
        </is>
      </c>
      <c r="B14" s="5" t="inlineStr">
        <is>
          <t>2025H1</t>
        </is>
      </c>
      <c r="C14" s="5" t="inlineStr">
        <is>
          <t>2026H1</t>
        </is>
      </c>
      <c r="D14" s="5" t="inlineStr">
        <is>
          <t>同比</t>
        </is>
      </c>
      <c r="E14" s="5" t="inlineStr">
        <is>
          <t>说明</t>
        </is>
      </c>
      <c r="F14" s="5" t="inlineStr"/>
      <c r="G14" s="5" t="inlineStr"/>
      <c r="H14" s="5" t="inlineStr"/>
    </row>
    <row r="15">
      <c r="A15" s="6" t="inlineStr">
        <is>
          <t>营业收入（亿元）</t>
        </is>
      </c>
      <c r="B15" s="39" t="n">
        <v>366.98</v>
      </c>
      <c r="C15" s="39" t="n">
        <v>379.29</v>
      </c>
      <c r="D15" s="41" t="inlineStr">
        <is>
          <t>+3.36%</t>
        </is>
      </c>
      <c r="E15" s="8" t="inlineStr">
        <is>
          <t>来水偏丰、电量增长</t>
        </is>
      </c>
      <c r="F15" s="9" t="n"/>
      <c r="G15" s="9" t="n"/>
      <c r="H15" s="10" t="n"/>
    </row>
    <row r="16">
      <c r="A16" s="6" t="inlineStr">
        <is>
          <t>归母净利（亿元）</t>
        </is>
      </c>
      <c r="B16" s="39" t="n">
        <v>130.56</v>
      </c>
      <c r="C16" s="39" t="n">
        <v>147.56</v>
      </c>
      <c r="D16" s="41" t="inlineStr">
        <is>
          <t>+13.02%</t>
        </is>
      </c>
      <c r="E16" s="8" t="inlineStr">
        <is>
          <t>财务费用下降、折旧到期</t>
        </is>
      </c>
      <c r="F16" s="9" t="n"/>
      <c r="G16" s="9" t="n"/>
      <c r="H16" s="10" t="n"/>
    </row>
    <row r="17">
      <c r="A17" s="6" t="inlineStr">
        <is>
          <t>财务费用（亿元）</t>
        </is>
      </c>
      <c r="B17" s="39" t="n">
        <v>48.63</v>
      </c>
      <c r="C17" s="39" t="n">
        <v>42.01</v>
      </c>
      <c r="D17" s="40" t="inlineStr">
        <is>
          <t>-13.61%</t>
        </is>
      </c>
      <c r="E17" s="8" t="inlineStr">
        <is>
          <t>存量债务成本下降</t>
        </is>
      </c>
      <c r="F17" s="9" t="n"/>
      <c r="G17" s="9" t="n"/>
      <c r="H17" s="10" t="n"/>
    </row>
    <row r="18">
      <c r="A18" s="6" t="inlineStr">
        <is>
          <t>经营现金流（亿元）</t>
        </is>
      </c>
      <c r="B18" s="39" t="n">
        <v>239.9</v>
      </c>
      <c r="C18" s="39" t="n">
        <v>241.28</v>
      </c>
      <c r="D18" s="41" t="inlineStr">
        <is>
          <t>+0.57%</t>
        </is>
      </c>
      <c r="E18" s="8" t="inlineStr">
        <is>
          <t>现金流稳定</t>
        </is>
      </c>
      <c r="F18" s="9" t="n"/>
      <c r="G18" s="9" t="n"/>
      <c r="H18" s="10" t="n"/>
    </row>
    <row r="19">
      <c r="A19" s="6" t="inlineStr">
        <is>
          <t>capex（亿元）</t>
        </is>
      </c>
      <c r="B19" s="39" t="inlineStr">
        <is>
          <t>—</t>
        </is>
      </c>
      <c r="C19" s="39" t="n">
        <v>44.35</v>
      </c>
      <c r="D19" s="40" t="inlineStr">
        <is>
          <t>—</t>
        </is>
      </c>
      <c r="E19" s="8" t="inlineStr">
        <is>
          <t>维护性资本开支为主</t>
        </is>
      </c>
      <c r="F19" s="9" t="n"/>
      <c r="G19" s="9" t="n"/>
      <c r="H19" s="10" t="n"/>
    </row>
  </sheetData>
  <mergeCells count="15">
    <mergeCell ref="D7:H7"/>
    <mergeCell ref="D8:H8"/>
    <mergeCell ref="D6:H6"/>
    <mergeCell ref="E17:H17"/>
    <mergeCell ref="E18:H18"/>
    <mergeCell ref="D10:H10"/>
    <mergeCell ref="A2:H2"/>
    <mergeCell ref="D11:H11"/>
    <mergeCell ref="E16:H16"/>
    <mergeCell ref="D5:H5"/>
    <mergeCell ref="A13:H13"/>
    <mergeCell ref="E15:H15"/>
    <mergeCell ref="A1:H1"/>
    <mergeCell ref="E19:H19"/>
    <mergeCell ref="D9:H9"/>
  </mergeCells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F6B4F"/>
    <outlinePr summaryBelow="1" summaryRight="1"/>
    <pageSetUpPr fitToPage="1"/>
  </sheetPr>
  <dimension ref="A1:H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60" customWidth="1" min="4" max="4"/>
    <col width="3" customWidth="1" min="5" max="5"/>
    <col width="3" customWidth="1" min="6" max="6"/>
    <col width="3" customWidth="1" min="7" max="7"/>
    <col width="3" customWidth="1" min="8" max="8"/>
  </cols>
  <sheetData>
    <row r="1" ht="28" customHeight="1">
      <c r="A1" s="1" t="inlineStr">
        <is>
          <t>长江电力 · FCFF DCF 与 DDM 交叉</t>
        </is>
      </c>
    </row>
    <row r="2" ht="18" customHeight="1">
      <c r="A2" s="2" t="inlineStr">
        <is>
          <t>FCFF = EBIT×(1−t)+D&amp;A−capex−ΔWC；股权价值 = EV − 净债务 − 少数股东权益</t>
        </is>
      </c>
    </row>
    <row r="4" ht="22" customHeight="1">
      <c r="A4" s="4" t="inlineStr">
        <is>
          <t>A. FCFF DCF</t>
        </is>
      </c>
    </row>
    <row r="5" ht="28" customHeight="1">
      <c r="A5" s="5" t="inlineStr">
        <is>
          <t>项目</t>
        </is>
      </c>
      <c r="B5" s="5" t="inlineStr">
        <is>
          <t>数值</t>
        </is>
      </c>
      <c r="C5" s="5" t="inlineStr">
        <is>
          <t>单位</t>
        </is>
      </c>
      <c r="D5" s="5" t="inlineStr">
        <is>
          <t>公式/说明</t>
        </is>
      </c>
      <c r="E5" s="5" t="inlineStr"/>
      <c r="F5" s="5" t="inlineStr"/>
      <c r="G5" s="5" t="inlineStr"/>
      <c r="H5" s="5" t="inlineStr"/>
    </row>
    <row r="6">
      <c r="A6" s="6" t="inlineStr">
        <is>
          <t>归一化 FCFF</t>
        </is>
      </c>
      <c r="B6" s="13" t="n">
        <v>430</v>
      </c>
      <c r="C6" s="42" t="inlineStr">
        <is>
          <t>亿元</t>
        </is>
      </c>
      <c r="D6" s="8" t="inlineStr">
        <is>
          <t>输入</t>
        </is>
      </c>
      <c r="E6" s="9" t="n"/>
      <c r="F6" s="9" t="n"/>
      <c r="G6" s="9" t="n"/>
      <c r="H6" s="10" t="n"/>
    </row>
    <row r="7">
      <c r="A7" s="6" t="inlineStr">
        <is>
          <t>WACC</t>
        </is>
      </c>
      <c r="B7" s="19" t="n">
        <v>0.06</v>
      </c>
      <c r="C7" s="42" t="inlineStr">
        <is>
          <t>%</t>
        </is>
      </c>
      <c r="D7" s="8" t="inlineStr">
        <is>
          <t>输入</t>
        </is>
      </c>
      <c r="E7" s="9" t="n"/>
      <c r="F7" s="9" t="n"/>
      <c r="G7" s="9" t="n"/>
      <c r="H7" s="10" t="n"/>
    </row>
    <row r="8">
      <c r="A8" s="6" t="inlineStr">
        <is>
          <t>永续增长 g</t>
        </is>
      </c>
      <c r="B8" s="19" t="n">
        <v>0.018</v>
      </c>
      <c r="C8" s="42" t="inlineStr">
        <is>
          <t>%</t>
        </is>
      </c>
      <c r="D8" s="8" t="inlineStr">
        <is>
          <t>输入</t>
        </is>
      </c>
      <c r="E8" s="9" t="n"/>
      <c r="F8" s="9" t="n"/>
      <c r="G8" s="9" t="n"/>
      <c r="H8" s="10" t="n"/>
    </row>
    <row r="9">
      <c r="A9" s="6" t="inlineStr">
        <is>
          <t>企业价值 EV</t>
        </is>
      </c>
      <c r="B9" s="43">
        <f>B6/(B7-B8)</f>
        <v/>
      </c>
      <c r="C9" s="42" t="inlineStr">
        <is>
          <t>亿元</t>
        </is>
      </c>
      <c r="D9" s="8" t="inlineStr">
        <is>
          <t>FCFF/(WACC−g)</t>
        </is>
      </c>
      <c r="E9" s="9" t="n"/>
      <c r="F9" s="9" t="n"/>
      <c r="G9" s="9" t="n"/>
      <c r="H9" s="10" t="n"/>
    </row>
    <row r="10">
      <c r="A10" s="6" t="inlineStr">
        <is>
          <t>减：净债务</t>
        </is>
      </c>
      <c r="B10" s="13" t="n">
        <v>2734.9</v>
      </c>
      <c r="C10" s="42" t="inlineStr">
        <is>
          <t>亿元</t>
        </is>
      </c>
      <c r="D10" s="8" t="inlineStr">
        <is>
          <t>输入</t>
        </is>
      </c>
      <c r="E10" s="9" t="n"/>
      <c r="F10" s="9" t="n"/>
      <c r="G10" s="9" t="n"/>
      <c r="H10" s="10" t="n"/>
    </row>
    <row r="11">
      <c r="A11" s="6" t="inlineStr">
        <is>
          <t>减：少数股东权益</t>
        </is>
      </c>
      <c r="B11" s="13" t="n">
        <v>119.8</v>
      </c>
      <c r="C11" s="42" t="inlineStr">
        <is>
          <t>亿元</t>
        </is>
      </c>
      <c r="D11" s="8" t="inlineStr">
        <is>
          <t>输入</t>
        </is>
      </c>
      <c r="E11" s="9" t="n"/>
      <c r="F11" s="9" t="n"/>
      <c r="G11" s="9" t="n"/>
      <c r="H11" s="10" t="n"/>
    </row>
    <row r="12">
      <c r="A12" s="6" t="inlineStr">
        <is>
          <t>股权价值</t>
        </is>
      </c>
      <c r="B12" s="43">
        <f>B9-B10-B11</f>
        <v/>
      </c>
      <c r="C12" s="42" t="inlineStr">
        <is>
          <t>亿元</t>
        </is>
      </c>
      <c r="D12" s="8" t="inlineStr">
        <is>
          <t>EV−净债务−少数</t>
        </is>
      </c>
      <c r="E12" s="9" t="n"/>
      <c r="F12" s="9" t="n"/>
      <c r="G12" s="9" t="n"/>
      <c r="H12" s="10" t="n"/>
    </row>
    <row r="13">
      <c r="A13" s="6" t="inlineStr">
        <is>
          <t>总股本</t>
        </is>
      </c>
      <c r="B13" s="11" t="n">
        <v>244.68217716</v>
      </c>
      <c r="C13" s="42" t="inlineStr">
        <is>
          <t>亿股</t>
        </is>
      </c>
      <c r="D13" s="8" t="inlineStr">
        <is>
          <t>输入</t>
        </is>
      </c>
      <c r="E13" s="9" t="n"/>
      <c r="F13" s="9" t="n"/>
      <c r="G13" s="9" t="n"/>
      <c r="H13" s="10" t="n"/>
    </row>
    <row r="14">
      <c r="A14" s="6" t="inlineStr">
        <is>
          <t>每股价值</t>
        </is>
      </c>
      <c r="B14" s="18">
        <f>B12/B13</f>
        <v/>
      </c>
      <c r="C14" s="42" t="inlineStr">
        <is>
          <t>元/股</t>
        </is>
      </c>
      <c r="D14" s="8" t="inlineStr">
        <is>
          <t>股权价值/股本</t>
        </is>
      </c>
      <c r="E14" s="9" t="n"/>
      <c r="F14" s="9" t="n"/>
      <c r="G14" s="9" t="n"/>
      <c r="H14" s="10" t="n"/>
    </row>
    <row r="16" ht="22" customHeight="1">
      <c r="A16" s="4" t="inlineStr">
        <is>
          <t>B. DDM</t>
        </is>
      </c>
    </row>
    <row r="17" ht="28" customHeight="1">
      <c r="A17" s="5" t="inlineStr">
        <is>
          <t>项目</t>
        </is>
      </c>
      <c r="B17" s="5" t="inlineStr">
        <is>
          <t>数值</t>
        </is>
      </c>
      <c r="C17" s="5" t="inlineStr">
        <is>
          <t>单位</t>
        </is>
      </c>
      <c r="D17" s="5" t="inlineStr">
        <is>
          <t>公式/说明</t>
        </is>
      </c>
      <c r="E17" s="5" t="inlineStr"/>
      <c r="F17" s="5" t="inlineStr"/>
      <c r="G17" s="5" t="inlineStr"/>
      <c r="H17" s="5" t="inlineStr"/>
    </row>
    <row r="18">
      <c r="A18" s="6" t="inlineStr">
        <is>
          <t>归一化 DPS</t>
        </is>
      </c>
      <c r="B18" s="15" t="n">
        <v>1</v>
      </c>
      <c r="C18" s="42" t="inlineStr">
        <is>
          <t>元/股</t>
        </is>
      </c>
      <c r="D18" s="8" t="inlineStr">
        <is>
          <t>2025 年分红 1.00 元；2026-2030 承诺 ≥70%</t>
        </is>
      </c>
      <c r="E18" s="9" t="n"/>
      <c r="F18" s="9" t="n"/>
      <c r="G18" s="9" t="n"/>
      <c r="H18" s="10" t="n"/>
    </row>
    <row r="19">
      <c r="A19" s="6" t="inlineStr">
        <is>
          <t>COE</t>
        </is>
      </c>
      <c r="B19" s="19" t="n">
        <v>0.06</v>
      </c>
      <c r="C19" s="42" t="inlineStr">
        <is>
          <t>%</t>
        </is>
      </c>
      <c r="D19" s="8" t="inlineStr">
        <is>
          <t>股权成本</t>
        </is>
      </c>
      <c r="E19" s="9" t="n"/>
      <c r="F19" s="9" t="n"/>
      <c r="G19" s="9" t="n"/>
      <c r="H19" s="10" t="n"/>
    </row>
    <row r="20">
      <c r="A20" s="6" t="inlineStr">
        <is>
          <t>永续增长 g</t>
        </is>
      </c>
      <c r="B20" s="19" t="n">
        <v>0.02</v>
      </c>
      <c r="C20" s="42" t="inlineStr">
        <is>
          <t>%</t>
        </is>
      </c>
      <c r="D20" s="8" t="inlineStr">
        <is>
          <t>股息长期增长</t>
        </is>
      </c>
      <c r="E20" s="9" t="n"/>
      <c r="F20" s="9" t="n"/>
      <c r="G20" s="9" t="n"/>
      <c r="H20" s="10" t="n"/>
    </row>
    <row r="21">
      <c r="A21" s="6" t="inlineStr">
        <is>
          <t>DDM 每股价值</t>
        </is>
      </c>
      <c r="B21" s="21">
        <f>B18/(B19-B20)</f>
        <v/>
      </c>
      <c r="C21" s="42" t="inlineStr">
        <is>
          <t>元/股</t>
        </is>
      </c>
      <c r="D21" s="8" t="inlineStr">
        <is>
          <t>DPS/(COE−g)</t>
        </is>
      </c>
      <c r="E21" s="9" t="n"/>
      <c r="F21" s="9" t="n"/>
      <c r="G21" s="9" t="n"/>
      <c r="H21" s="10" t="n"/>
    </row>
    <row r="23" ht="22" customHeight="1">
      <c r="A23" s="4" t="inlineStr">
        <is>
          <t>C. 反向 DCF</t>
        </is>
      </c>
    </row>
    <row r="24" ht="28" customHeight="1">
      <c r="A24" s="5" t="inlineStr">
        <is>
          <t>项目</t>
        </is>
      </c>
      <c r="B24" s="5" t="inlineStr">
        <is>
          <t>数值</t>
        </is>
      </c>
      <c r="C24" s="5" t="inlineStr">
        <is>
          <t>单位</t>
        </is>
      </c>
      <c r="D24" s="5" t="inlineStr">
        <is>
          <t>说明</t>
        </is>
      </c>
      <c r="E24" s="5" t="inlineStr"/>
      <c r="F24" s="5" t="inlineStr"/>
      <c r="G24" s="5" t="inlineStr"/>
      <c r="H24" s="5" t="inlineStr"/>
    </row>
    <row r="25">
      <c r="A25" s="6" t="inlineStr">
        <is>
          <t>现价隐含 EV</t>
        </is>
      </c>
      <c r="B25" s="43">
        <f>29.74*244.68217716+2734.9+119.8</f>
        <v/>
      </c>
      <c r="C25" s="42" t="inlineStr">
        <is>
          <t>亿元</t>
        </is>
      </c>
      <c r="D25" s="8" t="inlineStr">
        <is>
          <t>市值+净债务+少数股东权益</t>
        </is>
      </c>
      <c r="E25" s="9" t="n"/>
      <c r="F25" s="9" t="n"/>
      <c r="G25" s="9" t="n"/>
      <c r="H25" s="10" t="n"/>
    </row>
    <row r="26">
      <c r="A26" s="6" t="inlineStr">
        <is>
          <t>隐含永续 g（WACC 6.0%）</t>
        </is>
      </c>
      <c r="B26" s="16">
        <f>0.06-B6/B25</f>
        <v/>
      </c>
      <c r="C26" s="42" t="inlineStr">
        <is>
          <t>%</t>
        </is>
      </c>
      <c r="D26" s="8" t="inlineStr">
        <is>
          <t>WACC − FCF/EV</t>
        </is>
      </c>
      <c r="E26" s="9" t="n"/>
      <c r="F26" s="9" t="n"/>
      <c r="G26" s="9" t="n"/>
      <c r="H26" s="10" t="n"/>
    </row>
    <row r="27">
      <c r="A27" s="6" t="inlineStr">
        <is>
          <t>隐含 WACC（g 1.8%）</t>
        </is>
      </c>
      <c r="B27" s="16">
        <f>0.018+B6/B25</f>
        <v/>
      </c>
      <c r="C27" s="42" t="inlineStr">
        <is>
          <t>%</t>
        </is>
      </c>
      <c r="D27" s="8" t="inlineStr">
        <is>
          <t>g + FCF/EV</t>
        </is>
      </c>
      <c r="E27" s="9" t="n"/>
      <c r="F27" s="9" t="n"/>
      <c r="G27" s="9" t="n"/>
      <c r="H27" s="10" t="n"/>
    </row>
  </sheetData>
  <mergeCells count="21">
    <mergeCell ref="D20:H20"/>
    <mergeCell ref="D10:H10"/>
    <mergeCell ref="D19:H19"/>
    <mergeCell ref="A1:H1"/>
    <mergeCell ref="D21:H21"/>
    <mergeCell ref="D6:H6"/>
    <mergeCell ref="A16:H16"/>
    <mergeCell ref="D11:H11"/>
    <mergeCell ref="D13:H13"/>
    <mergeCell ref="D27:H27"/>
    <mergeCell ref="D7:H7"/>
    <mergeCell ref="A2:H2"/>
    <mergeCell ref="A23:H23"/>
    <mergeCell ref="D18:H18"/>
    <mergeCell ref="D9:H9"/>
    <mergeCell ref="A4:H4"/>
    <mergeCell ref="D12:H12"/>
    <mergeCell ref="D8:H8"/>
    <mergeCell ref="D25:H25"/>
    <mergeCell ref="D14:H14"/>
    <mergeCell ref="D26:H26"/>
  </mergeCells>
  <printOptions horizontalCentered="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F6B4F"/>
    <outlinePr summaryBelow="1" summaryRight="1"/>
    <pageSetUpPr fitToPage="1"/>
  </sheetPr>
  <dimension ref="A1:H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" customWidth="1" min="7" max="7"/>
    <col width="3" customWidth="1" min="8" max="8"/>
  </cols>
  <sheetData>
    <row r="1" ht="28" customHeight="1">
      <c r="A1" s="1" t="inlineStr">
        <is>
          <t>长江电力 · DCF 敏感性：WACC × 永续 g</t>
        </is>
      </c>
    </row>
    <row r="2" ht="18" customHeight="1">
      <c r="A2" s="2" t="inlineStr">
        <is>
          <t>单元格为每股价值（元/股）；现价 29.74 元；绿色=高于现价，红色=低于现价</t>
        </is>
      </c>
    </row>
    <row r="4" ht="28" customHeight="1">
      <c r="A4" s="5" t="inlineStr">
        <is>
          <t>WACC \ g</t>
        </is>
      </c>
      <c r="B4" s="5" t="inlineStr">
        <is>
          <t>1.2%</t>
        </is>
      </c>
      <c r="C4" s="5" t="inlineStr">
        <is>
          <t>1.5%</t>
        </is>
      </c>
      <c r="D4" s="5" t="inlineStr">
        <is>
          <t>1.8%</t>
        </is>
      </c>
      <c r="E4" s="5" t="inlineStr">
        <is>
          <t>2.1%</t>
        </is>
      </c>
      <c r="F4" s="5" t="inlineStr">
        <is>
          <t>2.4%</t>
        </is>
      </c>
      <c r="G4" s="5" t="inlineStr"/>
      <c r="H4" s="5" t="inlineStr"/>
    </row>
    <row r="5">
      <c r="A5" s="29" t="inlineStr">
        <is>
          <t>5.4%</t>
        </is>
      </c>
      <c r="B5" s="44" t="n">
        <v>30.18</v>
      </c>
      <c r="C5" s="44" t="n">
        <v>33.39</v>
      </c>
      <c r="D5" s="44" t="n">
        <v>37.15</v>
      </c>
      <c r="E5" s="44" t="n">
        <v>41.59</v>
      </c>
      <c r="F5" s="44" t="n">
        <v>46.91</v>
      </c>
    </row>
    <row r="6">
      <c r="A6" s="29" t="inlineStr">
        <is>
          <t>5.6%</t>
        </is>
      </c>
      <c r="B6" s="45" t="n">
        <v>28.27</v>
      </c>
      <c r="C6" s="44" t="n">
        <v>31.2</v>
      </c>
      <c r="D6" s="44" t="n">
        <v>34.58</v>
      </c>
      <c r="E6" s="44" t="n">
        <v>38.54</v>
      </c>
      <c r="F6" s="44" t="n">
        <v>43.25</v>
      </c>
    </row>
    <row r="7">
      <c r="A7" s="29" t="inlineStr">
        <is>
          <t>5.8%</t>
        </is>
      </c>
      <c r="B7" s="45" t="n">
        <v>26.54</v>
      </c>
      <c r="C7" s="45" t="n">
        <v>29.2</v>
      </c>
      <c r="D7" s="44" t="n">
        <v>32.27</v>
      </c>
      <c r="E7" s="44" t="n">
        <v>35.83</v>
      </c>
      <c r="F7" s="44" t="n">
        <v>40.02</v>
      </c>
    </row>
    <row r="8">
      <c r="A8" s="29" t="inlineStr">
        <is>
          <t>6.0%</t>
        </is>
      </c>
      <c r="B8" s="45" t="n">
        <v>24.95</v>
      </c>
      <c r="C8" s="45" t="n">
        <v>27.39</v>
      </c>
      <c r="D8" s="44" t="n">
        <v>30.18</v>
      </c>
      <c r="E8" s="44" t="n">
        <v>33.39</v>
      </c>
      <c r="F8" s="44" t="n">
        <v>37.15</v>
      </c>
    </row>
    <row r="9">
      <c r="A9" s="29" t="inlineStr">
        <is>
          <t>6.2%</t>
        </is>
      </c>
      <c r="B9" s="45" t="n">
        <v>23.48</v>
      </c>
      <c r="C9" s="45" t="n">
        <v>25.72</v>
      </c>
      <c r="D9" s="45" t="n">
        <v>28.27</v>
      </c>
      <c r="E9" s="44" t="n">
        <v>31.2</v>
      </c>
      <c r="F9" s="44" t="n">
        <v>34.58</v>
      </c>
    </row>
    <row r="10">
      <c r="A10" s="29" t="inlineStr">
        <is>
          <t>6.4%</t>
        </is>
      </c>
      <c r="B10" s="45" t="n">
        <v>22.13</v>
      </c>
      <c r="C10" s="45" t="n">
        <v>24.2</v>
      </c>
      <c r="D10" s="45" t="n">
        <v>26.54</v>
      </c>
      <c r="E10" s="45" t="n">
        <v>29.2</v>
      </c>
      <c r="F10" s="44" t="n">
        <v>32.27</v>
      </c>
    </row>
    <row r="11">
      <c r="A11" s="29" t="inlineStr">
        <is>
          <t>6.6%</t>
        </is>
      </c>
      <c r="B11" s="45" t="n">
        <v>20.88</v>
      </c>
      <c r="C11" s="45" t="n">
        <v>22.79</v>
      </c>
      <c r="D11" s="45" t="n">
        <v>24.95</v>
      </c>
      <c r="E11" s="45" t="n">
        <v>27.39</v>
      </c>
      <c r="F11" s="44" t="n">
        <v>30.18</v>
      </c>
    </row>
    <row r="13" ht="30" customHeight="1">
      <c r="A13" s="3" t="inlineStr">
        <is>
          <t>计算：EV=FCF/(WACC−g)；股权=EV−净债务−少数股东权益；每股=股权/244.68 亿股。</t>
        </is>
      </c>
    </row>
  </sheetData>
  <mergeCells count="3">
    <mergeCell ref="A13:H13"/>
    <mergeCell ref="A2:H2"/>
    <mergeCell ref="A1:H1"/>
  </mergeCells>
  <conditionalFormatting sqref="B5:F11">
    <cfRule type="colorScale" priority="1">
      <colorScale>
        <cfvo type="min"/>
        <cfvo type="percentile" val="50"/>
        <cfvo type="max"/>
        <color rgb="00F8D7DA"/>
        <color rgb="00FFF3CD"/>
        <color rgb="00D4EDDA"/>
      </colorScale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F6B4F"/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56" customWidth="1" min="5" max="5"/>
    <col width="3" customWidth="1" min="6" max="6"/>
    <col width="3" customWidth="1" min="7" max="7"/>
    <col width="3" customWidth="1" min="8" max="8"/>
  </cols>
  <sheetData>
    <row r="1" ht="28" customHeight="1">
      <c r="A1" s="1" t="inlineStr">
        <is>
          <t>长江电力 · 三情景假设与结果</t>
        </is>
      </c>
    </row>
    <row r="2" ht="18" customHeight="1">
      <c r="A2" s="2" t="inlineStr">
        <is>
          <t>悲观/基准/乐观不是预测，而是用于界定估值区间；所有情景均使用同一套会计口径</t>
        </is>
      </c>
    </row>
    <row r="4" ht="28" customHeight="1">
      <c r="A4" s="5" t="inlineStr">
        <is>
          <t>假设/结果</t>
        </is>
      </c>
      <c r="B4" s="5" t="inlineStr">
        <is>
          <t>悲观</t>
        </is>
      </c>
      <c r="C4" s="5" t="inlineStr">
        <is>
          <t>基准</t>
        </is>
      </c>
      <c r="D4" s="5" t="inlineStr">
        <is>
          <t>乐观</t>
        </is>
      </c>
      <c r="E4" s="5" t="inlineStr">
        <is>
          <t>说明</t>
        </is>
      </c>
      <c r="F4" s="5" t="inlineStr"/>
      <c r="G4" s="5" t="inlineStr"/>
      <c r="H4" s="5" t="inlineStr"/>
    </row>
    <row r="5">
      <c r="A5" s="6" t="inlineStr">
        <is>
          <t>归一化 FCFF（亿元）</t>
        </is>
      </c>
      <c r="B5" s="24" t="inlineStr">
        <is>
          <t>400</t>
        </is>
      </c>
      <c r="C5" s="24" t="inlineStr">
        <is>
          <t>430</t>
        </is>
      </c>
      <c r="D5" s="24" t="inlineStr">
        <is>
          <t>470</t>
        </is>
      </c>
      <c r="E5" s="8" t="inlineStr">
        <is>
          <t>来水与电价正常化</t>
        </is>
      </c>
      <c r="F5" s="9" t="n"/>
      <c r="G5" s="9" t="n"/>
      <c r="H5" s="10" t="n"/>
    </row>
    <row r="6">
      <c r="A6" s="6" t="inlineStr">
        <is>
          <t>WACC</t>
        </is>
      </c>
      <c r="B6" s="24" t="inlineStr">
        <is>
          <t>6.5%</t>
        </is>
      </c>
      <c r="C6" s="24" t="inlineStr">
        <is>
          <t>6.0%</t>
        </is>
      </c>
      <c r="D6" s="24" t="inlineStr">
        <is>
          <t>5.7%</t>
        </is>
      </c>
      <c r="E6" s="8" t="inlineStr">
        <is>
          <t>利率与风险溢价</t>
        </is>
      </c>
      <c r="F6" s="9" t="n"/>
      <c r="G6" s="9" t="n"/>
      <c r="H6" s="10" t="n"/>
    </row>
    <row r="7">
      <c r="A7" s="6" t="inlineStr">
        <is>
          <t>永续 g</t>
        </is>
      </c>
      <c r="B7" s="24" t="inlineStr">
        <is>
          <t>1.5%</t>
        </is>
      </c>
      <c r="C7" s="24" t="inlineStr">
        <is>
          <t>1.8%</t>
        </is>
      </c>
      <c r="D7" s="24" t="inlineStr">
        <is>
          <t>2.0%</t>
        </is>
      </c>
      <c r="E7" s="8" t="inlineStr">
        <is>
          <t>长期电量/电价</t>
        </is>
      </c>
      <c r="F7" s="9" t="n"/>
      <c r="G7" s="9" t="n"/>
      <c r="H7" s="10" t="n"/>
    </row>
    <row r="8">
      <c r="A8" s="6" t="inlineStr">
        <is>
          <t>DCF 每股（元）</t>
        </is>
      </c>
      <c r="B8" s="24" t="inlineStr">
        <is>
          <t>21.85</t>
        </is>
      </c>
      <c r="C8" s="24" t="inlineStr">
        <is>
          <t>30.17</t>
        </is>
      </c>
      <c r="D8" s="24" t="inlineStr">
        <is>
          <t>40.48</t>
        </is>
      </c>
      <c r="E8" s="8" t="inlineStr">
        <is>
          <t>FCFF/(WACC−g)</t>
        </is>
      </c>
      <c r="F8" s="9" t="n"/>
      <c r="G8" s="9" t="n"/>
      <c r="H8" s="10" t="n"/>
    </row>
    <row r="9">
      <c r="A9" s="6" t="inlineStr">
        <is>
          <t>DPS（元）</t>
        </is>
      </c>
      <c r="B9" s="24" t="inlineStr">
        <is>
          <t>0.88</t>
        </is>
      </c>
      <c r="C9" s="24" t="inlineStr">
        <is>
          <t>1.00</t>
        </is>
      </c>
      <c r="D9" s="24" t="inlineStr">
        <is>
          <t>1.08</t>
        </is>
      </c>
      <c r="E9" s="8" t="inlineStr">
        <is>
          <t>分红率 70%</t>
        </is>
      </c>
      <c r="F9" s="9" t="n"/>
      <c r="G9" s="9" t="n"/>
      <c r="H9" s="10" t="n"/>
    </row>
    <row r="10">
      <c r="A10" s="6" t="inlineStr">
        <is>
          <t>COE</t>
        </is>
      </c>
      <c r="B10" s="24" t="inlineStr">
        <is>
          <t>6.5%</t>
        </is>
      </c>
      <c r="C10" s="24" t="inlineStr">
        <is>
          <t>6.0%</t>
        </is>
      </c>
      <c r="D10" s="24" t="inlineStr">
        <is>
          <t>5.7%</t>
        </is>
      </c>
      <c r="E10" s="8" t="inlineStr"/>
      <c r="F10" s="9" t="n"/>
      <c r="G10" s="9" t="n"/>
      <c r="H10" s="10" t="n"/>
    </row>
    <row r="11">
      <c r="A11" s="6" t="inlineStr">
        <is>
          <t>DDM g</t>
        </is>
      </c>
      <c r="B11" s="24" t="inlineStr">
        <is>
          <t>1.5%</t>
        </is>
      </c>
      <c r="C11" s="24" t="inlineStr">
        <is>
          <t>2.0%</t>
        </is>
      </c>
      <c r="D11" s="24" t="inlineStr">
        <is>
          <t>2.2%</t>
        </is>
      </c>
      <c r="E11" s="8" t="inlineStr"/>
      <c r="F11" s="9" t="n"/>
      <c r="G11" s="9" t="n"/>
      <c r="H11" s="10" t="n"/>
    </row>
    <row r="12">
      <c r="A12" s="6" t="inlineStr">
        <is>
          <t>DDM 每股（元）</t>
        </is>
      </c>
      <c r="B12" s="24" t="inlineStr">
        <is>
          <t>17.60</t>
        </is>
      </c>
      <c r="C12" s="24" t="inlineStr">
        <is>
          <t>25.00</t>
        </is>
      </c>
      <c r="D12" s="24" t="inlineStr">
        <is>
          <t>30.86</t>
        </is>
      </c>
      <c r="E12" s="8" t="inlineStr">
        <is>
          <t>DPS/(COE−g)</t>
        </is>
      </c>
      <c r="F12" s="9" t="n"/>
      <c r="G12" s="9" t="n"/>
      <c r="H12" s="10" t="n"/>
    </row>
    <row r="13">
      <c r="A13" s="20" t="inlineStr">
        <is>
          <t>综合每股（元）</t>
        </is>
      </c>
      <c r="B13" s="29" t="inlineStr">
        <is>
          <t>19.73</t>
        </is>
      </c>
      <c r="C13" s="46" t="inlineStr">
        <is>
          <t>27.59</t>
        </is>
      </c>
      <c r="D13" s="29" t="inlineStr">
        <is>
          <t>35.67</t>
        </is>
      </c>
      <c r="E13" s="8" t="inlineStr">
        <is>
          <t>50/50 加权</t>
        </is>
      </c>
      <c r="F13" s="9" t="n"/>
      <c r="G13" s="9" t="n"/>
      <c r="H13" s="10" t="n"/>
    </row>
    <row r="14">
      <c r="A14" s="6" t="inlineStr">
        <is>
          <t>相对现价</t>
        </is>
      </c>
      <c r="B14" s="24" t="inlineStr">
        <is>
          <t>-33.7%</t>
        </is>
      </c>
      <c r="C14" s="24" t="inlineStr">
        <is>
          <t>-7.2%</t>
        </is>
      </c>
      <c r="D14" s="24" t="inlineStr">
        <is>
          <t>+20.0%</t>
        </is>
      </c>
      <c r="E14" s="8" t="inlineStr">
        <is>
          <t>现价 29.74</t>
        </is>
      </c>
      <c r="F14" s="9" t="n"/>
      <c r="G14" s="9" t="n"/>
      <c r="H14" s="10" t="n"/>
    </row>
  </sheetData>
  <mergeCells count="12">
    <mergeCell ref="E14:H14"/>
    <mergeCell ref="E9:H9"/>
    <mergeCell ref="E8:H8"/>
    <mergeCell ref="A2:H2"/>
    <mergeCell ref="E12:H12"/>
    <mergeCell ref="E6:H6"/>
    <mergeCell ref="E7:H7"/>
    <mergeCell ref="A1:H1"/>
    <mergeCell ref="E11:H11"/>
    <mergeCell ref="E10:H10"/>
    <mergeCell ref="E5:H5"/>
    <mergeCell ref="E13:H13"/>
  </mergeCells>
  <printOptions horizontalCentered="1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F6B4F"/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50" customWidth="1" min="4" max="4"/>
    <col width="60" customWidth="1" min="5" max="5"/>
    <col width="3" customWidth="1" min="6" max="6"/>
    <col width="3" customWidth="1" min="7" max="7"/>
    <col width="3" customWidth="1" min="8" max="8"/>
  </cols>
  <sheetData>
    <row r="1" ht="28" customHeight="1">
      <c r="A1" s="1" t="inlineStr">
        <is>
          <t>长江电力 · 数据与来源</t>
        </is>
      </c>
    </row>
    <row r="2" ht="18" customHeight="1">
      <c r="A2" s="2" t="inlineStr">
        <is>
          <t>价格日 2026-10-30；财务数据以公司披露为准；第三方数据仅用于交叉核对</t>
        </is>
      </c>
    </row>
    <row r="4" ht="28" customHeight="1">
      <c r="A4" s="5" t="inlineStr">
        <is>
          <t>类别</t>
        </is>
      </c>
      <c r="B4" s="5" t="inlineStr">
        <is>
          <t>来源</t>
        </is>
      </c>
      <c r="C4" s="5" t="inlineStr">
        <is>
          <t>日期</t>
        </is>
      </c>
      <c r="D4" s="5" t="inlineStr">
        <is>
          <t>用途/备注</t>
        </is>
      </c>
      <c r="E4" s="5" t="inlineStr">
        <is>
          <t>链接</t>
        </is>
      </c>
      <c r="F4" s="5" t="inlineStr"/>
      <c r="G4" s="5" t="inlineStr"/>
      <c r="H4" s="5" t="inlineStr"/>
    </row>
    <row r="5" ht="30" customHeight="1">
      <c r="A5" s="24" t="inlineStr">
        <is>
          <t>行情</t>
        </is>
      </c>
      <c r="B5" s="6" t="inlineStr">
        <is>
          <t>腾讯证券 / 东方财富</t>
        </is>
      </c>
      <c r="C5" s="24" t="inlineStr">
        <is>
          <t>2026-10-30</t>
        </is>
      </c>
      <c r="D5" s="47" t="inlineStr">
        <is>
          <t>收盘价 29.74 元、市值 7,276.85 亿、PE 20.10、PB 3.37</t>
        </is>
      </c>
      <c r="E5" s="48" t="inlineStr">
        <is>
          <t>https://qt.gtimg.cn/q=sh600900</t>
        </is>
      </c>
      <c r="F5" s="9" t="n"/>
      <c r="G5" s="9" t="n"/>
      <c r="H5" s="10" t="n"/>
    </row>
    <row r="6" ht="30" customHeight="1">
      <c r="A6" s="24" t="inlineStr">
        <is>
          <t>2026 半年报</t>
        </is>
      </c>
      <c r="B6" s="6" t="inlineStr">
        <is>
          <t>长江电力 2026 年半年度报告</t>
        </is>
      </c>
      <c r="C6" s="24" t="inlineStr">
        <is>
          <t>2026-08-30</t>
        </is>
      </c>
      <c r="D6" s="47" t="inlineStr">
        <is>
          <t>营收 379.29 亿、归母净利 147.56 亿、CFO 241.28 亿</t>
        </is>
      </c>
      <c r="E6" s="48" t="inlineStr">
        <is>
          <t>https://www.cnstock.com/commonDetail/783474</t>
        </is>
      </c>
      <c r="F6" s="9" t="n"/>
      <c r="G6" s="9" t="n"/>
      <c r="H6" s="10" t="n"/>
    </row>
    <row r="7" ht="30" customHeight="1">
      <c r="A7" s="24" t="inlineStr">
        <is>
          <t>2026 Q3 发电量</t>
        </is>
      </c>
      <c r="B7" s="6" t="inlineStr">
        <is>
          <t>长江电力 2026 年三季度发电量公告</t>
        </is>
      </c>
      <c r="C7" s="24" t="inlineStr">
        <is>
          <t>2026-10-12</t>
        </is>
      </c>
      <c r="D7" s="47" t="inlineStr">
        <is>
          <t>前三季度 2,250.58 亿 kWh（-4.28%）、Q3 923.14 亿 kWh（-14.89%）</t>
        </is>
      </c>
      <c r="E7" s="48" t="inlineStr">
        <is>
          <t>https://www.cnfin.com/announ/detail/index.html?id=845134363539&amp;code=600900&amp;dannoun=lcdetail&amp;announ=lc</t>
        </is>
      </c>
      <c r="F7" s="9" t="n"/>
      <c r="G7" s="9" t="n"/>
      <c r="H7" s="10" t="n"/>
    </row>
    <row r="8" ht="30" customHeight="1">
      <c r="A8" s="24" t="inlineStr">
        <is>
          <t>2025 年报</t>
        </is>
      </c>
      <c r="B8" s="6" t="inlineStr">
        <is>
          <t>长江电力 2025 年年度报告</t>
        </is>
      </c>
      <c r="C8" s="24" t="inlineStr">
        <is>
          <t>2026-04</t>
        </is>
      </c>
      <c r="D8" s="47" t="inlineStr">
        <is>
          <t>营收 862.42 亿、归母净利 345.03 亿、DPS 1.00 元</t>
        </is>
      </c>
      <c r="E8" s="48" t="inlineStr">
        <is>
          <t>https://www.sse.com.cn/</t>
        </is>
      </c>
      <c r="F8" s="9" t="n"/>
      <c r="G8" s="9" t="n"/>
      <c r="H8" s="10" t="n"/>
    </row>
    <row r="9" ht="30" customHeight="1">
      <c r="A9" s="24" t="inlineStr">
        <is>
          <t>分红政策</t>
        </is>
      </c>
      <c r="B9" s="6" t="inlineStr">
        <is>
          <t>2026–2030 年股东分红回报规划</t>
        </is>
      </c>
      <c r="C9" s="24" t="inlineStr">
        <is>
          <t>2026</t>
        </is>
      </c>
      <c r="D9" s="47" t="inlineStr">
        <is>
          <t>每年现金分红不低于当年归母净利 70%</t>
        </is>
      </c>
      <c r="E9" s="48" t="inlineStr">
        <is>
          <t>https://www.sse.com.cn/</t>
        </is>
      </c>
      <c r="F9" s="9" t="n"/>
      <c r="G9" s="9" t="n"/>
      <c r="H9" s="10" t="n"/>
    </row>
    <row r="10" ht="30" customHeight="1">
      <c r="A10" s="24" t="inlineStr">
        <is>
          <t>财务数据</t>
        </is>
      </c>
      <c r="B10" s="6" t="inlineStr">
        <is>
          <t>东方财富 F10</t>
        </is>
      </c>
      <c r="C10" s="24" t="inlineStr">
        <is>
          <t>2026-10-30</t>
        </is>
      </c>
      <c r="D10" s="47" t="inlineStr">
        <is>
          <t>历史报表、分红、估值指标</t>
        </is>
      </c>
      <c r="E10" s="48" t="inlineStr">
        <is>
          <t>https://emweb.securities.eastmoney.com/</t>
        </is>
      </c>
      <c r="F10" s="9" t="n"/>
      <c r="G10" s="9" t="n"/>
      <c r="H10" s="10" t="n"/>
    </row>
    <row r="11" ht="30" customHeight="1">
      <c r="A11" s="24" t="inlineStr">
        <is>
          <t>无风险利率</t>
        </is>
      </c>
      <c r="B11" s="6" t="inlineStr">
        <is>
          <t>中国 10 年期国债</t>
        </is>
      </c>
      <c r="C11" s="24" t="inlineStr">
        <is>
          <t>2026-10-29</t>
        </is>
      </c>
      <c r="D11" s="47" t="inlineStr">
        <is>
          <t>1.6233%</t>
        </is>
      </c>
      <c r="E11" s="48" t="inlineStr">
        <is>
          <t>https://datacenter-web.eastmoney.com/</t>
        </is>
      </c>
      <c r="F11" s="9" t="n"/>
      <c r="G11" s="9" t="n"/>
      <c r="H11" s="10" t="n"/>
    </row>
    <row r="13" ht="30" customHeight="1">
      <c r="A13" s="3" t="inlineStr">
        <is>
          <t>注：部分公告链接为交易所/公司公告页；东方财富 F10 为数据供应商，原始数据以公司公告为准。</t>
        </is>
      </c>
    </row>
  </sheetData>
  <mergeCells count="10">
    <mergeCell ref="E9:H9"/>
    <mergeCell ref="E8:H8"/>
    <mergeCell ref="A2:H2"/>
    <mergeCell ref="E6:H6"/>
    <mergeCell ref="A13:H13"/>
    <mergeCell ref="E7:H7"/>
    <mergeCell ref="A1:H1"/>
    <mergeCell ref="E11:H11"/>
    <mergeCell ref="E10:H10"/>
    <mergeCell ref="E5:H5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</hyperlink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Claudian · 巴菲特框架</dc:creator>
  <dc:title xmlns:dc="http://purl.org/dc/elements/1.1/">长江电力 600900.SH 估值模型</dc:title>
  <dc:subject xmlns:dc="http://purl.org/dc/elements/1.1/">巴菲特框架估值，不构成投资建议</dc:subject>
  <dcterms:created xmlns:dcterms="http://purl.org/dc/terms/" xmlns:xsi="http://www.w3.org/2001/XMLSchema-instance" xsi:type="dcterms:W3CDTF">2026-10-30T07:21:05Z</dcterms:created>
  <dcterms:modified xmlns:dcterms="http://purl.org/dc/terms/" xmlns:xsi="http://www.w3.org/2001/XMLSchema-instance" xsi:type="dcterms:W3CDTF">2026-10-30T07:21:05Z</dcterms:modified>
</cp:coreProperties>
</file>