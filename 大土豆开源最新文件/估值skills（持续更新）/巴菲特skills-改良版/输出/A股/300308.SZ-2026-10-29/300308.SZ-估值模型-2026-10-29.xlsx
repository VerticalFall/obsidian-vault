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300308.SZ-2026-10-29\"/>
    </mc:Choice>
  </mc:AlternateContent>
  <xr:revisionPtr revIDLastSave="0" documentId="13_ncr:1_{6D65E2DB-6E18-40F1-96CC-D78F1273E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分部!$A$1:$F$20</definedName>
    <definedName name="_xlnm.Print_Area" localSheetId="0">结论!$A$1:$M$47</definedName>
    <definedName name="_xlnm.Print_Area" localSheetId="6">来源!$A$1:$D$13</definedName>
    <definedName name="_xlnm.Print_Area" localSheetId="1">历史财务!$A$1:$H$28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5" l="1"/>
  <c r="B76" i="5"/>
  <c r="M72" i="5"/>
  <c r="M71" i="5"/>
  <c r="M70" i="5"/>
  <c r="M69" i="5"/>
  <c r="M68" i="5"/>
  <c r="M67" i="5"/>
  <c r="M66" i="5"/>
  <c r="M65" i="5"/>
  <c r="M64" i="5"/>
  <c r="M63" i="5"/>
  <c r="C63" i="5"/>
  <c r="B54" i="5"/>
  <c r="B53" i="5"/>
  <c r="M49" i="5"/>
  <c r="M48" i="5"/>
  <c r="M47" i="5"/>
  <c r="M46" i="5"/>
  <c r="M45" i="5"/>
  <c r="M44" i="5"/>
  <c r="M43" i="5"/>
  <c r="M42" i="5"/>
  <c r="M41" i="5"/>
  <c r="M40" i="5"/>
  <c r="C40" i="5"/>
  <c r="B31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C64" i="5" l="1"/>
  <c r="K63" i="5"/>
  <c r="J63" i="5"/>
  <c r="H63" i="5"/>
  <c r="E63" i="5"/>
  <c r="F63" i="5" s="1"/>
  <c r="L63" i="5" s="1"/>
  <c r="N63" i="5" s="1"/>
  <c r="K40" i="5"/>
  <c r="J40" i="5"/>
  <c r="H40" i="5"/>
  <c r="E40" i="5"/>
  <c r="F40" i="5" s="1"/>
  <c r="L40" i="5" s="1"/>
  <c r="N40" i="5" s="1"/>
  <c r="C41" i="5"/>
  <c r="C18" i="5"/>
  <c r="E17" i="5"/>
  <c r="F17" i="5" s="1"/>
  <c r="H17" i="5"/>
  <c r="J17" i="5"/>
  <c r="K17" i="5"/>
  <c r="B25" i="1"/>
  <c r="B14" i="1"/>
  <c r="E64" i="5" l="1"/>
  <c r="F64" i="5" s="1"/>
  <c r="C65" i="5"/>
  <c r="H64" i="5"/>
  <c r="J64" i="5"/>
  <c r="K64" i="5"/>
  <c r="E41" i="5"/>
  <c r="F41" i="5" s="1"/>
  <c r="H41" i="5"/>
  <c r="J41" i="5"/>
  <c r="K41" i="5"/>
  <c r="C42" i="5"/>
  <c r="K18" i="5"/>
  <c r="E18" i="5"/>
  <c r="F18" i="5" s="1"/>
  <c r="J18" i="5"/>
  <c r="C19" i="5"/>
  <c r="H18" i="5"/>
  <c r="B22" i="1"/>
  <c r="B26" i="1"/>
  <c r="L17" i="5"/>
  <c r="N17" i="5" s="1"/>
  <c r="E65" i="5" l="1"/>
  <c r="F65" i="5" s="1"/>
  <c r="L65" i="5" s="1"/>
  <c r="N65" i="5" s="1"/>
  <c r="H65" i="5"/>
  <c r="J65" i="5"/>
  <c r="K65" i="5"/>
  <c r="C66" i="5"/>
  <c r="E42" i="5"/>
  <c r="F42" i="5" s="1"/>
  <c r="L42" i="5" s="1"/>
  <c r="N42" i="5" s="1"/>
  <c r="H42" i="5"/>
  <c r="C43" i="5"/>
  <c r="J42" i="5"/>
  <c r="K42" i="5"/>
  <c r="H19" i="5"/>
  <c r="E19" i="5"/>
  <c r="F19" i="5" s="1"/>
  <c r="J19" i="5"/>
  <c r="K19" i="5"/>
  <c r="C20" i="5"/>
  <c r="L64" i="5"/>
  <c r="N64" i="5" s="1"/>
  <c r="L41" i="5"/>
  <c r="N41" i="5" s="1"/>
  <c r="L18" i="5"/>
  <c r="N18" i="5" s="1"/>
  <c r="E66" i="5" l="1"/>
  <c r="F66" i="5" s="1"/>
  <c r="L66" i="5" s="1"/>
  <c r="N66" i="5" s="1"/>
  <c r="H66" i="5"/>
  <c r="J66" i="5"/>
  <c r="K66" i="5"/>
  <c r="C67" i="5"/>
  <c r="E43" i="5"/>
  <c r="F43" i="5" s="1"/>
  <c r="H43" i="5"/>
  <c r="J43" i="5"/>
  <c r="K43" i="5"/>
  <c r="C44" i="5"/>
  <c r="J20" i="5"/>
  <c r="K20" i="5"/>
  <c r="C21" i="5"/>
  <c r="H20" i="5"/>
  <c r="E20" i="5"/>
  <c r="F20" i="5" s="1"/>
  <c r="L19" i="5"/>
  <c r="N19" i="5" s="1"/>
  <c r="L20" i="5" l="1"/>
  <c r="N20" i="5" s="1"/>
  <c r="E67" i="5"/>
  <c r="F67" i="5" s="1"/>
  <c r="H67" i="5"/>
  <c r="J67" i="5"/>
  <c r="K67" i="5"/>
  <c r="C68" i="5"/>
  <c r="E44" i="5"/>
  <c r="F44" i="5" s="1"/>
  <c r="H44" i="5"/>
  <c r="J44" i="5"/>
  <c r="K44" i="5"/>
  <c r="C45" i="5"/>
  <c r="E21" i="5"/>
  <c r="F21" i="5" s="1"/>
  <c r="J21" i="5"/>
  <c r="H21" i="5"/>
  <c r="K21" i="5"/>
  <c r="C22" i="5"/>
  <c r="L43" i="5"/>
  <c r="N43" i="5" s="1"/>
  <c r="L67" i="5" l="1"/>
  <c r="N67" i="5" s="1"/>
  <c r="E68" i="5"/>
  <c r="F68" i="5" s="1"/>
  <c r="H68" i="5"/>
  <c r="J68" i="5"/>
  <c r="K68" i="5"/>
  <c r="C69" i="5"/>
  <c r="E45" i="5"/>
  <c r="F45" i="5" s="1"/>
  <c r="H45" i="5"/>
  <c r="J45" i="5"/>
  <c r="K45" i="5"/>
  <c r="C46" i="5"/>
  <c r="E22" i="5"/>
  <c r="F22" i="5" s="1"/>
  <c r="H22" i="5"/>
  <c r="J22" i="5"/>
  <c r="K22" i="5"/>
  <c r="C23" i="5"/>
  <c r="L44" i="5"/>
  <c r="N44" i="5" s="1"/>
  <c r="L21" i="5"/>
  <c r="N21" i="5" s="1"/>
  <c r="E69" i="5" l="1"/>
  <c r="F69" i="5" s="1"/>
  <c r="L69" i="5" s="1"/>
  <c r="N69" i="5" s="1"/>
  <c r="H69" i="5"/>
  <c r="J69" i="5"/>
  <c r="K69" i="5"/>
  <c r="C70" i="5"/>
  <c r="E46" i="5"/>
  <c r="F46" i="5" s="1"/>
  <c r="H46" i="5"/>
  <c r="J46" i="5"/>
  <c r="K46" i="5"/>
  <c r="C47" i="5"/>
  <c r="E23" i="5"/>
  <c r="F23" i="5" s="1"/>
  <c r="H23" i="5"/>
  <c r="J23" i="5"/>
  <c r="K23" i="5"/>
  <c r="C24" i="5"/>
  <c r="L68" i="5"/>
  <c r="N68" i="5" s="1"/>
  <c r="L45" i="5"/>
  <c r="N45" i="5" s="1"/>
  <c r="L22" i="5"/>
  <c r="N22" i="5" s="1"/>
  <c r="E70" i="5" l="1"/>
  <c r="F70" i="5" s="1"/>
  <c r="L70" i="5" s="1"/>
  <c r="N70" i="5" s="1"/>
  <c r="H70" i="5"/>
  <c r="J70" i="5"/>
  <c r="K70" i="5"/>
  <c r="C71" i="5"/>
  <c r="E47" i="5"/>
  <c r="F47" i="5" s="1"/>
  <c r="H47" i="5"/>
  <c r="J47" i="5"/>
  <c r="K47" i="5"/>
  <c r="C48" i="5"/>
  <c r="E24" i="5"/>
  <c r="F24" i="5" s="1"/>
  <c r="H24" i="5"/>
  <c r="J24" i="5"/>
  <c r="K24" i="5"/>
  <c r="C25" i="5"/>
  <c r="L46" i="5"/>
  <c r="N46" i="5" s="1"/>
  <c r="L23" i="5"/>
  <c r="N23" i="5" s="1"/>
  <c r="E71" i="5" l="1"/>
  <c r="F71" i="5" s="1"/>
  <c r="H71" i="5"/>
  <c r="J71" i="5"/>
  <c r="K71" i="5"/>
  <c r="C72" i="5"/>
  <c r="E48" i="5"/>
  <c r="F48" i="5" s="1"/>
  <c r="L48" i="5" s="1"/>
  <c r="N48" i="5" s="1"/>
  <c r="H48" i="5"/>
  <c r="J48" i="5"/>
  <c r="K48" i="5"/>
  <c r="C49" i="5"/>
  <c r="E25" i="5"/>
  <c r="F25" i="5" s="1"/>
  <c r="H25" i="5"/>
  <c r="J25" i="5"/>
  <c r="K25" i="5"/>
  <c r="C26" i="5"/>
  <c r="L47" i="5"/>
  <c r="N47" i="5" s="1"/>
  <c r="L24" i="5"/>
  <c r="N24" i="5" s="1"/>
  <c r="E72" i="5" l="1"/>
  <c r="F72" i="5" s="1"/>
  <c r="H72" i="5"/>
  <c r="J72" i="5"/>
  <c r="K72" i="5"/>
  <c r="E49" i="5"/>
  <c r="F49" i="5" s="1"/>
  <c r="L49" i="5" s="1"/>
  <c r="H49" i="5"/>
  <c r="J49" i="5"/>
  <c r="K49" i="5"/>
  <c r="E26" i="5"/>
  <c r="F26" i="5" s="1"/>
  <c r="H26" i="5"/>
  <c r="J26" i="5"/>
  <c r="K26" i="5"/>
  <c r="L25" i="5"/>
  <c r="N25" i="5" s="1"/>
  <c r="L71" i="5"/>
  <c r="N71" i="5" s="1"/>
  <c r="L26" i="5" l="1"/>
  <c r="L72" i="5"/>
  <c r="N72" i="5"/>
  <c r="B73" i="5"/>
  <c r="B74" i="5" s="1"/>
  <c r="B75" i="5" s="1"/>
  <c r="B78" i="5" s="1"/>
  <c r="B79" i="5" s="1"/>
  <c r="N49" i="5"/>
  <c r="B50" i="5"/>
  <c r="B51" i="5" s="1"/>
  <c r="B52" i="5" s="1"/>
  <c r="B55" i="5" s="1"/>
  <c r="B56" i="5" s="1"/>
  <c r="N26" i="5"/>
  <c r="B27" i="5"/>
  <c r="B28" i="5" s="1"/>
  <c r="B29" i="5" s="1"/>
  <c r="B32" i="5" s="1"/>
  <c r="B33" i="5" s="1"/>
</calcChain>
</file>

<file path=xl/sharedStrings.xml><?xml version="1.0" encoding="utf-8"?>
<sst xmlns="http://schemas.openxmlformats.org/spreadsheetml/2006/main" count="314" uniqueCount="225">
  <si>
    <t>中际旭创（300308.SZ）巴菲特框架估值</t>
  </si>
  <si>
    <t>研究日 2026-10-29｜收盘价 ¥582.05｜最新财报：2026 中报（2026-08-21）</t>
  </si>
  <si>
    <t>市值按 11.7791 亿股计算；净负债 = 债务 + 融资租赁 − 现金；数据边界见报告第 1 节。</t>
  </si>
  <si>
    <t>一句话结论</t>
  </si>
  <si>
    <t>偏贵：基准 501 元，现价 582 元；乐观情景才支持更高。</t>
  </si>
  <si>
    <t>关键数据（亿元 / 倍 / 百分比）</t>
  </si>
  <si>
    <t>项目</t>
  </si>
  <si>
    <t>数值</t>
  </si>
  <si>
    <t>备注</t>
  </si>
  <si>
    <t>收盘价（元）</t>
  </si>
  <si>
    <t>2026-10-29 收盘 582.05 元（当日 -8.53%）</t>
  </si>
  <si>
    <t>总股本（亿股）</t>
  </si>
  <si>
    <t>最新总股本</t>
  </si>
  <si>
    <t>市值（亿元）</t>
  </si>
  <si>
    <t>价格 × 股数</t>
  </si>
  <si>
    <t>净负债（亿元）</t>
  </si>
  <si>
    <t>负数 = 净现金</t>
  </si>
  <si>
    <t>企业价值（亿元）</t>
  </si>
  <si>
    <t>市值 + 净负债</t>
  </si>
  <si>
    <t>TTM 收入</t>
  </si>
  <si>
    <t>最近四个季度/半年年化</t>
  </si>
  <si>
    <t>TTM 经营利润</t>
  </si>
  <si>
    <t>剔除利息与投资收益</t>
  </si>
  <si>
    <t>TTM NOPAT</t>
  </si>
  <si>
    <t>经营利润 × (1−15%)</t>
  </si>
  <si>
    <t>TTM 自由现金流</t>
  </si>
  <si>
    <t>CFO − 现金 capex</t>
  </si>
  <si>
    <t>DCF 起始收入（2026E）</t>
  </si>
  <si>
    <t>基准情景第 1 年起点</t>
  </si>
  <si>
    <t>TTM EPS（元）</t>
  </si>
  <si>
    <t>最近四个季度</t>
  </si>
  <si>
    <t>2026E EPS（元）</t>
  </si>
  <si>
    <t>本文估计/一致预期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</si>
  <si>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</si>
  <si>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</si>
  <si>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</si>
  <si>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</si>
  <si>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</si>
  <si>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</si>
  <si>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</si>
  <si>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</si>
  <si>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</si>
  <si>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</si>
  <si>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</si>
  <si>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</si>
  <si>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</si>
  <si>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</si>
  <si>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</si>
  <si>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</si>
  <si>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</si>
  <si>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</si>
  <si>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</si>
  <si>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</si>
  <si>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</si>
  <si>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</si>
  <si>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</si>
  <si>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</si>
  <si>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</si>
  <si>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</si>
  <si>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</si>
  <si>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¥501，现价 ¥582.05；现价高估 16.2%。</t>
  </si>
  <si>
    <t>• 悲观 ¥168；基准 ¥501；乐观 ¥1,019；概率加权约 ¥547（25%/50%/25%）。</t>
  </si>
  <si>
    <t>• 反推：现价隐含未来 10 年收入 CAGR 约 13.9%，基准情景约 14.1%。</t>
  </si>
  <si>
    <t>• 若要求 20% 安全边际，观察价约 ¥401（基准价值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</si>
  <si>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</si>
  <si>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</si>
  <si>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中际旭创五年财务与现金流（亿元，除每股数据）</t>
  </si>
  <si>
    <t>来源：公司年报/中报；2026H1 为半年数据，不与年度直接比较。</t>
  </si>
  <si>
    <t>2021</t>
  </si>
  <si>
    <t>2022</t>
  </si>
  <si>
    <t>2023</t>
  </si>
  <si>
    <t>2024</t>
  </si>
  <si>
    <t>2025</t>
  </si>
  <si>
    <t>2026H1</t>
  </si>
  <si>
    <t>收入</t>
  </si>
  <si>
    <t>年度 / 半年报</t>
  </si>
  <si>
    <t>经营利润</t>
  </si>
  <si>
    <t>净利润</t>
  </si>
  <si>
    <t>经营现金流</t>
  </si>
  <si>
    <t>资本开支</t>
  </si>
  <si>
    <t>自由现金流</t>
  </si>
  <si>
    <t>EPS（元）</t>
  </si>
  <si>
    <t>股本（亿股）</t>
  </si>
  <si>
    <t>收入增速</t>
  </si>
  <si>
    <t>经营利润率</t>
  </si>
  <si>
    <t>净利率</t>
  </si>
  <si>
    <t>FCF 利润率</t>
  </si>
  <si>
    <t>关键读数</t>
  </si>
  <si>
    <t>• 2021–2025 年收入 CAGR 49.3%、净利润 CAGR 87%；2026H1 收入 +182.5%、净利 +241.7%，1.6T 硅光规模放量。</t>
  </si>
  <si>
    <t>• 毛利率 46.3%、净利率 35.3%；ROE 37.6%（半年），处于历史高位。</t>
  </si>
  <si>
    <t>• 经营现金流仅 18.0 亿，远低于净利 136.5 亿；应收、存货与预付款占用大，H1 FCF -30 亿。</t>
  </si>
  <si>
    <t>• 海外收入 396.15 亿、+209.9%，占比 94.8%；2026Q1 前五大客户 81.9%、单一大客户 25.1%。</t>
  </si>
  <si>
    <t>• 在手订单覆盖 2026 全年、部分延伸至 2027；客户已给出 2027 年指引，1.6T/800G 需求仍快速增长。</t>
  </si>
  <si>
    <t>• 资本开支 48 亿（H1），用于扩产；光芯片、电芯片、3nm DSP 供应偏紧，长协与预付款锁产能。</t>
  </si>
  <si>
    <t>中际旭创：分部与关键运营数据</t>
  </si>
  <si>
    <t>单位：亿元，另有注明除外；同比为公开披露口径。</t>
  </si>
  <si>
    <t>2026H1 业务与集中度</t>
  </si>
  <si>
    <t>单位：亿元；客户集中度为 2026Q1 披露口径。</t>
  </si>
  <si>
    <t>指标</t>
  </si>
  <si>
    <t>同比</t>
  </si>
  <si>
    <t>营业收入</t>
  </si>
  <si>
    <t>1.6T 硅光规模放量</t>
  </si>
  <si>
    <t>归母净利润</t>
  </si>
  <si>
    <t>Q2 利润环比 +33%</t>
  </si>
  <si>
    <t>毛利率</t>
  </si>
  <si>
    <t>产品结构改善</t>
  </si>
  <si>
    <t>海外收入</t>
  </si>
  <si>
    <t>占比 94.8%</t>
  </si>
  <si>
    <t>前五大客户占比</t>
  </si>
  <si>
    <t>2026Q1；单一大客户 25.1%</t>
  </si>
  <si>
    <t>营运资金占用</t>
  </si>
  <si>
    <t>扩产与设备</t>
  </si>
  <si>
    <t>解读</t>
  </si>
  <si>
    <t>300308.SZ TTM FCFF 桥：从经营利润到自由现金流</t>
  </si>
  <si>
    <t>单位：亿元；TTM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</si>
  <si>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</si>
  <si>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</si>
  <si>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</si>
  <si>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</si>
  <si>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</si>
  <si>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</si>
  <si>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</si>
  <si>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</si>
  <si>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</si>
  <si>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</si>
  <si>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</si>
  <si>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</si>
  <si>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</si>
  <si>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</si>
  <si>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</si>
  <si>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-27.6 亿（四舍五入）</t>
  </si>
  <si>
    <t>现金转化率</t>
  </si>
  <si>
    <t>Capex / D&amp;A</t>
  </si>
  <si>
    <t>资本开支是折旧的倍数</t>
  </si>
  <si>
    <t>• 2026H1 经营现金流仅 18.0 亿，净利 136.5 亿；应收、存货、预付款合计占用大量资金。</t>
  </si>
  <si>
    <t>• 资本开支 48 亿（H1），用于产能与设备；D&amp;A 9.3 亿，capex/D&amp;A 约 5x。</t>
  </si>
  <si>
    <t>• FCF -30 亿（H1），2025 年全年 81 亿；高增长阶段的营运资金占用是常态，但也是风险。</t>
  </si>
  <si>
    <t>• 净现金 95 亿（现金 64 + 理财 50 − 债务 19），相对市值很小。</t>
  </si>
  <si>
    <t>三情景 FCFF DCF（2026E 起算，10 年明确预测）</t>
  </si>
  <si>
    <t>单位：亿元，除每股数据；终值用永续增长；股权价值 = EV − 净负债 + 非经营投资。</t>
  </si>
  <si>
    <t>起始收入 2026E 898 亿元；净现金 95 亿元；DCF 含 12% 增量营运资金假设。</t>
  </si>
  <si>
    <t>全局输入</t>
  </si>
  <si>
    <t>起始收入（2026E）</t>
  </si>
  <si>
    <t>税率</t>
  </si>
  <si>
    <t>营运资金/增量收入</t>
  </si>
  <si>
    <t>净负债（含融资租赁）</t>
  </si>
  <si>
    <t>非经营投资/理财</t>
  </si>
  <si>
    <t>股数（亿股）</t>
  </si>
  <si>
    <t>注：净负债 = 18.78 + 0.00 − 63.97 = -45.19 亿元；非经营投资/理财 49.70 亿元单独加回，避免与 FCFF 重复。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</si>
  <si>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</si>
  <si>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</si>
  <si>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</si>
  <si>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</si>
  <si>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</si>
  <si>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</si>
  <si>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</si>
  <si>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</si>
  <si>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</si>
  <si>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</si>
  <si>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</si>
  <si>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</si>
  <si>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</si>
  <si>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</si>
  <si>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</si>
  <si>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</si>
  <si>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</si>
  <si>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</si>
  <si>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+ 非经营投资</t>
  </si>
  <si>
    <t>股权价值</t>
  </si>
  <si>
    <t>每股价值</t>
  </si>
  <si>
    <t>TV 占比 39%；终值 FCF 235.5 亿；终值收入 1080 亿</t>
  </si>
  <si>
    <t>基准情景</t>
  </si>
  <si>
    <t>TV 占比 53%；终值 FCF 677.1 亿；终值收入 2450 亿</t>
  </si>
  <si>
    <t>乐观情景</t>
  </si>
  <si>
    <t>TV 占比 62%；终值 FCF 1152.6 亿；终值收入 3727 亿</t>
  </si>
  <si>
    <t>估值敏感性：WACC、终值 capex、终值利润率</t>
  </si>
  <si>
    <t>基准情景；每股价值（元）；由 Python 独立计算。</t>
  </si>
  <si>
    <t>终值 Capex / 收入</t>
  </si>
  <si>
    <t>终值 EBIT 利润率</t>
  </si>
  <si>
    <t>反推：现价隐含的 10 年收入 CAGR</t>
  </si>
  <si>
    <t>现价 ¥582.05</t>
  </si>
  <si>
    <t>基准情景 10 年 CAGR</t>
  </si>
  <si>
    <t>交叉检查：DCF、峰值/中期盈利、倍数</t>
  </si>
  <si>
    <t>方法</t>
  </si>
  <si>
    <t>相对现价</t>
  </si>
  <si>
    <t>读数</t>
  </si>
  <si>
    <t>DCF 基准（2026E 起算）</t>
  </si>
  <si>
    <t>¥501</t>
  </si>
  <si>
    <t>现价高 16%</t>
  </si>
  <si>
    <t>偏贵</t>
  </si>
  <si>
    <t>P/E 2026E 27.5x vs 光模块周期 15–25x</t>
  </si>
  <si>
    <t>高于区间</t>
  </si>
  <si>
    <t>已计入 1.6T 放量</t>
  </si>
  <si>
    <t>EV/EBIT 26.1x</t>
  </si>
  <si>
    <t>周期高位</t>
  </si>
  <si>
    <t>需要持续超预期</t>
  </si>
  <si>
    <t>FCF 收益率 1.2%</t>
  </si>
  <si>
    <t>偏低</t>
  </si>
  <si>
    <t>营运资金占用大</t>
  </si>
  <si>
    <t>DCF 501 元，现价 582 元，高 16%；乐观 1,019 元依赖 1.6T 持续超预期，悲观 168 元。风险收益不对称。</t>
  </si>
  <si>
    <t>数据来源与日期</t>
  </si>
  <si>
    <t>研究截止 2026-10-29；财务数据来自公司公告与交易所。</t>
  </si>
  <si>
    <t>数据</t>
  </si>
  <si>
    <t>来源</t>
  </si>
  <si>
    <t>日期</t>
  </si>
  <si>
    <t>链接/备注</t>
  </si>
  <si>
    <t>2026 年半年度报告</t>
  </si>
  <si>
    <t>深交所 / 中际旭创</t>
  </si>
  <si>
    <t>2026-08-21</t>
  </si>
  <si>
    <t>营收 417.8 亿、归母净利 136.5 亿；1.6T 规模放量</t>
  </si>
  <si>
    <t>2026 中报业绩会</t>
  </si>
  <si>
    <t>证券时报 / 新华财经</t>
  </si>
  <si>
    <t>订单覆盖 2026 全年、部分延伸至 2027；海外收入 94.8%</t>
  </si>
  <si>
    <t>客户集中度</t>
  </si>
  <si>
    <t>21 世纪经济报道</t>
  </si>
  <si>
    <t>2026-08-25</t>
  </si>
  <si>
    <t>2026Q1 前五大客户 81.9%、单一大客户 25.1%</t>
  </si>
  <si>
    <t>2025 年年度报告</t>
  </si>
  <si>
    <t>2026-03</t>
  </si>
  <si>
    <t>FY2025 营收 382.4 亿、归母净利 108.0 亿</t>
  </si>
  <si>
    <t>股价与估值</t>
  </si>
  <si>
    <t>东方财富行情</t>
  </si>
  <si>
    <t>2026-10-29</t>
  </si>
  <si>
    <t>收盘 582.05 元，-8.53%；PE TTM 33.52x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</si>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</sst>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¥#,##0.00"/>
    <numFmt numFmtId="177" formatCode="0.000"/>
    <numFmt numFmtId="178" formatCode="#,##0.0"/>
    <numFmt numFmtId="179" formatCode="0.0&quot;x&quot;"/>
    <numFmt numFmtId="180" formatCode="0.0%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300308.SZ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D5-4C43-BD8A-D19340E0C707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D5-4C43-BD8A-D19340E0C707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D5-4C43-BD8A-D19340E0C707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FD5-4C43-BD8A-D19340E0C7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\¥#,##0.00</c:formatCode>
                <c:ptCount val="4"/>
                <c:pt idx="0">
                  <c:v>168.2943756256401</c:v>
                </c:pt>
                <c:pt idx="1">
                  <c:v>500.73626532244037</c:v>
                </c:pt>
                <c:pt idx="2">
                  <c:v>1018.603094525874</c:v>
                </c:pt>
                <c:pt idx="3">
                  <c:v>582.04999999999995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D5-4C43-BD8A-D19340E0C7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元/股</a:t>
                </a:r>
              </a:p>
            </c:rich>
          </c:tx>
          <c:overlay val="1"/>
        </c:title>
        <c:numFmt formatCode="\¥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路径（亿元）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284.14515999999998</c:v>
                </c:pt>
                <c:pt idx="1">
                  <c:v>339.60168879999998</c:v>
                </c:pt>
                <c:pt idx="2">
                  <c:v>394.48595811999991</c:v>
                </c:pt>
                <c:pt idx="3">
                  <c:v>446.47821197439998</c:v>
                </c:pt>
                <c:pt idx="4">
                  <c:v>494.69405297983997</c:v>
                </c:pt>
                <c:pt idx="5">
                  <c:v>538.26575940318708</c:v>
                </c:pt>
                <c:pt idx="6">
                  <c:v>578.14226276313832</c:v>
                </c:pt>
                <c:pt idx="7">
                  <c:v>615.2045307467929</c:v>
                </c:pt>
                <c:pt idx="8">
                  <c:v>648.50465075724946</c:v>
                </c:pt>
                <c:pt idx="9">
                  <c:v>677.13712386904331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52-4033-9576-A3D55020C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8" customWidth="1"/>
    <col min="3" max="3" width="40" customWidth="1"/>
    <col min="4" max="4" width="18" customWidth="1"/>
    <col min="5" max="5" width="14" customWidth="1"/>
  </cols>
  <sheetData>
    <row r="1" spans="1:13" ht="23.4">
      <c r="A1" s="1" t="s">
        <v>0</v>
      </c>
    </row>
    <row r="2" spans="1:13" ht="15.6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7"/>
      <c r="C6" s="27"/>
      <c r="D6" s="27"/>
      <c r="E6" s="27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05" customHeight="1">
      <c r="A10" s="6" t="s">
        <v>9</v>
      </c>
      <c r="B10" s="7">
        <v>582.04999999999995</v>
      </c>
      <c r="C10" s="8" t="s">
        <v>10</v>
      </c>
    </row>
    <row r="11" spans="1:13" ht="22.05" customHeight="1">
      <c r="A11" s="6" t="s">
        <v>11</v>
      </c>
      <c r="B11" s="9">
        <v>11.7791</v>
      </c>
      <c r="C11" s="8" t="s">
        <v>12</v>
      </c>
    </row>
    <row r="12" spans="1:13" ht="22.05" customHeight="1">
      <c r="A12" s="6" t="s">
        <v>13</v>
      </c>
      <c r="B12" s="10">
        <f>B10*B11</f>
        <v>6856.0251549999994</v>
      </c>
      <c r="C12" s="8" t="s">
        <v>14</v>
      </c>
    </row>
    <row r="13" spans="1:13" ht="22.05" customHeight="1">
      <c r="A13" s="6" t="s">
        <v>15</v>
      </c>
      <c r="B13" s="11">
        <v>-45.19</v>
      </c>
      <c r="C13" s="8" t="s">
        <v>16</v>
      </c>
    </row>
    <row r="14" spans="1:13" ht="22.05" customHeight="1">
      <c r="A14" s="6" t="s">
        <v>17</v>
      </c>
      <c r="B14" s="10">
        <f>B12+B13</f>
        <v>6810.8351549999998</v>
      </c>
      <c r="C14" s="8" t="s">
        <v>18</v>
      </c>
    </row>
    <row r="15" spans="1:13" ht="22.05" customHeight="1">
      <c r="A15" s="6" t="s">
        <v>19</v>
      </c>
      <c r="B15" s="11">
        <v>652.29999999999995</v>
      </c>
      <c r="C15" s="8" t="s">
        <v>20</v>
      </c>
    </row>
    <row r="16" spans="1:13" ht="22.05" customHeight="1">
      <c r="A16" s="6" t="s">
        <v>21</v>
      </c>
      <c r="B16" s="11">
        <v>259.5</v>
      </c>
      <c r="C16" s="8" t="s">
        <v>22</v>
      </c>
    </row>
    <row r="17" spans="1:5" ht="22.05" customHeight="1">
      <c r="A17" s="6" t="s">
        <v>23</v>
      </c>
      <c r="B17" s="11">
        <v>220.57</v>
      </c>
      <c r="C17" s="8" t="s">
        <v>24</v>
      </c>
    </row>
    <row r="18" spans="1:5" ht="22.05" customHeight="1">
      <c r="A18" s="6" t="s">
        <v>25</v>
      </c>
      <c r="B18" s="11">
        <v>81.400000000000006</v>
      </c>
      <c r="C18" s="8" t="s">
        <v>26</v>
      </c>
    </row>
    <row r="19" spans="1:5" ht="22.05" customHeight="1">
      <c r="A19" s="6" t="s">
        <v>27</v>
      </c>
      <c r="B19" s="11">
        <v>898</v>
      </c>
      <c r="C19" s="8" t="s">
        <v>28</v>
      </c>
    </row>
    <row r="20" spans="1:5" ht="22.05" customHeight="1">
      <c r="A20" s="6" t="s">
        <v>29</v>
      </c>
      <c r="B20" s="12">
        <v>17.36</v>
      </c>
      <c r="C20" s="8" t="s">
        <v>30</v>
      </c>
    </row>
    <row r="21" spans="1:5" ht="22.05" customHeight="1">
      <c r="A21" s="6" t="s">
        <v>31</v>
      </c>
      <c r="B21" s="12">
        <v>21.2</v>
      </c>
      <c r="C21" s="8" t="s">
        <v>32</v>
      </c>
    </row>
    <row r="22" spans="1:5" ht="22.05" customHeight="1">
      <c r="A22" s="6" t="s">
        <v>33</v>
      </c>
      <c r="B22" s="13">
        <f>B14/B16</f>
        <v>26.245992890173408</v>
      </c>
      <c r="C22" s="8" t="s">
        <v>34</v>
      </c>
    </row>
    <row r="23" spans="1:5" ht="22.05" customHeight="1">
      <c r="A23" s="6" t="s">
        <v>35</v>
      </c>
      <c r="B23" s="13">
        <f>B10/B20</f>
        <v>33.528225806451609</v>
      </c>
      <c r="C23" s="8" t="s">
        <v>36</v>
      </c>
    </row>
    <row r="24" spans="1:5" ht="22.05" customHeight="1">
      <c r="A24" s="6" t="s">
        <v>37</v>
      </c>
      <c r="B24" s="13">
        <f>B10/B21</f>
        <v>27.455188679245282</v>
      </c>
      <c r="C24" s="8" t="s">
        <v>38</v>
      </c>
    </row>
    <row r="25" spans="1:5" ht="22.05" customHeight="1">
      <c r="A25" s="6" t="s">
        <v>39</v>
      </c>
      <c r="B25" s="14">
        <f>B18/B12</f>
        <v>1.1872768573586136E-2</v>
      </c>
      <c r="C25" s="8" t="s">
        <v>40</v>
      </c>
    </row>
    <row r="26" spans="1:5" ht="22.05" customHeight="1">
      <c r="A26" s="6" t="s">
        <v>41</v>
      </c>
      <c r="B26" s="13">
        <f>B14/B18</f>
        <v>83.671193550368542</v>
      </c>
      <c r="C26" s="8" t="s">
        <v>42</v>
      </c>
    </row>
    <row r="27" spans="1:5" ht="22.05" customHeight="1">
      <c r="A27" s="6" t="s">
        <v>43</v>
      </c>
      <c r="B27" s="15">
        <v>4.2311819714855127E-2</v>
      </c>
      <c r="C27" s="8" t="s">
        <v>44</v>
      </c>
    </row>
    <row r="28" spans="1:5" ht="22.05" customHeight="1">
      <c r="A28" s="6" t="s">
        <v>45</v>
      </c>
      <c r="B28" s="16">
        <f>B18/B17</f>
        <v>0.36904384095751919</v>
      </c>
      <c r="C28" s="8" t="s">
        <v>46</v>
      </c>
    </row>
    <row r="29" spans="1:5" ht="22.05" customHeight="1">
      <c r="A29" s="6" t="s">
        <v>47</v>
      </c>
      <c r="B29" s="17">
        <v>2.405291641611546E-3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168.2943756256401</v>
      </c>
      <c r="C33" s="15">
        <f>B33/$B$10-1</f>
        <v>-0.71085924641243858</v>
      </c>
      <c r="D33" s="15">
        <f>1-$B$10/B33</f>
        <v>-2.4585231849621185</v>
      </c>
      <c r="E33" s="17">
        <v>5.2900000000000003E-2</v>
      </c>
    </row>
    <row r="34" spans="1:5">
      <c r="A34" s="18" t="s">
        <v>55</v>
      </c>
      <c r="B34" s="19">
        <v>500.73626532244037</v>
      </c>
      <c r="C34" s="15">
        <f>B34/$B$10-1</f>
        <v>-0.13970231883439499</v>
      </c>
      <c r="D34" s="15">
        <f>1-$B$10/B34</f>
        <v>-0.16238834753699938</v>
      </c>
      <c r="E34" s="17">
        <v>9.9500000000000005E-2</v>
      </c>
    </row>
    <row r="35" spans="1:5">
      <c r="A35" s="6" t="s">
        <v>56</v>
      </c>
      <c r="B35" s="7">
        <v>1018.603094525874</v>
      </c>
      <c r="C35" s="15">
        <f>B35/$B$10-1</f>
        <v>0.7500267924162427</v>
      </c>
      <c r="D35" s="15">
        <f>1-$B$10/B35</f>
        <v>0.42858017698157003</v>
      </c>
      <c r="E35" s="17">
        <v>0.13900000000000001</v>
      </c>
    </row>
    <row r="36" spans="1:5">
      <c r="A36" s="20" t="s">
        <v>57</v>
      </c>
      <c r="B36" s="21">
        <v>582.04999999999995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30" customHeight="1">
      <c r="A39" s="26" t="s">
        <v>60</v>
      </c>
      <c r="B39" s="27"/>
      <c r="C39" s="27"/>
      <c r="D39" s="27"/>
      <c r="E39" s="27"/>
    </row>
    <row r="40" spans="1:5" ht="30" customHeight="1">
      <c r="A40" s="26" t="s">
        <v>61</v>
      </c>
      <c r="B40" s="27"/>
      <c r="C40" s="27"/>
      <c r="D40" s="27"/>
      <c r="E40" s="27"/>
    </row>
    <row r="41" spans="1:5" ht="30" customHeight="1">
      <c r="A41" s="26" t="s">
        <v>62</v>
      </c>
      <c r="B41" s="27"/>
      <c r="C41" s="27"/>
      <c r="D41" s="27"/>
      <c r="E41" s="27"/>
    </row>
    <row r="42" spans="1:5" ht="30" customHeight="1">
      <c r="A42" s="26" t="s">
        <v>63</v>
      </c>
      <c r="B42" s="27"/>
      <c r="C42" s="27"/>
      <c r="D42" s="27"/>
      <c r="E42" s="27"/>
    </row>
    <row r="43" spans="1:5" ht="30" customHeight="1">
      <c r="A43" s="26" t="s">
        <v>64</v>
      </c>
      <c r="B43" s="27"/>
      <c r="C43" s="27"/>
      <c r="D43" s="27"/>
      <c r="E43" s="27"/>
    </row>
    <row r="44" spans="1:5" ht="30" customHeight="1">
      <c r="A44" s="26" t="s">
        <v>65</v>
      </c>
      <c r="B44" s="27"/>
      <c r="C44" s="27"/>
      <c r="D44" s="27"/>
      <c r="E44" s="27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"/>
  <sheetViews>
    <sheetView showGridLines="0" workbookViewId="0"/>
  </sheetViews>
  <sheetFormatPr defaultRowHeight="14.4"/>
  <cols>
    <col min="1" max="1" width="30" customWidth="1"/>
    <col min="2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8" t="s">
        <v>67</v>
      </c>
      <c r="B2" s="27"/>
      <c r="C2" s="27"/>
      <c r="D2" s="27"/>
      <c r="E2" s="27"/>
      <c r="F2" s="27"/>
      <c r="G2" s="27"/>
      <c r="H2" s="27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73</v>
      </c>
      <c r="H4" s="5" t="s">
        <v>8</v>
      </c>
    </row>
    <row r="5" spans="1:8">
      <c r="A5" s="6" t="s">
        <v>74</v>
      </c>
      <c r="B5" s="11">
        <v>77</v>
      </c>
      <c r="C5" s="11">
        <v>96.4</v>
      </c>
      <c r="D5" s="11">
        <v>107.2</v>
      </c>
      <c r="E5" s="11">
        <v>238.6</v>
      </c>
      <c r="F5" s="11">
        <v>382.4</v>
      </c>
      <c r="G5" s="11">
        <v>417.8</v>
      </c>
      <c r="H5" s="6" t="s">
        <v>75</v>
      </c>
    </row>
    <row r="6" spans="1:8">
      <c r="A6" s="6" t="s">
        <v>76</v>
      </c>
      <c r="B6" s="11">
        <v>9.6</v>
      </c>
      <c r="C6" s="11">
        <v>13.3</v>
      </c>
      <c r="D6" s="11">
        <v>24.9</v>
      </c>
      <c r="E6" s="11">
        <v>60.5</v>
      </c>
      <c r="F6" s="11">
        <v>136</v>
      </c>
      <c r="G6" s="11">
        <v>172.3</v>
      </c>
      <c r="H6" s="6" t="s">
        <v>75</v>
      </c>
    </row>
    <row r="7" spans="1:8">
      <c r="A7" s="6" t="s">
        <v>77</v>
      </c>
      <c r="B7" s="11">
        <v>8.8000000000000007</v>
      </c>
      <c r="C7" s="11">
        <v>12.2</v>
      </c>
      <c r="D7" s="11">
        <v>21.7</v>
      </c>
      <c r="E7" s="11">
        <v>51.7</v>
      </c>
      <c r="F7" s="11">
        <v>108</v>
      </c>
      <c r="G7" s="11">
        <v>136.5</v>
      </c>
      <c r="H7" s="6" t="s">
        <v>75</v>
      </c>
    </row>
    <row r="8" spans="1:8">
      <c r="A8" s="6" t="s">
        <v>78</v>
      </c>
      <c r="B8" s="11">
        <v>8.1</v>
      </c>
      <c r="C8" s="11">
        <v>24.5</v>
      </c>
      <c r="D8" s="11">
        <v>19</v>
      </c>
      <c r="E8" s="11">
        <v>31.6</v>
      </c>
      <c r="F8" s="11">
        <v>109</v>
      </c>
      <c r="G8" s="11">
        <v>18</v>
      </c>
      <c r="H8" s="6" t="s">
        <v>75</v>
      </c>
    </row>
    <row r="9" spans="1:8">
      <c r="A9" s="6" t="s">
        <v>79</v>
      </c>
      <c r="B9" s="11">
        <v>8.4</v>
      </c>
      <c r="C9" s="11">
        <v>7.9</v>
      </c>
      <c r="D9" s="11">
        <v>17</v>
      </c>
      <c r="E9" s="11">
        <v>28.7</v>
      </c>
      <c r="F9" s="11">
        <v>27.6</v>
      </c>
      <c r="G9" s="11">
        <v>48</v>
      </c>
      <c r="H9" s="6" t="s">
        <v>75</v>
      </c>
    </row>
    <row r="10" spans="1:8">
      <c r="A10" s="6" t="s">
        <v>80</v>
      </c>
      <c r="B10" s="11">
        <v>-0.3</v>
      </c>
      <c r="C10" s="11">
        <v>16.600000000000001</v>
      </c>
      <c r="D10" s="11">
        <v>1.9</v>
      </c>
      <c r="E10" s="11">
        <v>3</v>
      </c>
      <c r="F10" s="11">
        <v>81.400000000000006</v>
      </c>
      <c r="G10" s="11">
        <v>-30</v>
      </c>
      <c r="H10" s="6" t="s">
        <v>75</v>
      </c>
    </row>
    <row r="11" spans="1:8">
      <c r="A11" s="6" t="s">
        <v>81</v>
      </c>
      <c r="B11" s="12">
        <v>1.21</v>
      </c>
      <c r="C11" s="12">
        <v>1.54</v>
      </c>
      <c r="D11" s="12">
        <v>2</v>
      </c>
      <c r="E11" s="12">
        <v>4.72</v>
      </c>
      <c r="F11" s="12">
        <v>9.8000000000000007</v>
      </c>
      <c r="G11" s="12">
        <v>12.31</v>
      </c>
      <c r="H11" s="6" t="s">
        <v>75</v>
      </c>
    </row>
    <row r="12" spans="1:8">
      <c r="A12" s="6" t="s">
        <v>82</v>
      </c>
      <c r="B12" s="11">
        <v>10</v>
      </c>
      <c r="C12" s="11">
        <v>10</v>
      </c>
      <c r="D12" s="11">
        <v>10.8</v>
      </c>
      <c r="E12" s="11">
        <v>11</v>
      </c>
      <c r="F12" s="11">
        <v>11</v>
      </c>
      <c r="G12" s="11">
        <v>11.78</v>
      </c>
      <c r="H12" s="6" t="s">
        <v>75</v>
      </c>
    </row>
    <row r="14" spans="1:8">
      <c r="A14" s="6" t="s">
        <v>83</v>
      </c>
      <c r="C14" s="15">
        <f>C5/B5-1</f>
        <v>0.25194805194805192</v>
      </c>
      <c r="D14" s="15">
        <f>D5/C5-1</f>
        <v>0.11203319502074693</v>
      </c>
      <c r="E14" s="15">
        <f>E5/D5-1</f>
        <v>1.2257462686567164</v>
      </c>
      <c r="F14" s="15">
        <f>F5/E5-1</f>
        <v>0.60268231349538981</v>
      </c>
      <c r="G14" s="15">
        <f>G5/F5-1</f>
        <v>9.2573221757322299E-2</v>
      </c>
    </row>
    <row r="15" spans="1:8">
      <c r="A15" s="6" t="s">
        <v>84</v>
      </c>
      <c r="B15" s="15">
        <f t="shared" ref="B15:G15" si="0">B6/B5</f>
        <v>0.12467532467532468</v>
      </c>
      <c r="C15" s="15">
        <f t="shared" si="0"/>
        <v>0.13796680497925312</v>
      </c>
      <c r="D15" s="15">
        <f t="shared" si="0"/>
        <v>0.23227611940298507</v>
      </c>
      <c r="E15" s="15">
        <f t="shared" si="0"/>
        <v>0.25356244761106456</v>
      </c>
      <c r="F15" s="15">
        <f t="shared" si="0"/>
        <v>0.3556485355648536</v>
      </c>
      <c r="G15" s="15">
        <f t="shared" si="0"/>
        <v>0.41239827668741025</v>
      </c>
    </row>
    <row r="16" spans="1:8">
      <c r="A16" s="6" t="s">
        <v>85</v>
      </c>
      <c r="B16" s="15">
        <f t="shared" ref="B16:G16" si="1">B7/B5</f>
        <v>0.1142857142857143</v>
      </c>
      <c r="C16" s="15">
        <f t="shared" si="1"/>
        <v>0.12655601659751037</v>
      </c>
      <c r="D16" s="15">
        <f t="shared" si="1"/>
        <v>0.20242537313432835</v>
      </c>
      <c r="E16" s="15">
        <f t="shared" si="1"/>
        <v>0.21668063704945517</v>
      </c>
      <c r="F16" s="15">
        <f t="shared" si="1"/>
        <v>0.28242677824267787</v>
      </c>
      <c r="G16" s="15">
        <f t="shared" si="1"/>
        <v>0.32671134514121586</v>
      </c>
    </row>
    <row r="17" spans="1:8">
      <c r="A17" s="6" t="s">
        <v>86</v>
      </c>
      <c r="B17" s="15">
        <f t="shared" ref="B17:G17" si="2">B10/B5</f>
        <v>-3.8961038961038961E-3</v>
      </c>
      <c r="C17" s="15">
        <f t="shared" si="2"/>
        <v>0.17219917012448133</v>
      </c>
      <c r="D17" s="15">
        <f t="shared" si="2"/>
        <v>1.7723880597014924E-2</v>
      </c>
      <c r="E17" s="15">
        <f t="shared" si="2"/>
        <v>1.2573344509639565E-2</v>
      </c>
      <c r="F17" s="15">
        <f t="shared" si="2"/>
        <v>0.21286610878661091</v>
      </c>
      <c r="G17" s="15">
        <f t="shared" si="2"/>
        <v>-7.1804691239827662E-2</v>
      </c>
    </row>
    <row r="18" spans="1:8">
      <c r="A18" s="6" t="s">
        <v>43</v>
      </c>
      <c r="B18" s="15">
        <f t="shared" ref="B18:G18" si="3">B9/B5</f>
        <v>0.1090909090909091</v>
      </c>
      <c r="C18" s="15">
        <f t="shared" si="3"/>
        <v>8.1950207468879668E-2</v>
      </c>
      <c r="D18" s="15">
        <f t="shared" si="3"/>
        <v>0.15858208955223879</v>
      </c>
      <c r="E18" s="15">
        <f t="shared" si="3"/>
        <v>0.12028499580888516</v>
      </c>
      <c r="F18" s="15">
        <f t="shared" si="3"/>
        <v>7.217573221757323E-2</v>
      </c>
      <c r="G18" s="15">
        <f t="shared" si="3"/>
        <v>0.11488750598372427</v>
      </c>
    </row>
    <row r="19" spans="1:8">
      <c r="A19" s="6" t="s">
        <v>45</v>
      </c>
      <c r="B19" s="15">
        <f t="shared" ref="B19:G19" si="4">B10/(B6*(1-0.15))</f>
        <v>-3.6764705882352942E-2</v>
      </c>
      <c r="C19" s="15">
        <f t="shared" si="4"/>
        <v>1.4683768244139763</v>
      </c>
      <c r="D19" s="15">
        <f t="shared" si="4"/>
        <v>8.9770848098275458E-2</v>
      </c>
      <c r="E19" s="15">
        <f t="shared" si="4"/>
        <v>5.8337384540593097E-2</v>
      </c>
      <c r="F19" s="15">
        <f t="shared" si="4"/>
        <v>0.70415224913494823</v>
      </c>
      <c r="G19" s="15">
        <f t="shared" si="4"/>
        <v>-0.20484107746406743</v>
      </c>
    </row>
    <row r="21" spans="1:8" ht="16.2">
      <c r="A21" s="3" t="s">
        <v>87</v>
      </c>
      <c r="B21" s="4"/>
      <c r="C21" s="4"/>
      <c r="D21" s="4"/>
      <c r="E21" s="4"/>
      <c r="F21" s="4"/>
      <c r="G21" s="4"/>
      <c r="H21" s="4"/>
    </row>
    <row r="22" spans="1:8" ht="30" customHeight="1">
      <c r="A22" s="26" t="s">
        <v>88</v>
      </c>
      <c r="B22" s="27"/>
      <c r="C22" s="27"/>
      <c r="D22" s="27"/>
      <c r="E22" s="27"/>
      <c r="F22" s="27"/>
      <c r="G22" s="27"/>
      <c r="H22" s="27"/>
    </row>
    <row r="23" spans="1:8" ht="30" customHeight="1">
      <c r="A23" s="26" t="s">
        <v>89</v>
      </c>
      <c r="B23" s="27"/>
      <c r="C23" s="27"/>
      <c r="D23" s="27"/>
      <c r="E23" s="27"/>
      <c r="F23" s="27"/>
      <c r="G23" s="27"/>
      <c r="H23" s="27"/>
    </row>
    <row r="24" spans="1:8" ht="30" customHeight="1">
      <c r="A24" s="26" t="s">
        <v>90</v>
      </c>
      <c r="B24" s="27"/>
      <c r="C24" s="27"/>
      <c r="D24" s="27"/>
      <c r="E24" s="27"/>
      <c r="F24" s="27"/>
      <c r="G24" s="27"/>
      <c r="H24" s="27"/>
    </row>
    <row r="25" spans="1:8" ht="30" customHeight="1">
      <c r="A25" s="26" t="s">
        <v>91</v>
      </c>
      <c r="B25" s="27"/>
      <c r="C25" s="27"/>
      <c r="D25" s="27"/>
      <c r="E25" s="27"/>
      <c r="F25" s="27"/>
      <c r="G25" s="27"/>
      <c r="H25" s="27"/>
    </row>
    <row r="26" spans="1:8" ht="30" customHeight="1">
      <c r="A26" s="26" t="s">
        <v>92</v>
      </c>
      <c r="B26" s="27"/>
      <c r="C26" s="27"/>
      <c r="D26" s="27"/>
      <c r="E26" s="27"/>
      <c r="F26" s="27"/>
      <c r="G26" s="27"/>
      <c r="H26" s="27"/>
    </row>
    <row r="27" spans="1:8" ht="30" customHeight="1">
      <c r="A27" s="26" t="s">
        <v>93</v>
      </c>
      <c r="B27" s="27"/>
      <c r="C27" s="27"/>
      <c r="D27" s="27"/>
      <c r="E27" s="27"/>
      <c r="F27" s="27"/>
      <c r="G27" s="27"/>
      <c r="H27" s="27"/>
    </row>
  </sheetData>
  <mergeCells count="7">
    <mergeCell ref="A27:H27"/>
    <mergeCell ref="A22:H22"/>
    <mergeCell ref="A26:H26"/>
    <mergeCell ref="A25:H25"/>
    <mergeCell ref="A24:H24"/>
    <mergeCell ref="A2:H2"/>
    <mergeCell ref="A23:H23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8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4" customWidth="1"/>
    <col min="6" max="6" width="20" customWidth="1"/>
  </cols>
  <sheetData>
    <row r="1" spans="1:6" ht="23.4">
      <c r="A1" s="1" t="s">
        <v>94</v>
      </c>
    </row>
    <row r="2" spans="1:6" ht="15.6">
      <c r="A2" s="28" t="s">
        <v>95</v>
      </c>
      <c r="B2" s="27"/>
      <c r="C2" s="27"/>
      <c r="D2" s="27"/>
      <c r="E2" s="27"/>
      <c r="F2" s="27"/>
    </row>
    <row r="4" spans="1:6" ht="16.2">
      <c r="A4" s="3" t="s">
        <v>96</v>
      </c>
      <c r="B4" s="4"/>
      <c r="C4" s="4"/>
      <c r="D4" s="4"/>
      <c r="E4" s="4"/>
      <c r="F4" s="4"/>
    </row>
    <row r="5" spans="1:6" ht="15.6">
      <c r="A5" s="2" t="s">
        <v>97</v>
      </c>
    </row>
    <row r="6" spans="1:6">
      <c r="A6" s="5" t="s">
        <v>98</v>
      </c>
      <c r="B6" s="5" t="s">
        <v>7</v>
      </c>
      <c r="C6" s="5" t="s">
        <v>99</v>
      </c>
      <c r="D6" s="5" t="s">
        <v>8</v>
      </c>
    </row>
    <row r="7" spans="1:6">
      <c r="A7" s="6" t="s">
        <v>100</v>
      </c>
      <c r="B7" s="11">
        <v>417.8</v>
      </c>
      <c r="C7" s="15">
        <v>1.825</v>
      </c>
      <c r="D7" s="6" t="s">
        <v>101</v>
      </c>
    </row>
    <row r="8" spans="1:6">
      <c r="A8" s="6" t="s">
        <v>102</v>
      </c>
      <c r="B8" s="11">
        <v>136.5</v>
      </c>
      <c r="C8" s="15">
        <v>2.4169999999999998</v>
      </c>
      <c r="D8" s="6" t="s">
        <v>103</v>
      </c>
    </row>
    <row r="9" spans="1:6">
      <c r="A9" s="6" t="s">
        <v>104</v>
      </c>
      <c r="B9" s="11">
        <v>0.46250000000000002</v>
      </c>
      <c r="C9" s="15">
        <v>-0.02</v>
      </c>
      <c r="D9" s="6" t="s">
        <v>105</v>
      </c>
    </row>
    <row r="10" spans="1:6">
      <c r="A10" s="6" t="s">
        <v>106</v>
      </c>
      <c r="B10" s="11">
        <v>396.15</v>
      </c>
      <c r="C10" s="15">
        <v>2.0990000000000002</v>
      </c>
      <c r="D10" s="6" t="s">
        <v>107</v>
      </c>
    </row>
    <row r="11" spans="1:6">
      <c r="A11" s="6" t="s">
        <v>108</v>
      </c>
      <c r="B11" s="11">
        <v>0.81899999999999995</v>
      </c>
      <c r="C11" s="15"/>
      <c r="D11" s="6" t="s">
        <v>109</v>
      </c>
    </row>
    <row r="12" spans="1:6">
      <c r="A12" s="6" t="s">
        <v>78</v>
      </c>
      <c r="B12" s="11">
        <v>18</v>
      </c>
      <c r="C12" s="15"/>
      <c r="D12" s="6" t="s">
        <v>110</v>
      </c>
    </row>
    <row r="13" spans="1:6">
      <c r="A13" s="6" t="s">
        <v>79</v>
      </c>
      <c r="B13" s="11">
        <v>48</v>
      </c>
      <c r="C13" s="15"/>
      <c r="D13" s="6" t="s">
        <v>111</v>
      </c>
    </row>
    <row r="16" spans="1:6" ht="16.2">
      <c r="A16" s="3" t="s">
        <v>112</v>
      </c>
      <c r="B16" s="4"/>
      <c r="C16" s="4"/>
      <c r="D16" s="4"/>
      <c r="E16" s="4"/>
      <c r="F16" s="4"/>
    </row>
    <row r="17" spans="1:6" ht="31.95" customHeight="1">
      <c r="A17" s="26" t="s">
        <v>88</v>
      </c>
      <c r="B17" s="27"/>
      <c r="C17" s="27"/>
      <c r="D17" s="27"/>
      <c r="E17" s="27"/>
      <c r="F17" s="27"/>
    </row>
    <row r="18" spans="1:6" ht="31.95" customHeight="1">
      <c r="A18" s="26" t="s">
        <v>93</v>
      </c>
      <c r="B18" s="27"/>
      <c r="C18" s="27"/>
      <c r="D18" s="27"/>
      <c r="E18" s="27"/>
      <c r="F18" s="27"/>
    </row>
  </sheetData>
  <mergeCells count="3">
    <mergeCell ref="A2:F2"/>
    <mergeCell ref="A17:F17"/>
    <mergeCell ref="A18:F18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113</v>
      </c>
    </row>
    <row r="2" spans="1:3" ht="15.6">
      <c r="A2" s="28" t="s">
        <v>114</v>
      </c>
      <c r="B2" s="27"/>
      <c r="C2" s="27"/>
    </row>
    <row r="4" spans="1:3">
      <c r="A4" s="5" t="s">
        <v>6</v>
      </c>
      <c r="B4" s="5" t="s">
        <v>7</v>
      </c>
      <c r="C4" s="5" t="s">
        <v>115</v>
      </c>
    </row>
    <row r="5" spans="1:3">
      <c r="A5" s="6" t="s">
        <v>116</v>
      </c>
      <c r="B5" s="11">
        <v>259.5</v>
      </c>
      <c r="C5" s="8" t="s">
        <v>44</v>
      </c>
    </row>
    <row r="6" spans="1:3">
      <c r="A6" s="6" t="s">
        <v>117</v>
      </c>
      <c r="B6" s="15">
        <v>0.15</v>
      </c>
      <c r="C6" s="8" t="s">
        <v>118</v>
      </c>
    </row>
    <row r="7" spans="1:3">
      <c r="A7" s="6" t="s">
        <v>119</v>
      </c>
      <c r="B7" s="23">
        <f>B5*(1-B6)</f>
        <v>220.57499999999999</v>
      </c>
      <c r="C7" s="8" t="s">
        <v>120</v>
      </c>
    </row>
    <row r="8" spans="1:3">
      <c r="A8" s="6" t="s">
        <v>121</v>
      </c>
      <c r="B8" s="11">
        <v>9.3000000000000007</v>
      </c>
      <c r="C8" s="8" t="s">
        <v>44</v>
      </c>
    </row>
    <row r="9" spans="1:3">
      <c r="A9" s="6" t="s">
        <v>122</v>
      </c>
      <c r="B9" s="11">
        <v>5</v>
      </c>
      <c r="C9" s="8" t="s">
        <v>123</v>
      </c>
    </row>
    <row r="10" spans="1:3">
      <c r="A10" s="6" t="s">
        <v>124</v>
      </c>
      <c r="B10" s="11">
        <v>27.6</v>
      </c>
      <c r="C10" s="8" t="s">
        <v>44</v>
      </c>
    </row>
    <row r="11" spans="1:3">
      <c r="A11" s="6" t="s">
        <v>125</v>
      </c>
      <c r="B11" s="11">
        <v>-98.3</v>
      </c>
      <c r="C11" s="8" t="s">
        <v>126</v>
      </c>
    </row>
    <row r="12" spans="1:3">
      <c r="A12" s="18" t="s">
        <v>127</v>
      </c>
      <c r="B12" s="23">
        <f>B7+B8+B9-B10+B11</f>
        <v>108.97500000000001</v>
      </c>
      <c r="C12" s="8" t="s">
        <v>128</v>
      </c>
    </row>
    <row r="13" spans="1:3">
      <c r="A13" s="6" t="s">
        <v>129</v>
      </c>
      <c r="B13" s="11">
        <v>109</v>
      </c>
      <c r="C13" s="8" t="s">
        <v>44</v>
      </c>
    </row>
    <row r="14" spans="1:3">
      <c r="A14" s="6" t="s">
        <v>124</v>
      </c>
      <c r="B14" s="11">
        <v>27.6</v>
      </c>
      <c r="C14" s="8" t="s">
        <v>44</v>
      </c>
    </row>
    <row r="15" spans="1:3">
      <c r="A15" s="18" t="s">
        <v>26</v>
      </c>
      <c r="B15" s="23">
        <f>B13-B14</f>
        <v>81.400000000000006</v>
      </c>
      <c r="C15" s="8" t="s">
        <v>130</v>
      </c>
    </row>
    <row r="16" spans="1:3">
      <c r="A16" s="6" t="s">
        <v>45</v>
      </c>
      <c r="B16" s="16">
        <f>B12/B7</f>
        <v>0.49404964297857878</v>
      </c>
      <c r="C16" s="8" t="s">
        <v>131</v>
      </c>
    </row>
    <row r="17" spans="1:3">
      <c r="A17" s="6" t="s">
        <v>43</v>
      </c>
      <c r="B17" s="16">
        <f>B10/652.3</f>
        <v>4.2311819714855134E-2</v>
      </c>
      <c r="C17" s="8" t="s">
        <v>44</v>
      </c>
    </row>
    <row r="18" spans="1:3">
      <c r="A18" s="6" t="s">
        <v>132</v>
      </c>
      <c r="B18" s="13">
        <f>B10/B8</f>
        <v>2.967741935483871</v>
      </c>
      <c r="C18" s="8" t="s">
        <v>133</v>
      </c>
    </row>
    <row r="20" spans="1:3" ht="16.2">
      <c r="A20" s="3" t="s">
        <v>112</v>
      </c>
      <c r="B20" s="4"/>
      <c r="C20" s="4"/>
    </row>
    <row r="21" spans="1:3" ht="34.049999999999997" customHeight="1">
      <c r="A21" s="26" t="s">
        <v>134</v>
      </c>
      <c r="B21" s="27"/>
      <c r="C21" s="27"/>
    </row>
    <row r="22" spans="1:3" ht="34.049999999999997" customHeight="1">
      <c r="A22" s="26" t="s">
        <v>135</v>
      </c>
      <c r="B22" s="27"/>
      <c r="C22" s="27"/>
    </row>
    <row r="23" spans="1:3" ht="34.049999999999997" customHeight="1">
      <c r="A23" s="26" t="s">
        <v>136</v>
      </c>
      <c r="B23" s="27"/>
      <c r="C23" s="27"/>
    </row>
    <row r="24" spans="1:3" ht="34.049999999999997" customHeight="1">
      <c r="A24" s="26" t="s">
        <v>137</v>
      </c>
      <c r="B24" s="27"/>
      <c r="C24" s="27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9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138</v>
      </c>
    </row>
    <row r="2" spans="1:14" ht="15.6">
      <c r="A2" s="28" t="s">
        <v>139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.6">
      <c r="A3" s="28" t="s">
        <v>140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6.2">
      <c r="A4" s="3" t="s">
        <v>141</v>
      </c>
      <c r="B4" s="4"/>
      <c r="C4" s="4"/>
      <c r="D4" s="4"/>
      <c r="E4" s="4"/>
    </row>
    <row r="5" spans="1:14">
      <c r="A5" s="6" t="s">
        <v>142</v>
      </c>
      <c r="B5" s="11">
        <v>898</v>
      </c>
    </row>
    <row r="6" spans="1:14">
      <c r="A6" s="6" t="s">
        <v>143</v>
      </c>
      <c r="B6" s="15">
        <v>0.15</v>
      </c>
    </row>
    <row r="7" spans="1:14">
      <c r="A7" s="6" t="s">
        <v>144</v>
      </c>
      <c r="B7" s="15">
        <v>0.12</v>
      </c>
    </row>
    <row r="8" spans="1:14">
      <c r="A8" s="6" t="s">
        <v>145</v>
      </c>
      <c r="B8" s="11">
        <v>-45.19</v>
      </c>
    </row>
    <row r="9" spans="1:14">
      <c r="A9" s="6" t="s">
        <v>146</v>
      </c>
      <c r="B9" s="11">
        <v>49.7</v>
      </c>
    </row>
    <row r="10" spans="1:14">
      <c r="A10" s="6" t="s">
        <v>147</v>
      </c>
      <c r="B10" s="9">
        <v>11.7791</v>
      </c>
    </row>
    <row r="11" spans="1:14" ht="15">
      <c r="A11" s="30" t="s">
        <v>148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3" spans="1:14" ht="16.2">
      <c r="A13" s="3" t="s">
        <v>149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150</v>
      </c>
      <c r="B14" s="15">
        <v>0.125</v>
      </c>
      <c r="C14" s="6" t="s">
        <v>151</v>
      </c>
      <c r="D14" s="15">
        <v>2.5000000000000001E-2</v>
      </c>
    </row>
    <row r="16" spans="1:14">
      <c r="A16" s="5" t="s">
        <v>152</v>
      </c>
      <c r="B16" s="5" t="s">
        <v>83</v>
      </c>
      <c r="C16" s="5" t="s">
        <v>74</v>
      </c>
      <c r="D16" s="5" t="s">
        <v>153</v>
      </c>
      <c r="E16" s="5" t="s">
        <v>154</v>
      </c>
      <c r="F16" s="5" t="s">
        <v>119</v>
      </c>
      <c r="G16" s="5" t="s">
        <v>155</v>
      </c>
      <c r="H16" s="5" t="s">
        <v>156</v>
      </c>
      <c r="I16" s="5" t="s">
        <v>157</v>
      </c>
      <c r="J16" s="5" t="s">
        <v>158</v>
      </c>
      <c r="K16" s="5" t="s">
        <v>159</v>
      </c>
      <c r="L16" s="5" t="s">
        <v>160</v>
      </c>
      <c r="M16" s="5" t="s">
        <v>161</v>
      </c>
      <c r="N16" s="5" t="s">
        <v>162</v>
      </c>
    </row>
    <row r="17" spans="1:14">
      <c r="A17" s="24">
        <v>1</v>
      </c>
      <c r="B17" s="15">
        <v>0.03</v>
      </c>
      <c r="C17" s="11">
        <f>$B$5*(1+B17)</f>
        <v>924.94</v>
      </c>
      <c r="D17" s="15">
        <v>0.28999999999999998</v>
      </c>
      <c r="E17" s="11">
        <f t="shared" ref="E17:E26" si="0">C17*D17</f>
        <v>268.23259999999999</v>
      </c>
      <c r="F17" s="11">
        <f t="shared" ref="F17:F26" si="1">E17*(1-$B$6)</f>
        <v>227.99770999999998</v>
      </c>
      <c r="G17" s="15">
        <v>2.5000000000000001E-2</v>
      </c>
      <c r="H17" s="11">
        <f t="shared" ref="H17:H26" si="2">C17*G17</f>
        <v>23.123500000000003</v>
      </c>
      <c r="I17" s="15">
        <v>0.05</v>
      </c>
      <c r="J17" s="11">
        <f t="shared" ref="J17:J26" si="3">C17*I17</f>
        <v>46.247000000000007</v>
      </c>
      <c r="K17" s="11">
        <f>(C17-$B$5)*$B$7</f>
        <v>3.2328000000000063</v>
      </c>
      <c r="L17" s="11">
        <f t="shared" ref="L17:L26" si="4">F17+H17-J17-K17</f>
        <v>201.64140999999998</v>
      </c>
      <c r="M17" s="9">
        <f>1/(1+$B$14)^1</f>
        <v>0.88888888888888884</v>
      </c>
      <c r="N17" s="11">
        <f t="shared" ref="N17:N26" si="5">L17*M17</f>
        <v>179.23680888888887</v>
      </c>
    </row>
    <row r="18" spans="1:14">
      <c r="A18" s="24">
        <v>2</v>
      </c>
      <c r="B18" s="15">
        <v>0</v>
      </c>
      <c r="C18" s="11">
        <f t="shared" ref="C18:C26" si="6">C17*(1+B18)</f>
        <v>924.94</v>
      </c>
      <c r="D18" s="15">
        <v>0.28999999999999998</v>
      </c>
      <c r="E18" s="11">
        <f t="shared" si="0"/>
        <v>268.23259999999999</v>
      </c>
      <c r="F18" s="11">
        <f t="shared" si="1"/>
        <v>227.99770999999998</v>
      </c>
      <c r="G18" s="15">
        <v>2.5000000000000001E-2</v>
      </c>
      <c r="H18" s="11">
        <f t="shared" si="2"/>
        <v>23.123500000000003</v>
      </c>
      <c r="I18" s="15">
        <v>0.05</v>
      </c>
      <c r="J18" s="11">
        <f t="shared" si="3"/>
        <v>46.247000000000007</v>
      </c>
      <c r="K18" s="11">
        <f t="shared" ref="K18:K26" si="7">(C18-C17)*$B$7</f>
        <v>0</v>
      </c>
      <c r="L18" s="11">
        <f t="shared" si="4"/>
        <v>204.87420999999998</v>
      </c>
      <c r="M18" s="9">
        <f>1/(1+$B$14)^2</f>
        <v>0.79012345679012341</v>
      </c>
      <c r="N18" s="11">
        <f t="shared" si="5"/>
        <v>161.87591901234566</v>
      </c>
    </row>
    <row r="19" spans="1:14">
      <c r="A19" s="24">
        <v>3</v>
      </c>
      <c r="B19" s="15">
        <v>-0.05</v>
      </c>
      <c r="C19" s="11">
        <f t="shared" si="6"/>
        <v>878.69299999999998</v>
      </c>
      <c r="D19" s="15">
        <v>0.28999999999999998</v>
      </c>
      <c r="E19" s="11">
        <f t="shared" si="0"/>
        <v>254.82096999999999</v>
      </c>
      <c r="F19" s="11">
        <f t="shared" si="1"/>
        <v>216.59782449999997</v>
      </c>
      <c r="G19" s="15">
        <v>2.5000000000000001E-2</v>
      </c>
      <c r="H19" s="11">
        <f t="shared" si="2"/>
        <v>21.967325000000002</v>
      </c>
      <c r="I19" s="15">
        <v>0.05</v>
      </c>
      <c r="J19" s="11">
        <f t="shared" si="3"/>
        <v>43.934650000000005</v>
      </c>
      <c r="K19" s="11">
        <f t="shared" si="7"/>
        <v>-5.5496400000000081</v>
      </c>
      <c r="L19" s="11">
        <f t="shared" si="4"/>
        <v>200.18013949999997</v>
      </c>
      <c r="M19" s="9">
        <f>1/(1+$B$14)^3</f>
        <v>0.7023319615912208</v>
      </c>
      <c r="N19" s="11">
        <f t="shared" si="5"/>
        <v>140.59291004663919</v>
      </c>
    </row>
    <row r="20" spans="1:14">
      <c r="A20" s="24">
        <v>4</v>
      </c>
      <c r="B20" s="15">
        <v>0</v>
      </c>
      <c r="C20" s="11">
        <f t="shared" si="6"/>
        <v>878.69299999999998</v>
      </c>
      <c r="D20" s="15">
        <v>0.28999999999999998</v>
      </c>
      <c r="E20" s="11">
        <f t="shared" si="0"/>
        <v>254.82096999999999</v>
      </c>
      <c r="F20" s="11">
        <f t="shared" si="1"/>
        <v>216.59782449999997</v>
      </c>
      <c r="G20" s="15">
        <v>2.5000000000000001E-2</v>
      </c>
      <c r="H20" s="11">
        <f t="shared" si="2"/>
        <v>21.967325000000002</v>
      </c>
      <c r="I20" s="15">
        <v>0.05</v>
      </c>
      <c r="J20" s="11">
        <f t="shared" si="3"/>
        <v>43.934650000000005</v>
      </c>
      <c r="K20" s="11">
        <f t="shared" si="7"/>
        <v>0</v>
      </c>
      <c r="L20" s="11">
        <f t="shared" si="4"/>
        <v>194.63049949999996</v>
      </c>
      <c r="M20" s="9">
        <f>1/(1+$B$14)^4</f>
        <v>0.62429507696997411</v>
      </c>
      <c r="N20" s="11">
        <f t="shared" si="5"/>
        <v>121.50686266605697</v>
      </c>
    </row>
    <row r="21" spans="1:14">
      <c r="A21" s="24">
        <v>5</v>
      </c>
      <c r="B21" s="15">
        <v>0.03</v>
      </c>
      <c r="C21" s="11">
        <f t="shared" si="6"/>
        <v>905.05379000000005</v>
      </c>
      <c r="D21" s="15">
        <v>0.28999999999999998</v>
      </c>
      <c r="E21" s="11">
        <f t="shared" si="0"/>
        <v>262.46559910000002</v>
      </c>
      <c r="F21" s="11">
        <f t="shared" si="1"/>
        <v>223.095759235</v>
      </c>
      <c r="G21" s="15">
        <v>2.5000000000000001E-2</v>
      </c>
      <c r="H21" s="11">
        <f t="shared" si="2"/>
        <v>22.626344750000001</v>
      </c>
      <c r="I21" s="15">
        <v>0.05</v>
      </c>
      <c r="J21" s="11">
        <f t="shared" si="3"/>
        <v>45.252689500000002</v>
      </c>
      <c r="K21" s="11">
        <f t="shared" si="7"/>
        <v>3.1632948000000076</v>
      </c>
      <c r="L21" s="11">
        <f t="shared" si="4"/>
        <v>197.30611968499997</v>
      </c>
      <c r="M21" s="9">
        <f>1/(1+$B$14)^5</f>
        <v>0.5549289573066436</v>
      </c>
      <c r="N21" s="11">
        <f t="shared" si="5"/>
        <v>109.49087926701687</v>
      </c>
    </row>
    <row r="22" spans="1:14">
      <c r="A22" s="24">
        <v>6</v>
      </c>
      <c r="B22" s="15">
        <v>0.04</v>
      </c>
      <c r="C22" s="11">
        <f t="shared" si="6"/>
        <v>941.25594160000003</v>
      </c>
      <c r="D22" s="15">
        <v>0.28999999999999998</v>
      </c>
      <c r="E22" s="11">
        <f t="shared" si="0"/>
        <v>272.96422306400001</v>
      </c>
      <c r="F22" s="11">
        <f t="shared" si="1"/>
        <v>232.01958960440001</v>
      </c>
      <c r="G22" s="15">
        <v>2.5000000000000001E-2</v>
      </c>
      <c r="H22" s="11">
        <f t="shared" si="2"/>
        <v>23.531398540000001</v>
      </c>
      <c r="I22" s="15">
        <v>0.05</v>
      </c>
      <c r="J22" s="11">
        <f t="shared" si="3"/>
        <v>47.062797080000003</v>
      </c>
      <c r="K22" s="11">
        <f t="shared" si="7"/>
        <v>4.3442581919999972</v>
      </c>
      <c r="L22" s="11">
        <f t="shared" si="4"/>
        <v>204.14393287240003</v>
      </c>
      <c r="M22" s="9">
        <f>1/(1+$B$14)^6</f>
        <v>0.49327018427257213</v>
      </c>
      <c r="N22" s="11">
        <f t="shared" si="5"/>
        <v>100.69811538609636</v>
      </c>
    </row>
    <row r="23" spans="1:14">
      <c r="A23" s="24">
        <v>7</v>
      </c>
      <c r="B23" s="15">
        <v>0.04</v>
      </c>
      <c r="C23" s="11">
        <f t="shared" si="6"/>
        <v>978.90617926400012</v>
      </c>
      <c r="D23" s="15">
        <v>0.28999999999999998</v>
      </c>
      <c r="E23" s="11">
        <f t="shared" si="0"/>
        <v>283.88279198655999</v>
      </c>
      <c r="F23" s="11">
        <f t="shared" si="1"/>
        <v>241.30037318857597</v>
      </c>
      <c r="G23" s="15">
        <v>2.5000000000000001E-2</v>
      </c>
      <c r="H23" s="11">
        <f t="shared" si="2"/>
        <v>24.472654481600003</v>
      </c>
      <c r="I23" s="15">
        <v>0.05</v>
      </c>
      <c r="J23" s="11">
        <f t="shared" si="3"/>
        <v>48.945308963200006</v>
      </c>
      <c r="K23" s="11">
        <f t="shared" si="7"/>
        <v>4.5180285196800103</v>
      </c>
      <c r="L23" s="11">
        <f t="shared" si="4"/>
        <v>212.30969018729596</v>
      </c>
      <c r="M23" s="9">
        <f>1/(1+$B$14)^7</f>
        <v>0.4384623860200641</v>
      </c>
      <c r="N23" s="11">
        <f t="shared" si="5"/>
        <v>93.08981333470237</v>
      </c>
    </row>
    <row r="24" spans="1:14">
      <c r="A24" s="24">
        <v>8</v>
      </c>
      <c r="B24" s="15">
        <v>0.04</v>
      </c>
      <c r="C24" s="11">
        <f t="shared" si="6"/>
        <v>1018.0624264345602</v>
      </c>
      <c r="D24" s="15">
        <v>0.28999999999999998</v>
      </c>
      <c r="E24" s="11">
        <f t="shared" si="0"/>
        <v>295.23810366602243</v>
      </c>
      <c r="F24" s="11">
        <f t="shared" si="1"/>
        <v>250.95238811611907</v>
      </c>
      <c r="G24" s="15">
        <v>2.5000000000000001E-2</v>
      </c>
      <c r="H24" s="11">
        <f t="shared" si="2"/>
        <v>25.451560660864004</v>
      </c>
      <c r="I24" s="15">
        <v>0.05</v>
      </c>
      <c r="J24" s="11">
        <f t="shared" si="3"/>
        <v>50.903121321728008</v>
      </c>
      <c r="K24" s="11">
        <f t="shared" si="7"/>
        <v>4.6987496604672057</v>
      </c>
      <c r="L24" s="11">
        <f t="shared" si="4"/>
        <v>220.80207779478783</v>
      </c>
      <c r="M24" s="9">
        <f>1/(1+$B$14)^8</f>
        <v>0.38974434312894585</v>
      </c>
      <c r="N24" s="11">
        <f t="shared" si="5"/>
        <v>86.05636077163598</v>
      </c>
    </row>
    <row r="25" spans="1:14">
      <c r="A25" s="24">
        <v>9</v>
      </c>
      <c r="B25" s="15">
        <v>0.03</v>
      </c>
      <c r="C25" s="11">
        <f t="shared" si="6"/>
        <v>1048.604299227597</v>
      </c>
      <c r="D25" s="15">
        <v>0.28999999999999998</v>
      </c>
      <c r="E25" s="11">
        <f t="shared" si="0"/>
        <v>304.09524677600314</v>
      </c>
      <c r="F25" s="11">
        <f t="shared" si="1"/>
        <v>258.48095975960268</v>
      </c>
      <c r="G25" s="15">
        <v>2.5000000000000001E-2</v>
      </c>
      <c r="H25" s="11">
        <f t="shared" si="2"/>
        <v>26.215107480689927</v>
      </c>
      <c r="I25" s="15">
        <v>0.05</v>
      </c>
      <c r="J25" s="11">
        <f t="shared" si="3"/>
        <v>52.430214961379853</v>
      </c>
      <c r="K25" s="11">
        <f t="shared" si="7"/>
        <v>3.6650247351644247</v>
      </c>
      <c r="L25" s="11">
        <f t="shared" si="4"/>
        <v>228.60082754374835</v>
      </c>
      <c r="M25" s="9">
        <f>1/(1+$B$14)^9</f>
        <v>0.34643941611461854</v>
      </c>
      <c r="N25" s="11">
        <f t="shared" si="5"/>
        <v>79.196337217574779</v>
      </c>
    </row>
    <row r="26" spans="1:14">
      <c r="A26" s="24">
        <v>10</v>
      </c>
      <c r="B26" s="15">
        <v>0.03</v>
      </c>
      <c r="C26" s="11">
        <f t="shared" si="6"/>
        <v>1080.062428204425</v>
      </c>
      <c r="D26" s="15">
        <v>0.28999999999999998</v>
      </c>
      <c r="E26" s="11">
        <f t="shared" si="0"/>
        <v>313.21810417928322</v>
      </c>
      <c r="F26" s="11">
        <f t="shared" si="1"/>
        <v>266.2353885523907</v>
      </c>
      <c r="G26" s="15">
        <v>2.5000000000000001E-2</v>
      </c>
      <c r="H26" s="11">
        <f t="shared" si="2"/>
        <v>27.001560705110627</v>
      </c>
      <c r="I26" s="15">
        <v>0.05</v>
      </c>
      <c r="J26" s="11">
        <f t="shared" si="3"/>
        <v>54.003121410221254</v>
      </c>
      <c r="K26" s="11">
        <f t="shared" si="7"/>
        <v>3.7749754772193591</v>
      </c>
      <c r="L26" s="11">
        <f t="shared" si="4"/>
        <v>235.45885237006075</v>
      </c>
      <c r="M26" s="9">
        <f>1/(1+$B$14)^10</f>
        <v>0.30794614765743872</v>
      </c>
      <c r="N26" s="11">
        <f t="shared" si="5"/>
        <v>72.50864651920179</v>
      </c>
    </row>
    <row r="27" spans="1:14">
      <c r="A27" s="18" t="s">
        <v>163</v>
      </c>
      <c r="B27" s="11">
        <f>L26*(1+$D$14)/($B$14-$D$14)</f>
        <v>2413.4532367931224</v>
      </c>
    </row>
    <row r="28" spans="1:14">
      <c r="A28" s="6" t="s">
        <v>164</v>
      </c>
      <c r="B28" s="11">
        <f>B27/(1+$B$14)^10</f>
        <v>743.21362682181825</v>
      </c>
    </row>
    <row r="29" spans="1:14">
      <c r="A29" s="18" t="s">
        <v>165</v>
      </c>
      <c r="B29" s="11">
        <f>SUM(N17:N26)+B28</f>
        <v>1887.4662799319772</v>
      </c>
    </row>
    <row r="30" spans="1:14">
      <c r="A30" s="6" t="s">
        <v>166</v>
      </c>
      <c r="B30" s="11">
        <f>$B$8</f>
        <v>-45.19</v>
      </c>
    </row>
    <row r="31" spans="1:14">
      <c r="A31" s="6" t="s">
        <v>167</v>
      </c>
      <c r="B31" s="11">
        <f>$B$9</f>
        <v>49.7</v>
      </c>
    </row>
    <row r="32" spans="1:14">
      <c r="A32" s="18" t="s">
        <v>168</v>
      </c>
      <c r="B32" s="11">
        <f>B29-B30+B31</f>
        <v>1982.3562799319773</v>
      </c>
    </row>
    <row r="33" spans="1:14">
      <c r="A33" s="18" t="s">
        <v>169</v>
      </c>
      <c r="B33" s="7">
        <f>B32/$B$10</f>
        <v>168.2943756256401</v>
      </c>
      <c r="C33" s="6" t="s">
        <v>170</v>
      </c>
    </row>
    <row r="36" spans="1:14" ht="16.2">
      <c r="A36" s="3" t="s">
        <v>171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150</v>
      </c>
      <c r="B37" s="15">
        <v>0.11</v>
      </c>
      <c r="C37" s="6" t="s">
        <v>151</v>
      </c>
      <c r="D37" s="15">
        <v>0.03</v>
      </c>
    </row>
    <row r="39" spans="1:14">
      <c r="A39" s="5" t="s">
        <v>152</v>
      </c>
      <c r="B39" s="5" t="s">
        <v>83</v>
      </c>
      <c r="C39" s="5" t="s">
        <v>74</v>
      </c>
      <c r="D39" s="5" t="s">
        <v>153</v>
      </c>
      <c r="E39" s="5" t="s">
        <v>154</v>
      </c>
      <c r="F39" s="5" t="s">
        <v>119</v>
      </c>
      <c r="G39" s="5" t="s">
        <v>155</v>
      </c>
      <c r="H39" s="5" t="s">
        <v>156</v>
      </c>
      <c r="I39" s="5" t="s">
        <v>157</v>
      </c>
      <c r="J39" s="5" t="s">
        <v>158</v>
      </c>
      <c r="K39" s="5" t="s">
        <v>159</v>
      </c>
      <c r="L39" s="5" t="s">
        <v>160</v>
      </c>
      <c r="M39" s="5" t="s">
        <v>161</v>
      </c>
      <c r="N39" s="5" t="s">
        <v>162</v>
      </c>
    </row>
    <row r="40" spans="1:14">
      <c r="A40" s="24">
        <v>1</v>
      </c>
      <c r="B40" s="15">
        <v>0.22</v>
      </c>
      <c r="C40" s="11">
        <f>$B$5*(1+B40)</f>
        <v>1095.56</v>
      </c>
      <c r="D40" s="15">
        <v>0.36</v>
      </c>
      <c r="E40" s="11">
        <f t="shared" ref="E40:E49" si="8">C40*D40</f>
        <v>394.40159999999997</v>
      </c>
      <c r="F40" s="11">
        <f t="shared" ref="F40:F49" si="9">E40*(1-$B$6)</f>
        <v>335.24135999999999</v>
      </c>
      <c r="G40" s="15">
        <v>2.5000000000000001E-2</v>
      </c>
      <c r="H40" s="11">
        <f t="shared" ref="H40:H49" si="10">C40*G40</f>
        <v>27.388999999999999</v>
      </c>
      <c r="I40" s="15">
        <v>0.05</v>
      </c>
      <c r="J40" s="11">
        <f t="shared" ref="J40:J49" si="11">C40*I40</f>
        <v>54.777999999999999</v>
      </c>
      <c r="K40" s="11">
        <f>(C40-$B$5)*$B$7</f>
        <v>23.707199999999993</v>
      </c>
      <c r="L40" s="11">
        <f t="shared" ref="L40:L49" si="12">F40+H40-J40-K40</f>
        <v>284.14515999999998</v>
      </c>
      <c r="M40" s="9">
        <f>1/(1+$B$37)^1</f>
        <v>0.9009009009009008</v>
      </c>
      <c r="N40" s="11">
        <f t="shared" ref="N40:N49" si="13">L40*M40</f>
        <v>255.98663063063057</v>
      </c>
    </row>
    <row r="41" spans="1:14">
      <c r="A41" s="24">
        <v>2</v>
      </c>
      <c r="B41" s="15">
        <v>0.18</v>
      </c>
      <c r="C41" s="11">
        <f t="shared" ref="C41:C49" si="14">C40*(1+B41)</f>
        <v>1292.7607999999998</v>
      </c>
      <c r="D41" s="15">
        <v>0.36</v>
      </c>
      <c r="E41" s="11">
        <f t="shared" si="8"/>
        <v>465.39388799999989</v>
      </c>
      <c r="F41" s="11">
        <f t="shared" si="9"/>
        <v>395.58480479999992</v>
      </c>
      <c r="G41" s="15">
        <v>2.5000000000000001E-2</v>
      </c>
      <c r="H41" s="11">
        <f t="shared" si="10"/>
        <v>32.319019999999995</v>
      </c>
      <c r="I41" s="15">
        <v>0.05</v>
      </c>
      <c r="J41" s="11">
        <f t="shared" si="11"/>
        <v>64.63803999999999</v>
      </c>
      <c r="K41" s="11">
        <f t="shared" ref="K41:K49" si="15">(C41-C40)*$B$7</f>
        <v>23.664095999999979</v>
      </c>
      <c r="L41" s="11">
        <f t="shared" si="12"/>
        <v>339.60168879999998</v>
      </c>
      <c r="M41" s="9">
        <f>1/(1+$B$37)^2</f>
        <v>0.8116224332440547</v>
      </c>
      <c r="N41" s="11">
        <f t="shared" si="13"/>
        <v>275.62834899764624</v>
      </c>
    </row>
    <row r="42" spans="1:14">
      <c r="A42" s="24">
        <v>3</v>
      </c>
      <c r="B42" s="15">
        <v>0.15</v>
      </c>
      <c r="C42" s="11">
        <f t="shared" si="14"/>
        <v>1486.6749199999997</v>
      </c>
      <c r="D42" s="15">
        <v>0.36</v>
      </c>
      <c r="E42" s="11">
        <f t="shared" si="8"/>
        <v>535.20297119999987</v>
      </c>
      <c r="F42" s="11">
        <f t="shared" si="9"/>
        <v>454.92252551999985</v>
      </c>
      <c r="G42" s="15">
        <v>2.5000000000000001E-2</v>
      </c>
      <c r="H42" s="11">
        <f t="shared" si="10"/>
        <v>37.166872999999995</v>
      </c>
      <c r="I42" s="15">
        <v>0.05</v>
      </c>
      <c r="J42" s="11">
        <f t="shared" si="11"/>
        <v>74.333745999999991</v>
      </c>
      <c r="K42" s="11">
        <f t="shared" si="15"/>
        <v>23.269694399999988</v>
      </c>
      <c r="L42" s="11">
        <f t="shared" si="12"/>
        <v>394.48595811999991</v>
      </c>
      <c r="M42" s="9">
        <f>1/(1+$B$37)^3</f>
        <v>0.73119138130095018</v>
      </c>
      <c r="N42" s="11">
        <f t="shared" si="13"/>
        <v>288.44473262159153</v>
      </c>
    </row>
    <row r="43" spans="1:14">
      <c r="A43" s="24">
        <v>4</v>
      </c>
      <c r="B43" s="15">
        <v>0.12</v>
      </c>
      <c r="C43" s="11">
        <f t="shared" si="14"/>
        <v>1665.0759103999999</v>
      </c>
      <c r="D43" s="15">
        <v>0.36</v>
      </c>
      <c r="E43" s="11">
        <f t="shared" si="8"/>
        <v>599.42732774399997</v>
      </c>
      <c r="F43" s="11">
        <f t="shared" si="9"/>
        <v>509.51322858239996</v>
      </c>
      <c r="G43" s="15">
        <v>2.5000000000000001E-2</v>
      </c>
      <c r="H43" s="11">
        <f t="shared" si="10"/>
        <v>41.626897759999999</v>
      </c>
      <c r="I43" s="15">
        <v>0.05</v>
      </c>
      <c r="J43" s="11">
        <f t="shared" si="11"/>
        <v>83.253795519999997</v>
      </c>
      <c r="K43" s="11">
        <f t="shared" si="15"/>
        <v>21.408118848000022</v>
      </c>
      <c r="L43" s="11">
        <f t="shared" si="12"/>
        <v>446.47821197439998</v>
      </c>
      <c r="M43" s="9">
        <f>1/(1+$B$37)^4</f>
        <v>0.65873097414500015</v>
      </c>
      <c r="N43" s="11">
        <f t="shared" si="13"/>
        <v>294.10902750841439</v>
      </c>
    </row>
    <row r="44" spans="1:14">
      <c r="A44" s="24">
        <v>5</v>
      </c>
      <c r="B44" s="15">
        <v>0.1</v>
      </c>
      <c r="C44" s="11">
        <f t="shared" si="14"/>
        <v>1831.58350144</v>
      </c>
      <c r="D44" s="15">
        <v>0.36</v>
      </c>
      <c r="E44" s="11">
        <f t="shared" si="8"/>
        <v>659.37006051840001</v>
      </c>
      <c r="F44" s="11">
        <f t="shared" si="9"/>
        <v>560.46455144063998</v>
      </c>
      <c r="G44" s="15">
        <v>2.5000000000000001E-2</v>
      </c>
      <c r="H44" s="11">
        <f t="shared" si="10"/>
        <v>45.789587535999999</v>
      </c>
      <c r="I44" s="15">
        <v>0.05</v>
      </c>
      <c r="J44" s="11">
        <f t="shared" si="11"/>
        <v>91.579175071999998</v>
      </c>
      <c r="K44" s="11">
        <f t="shared" si="15"/>
        <v>19.980910924800011</v>
      </c>
      <c r="L44" s="11">
        <f t="shared" si="12"/>
        <v>494.69405297983997</v>
      </c>
      <c r="M44" s="9">
        <f>1/(1+$B$37)^5</f>
        <v>0.5934513280585586</v>
      </c>
      <c r="N44" s="11">
        <f t="shared" si="13"/>
        <v>293.57684272355698</v>
      </c>
    </row>
    <row r="45" spans="1:14">
      <c r="A45" s="24">
        <v>6</v>
      </c>
      <c r="B45" s="15">
        <v>0.08</v>
      </c>
      <c r="C45" s="11">
        <f t="shared" si="14"/>
        <v>1978.1101815552001</v>
      </c>
      <c r="D45" s="15">
        <v>0.36</v>
      </c>
      <c r="E45" s="11">
        <f t="shared" si="8"/>
        <v>712.11966535987199</v>
      </c>
      <c r="F45" s="11">
        <f t="shared" si="9"/>
        <v>605.30171555589118</v>
      </c>
      <c r="G45" s="15">
        <v>2.5000000000000001E-2</v>
      </c>
      <c r="H45" s="11">
        <f t="shared" si="10"/>
        <v>49.452754538880008</v>
      </c>
      <c r="I45" s="15">
        <v>0.05</v>
      </c>
      <c r="J45" s="11">
        <f t="shared" si="11"/>
        <v>98.905509077760016</v>
      </c>
      <c r="K45" s="11">
        <f t="shared" si="15"/>
        <v>17.58320161382402</v>
      </c>
      <c r="L45" s="11">
        <f t="shared" si="12"/>
        <v>538.26575940318708</v>
      </c>
      <c r="M45" s="9">
        <f>1/(1+$B$37)^6</f>
        <v>0.53464083608879154</v>
      </c>
      <c r="N45" s="11">
        <f t="shared" si="13"/>
        <v>287.77885564528822</v>
      </c>
    </row>
    <row r="46" spans="1:14">
      <c r="A46" s="24">
        <v>7</v>
      </c>
      <c r="B46" s="15">
        <v>7.0000000000000007E-2</v>
      </c>
      <c r="C46" s="11">
        <f t="shared" si="14"/>
        <v>2116.5778942640641</v>
      </c>
      <c r="D46" s="15">
        <v>0.36</v>
      </c>
      <c r="E46" s="11">
        <f t="shared" si="8"/>
        <v>761.96804193506307</v>
      </c>
      <c r="F46" s="11">
        <f t="shared" si="9"/>
        <v>647.67283564480363</v>
      </c>
      <c r="G46" s="15">
        <v>2.5000000000000001E-2</v>
      </c>
      <c r="H46" s="11">
        <f t="shared" si="10"/>
        <v>52.914447356601606</v>
      </c>
      <c r="I46" s="15">
        <v>0.05</v>
      </c>
      <c r="J46" s="11">
        <f t="shared" si="11"/>
        <v>105.82889471320321</v>
      </c>
      <c r="K46" s="11">
        <f t="shared" si="15"/>
        <v>16.616125525063669</v>
      </c>
      <c r="L46" s="11">
        <f t="shared" si="12"/>
        <v>578.14226276313832</v>
      </c>
      <c r="M46" s="9">
        <f>1/(1+$B$37)^7</f>
        <v>0.48165841089080319</v>
      </c>
      <c r="N46" s="11">
        <f t="shared" si="13"/>
        <v>278.46708355130636</v>
      </c>
    </row>
    <row r="47" spans="1:14">
      <c r="A47" s="24">
        <v>8</v>
      </c>
      <c r="B47" s="15">
        <v>0.06</v>
      </c>
      <c r="C47" s="11">
        <f t="shared" si="14"/>
        <v>2243.5725679199081</v>
      </c>
      <c r="D47" s="15">
        <v>0.36</v>
      </c>
      <c r="E47" s="11">
        <f t="shared" si="8"/>
        <v>807.68612445116685</v>
      </c>
      <c r="F47" s="11">
        <f t="shared" si="9"/>
        <v>686.53320578349178</v>
      </c>
      <c r="G47" s="15">
        <v>2.5000000000000001E-2</v>
      </c>
      <c r="H47" s="11">
        <f t="shared" si="10"/>
        <v>56.089314197997709</v>
      </c>
      <c r="I47" s="15">
        <v>0.05</v>
      </c>
      <c r="J47" s="11">
        <f t="shared" si="11"/>
        <v>112.17862839599542</v>
      </c>
      <c r="K47" s="11">
        <f t="shared" si="15"/>
        <v>15.239360838701286</v>
      </c>
      <c r="L47" s="11">
        <f t="shared" si="12"/>
        <v>615.2045307467929</v>
      </c>
      <c r="M47" s="9">
        <f>1/(1+$B$37)^8</f>
        <v>0.43392649629802077</v>
      </c>
      <c r="N47" s="11">
        <f t="shared" si="13"/>
        <v>266.95354653362381</v>
      </c>
    </row>
    <row r="48" spans="1:14">
      <c r="A48" s="24">
        <v>9</v>
      </c>
      <c r="B48" s="15">
        <v>0.05</v>
      </c>
      <c r="C48" s="11">
        <f t="shared" si="14"/>
        <v>2355.7511963159036</v>
      </c>
      <c r="D48" s="15">
        <v>0.36</v>
      </c>
      <c r="E48" s="11">
        <f t="shared" si="8"/>
        <v>848.07043067372524</v>
      </c>
      <c r="F48" s="11">
        <f t="shared" si="9"/>
        <v>720.85986607266648</v>
      </c>
      <c r="G48" s="15">
        <v>2.5000000000000001E-2</v>
      </c>
      <c r="H48" s="11">
        <f t="shared" si="10"/>
        <v>58.893779907897596</v>
      </c>
      <c r="I48" s="15">
        <v>0.05</v>
      </c>
      <c r="J48" s="11">
        <f t="shared" si="11"/>
        <v>117.78755981579519</v>
      </c>
      <c r="K48" s="11">
        <f t="shared" si="15"/>
        <v>13.461435407519456</v>
      </c>
      <c r="L48" s="11">
        <f t="shared" si="12"/>
        <v>648.50465075724946</v>
      </c>
      <c r="M48" s="9">
        <f>1/(1+$B$37)^9</f>
        <v>0.39092477143965831</v>
      </c>
      <c r="N48" s="11">
        <f t="shared" si="13"/>
        <v>253.51653237483319</v>
      </c>
    </row>
    <row r="49" spans="1:14">
      <c r="A49" s="24">
        <v>10</v>
      </c>
      <c r="B49" s="15">
        <v>0.04</v>
      </c>
      <c r="C49" s="11">
        <f t="shared" si="14"/>
        <v>2449.9812441685399</v>
      </c>
      <c r="D49" s="15">
        <v>0.36</v>
      </c>
      <c r="E49" s="11">
        <f t="shared" si="8"/>
        <v>881.99324790067431</v>
      </c>
      <c r="F49" s="11">
        <f t="shared" si="9"/>
        <v>749.69426071557314</v>
      </c>
      <c r="G49" s="15">
        <v>2.5000000000000001E-2</v>
      </c>
      <c r="H49" s="11">
        <f t="shared" si="10"/>
        <v>61.249531104213503</v>
      </c>
      <c r="I49" s="15">
        <v>0.05</v>
      </c>
      <c r="J49" s="11">
        <f t="shared" si="11"/>
        <v>122.49906220842701</v>
      </c>
      <c r="K49" s="11">
        <f t="shared" si="15"/>
        <v>11.307605742316355</v>
      </c>
      <c r="L49" s="11">
        <f t="shared" si="12"/>
        <v>677.13712386904331</v>
      </c>
      <c r="M49" s="9">
        <f>1/(1+$B$37)^10</f>
        <v>0.3521844787744669</v>
      </c>
      <c r="N49" s="11">
        <f t="shared" si="13"/>
        <v>238.47718502866064</v>
      </c>
    </row>
    <row r="50" spans="1:14">
      <c r="A50" s="18" t="s">
        <v>163</v>
      </c>
      <c r="B50" s="11">
        <f>L49*(1+$D$37)/($B$37-$D$37)</f>
        <v>8718.1404698139322</v>
      </c>
    </row>
    <row r="51" spans="1:14">
      <c r="A51" s="6" t="s">
        <v>164</v>
      </c>
      <c r="B51" s="11">
        <f>B50/(1+$B$37)^10</f>
        <v>3070.3937572440059</v>
      </c>
    </row>
    <row r="52" spans="1:14">
      <c r="A52" s="18" t="s">
        <v>165</v>
      </c>
      <c r="B52" s="11">
        <f>SUM(N40:N49)+B51</f>
        <v>5803.3325428595581</v>
      </c>
    </row>
    <row r="53" spans="1:14">
      <c r="A53" s="6" t="s">
        <v>166</v>
      </c>
      <c r="B53" s="11">
        <f>$B$8</f>
        <v>-45.19</v>
      </c>
    </row>
    <row r="54" spans="1:14">
      <c r="A54" s="6" t="s">
        <v>167</v>
      </c>
      <c r="B54" s="11">
        <f>$B$9</f>
        <v>49.7</v>
      </c>
    </row>
    <row r="55" spans="1:14">
      <c r="A55" s="18" t="s">
        <v>168</v>
      </c>
      <c r="B55" s="11">
        <f>B52-B53+B54</f>
        <v>5898.2225428595575</v>
      </c>
    </row>
    <row r="56" spans="1:14">
      <c r="A56" s="18" t="s">
        <v>169</v>
      </c>
      <c r="B56" s="7">
        <f>B55/$B$10</f>
        <v>500.73626532244037</v>
      </c>
      <c r="C56" s="6" t="s">
        <v>172</v>
      </c>
    </row>
    <row r="59" spans="1:14" ht="16.2">
      <c r="A59" s="3" t="s">
        <v>173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150</v>
      </c>
      <c r="B60" s="15">
        <v>9.8000000000000004E-2</v>
      </c>
      <c r="C60" s="6" t="s">
        <v>151</v>
      </c>
      <c r="D60" s="15">
        <v>3.5000000000000003E-2</v>
      </c>
    </row>
    <row r="62" spans="1:14">
      <c r="A62" s="5" t="s">
        <v>152</v>
      </c>
      <c r="B62" s="5" t="s">
        <v>83</v>
      </c>
      <c r="C62" s="5" t="s">
        <v>74</v>
      </c>
      <c r="D62" s="5" t="s">
        <v>153</v>
      </c>
      <c r="E62" s="5" t="s">
        <v>154</v>
      </c>
      <c r="F62" s="5" t="s">
        <v>119</v>
      </c>
      <c r="G62" s="5" t="s">
        <v>155</v>
      </c>
      <c r="H62" s="5" t="s">
        <v>156</v>
      </c>
      <c r="I62" s="5" t="s">
        <v>157</v>
      </c>
      <c r="J62" s="5" t="s">
        <v>158</v>
      </c>
      <c r="K62" s="5" t="s">
        <v>159</v>
      </c>
      <c r="L62" s="5" t="s">
        <v>160</v>
      </c>
      <c r="M62" s="5" t="s">
        <v>161</v>
      </c>
      <c r="N62" s="5" t="s">
        <v>162</v>
      </c>
    </row>
    <row r="63" spans="1:14">
      <c r="A63" s="24">
        <v>1</v>
      </c>
      <c r="B63" s="15">
        <v>0.35</v>
      </c>
      <c r="C63" s="11">
        <f>$B$5*(1+B63)</f>
        <v>1212.3000000000002</v>
      </c>
      <c r="D63" s="15">
        <v>0.4</v>
      </c>
      <c r="E63" s="11">
        <f t="shared" ref="E63:E72" si="16">C63*D63</f>
        <v>484.92000000000007</v>
      </c>
      <c r="F63" s="11">
        <f t="shared" ref="F63:F72" si="17">E63*(1-$B$6)</f>
        <v>412.18200000000007</v>
      </c>
      <c r="G63" s="15">
        <v>2.5000000000000001E-2</v>
      </c>
      <c r="H63" s="11">
        <f t="shared" ref="H63:H72" si="18">C63*G63</f>
        <v>30.307500000000005</v>
      </c>
      <c r="I63" s="15">
        <v>0.05</v>
      </c>
      <c r="J63" s="11">
        <f t="shared" ref="J63:J72" si="19">C63*I63</f>
        <v>60.615000000000009</v>
      </c>
      <c r="K63" s="11">
        <f>(C63-$B$5)*$B$7</f>
        <v>37.716000000000022</v>
      </c>
      <c r="L63" s="11">
        <f t="shared" ref="L63:L72" si="20">F63+H63-J63-K63</f>
        <v>344.15850000000006</v>
      </c>
      <c r="M63" s="9">
        <f>1/(1+$B$60)^1</f>
        <v>0.91074681238615662</v>
      </c>
      <c r="N63" s="11">
        <f t="shared" ref="N63:N72" si="21">L63*M63</f>
        <v>313.44125683060116</v>
      </c>
    </row>
    <row r="64" spans="1:14">
      <c r="A64" s="24">
        <v>2</v>
      </c>
      <c r="B64" s="15">
        <v>0.3</v>
      </c>
      <c r="C64" s="11">
        <f t="shared" ref="C64:C72" si="22">C63*(1+B64)</f>
        <v>1575.9900000000002</v>
      </c>
      <c r="D64" s="15">
        <v>0.4</v>
      </c>
      <c r="E64" s="11">
        <f t="shared" si="16"/>
        <v>630.39600000000019</v>
      </c>
      <c r="F64" s="11">
        <f t="shared" si="17"/>
        <v>535.83660000000009</v>
      </c>
      <c r="G64" s="15">
        <v>2.5000000000000001E-2</v>
      </c>
      <c r="H64" s="11">
        <f t="shared" si="18"/>
        <v>39.399750000000012</v>
      </c>
      <c r="I64" s="15">
        <v>0.05</v>
      </c>
      <c r="J64" s="11">
        <f t="shared" si="19"/>
        <v>78.799500000000023</v>
      </c>
      <c r="K64" s="11">
        <f t="shared" ref="K64:K72" si="23">(C64-C63)*$B$7</f>
        <v>43.642800000000008</v>
      </c>
      <c r="L64" s="11">
        <f t="shared" si="20"/>
        <v>452.79405000000008</v>
      </c>
      <c r="M64" s="9">
        <f>1/(1+$B$60)^2</f>
        <v>0.82945975627154511</v>
      </c>
      <c r="N64" s="11">
        <f t="shared" si="21"/>
        <v>375.57444235420587</v>
      </c>
    </row>
    <row r="65" spans="1:14">
      <c r="A65" s="24">
        <v>3</v>
      </c>
      <c r="B65" s="15">
        <v>0.22</v>
      </c>
      <c r="C65" s="11">
        <f t="shared" si="22"/>
        <v>1922.7078000000001</v>
      </c>
      <c r="D65" s="15">
        <v>0.4</v>
      </c>
      <c r="E65" s="11">
        <f t="shared" si="16"/>
        <v>769.08312000000012</v>
      </c>
      <c r="F65" s="11">
        <f t="shared" si="17"/>
        <v>653.72065200000009</v>
      </c>
      <c r="G65" s="15">
        <v>2.5000000000000001E-2</v>
      </c>
      <c r="H65" s="11">
        <f t="shared" si="18"/>
        <v>48.067695000000008</v>
      </c>
      <c r="I65" s="15">
        <v>0.05</v>
      </c>
      <c r="J65" s="11">
        <f t="shared" si="19"/>
        <v>96.135390000000015</v>
      </c>
      <c r="K65" s="11">
        <f t="shared" si="23"/>
        <v>41.606135999999985</v>
      </c>
      <c r="L65" s="11">
        <f t="shared" si="20"/>
        <v>564.04682100000002</v>
      </c>
      <c r="M65" s="9">
        <f>1/(1+$B$60)^3</f>
        <v>0.75542782902690808</v>
      </c>
      <c r="N65" s="11">
        <f t="shared" si="21"/>
        <v>426.09666545755903</v>
      </c>
    </row>
    <row r="66" spans="1:14">
      <c r="A66" s="24">
        <v>4</v>
      </c>
      <c r="B66" s="15">
        <v>0.18</v>
      </c>
      <c r="C66" s="11">
        <f t="shared" si="22"/>
        <v>2268.795204</v>
      </c>
      <c r="D66" s="15">
        <v>0.4</v>
      </c>
      <c r="E66" s="11">
        <f t="shared" si="16"/>
        <v>907.51808160000007</v>
      </c>
      <c r="F66" s="11">
        <f t="shared" si="17"/>
        <v>771.39036936000002</v>
      </c>
      <c r="G66" s="15">
        <v>2.5000000000000001E-2</v>
      </c>
      <c r="H66" s="11">
        <f t="shared" si="18"/>
        <v>56.719880100000005</v>
      </c>
      <c r="I66" s="15">
        <v>0.05</v>
      </c>
      <c r="J66" s="11">
        <f t="shared" si="19"/>
        <v>113.43976020000001</v>
      </c>
      <c r="K66" s="11">
        <f t="shared" si="23"/>
        <v>41.530488479999981</v>
      </c>
      <c r="L66" s="11">
        <f t="shared" si="20"/>
        <v>673.14000077999992</v>
      </c>
      <c r="M66" s="9">
        <f>1/(1+$B$60)^4</f>
        <v>0.68800348727405103</v>
      </c>
      <c r="N66" s="11">
        <f t="shared" si="21"/>
        <v>463.12266796029735</v>
      </c>
    </row>
    <row r="67" spans="1:14">
      <c r="A67" s="24">
        <v>5</v>
      </c>
      <c r="B67" s="15">
        <v>0.14000000000000001</v>
      </c>
      <c r="C67" s="11">
        <f t="shared" si="22"/>
        <v>2586.4265325600004</v>
      </c>
      <c r="D67" s="15">
        <v>0.4</v>
      </c>
      <c r="E67" s="11">
        <f t="shared" si="16"/>
        <v>1034.5706130240003</v>
      </c>
      <c r="F67" s="11">
        <f t="shared" si="17"/>
        <v>879.38502107040017</v>
      </c>
      <c r="G67" s="15">
        <v>2.5000000000000001E-2</v>
      </c>
      <c r="H67" s="11">
        <f t="shared" si="18"/>
        <v>64.660663314000018</v>
      </c>
      <c r="I67" s="15">
        <v>0.05</v>
      </c>
      <c r="J67" s="11">
        <f t="shared" si="19"/>
        <v>129.32132662800004</v>
      </c>
      <c r="K67" s="11">
        <f t="shared" si="23"/>
        <v>38.115759427200047</v>
      </c>
      <c r="L67" s="11">
        <f t="shared" si="20"/>
        <v>776.60859832920005</v>
      </c>
      <c r="M67" s="9">
        <f>1/(1+$B$60)^5</f>
        <v>0.62659698294540167</v>
      </c>
      <c r="N67" s="11">
        <f t="shared" si="21"/>
        <v>486.62060464253403</v>
      </c>
    </row>
    <row r="68" spans="1:14">
      <c r="A68" s="24">
        <v>6</v>
      </c>
      <c r="B68" s="15">
        <v>0.11</v>
      </c>
      <c r="C68" s="11">
        <f t="shared" si="22"/>
        <v>2870.9334511416005</v>
      </c>
      <c r="D68" s="15">
        <v>0.4</v>
      </c>
      <c r="E68" s="11">
        <f t="shared" si="16"/>
        <v>1148.3733804566402</v>
      </c>
      <c r="F68" s="11">
        <f t="shared" si="17"/>
        <v>976.11737338814419</v>
      </c>
      <c r="G68" s="15">
        <v>2.5000000000000001E-2</v>
      </c>
      <c r="H68" s="11">
        <f t="shared" si="18"/>
        <v>71.773336278540015</v>
      </c>
      <c r="I68" s="15">
        <v>0.05</v>
      </c>
      <c r="J68" s="11">
        <f t="shared" si="19"/>
        <v>143.54667255708003</v>
      </c>
      <c r="K68" s="11">
        <f t="shared" si="23"/>
        <v>34.140830229792009</v>
      </c>
      <c r="L68" s="11">
        <f t="shared" si="20"/>
        <v>870.20320687981223</v>
      </c>
      <c r="M68" s="9">
        <f>1/(1+$B$60)^6</f>
        <v>0.57067120486830747</v>
      </c>
      <c r="N68" s="11">
        <f t="shared" si="21"/>
        <v>496.59991255036749</v>
      </c>
    </row>
    <row r="69" spans="1:14">
      <c r="A69" s="24">
        <v>7</v>
      </c>
      <c r="B69" s="15">
        <v>0.09</v>
      </c>
      <c r="C69" s="11">
        <f t="shared" si="22"/>
        <v>3129.3174617443447</v>
      </c>
      <c r="D69" s="15">
        <v>0.4</v>
      </c>
      <c r="E69" s="11">
        <f t="shared" si="16"/>
        <v>1251.7269846977379</v>
      </c>
      <c r="F69" s="11">
        <f t="shared" si="17"/>
        <v>1063.967936993077</v>
      </c>
      <c r="G69" s="15">
        <v>2.5000000000000001E-2</v>
      </c>
      <c r="H69" s="11">
        <f t="shared" si="18"/>
        <v>78.232936543608616</v>
      </c>
      <c r="I69" s="15">
        <v>0.05</v>
      </c>
      <c r="J69" s="11">
        <f t="shared" si="19"/>
        <v>156.46587308721723</v>
      </c>
      <c r="K69" s="11">
        <f t="shared" si="23"/>
        <v>31.0060812723293</v>
      </c>
      <c r="L69" s="11">
        <f t="shared" si="20"/>
        <v>954.72891917713923</v>
      </c>
      <c r="M69" s="9">
        <f>1/(1+$B$60)^7</f>
        <v>0.51973698075437835</v>
      </c>
      <c r="N69" s="11">
        <f t="shared" si="21"/>
        <v>496.20792589201727</v>
      </c>
    </row>
    <row r="70" spans="1:14">
      <c r="A70" s="24">
        <v>8</v>
      </c>
      <c r="B70" s="15">
        <v>7.0000000000000007E-2</v>
      </c>
      <c r="C70" s="11">
        <f t="shared" si="22"/>
        <v>3348.3696840664488</v>
      </c>
      <c r="D70" s="15">
        <v>0.4</v>
      </c>
      <c r="E70" s="11">
        <f t="shared" si="16"/>
        <v>1339.3478736265797</v>
      </c>
      <c r="F70" s="11">
        <f t="shared" si="17"/>
        <v>1138.4456925825928</v>
      </c>
      <c r="G70" s="15">
        <v>2.5000000000000001E-2</v>
      </c>
      <c r="H70" s="11">
        <f t="shared" si="18"/>
        <v>83.709242101661232</v>
      </c>
      <c r="I70" s="15">
        <v>0.05</v>
      </c>
      <c r="J70" s="11">
        <f t="shared" si="19"/>
        <v>167.41848420332246</v>
      </c>
      <c r="K70" s="11">
        <f t="shared" si="23"/>
        <v>26.286266678652499</v>
      </c>
      <c r="L70" s="11">
        <f t="shared" si="20"/>
        <v>1028.4501838022791</v>
      </c>
      <c r="M70" s="9">
        <f>1/(1+$B$60)^8</f>
        <v>0.47334879850125533</v>
      </c>
      <c r="N70" s="11">
        <f t="shared" si="21"/>
        <v>486.81565882120401</v>
      </c>
    </row>
    <row r="71" spans="1:14">
      <c r="A71" s="24">
        <v>9</v>
      </c>
      <c r="B71" s="15">
        <v>0.06</v>
      </c>
      <c r="C71" s="11">
        <f t="shared" si="22"/>
        <v>3549.271865110436</v>
      </c>
      <c r="D71" s="15">
        <v>0.4</v>
      </c>
      <c r="E71" s="11">
        <f t="shared" si="16"/>
        <v>1419.7087460441744</v>
      </c>
      <c r="F71" s="11">
        <f t="shared" si="17"/>
        <v>1206.7524341375481</v>
      </c>
      <c r="G71" s="15">
        <v>2.5000000000000001E-2</v>
      </c>
      <c r="H71" s="11">
        <f t="shared" si="18"/>
        <v>88.7317966277609</v>
      </c>
      <c r="I71" s="15">
        <v>0.05</v>
      </c>
      <c r="J71" s="11">
        <f t="shared" si="19"/>
        <v>177.4635932555218</v>
      </c>
      <c r="K71" s="11">
        <f t="shared" si="23"/>
        <v>24.10826172527846</v>
      </c>
      <c r="L71" s="11">
        <f t="shared" si="20"/>
        <v>1093.9123757845086</v>
      </c>
      <c r="M71" s="9">
        <f>1/(1+$B$60)^9</f>
        <v>0.43110090938183537</v>
      </c>
      <c r="N71" s="11">
        <f t="shared" si="21"/>
        <v>471.58661998474571</v>
      </c>
    </row>
    <row r="72" spans="1:14">
      <c r="A72" s="24">
        <v>10</v>
      </c>
      <c r="B72" s="15">
        <v>0.05</v>
      </c>
      <c r="C72" s="11">
        <f t="shared" si="22"/>
        <v>3726.735458365958</v>
      </c>
      <c r="D72" s="15">
        <v>0.4</v>
      </c>
      <c r="E72" s="11">
        <f t="shared" si="16"/>
        <v>1490.6941833463834</v>
      </c>
      <c r="F72" s="11">
        <f t="shared" si="17"/>
        <v>1267.0900558444259</v>
      </c>
      <c r="G72" s="15">
        <v>2.5000000000000001E-2</v>
      </c>
      <c r="H72" s="11">
        <f t="shared" si="18"/>
        <v>93.168386459148962</v>
      </c>
      <c r="I72" s="15">
        <v>0.05</v>
      </c>
      <c r="J72" s="11">
        <f t="shared" si="19"/>
        <v>186.33677291829792</v>
      </c>
      <c r="K72" s="11">
        <f t="shared" si="23"/>
        <v>21.295631190662643</v>
      </c>
      <c r="L72" s="11">
        <f t="shared" si="20"/>
        <v>1152.6260381946142</v>
      </c>
      <c r="M72" s="9">
        <f>1/(1+$B$60)^10</f>
        <v>0.39262377903627999</v>
      </c>
      <c r="N72" s="11">
        <f t="shared" si="21"/>
        <v>452.54839093158506</v>
      </c>
    </row>
    <row r="73" spans="1:14">
      <c r="A73" s="18" t="s">
        <v>163</v>
      </c>
      <c r="B73" s="11">
        <f>L72*(1+$D$60)/($B$60-$D$60)</f>
        <v>18935.999198911515</v>
      </c>
    </row>
    <row r="74" spans="1:14">
      <c r="A74" s="6" t="s">
        <v>164</v>
      </c>
      <c r="B74" s="11">
        <f>B73/(1+$B$60)^10</f>
        <v>7434.7235653046091</v>
      </c>
    </row>
    <row r="75" spans="1:14">
      <c r="A75" s="18" t="s">
        <v>165</v>
      </c>
      <c r="B75" s="11">
        <f>SUM(N63:N72)+B74</f>
        <v>11903.337710729727</v>
      </c>
    </row>
    <row r="76" spans="1:14">
      <c r="A76" s="6" t="s">
        <v>166</v>
      </c>
      <c r="B76" s="11">
        <f>$B$8</f>
        <v>-45.19</v>
      </c>
    </row>
    <row r="77" spans="1:14">
      <c r="A77" s="6" t="s">
        <v>167</v>
      </c>
      <c r="B77" s="11">
        <f>$B$9</f>
        <v>49.7</v>
      </c>
    </row>
    <row r="78" spans="1:14">
      <c r="A78" s="18" t="s">
        <v>168</v>
      </c>
      <c r="B78" s="11">
        <f>B75-B76+B77</f>
        <v>11998.227710729729</v>
      </c>
    </row>
    <row r="79" spans="1:14">
      <c r="A79" s="18" t="s">
        <v>169</v>
      </c>
      <c r="B79" s="7">
        <f>B78/$B$10</f>
        <v>1018.6030945258746</v>
      </c>
      <c r="C79" s="6" t="s">
        <v>174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175</v>
      </c>
    </row>
    <row r="2" spans="1:7" ht="15.6">
      <c r="A2" s="28" t="s">
        <v>176</v>
      </c>
      <c r="B2" s="27"/>
      <c r="C2" s="27"/>
      <c r="D2" s="27"/>
      <c r="E2" s="27"/>
      <c r="F2" s="27"/>
      <c r="G2" s="27"/>
    </row>
    <row r="4" spans="1:7">
      <c r="A4" s="5" t="s">
        <v>150</v>
      </c>
      <c r="B4" s="5" t="s">
        <v>169</v>
      </c>
    </row>
    <row r="5" spans="1:7">
      <c r="A5" s="15">
        <v>9.4E-2</v>
      </c>
      <c r="B5" s="7">
        <v>636</v>
      </c>
    </row>
    <row r="6" spans="1:7">
      <c r="A6" s="15">
        <v>9.7000000000000003E-2</v>
      </c>
      <c r="B6" s="7">
        <v>605.64</v>
      </c>
    </row>
    <row r="7" spans="1:7">
      <c r="A7" s="15">
        <v>0.1</v>
      </c>
      <c r="B7" s="7">
        <v>577.91999999999996</v>
      </c>
    </row>
    <row r="8" spans="1:7">
      <c r="A8" s="15">
        <v>0.105</v>
      </c>
      <c r="B8" s="7">
        <v>536.71</v>
      </c>
    </row>
    <row r="9" spans="1:7">
      <c r="A9" s="15">
        <v>0.11</v>
      </c>
      <c r="B9" s="7">
        <v>500.74</v>
      </c>
    </row>
    <row r="10" spans="1:7">
      <c r="A10" s="15">
        <v>0.115</v>
      </c>
      <c r="B10" s="7">
        <v>469.06</v>
      </c>
    </row>
    <row r="11" spans="1:7">
      <c r="A11" s="15">
        <v>0.12</v>
      </c>
      <c r="B11" s="7">
        <v>440.97</v>
      </c>
    </row>
    <row r="12" spans="1:7">
      <c r="A12" s="15">
        <v>0.125</v>
      </c>
      <c r="B12" s="7">
        <v>415.9</v>
      </c>
    </row>
    <row r="14" spans="1:7">
      <c r="A14" s="5" t="s">
        <v>177</v>
      </c>
      <c r="B14" s="5" t="s">
        <v>169</v>
      </c>
    </row>
    <row r="15" spans="1:7">
      <c r="A15" s="15">
        <v>0.02</v>
      </c>
      <c r="B15" s="7">
        <v>531.23</v>
      </c>
    </row>
    <row r="16" spans="1:7">
      <c r="A16" s="15">
        <v>0.03</v>
      </c>
      <c r="B16" s="7">
        <v>521.05999999999995</v>
      </c>
    </row>
    <row r="17" spans="1:3">
      <c r="A17" s="15">
        <v>0.04</v>
      </c>
      <c r="B17" s="7">
        <v>510.9</v>
      </c>
    </row>
    <row r="18" spans="1:3">
      <c r="A18" s="15">
        <v>0.05</v>
      </c>
      <c r="B18" s="7">
        <v>500.74</v>
      </c>
    </row>
    <row r="19" spans="1:3">
      <c r="A19" s="15">
        <v>0.06</v>
      </c>
      <c r="B19" s="7">
        <v>490.57</v>
      </c>
    </row>
    <row r="20" spans="1:3">
      <c r="A20" s="15">
        <v>7.0000000000000007E-2</v>
      </c>
      <c r="B20" s="7">
        <v>480.41</v>
      </c>
    </row>
    <row r="23" spans="1:3">
      <c r="A23" s="5" t="s">
        <v>178</v>
      </c>
      <c r="B23" s="5" t="s">
        <v>169</v>
      </c>
    </row>
    <row r="24" spans="1:3">
      <c r="A24" s="15">
        <v>0.3</v>
      </c>
      <c r="B24" s="7">
        <v>448.9</v>
      </c>
    </row>
    <row r="25" spans="1:3">
      <c r="A25" s="15">
        <v>0.32</v>
      </c>
      <c r="B25" s="7">
        <v>466.18</v>
      </c>
    </row>
    <row r="26" spans="1:3">
      <c r="A26" s="15">
        <v>0.34</v>
      </c>
      <c r="B26" s="7">
        <v>483.46</v>
      </c>
    </row>
    <row r="27" spans="1:3">
      <c r="A27" s="15">
        <v>0.36</v>
      </c>
      <c r="B27" s="7">
        <v>500.74</v>
      </c>
    </row>
    <row r="28" spans="1:3">
      <c r="A28" s="15">
        <v>0.38</v>
      </c>
      <c r="B28" s="7">
        <v>518.01</v>
      </c>
    </row>
    <row r="29" spans="1:3">
      <c r="A29" s="15">
        <v>0.4</v>
      </c>
      <c r="B29" s="7">
        <v>535.29</v>
      </c>
    </row>
    <row r="30" spans="1:3">
      <c r="A30" s="15">
        <v>0.42</v>
      </c>
      <c r="B30" s="7">
        <v>552.57000000000005</v>
      </c>
    </row>
    <row r="32" spans="1:3" ht="16.2">
      <c r="A32" s="3" t="s">
        <v>179</v>
      </c>
      <c r="B32" s="4"/>
      <c r="C32" s="4"/>
    </row>
    <row r="33" spans="1:7">
      <c r="A33" s="6" t="s">
        <v>180</v>
      </c>
      <c r="B33" s="15">
        <v>0.13924864040573379</v>
      </c>
    </row>
    <row r="34" spans="1:7">
      <c r="A34" s="6" t="s">
        <v>181</v>
      </c>
      <c r="B34" s="15">
        <v>0.1414884936682326</v>
      </c>
    </row>
    <row r="36" spans="1:7" ht="16.2">
      <c r="A36" s="3" t="s">
        <v>182</v>
      </c>
      <c r="B36" s="4"/>
      <c r="C36" s="4"/>
      <c r="D36" s="4"/>
      <c r="E36" s="4"/>
      <c r="F36" s="4"/>
      <c r="G36" s="4"/>
    </row>
    <row r="37" spans="1:7">
      <c r="A37" s="5" t="s">
        <v>183</v>
      </c>
      <c r="B37" s="5" t="s">
        <v>169</v>
      </c>
      <c r="C37" s="5" t="s">
        <v>184</v>
      </c>
      <c r="D37" s="5" t="s">
        <v>185</v>
      </c>
    </row>
    <row r="38" spans="1:7">
      <c r="A38" s="6" t="s">
        <v>186</v>
      </c>
      <c r="B38" s="25" t="s">
        <v>187</v>
      </c>
      <c r="C38" s="25" t="s">
        <v>188</v>
      </c>
      <c r="D38" s="25" t="s">
        <v>189</v>
      </c>
    </row>
    <row r="39" spans="1:7">
      <c r="A39" s="6" t="s">
        <v>190</v>
      </c>
      <c r="B39" s="25" t="s">
        <v>58</v>
      </c>
      <c r="C39" s="25" t="s">
        <v>191</v>
      </c>
      <c r="D39" s="25" t="s">
        <v>192</v>
      </c>
    </row>
    <row r="40" spans="1:7">
      <c r="A40" s="6" t="s">
        <v>193</v>
      </c>
      <c r="B40" s="25" t="s">
        <v>58</v>
      </c>
      <c r="C40" s="25" t="s">
        <v>194</v>
      </c>
      <c r="D40" s="25" t="s">
        <v>195</v>
      </c>
    </row>
    <row r="41" spans="1:7">
      <c r="A41" s="6" t="s">
        <v>196</v>
      </c>
      <c r="B41" s="25" t="s">
        <v>58</v>
      </c>
      <c r="C41" s="25" t="s">
        <v>197</v>
      </c>
      <c r="D41" s="25" t="s">
        <v>198</v>
      </c>
    </row>
    <row r="42" spans="1:7" ht="40.049999999999997" customHeight="1">
      <c r="A42" s="31" t="s">
        <v>199</v>
      </c>
      <c r="B42" s="27"/>
      <c r="C42" s="27"/>
      <c r="D42" s="27"/>
      <c r="E42" s="27"/>
      <c r="F42" s="27"/>
      <c r="G42" s="27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200</v>
      </c>
    </row>
    <row r="2" spans="1:4" ht="15.6">
      <c r="A2" s="28" t="s">
        <v>201</v>
      </c>
      <c r="B2" s="27"/>
      <c r="C2" s="27"/>
      <c r="D2" s="27"/>
    </row>
    <row r="4" spans="1:4">
      <c r="A4" s="5" t="s">
        <v>202</v>
      </c>
      <c r="B4" s="5" t="s">
        <v>203</v>
      </c>
      <c r="C4" s="5" t="s">
        <v>204</v>
      </c>
      <c r="D4" s="5" t="s">
        <v>205</v>
      </c>
    </row>
    <row r="5" spans="1:4">
      <c r="A5" s="6" t="s">
        <v>206</v>
      </c>
      <c r="B5" s="6" t="s">
        <v>207</v>
      </c>
      <c r="C5" s="22" t="s">
        <v>208</v>
      </c>
      <c r="D5" s="8" t="s">
        <v>209</v>
      </c>
    </row>
    <row r="6" spans="1:4">
      <c r="A6" s="6" t="s">
        <v>210</v>
      </c>
      <c r="B6" s="6" t="s">
        <v>211</v>
      </c>
      <c r="C6" s="22" t="s">
        <v>208</v>
      </c>
      <c r="D6" s="8" t="s">
        <v>212</v>
      </c>
    </row>
    <row r="7" spans="1:4">
      <c r="A7" s="6" t="s">
        <v>213</v>
      </c>
      <c r="B7" s="6" t="s">
        <v>214</v>
      </c>
      <c r="C7" s="22" t="s">
        <v>215</v>
      </c>
      <c r="D7" s="8" t="s">
        <v>216</v>
      </c>
    </row>
    <row r="8" spans="1:4">
      <c r="A8" s="6" t="s">
        <v>217</v>
      </c>
      <c r="B8" s="6" t="s">
        <v>207</v>
      </c>
      <c r="C8" s="22" t="s">
        <v>218</v>
      </c>
      <c r="D8" s="8" t="s">
        <v>219</v>
      </c>
    </row>
    <row r="9" spans="1:4">
      <c r="A9" s="6" t="s">
        <v>220</v>
      </c>
      <c r="B9" s="6" t="s">
        <v>221</v>
      </c>
      <c r="C9" s="22" t="s">
        <v>222</v>
      </c>
      <c r="D9" s="8" t="s">
        <v>223</v>
      </c>
    </row>
    <row r="12" spans="1:4" ht="15">
      <c r="A12" s="30" t="s">
        <v>224</v>
      </c>
      <c r="B12" s="27"/>
      <c r="C12" s="27"/>
      <c r="D12" s="27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2026-10-29T10:33:55Z</dcterms:created>
  <dcterms:modified xsi:type="dcterms:W3CDTF">2026-10-29T10:34:13Z</dcterms:modified>
</cp:coreProperties>
</file>