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BRK.B-2026-10-29\"/>
    </mc:Choice>
  </mc:AlternateContent>
  <xr:revisionPtr revIDLastSave="0" documentId="13_ncr:1_{B411FF50-11B4-4F42-83BD-9C77A2992C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FCFF桥" sheetId="4" r:id="rId4"/>
    <sheet name="DCF" sheetId="5" r:id="rId5"/>
    <sheet name="敏感性" sheetId="6" r:id="rId6"/>
    <sheet name="来源" sheetId="7" r:id="rId7"/>
  </sheets>
  <definedNames>
    <definedName name="_xlnm.Print_Area" localSheetId="4">DCF!$A$1:$N$78</definedName>
    <definedName name="_xlnm.Print_Area" localSheetId="3">FCFF桥!$A$1:$C$25</definedName>
    <definedName name="_xlnm.Print_Area" localSheetId="2">分部!$A$1:$F$35</definedName>
    <definedName name="_xlnm.Print_Area" localSheetId="0">结论!$A$1:$M$47</definedName>
    <definedName name="_xlnm.Print_Area" localSheetId="6">来源!$A$1:$D$14</definedName>
    <definedName name="_xlnm.Print_Area" localSheetId="1">历史财务!$A$1:$H$28</definedName>
    <definedName name="_xlnm.Print_Area" localSheetId="5">敏感性!$A$1:$G$43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5" l="1"/>
  <c r="M72" i="5"/>
  <c r="M71" i="5"/>
  <c r="M70" i="5"/>
  <c r="M69" i="5"/>
  <c r="M68" i="5"/>
  <c r="M67" i="5"/>
  <c r="M66" i="5"/>
  <c r="M65" i="5"/>
  <c r="M64" i="5"/>
  <c r="M63" i="5"/>
  <c r="C63" i="5"/>
  <c r="B53" i="5"/>
  <c r="M49" i="5"/>
  <c r="M48" i="5"/>
  <c r="M47" i="5"/>
  <c r="M46" i="5"/>
  <c r="M45" i="5"/>
  <c r="M44" i="5"/>
  <c r="M43" i="5"/>
  <c r="M42" i="5"/>
  <c r="M41" i="5"/>
  <c r="M40" i="5"/>
  <c r="C40" i="5"/>
  <c r="B30" i="5"/>
  <c r="M26" i="5"/>
  <c r="M25" i="5"/>
  <c r="M24" i="5"/>
  <c r="M23" i="5"/>
  <c r="M22" i="5"/>
  <c r="M21" i="5"/>
  <c r="M20" i="5"/>
  <c r="M19" i="5"/>
  <c r="M18" i="5"/>
  <c r="M17" i="5"/>
  <c r="C17" i="5"/>
  <c r="B18" i="4"/>
  <c r="B17" i="4"/>
  <c r="B15" i="4"/>
  <c r="B7" i="4"/>
  <c r="B12" i="4" s="1"/>
  <c r="B16" i="4" s="1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D35" i="1"/>
  <c r="C35" i="1"/>
  <c r="D34" i="1"/>
  <c r="C34" i="1"/>
  <c r="D33" i="1"/>
  <c r="C33" i="1"/>
  <c r="B28" i="1"/>
  <c r="B24" i="1"/>
  <c r="B23" i="1"/>
  <c r="B12" i="1"/>
  <c r="K63" i="5" l="1"/>
  <c r="J63" i="5"/>
  <c r="H63" i="5"/>
  <c r="E63" i="5"/>
  <c r="F63" i="5" s="1"/>
  <c r="C64" i="5"/>
  <c r="C41" i="5"/>
  <c r="K40" i="5"/>
  <c r="J40" i="5"/>
  <c r="H40" i="5"/>
  <c r="E40" i="5"/>
  <c r="F40" i="5" s="1"/>
  <c r="K17" i="5"/>
  <c r="C18" i="5"/>
  <c r="J17" i="5"/>
  <c r="H17" i="5"/>
  <c r="E17" i="5"/>
  <c r="F17" i="5" s="1"/>
  <c r="B14" i="1"/>
  <c r="B25" i="1"/>
  <c r="L63" i="5" l="1"/>
  <c r="N63" i="5" s="1"/>
  <c r="E64" i="5"/>
  <c r="F64" i="5" s="1"/>
  <c r="H64" i="5"/>
  <c r="J64" i="5"/>
  <c r="K64" i="5"/>
  <c r="C65" i="5"/>
  <c r="E41" i="5"/>
  <c r="F41" i="5" s="1"/>
  <c r="H41" i="5"/>
  <c r="J41" i="5"/>
  <c r="K41" i="5"/>
  <c r="C42" i="5"/>
  <c r="E18" i="5"/>
  <c r="F18" i="5" s="1"/>
  <c r="L18" i="5" s="1"/>
  <c r="N18" i="5" s="1"/>
  <c r="K18" i="5"/>
  <c r="H18" i="5"/>
  <c r="J18" i="5"/>
  <c r="C19" i="5"/>
  <c r="B22" i="1"/>
  <c r="B26" i="1"/>
  <c r="L40" i="5"/>
  <c r="N40" i="5" s="1"/>
  <c r="L17" i="5"/>
  <c r="N17" i="5" s="1"/>
  <c r="L41" i="5" l="1"/>
  <c r="N41" i="5" s="1"/>
  <c r="E65" i="5"/>
  <c r="F65" i="5" s="1"/>
  <c r="H65" i="5"/>
  <c r="J65" i="5"/>
  <c r="K65" i="5"/>
  <c r="C66" i="5"/>
  <c r="E42" i="5"/>
  <c r="F42" i="5" s="1"/>
  <c r="H42" i="5"/>
  <c r="J42" i="5"/>
  <c r="K42" i="5"/>
  <c r="C43" i="5"/>
  <c r="H19" i="5"/>
  <c r="K19" i="5"/>
  <c r="C20" i="5"/>
  <c r="E19" i="5"/>
  <c r="F19" i="5" s="1"/>
  <c r="L19" i="5" s="1"/>
  <c r="N19" i="5" s="1"/>
  <c r="J19" i="5"/>
  <c r="L64" i="5"/>
  <c r="N64" i="5" s="1"/>
  <c r="E66" i="5" l="1"/>
  <c r="F66" i="5" s="1"/>
  <c r="H66" i="5"/>
  <c r="J66" i="5"/>
  <c r="K66" i="5"/>
  <c r="C67" i="5"/>
  <c r="E43" i="5"/>
  <c r="F43" i="5" s="1"/>
  <c r="H43" i="5"/>
  <c r="J43" i="5"/>
  <c r="K43" i="5"/>
  <c r="C44" i="5"/>
  <c r="K20" i="5"/>
  <c r="E20" i="5"/>
  <c r="F20" i="5" s="1"/>
  <c r="L20" i="5" s="1"/>
  <c r="N20" i="5" s="1"/>
  <c r="H20" i="5"/>
  <c r="J20" i="5"/>
  <c r="C21" i="5"/>
  <c r="L65" i="5"/>
  <c r="N65" i="5" s="1"/>
  <c r="L42" i="5"/>
  <c r="N42" i="5" s="1"/>
  <c r="L43" i="5" l="1"/>
  <c r="N43" i="5" s="1"/>
  <c r="E67" i="5"/>
  <c r="F67" i="5" s="1"/>
  <c r="H67" i="5"/>
  <c r="J67" i="5"/>
  <c r="K67" i="5"/>
  <c r="C68" i="5"/>
  <c r="E44" i="5"/>
  <c r="F44" i="5" s="1"/>
  <c r="H44" i="5"/>
  <c r="J44" i="5"/>
  <c r="K44" i="5"/>
  <c r="C45" i="5"/>
  <c r="H21" i="5"/>
  <c r="K21" i="5"/>
  <c r="J21" i="5"/>
  <c r="C22" i="5"/>
  <c r="E21" i="5"/>
  <c r="F21" i="5" s="1"/>
  <c r="L66" i="5"/>
  <c r="N66" i="5" s="1"/>
  <c r="L67" i="5" l="1"/>
  <c r="N67" i="5" s="1"/>
  <c r="L21" i="5"/>
  <c r="N21" i="5" s="1"/>
  <c r="L44" i="5"/>
  <c r="N44" i="5" s="1"/>
  <c r="E68" i="5"/>
  <c r="F68" i="5" s="1"/>
  <c r="L68" i="5" s="1"/>
  <c r="N68" i="5" s="1"/>
  <c r="H68" i="5"/>
  <c r="J68" i="5"/>
  <c r="K68" i="5"/>
  <c r="C69" i="5"/>
  <c r="E45" i="5"/>
  <c r="F45" i="5" s="1"/>
  <c r="H45" i="5"/>
  <c r="J45" i="5"/>
  <c r="K45" i="5"/>
  <c r="C46" i="5"/>
  <c r="K22" i="5"/>
  <c r="C23" i="5"/>
  <c r="E22" i="5"/>
  <c r="F22" i="5" s="1"/>
  <c r="H22" i="5"/>
  <c r="J22" i="5"/>
  <c r="E69" i="5" l="1"/>
  <c r="F69" i="5" s="1"/>
  <c r="H69" i="5"/>
  <c r="J69" i="5"/>
  <c r="K69" i="5"/>
  <c r="C70" i="5"/>
  <c r="E46" i="5"/>
  <c r="F46" i="5" s="1"/>
  <c r="H46" i="5"/>
  <c r="C47" i="5"/>
  <c r="J46" i="5"/>
  <c r="K46" i="5"/>
  <c r="H23" i="5"/>
  <c r="K23" i="5"/>
  <c r="C24" i="5"/>
  <c r="E23" i="5"/>
  <c r="F23" i="5" s="1"/>
  <c r="J23" i="5"/>
  <c r="L45" i="5"/>
  <c r="N45" i="5" s="1"/>
  <c r="L22" i="5"/>
  <c r="N22" i="5" s="1"/>
  <c r="L69" i="5" l="1"/>
  <c r="N69" i="5" s="1"/>
  <c r="L46" i="5"/>
  <c r="N46" i="5" s="1"/>
  <c r="L23" i="5"/>
  <c r="N23" i="5" s="1"/>
  <c r="E70" i="5"/>
  <c r="F70" i="5" s="1"/>
  <c r="H70" i="5"/>
  <c r="K70" i="5"/>
  <c r="C71" i="5"/>
  <c r="J70" i="5"/>
  <c r="E47" i="5"/>
  <c r="F47" i="5" s="1"/>
  <c r="H47" i="5"/>
  <c r="J47" i="5"/>
  <c r="K47" i="5"/>
  <c r="C48" i="5"/>
  <c r="E24" i="5"/>
  <c r="F24" i="5" s="1"/>
  <c r="J24" i="5"/>
  <c r="H24" i="5"/>
  <c r="K24" i="5"/>
  <c r="C25" i="5"/>
  <c r="L70" i="5" l="1"/>
  <c r="N70" i="5" s="1"/>
  <c r="L47" i="5"/>
  <c r="N47" i="5" s="1"/>
  <c r="E71" i="5"/>
  <c r="F71" i="5" s="1"/>
  <c r="H71" i="5"/>
  <c r="J71" i="5"/>
  <c r="K71" i="5"/>
  <c r="C72" i="5"/>
  <c r="H48" i="5"/>
  <c r="J48" i="5"/>
  <c r="K48" i="5"/>
  <c r="E48" i="5"/>
  <c r="F48" i="5" s="1"/>
  <c r="L48" i="5" s="1"/>
  <c r="N48" i="5" s="1"/>
  <c r="C49" i="5"/>
  <c r="E25" i="5"/>
  <c r="F25" i="5" s="1"/>
  <c r="J25" i="5"/>
  <c r="H25" i="5"/>
  <c r="K25" i="5"/>
  <c r="C26" i="5"/>
  <c r="L24" i="5"/>
  <c r="N24" i="5" s="1"/>
  <c r="E72" i="5" l="1"/>
  <c r="F72" i="5" s="1"/>
  <c r="H72" i="5"/>
  <c r="J72" i="5"/>
  <c r="K72" i="5"/>
  <c r="J49" i="5"/>
  <c r="K49" i="5"/>
  <c r="E49" i="5"/>
  <c r="F49" i="5" s="1"/>
  <c r="H49" i="5"/>
  <c r="E26" i="5"/>
  <c r="F26" i="5" s="1"/>
  <c r="H26" i="5"/>
  <c r="K26" i="5"/>
  <c r="J26" i="5"/>
  <c r="L25" i="5"/>
  <c r="N25" i="5" s="1"/>
  <c r="L71" i="5"/>
  <c r="N71" i="5" s="1"/>
  <c r="L72" i="5" l="1"/>
  <c r="L49" i="5"/>
  <c r="L26" i="5"/>
  <c r="B73" i="5" l="1"/>
  <c r="B74" i="5" s="1"/>
  <c r="N72" i="5"/>
  <c r="B50" i="5"/>
  <c r="B51" i="5" s="1"/>
  <c r="N49" i="5"/>
  <c r="B27" i="5"/>
  <c r="B28" i="5" s="1"/>
  <c r="B29" i="5" s="1"/>
  <c r="B31" i="5" s="1"/>
  <c r="B32" i="5" s="1"/>
  <c r="N26" i="5"/>
  <c r="B52" i="5" l="1"/>
  <c r="B54" i="5" s="1"/>
  <c r="B55" i="5" s="1"/>
  <c r="B75" i="5"/>
  <c r="B77" i="5" s="1"/>
  <c r="B78" i="5" s="1"/>
</calcChain>
</file>

<file path=xl/sharedStrings.xml><?xml version="1.0" encoding="utf-8"?>
<sst xmlns="http://schemas.openxmlformats.org/spreadsheetml/2006/main" count="336" uniqueCount="257">
  <si>
    <t>伯克希尔（BRK.B）巴菲特框架估值</t>
  </si>
  <si>
    <t>研究日 2026-10-29｜收盘价 $540.34｜最新财报：2026 Q2（2026-06-30）</t>
  </si>
  <si>
    <t>市值按 2.1475B 股计算；净负债 = 债务 + 融资租赁 − 现金及有价证券。数据边界见报告第 1 节。</t>
  </si>
  <si>
    <t>一句话结论</t>
  </si>
  <si>
    <t>估值大致合理：投资组合提供厚垫，营运业务质量参差；现价处于合理区间上沿，安全边际不足。结论：观察，等更大折扣或资金配置更积极。</t>
  </si>
  <si>
    <t>关键数据（十亿美元 / 倍 / 百分比）</t>
  </si>
  <si>
    <t>项目</t>
  </si>
  <si>
    <t>数值</t>
  </si>
  <si>
    <t>备注</t>
  </si>
  <si>
    <t>收盘价（美元）</t>
  </si>
  <si>
    <t>2026-10-28 收盘</t>
  </si>
  <si>
    <t>期末股数（十亿股）</t>
  </si>
  <si>
    <t>最新 10-Q/10-K 封面</t>
  </si>
  <si>
    <t>市值（十亿美元）</t>
  </si>
  <si>
    <t>价格 × 股数</t>
  </si>
  <si>
    <t>净负债（含融资租赁）</t>
  </si>
  <si>
    <t>负数 = 557B 净投资组合（已扣债务、6% 折扣）</t>
  </si>
  <si>
    <t>企业价值（十亿美元）</t>
  </si>
  <si>
    <t>市值 + 净负债</t>
  </si>
  <si>
    <t>TTM 收入</t>
  </si>
  <si>
    <t>最近四个季度</t>
  </si>
  <si>
    <t>TTM 经营利润</t>
  </si>
  <si>
    <t>剔除利息与投资收益</t>
  </si>
  <si>
    <t>TTM NOPAT</t>
  </si>
  <si>
    <t>经营利润 × (1−21%)</t>
  </si>
  <si>
    <t>TTM 自由现金流</t>
  </si>
  <si>
    <t>CFO − 现金 capex</t>
  </si>
  <si>
    <t>NTM 收入（DCF 第 1 年）</t>
  </si>
  <si>
    <t>按基准情景第 1 年增速</t>
  </si>
  <si>
    <t>TTM EPS（美元）</t>
  </si>
  <si>
    <t>经营 EPS（税后经营利润/股），非 GAAP EPS</t>
  </si>
  <si>
    <t>2027E 经营EPS EPS（美元）</t>
  </si>
  <si>
    <t>本文估计/一致预期，见报告</t>
  </si>
  <si>
    <t>EV / TTM EBIT</t>
  </si>
  <si>
    <t>企业价值 / 经营利润</t>
  </si>
  <si>
    <t>P/E TTM</t>
  </si>
  <si>
    <t>价格 / TTM EPS</t>
  </si>
  <si>
    <t>P/E 前瞻</t>
  </si>
  <si>
    <t>价格 / 前瞻 EPS</t>
  </si>
  <si>
    <t>FCF 收益率</t>
  </si>
  <si>
    <t>TTM FCF / 市值</t>
  </si>
  <si>
    <t>EV / TTM FCF</t>
  </si>
  <si>
    <t>企业价值 / TTM FCF</t>
  </si>
  <si>
    <t>Capex / 收入</t>
  </si>
  <si>
    <t>TTM</t>
  </si>
  <si>
    <t>FCF / NOPAT</t>
  </si>
  <si>
    <t>现金转化率；&gt;100% 说明营运资金贡献</t>
  </si>
  <si>
    <t>股息率</t>
  </si>
  <si>
    <t>年化股息 / 价格</t>
  </si>
  <si>
    <t>情景</t>
  </si>
  <si>
    <t>每股价值（美元）</t>
  </si>
  <si>
    <t>较现价</t>
  </si>
  <si>
    <t>安全边际（1−价/值）</t>
  </si>
  <si>
    <t>10 年 IRR</t>
  </si>
  <si>
    <t>悲观</t>
  </si>
  <si>
    <t>基准</t>
  </si>
  <si>
    <t>乐观</t>
  </si>
  <si>
    <t>现价</t>
  </si>
  <si>
    <t>—</t>
  </si>
  <si>
    <t>结论与观察条件</t>
  </si>
  <si>
    <t>• 基准价值 $545，现价 $540.34；现价低于基准 0.8%。</t>
  </si>
  <si>
    <t>• 悲观 $405；基准 $545；乐观 $721；概率加权约 $538（30%/50%/20%）。</t>
  </si>
  <si>
    <t>• P/E 采用经营 EPS $22.36；GAAP EPS $39.94 含未实现投资收益，不适合估值。</t>
  </si>
  <si>
    <t>• 反推：现价隐含未来 10 年收入 CAGR 约 3.5%，基准情景约 3.5%。</t>
  </si>
  <si>
    <t>• 若要求 20% 安全边际，观察价约 $436（基准价值 × 0.8）。</t>
  </si>
  <si>
    <t>• 结论是“观察/不追高”，不是个性化买卖指令；估值对增速、利润率和 WACC 高度敏感。</t>
  </si>
  <si>
    <t>• 这不是投资建议；所有假设与数据边界见报告。</t>
  </si>
  <si>
    <t>伯克希尔五年财务与现金流（十亿美元，除每股数据）</t>
  </si>
  <si>
    <t>来源：公司 10-K/10-Q；TTM = 最近四个季度。</t>
  </si>
  <si>
    <t>2021</t>
  </si>
  <si>
    <t>2022</t>
  </si>
  <si>
    <t>2023</t>
  </si>
  <si>
    <t>2024</t>
  </si>
  <si>
    <t>2025</t>
  </si>
  <si>
    <t>收入</t>
  </si>
  <si>
    <t>年度 / TTM</t>
  </si>
  <si>
    <t>经营利润（税后）</t>
  </si>
  <si>
    <t>净利润（GAAP，含投资损益）</t>
  </si>
  <si>
    <t>经营现金流</t>
  </si>
  <si>
    <t>CFO</t>
  </si>
  <si>
    <t>资本开支（现金）</t>
  </si>
  <si>
    <t>现金 capex</t>
  </si>
  <si>
    <t>自由现金流</t>
  </si>
  <si>
    <t>CFO − capex</t>
  </si>
  <si>
    <t>每股经营利润（B 股等价，美元）</t>
  </si>
  <si>
    <t>稀释 EPS（GAAP，美元）</t>
  </si>
  <si>
    <t>稀释股数（十亿 B 股等价）</t>
  </si>
  <si>
    <t>收入增速</t>
  </si>
  <si>
    <t>经营利润率（税后）</t>
  </si>
  <si>
    <t>净利率（含投资损益）</t>
  </si>
  <si>
    <t>FCF 利润率</t>
  </si>
  <si>
    <t>关键读数</t>
  </si>
  <si>
    <t>• 2021–2025 收入从 276B 增至 371B，CAGR 约 7.7%；税后经营利润从 27.5B 增至 44.5B，CAGR 约 12.8%。</t>
  </si>
  <si>
    <t>• 2022 年 GAAP 净亏损 22.8B，完全是投资组合市值下跌；经营利润仍有 30.8B，说明两者必须分开看。</t>
  </si>
  <si>
    <t>• TTM 经营利润 48.0B，经营利润率（税后）约 12.9%；GAAP 净利 85.8B 含大量未实现投资收益。</t>
  </si>
  <si>
    <t>• TTM FCF 24.2B，capex 22.4B（占收入 6.0%）；FCF/NOPAT 约 67%，BNSF/BHE 是资本消耗大户。</t>
  </si>
  <si>
    <t>• 权益账面价值 747.9B；P/B 约 1.55x，处于历史 1.4–1.6x 区间上沿。</t>
  </si>
  <si>
    <t>伯克希尔：分部与关键运营数据</t>
  </si>
  <si>
    <t>单位：十亿美元，另有注明除外；同比为公开披露口径。</t>
  </si>
  <si>
    <t>TTM 分部经营利润</t>
  </si>
  <si>
    <t>单位：十亿美元；税后经营利润，不含投资损益。</t>
  </si>
  <si>
    <t>分部</t>
  </si>
  <si>
    <t>FY2025</t>
  </si>
  <si>
    <t>同比</t>
  </si>
  <si>
    <t>Insurance underwriting</t>
  </si>
  <si>
    <t>承保利润；周期与巨灾</t>
  </si>
  <si>
    <t>Insurance investment income</t>
  </si>
  <si>
    <t>债券利息与股息</t>
  </si>
  <si>
    <t>BNSF</t>
  </si>
  <si>
    <t>铁路；煤运下滑、消费货运强</t>
  </si>
  <si>
    <t>BHE</t>
  </si>
  <si>
    <t>公用事业与能源</t>
  </si>
  <si>
    <t>Manufacturing, service &amp; retail</t>
  </si>
  <si>
    <t>工业、建筑、零售</t>
  </si>
  <si>
    <t>Other</t>
  </si>
  <si>
    <t>含非保险业务与项目</t>
  </si>
  <si>
    <t>Total operating earnings</t>
  </si>
  <si>
    <t>TTM 经营利润 48.0B</t>
  </si>
  <si>
    <t>2026-06-30 资产负债表</t>
  </si>
  <si>
    <t>单位：十亿美元；公开披露。</t>
  </si>
  <si>
    <t>金额</t>
  </si>
  <si>
    <t>Cash + U.S. T-bills</t>
  </si>
  <si>
    <t>35.096 + 324.905</t>
  </si>
  <si>
    <t>Fixed maturity securities</t>
  </si>
  <si>
    <t>保险投资组合</t>
  </si>
  <si>
    <t>Equity securities</t>
  </si>
  <si>
    <t>按市值</t>
  </si>
  <si>
    <t>Equity method investments</t>
  </si>
  <si>
    <t>Occidental、Kraft Heinz 等</t>
  </si>
  <si>
    <t>Notes payable</t>
  </si>
  <si>
    <t>43.302 + 85.297</t>
  </si>
  <si>
    <t>Float</t>
  </si>
  <si>
    <t>保险浮存金</t>
  </si>
  <si>
    <t>Shareholders' equity</t>
  </si>
  <si>
    <t>账面价值</t>
  </si>
  <si>
    <t>解读</t>
  </si>
  <si>
    <t>• TTM 经营利润 48.0B：承保 7.38B、保险投资收益 11.99B、BNSF 5.73B、BHE 4.19B、制造/服务/零售 14.66B、其他 4.07B。</t>
  </si>
  <si>
    <t>• 保险投资收益超过承保利润，是低利率时代结束后的最大增量；浮存金 177.5B，成本为负。</t>
  </si>
  <si>
    <t>• BNSF 经营利润 5.73B（+4.7%），煤运下滑、消费货运与 intermodal 改善；资本开支大。</t>
  </si>
  <si>
    <t>• BHE 经营利润 4.19B（+5.2%），公用事业与管道；受野火诉讼与新能源投资拖累。</t>
  </si>
  <si>
    <t>• 制造/服务/零售 14.66B（+7.4%），包括 Precision Castparts、Lubrizol、Clayton 等；周期敏感。</t>
  </si>
  <si>
    <t>• 投资组合：现金+T-bills 360B、股票 324B、固定收益 17B、权益法 20B；干火药充足但收益率低。</t>
  </si>
  <si>
    <t>BRK.B TTM FCFF 桥：从经营利润到自由现金流</t>
  </si>
  <si>
    <t>单位：十亿美元；TTM = 最近四个季度；经营利润已扣除 SBC。</t>
  </si>
  <si>
    <t>说明</t>
  </si>
  <si>
    <t>经营利润（EBIT）</t>
  </si>
  <si>
    <t>有效税率</t>
  </si>
  <si>
    <t>正常化假设</t>
  </si>
  <si>
    <t>NOPAT</t>
  </si>
  <si>
    <t>EBIT × (1−税率)</t>
  </si>
  <si>
    <t>+ 折旧摊销</t>
  </si>
  <si>
    <t>+ 股权激励（SBC）</t>
  </si>
  <si>
    <t>非现金，但会稀释</t>
  </si>
  <si>
    <t>− 资本开支（现金）</t>
  </si>
  <si>
    <t>+ 营运资金及其他</t>
  </si>
  <si>
    <t>应收账款、存货、预收款等</t>
  </si>
  <si>
    <t>自由现金流（FCFF 口径）</t>
  </si>
  <si>
    <t>与报告 FCF 对齐</t>
  </si>
  <si>
    <t>报告 CFO</t>
  </si>
  <si>
    <t>与 FCFF 差 -0.01B（四舍五入/汇率）</t>
  </si>
  <si>
    <t>现金转化率</t>
  </si>
  <si>
    <t>Capex / D&amp;A</t>
  </si>
  <si>
    <t>资本开支是折旧的倍数</t>
  </si>
  <si>
    <t>• TTM NOPAT 36.0B（税前经营利润 45.6B × 79%），D&amp;A 14.0B、capex 22.4B；FCFF 24.2B。</t>
  </si>
  <si>
    <t>• 营运资金及其他 -3.4B；保险准备金与应付款波动大，单年 FCF 参考意义有限。</t>
  </si>
  <si>
    <t>• Capex/D&amp;A 1.60x，BNSF 与 BHE 是主要资本消耗者；折旧将继续上升。</t>
  </si>
  <si>
    <t>• FCF/NOPAT 67%；伯克希尔的真正价值在投资组合与浮存金，而非营运 FCF。</t>
  </si>
  <si>
    <t>三情景 FCFF DCF（未来 12 个月起算，10 年明确预测）</t>
  </si>
  <si>
    <t>单位：十亿美元，除每股数据；第 1 年约为未来四个季度；终值用永续增长。</t>
  </si>
  <si>
    <t>DCF 只覆盖营运业务；557B 净投资组合作为“净现金”计入股权价值。</t>
  </si>
  <si>
    <t>全局输入</t>
  </si>
  <si>
    <t>起始收入（TTM）</t>
  </si>
  <si>
    <t>税率</t>
  </si>
  <si>
    <t>营运资金/增量收入</t>
  </si>
  <si>
    <t>股权投资（非经营）</t>
  </si>
  <si>
    <t>股数（十亿）</t>
  </si>
  <si>
    <t>注：现金及投资组合净额 557.0 = 投资组合 720.8 − 债务 128.6，并打 6% 折扣；DCF 的 EV 仅覆盖营运业务。</t>
  </si>
  <si>
    <t>悲观情景</t>
  </si>
  <si>
    <t>WACC</t>
  </si>
  <si>
    <t>终值增长 g</t>
  </si>
  <si>
    <t>Year</t>
  </si>
  <si>
    <t>EBIT 利润率</t>
  </si>
  <si>
    <t>EBIT</t>
  </si>
  <si>
    <t>D&amp;A %</t>
  </si>
  <si>
    <t>D&amp;A</t>
  </si>
  <si>
    <t>Capex %</t>
  </si>
  <si>
    <t>Capex</t>
  </si>
  <si>
    <t>ΔNWC</t>
  </si>
  <si>
    <t>FCFF</t>
  </si>
  <si>
    <t>折现因子</t>
  </si>
  <si>
    <t>PV</t>
  </si>
  <si>
    <t>终值</t>
  </si>
  <si>
    <t>PV 终值</t>
  </si>
  <si>
    <t>EV</t>
  </si>
  <si>
    <t>− 净负债</t>
  </si>
  <si>
    <t>股权价值</t>
  </si>
  <si>
    <t>每股价值</t>
  </si>
  <si>
    <t>TV 占比 56%；终值 FCF 23.2B；终值收入 459B</t>
  </si>
  <si>
    <t>基准情景</t>
  </si>
  <si>
    <t>TV 占比 63%；终值 FCF 38.4B；终值收入 528B</t>
  </si>
  <si>
    <t>乐观情景</t>
  </si>
  <si>
    <t>TV 占比 69%；终值 FCF 53.0B；终值收入 570B</t>
  </si>
  <si>
    <t>估值敏感性：WACC、终值 capex、终值利润率</t>
  </si>
  <si>
    <t>基准情景；每股价值（美元）；由 Python 独立计算。</t>
  </si>
  <si>
    <t>终值 Capex / 收入</t>
  </si>
  <si>
    <t>终值 EBIT 利润率</t>
  </si>
  <si>
    <t>反推：现价隐含的 10 年收入 CAGR</t>
  </si>
  <si>
    <t>现价 $540.34</t>
  </si>
  <si>
    <t>基准情景 10 年 CAGR</t>
  </si>
  <si>
    <t>交叉检查：DCF、SOTP、P/B</t>
  </si>
  <si>
    <t>方法</t>
  </si>
  <si>
    <t>相对现价</t>
  </si>
  <si>
    <t>读数</t>
  </si>
  <si>
    <t>DCF（营运业务 + 投资组合）</t>
  </si>
  <si>
    <t>$545</t>
  </si>
  <si>
    <t>现价低 1%</t>
  </si>
  <si>
    <t>合理</t>
  </si>
  <si>
    <t>SOTP：投资 557 + 营运 12–13x EBIT</t>
  </si>
  <si>
    <t>$514–536</t>
  </si>
  <si>
    <t>现价高 1–5%</t>
  </si>
  <si>
    <t>大致合理</t>
  </si>
  <si>
    <t>P/B 1.55x vs 历史 1.4–1.6x</t>
  </si>
  <si>
    <t>区间上沿</t>
  </si>
  <si>
    <t>不贵不便宜</t>
  </si>
  <si>
    <t>经营 EPS 22.36 × 24x</t>
  </si>
  <si>
    <t>$537</t>
  </si>
  <si>
    <t>现价持平</t>
  </si>
  <si>
    <t>与 DCF 一致</t>
  </si>
  <si>
    <t>三种方法都指向 515–545 美元；现价 540 美元处于合理区间上沿，安全边际不足。</t>
  </si>
  <si>
    <t>数据来源与日期</t>
  </si>
  <si>
    <t>研究截止 2026-10-29；所有链接为 SEC EDGAR 或公司 IR。</t>
  </si>
  <si>
    <t>数据</t>
  </si>
  <si>
    <t>来源</t>
  </si>
  <si>
    <t>日期</t>
  </si>
  <si>
    <t>链接/备注</t>
  </si>
  <si>
    <t>2026 Q2 10-Q</t>
  </si>
  <si>
    <t>SEC EDGAR</t>
  </si>
  <si>
    <t>2026-08-10</t>
  </si>
  <si>
    <t>Accession 0001193125-26-341032；brka-20260630.htm</t>
  </si>
  <si>
    <t>2026 Q2 8-K</t>
  </si>
  <si>
    <t>2026-08-11</t>
  </si>
  <si>
    <t>Accession 0001193125-26-344495</t>
  </si>
  <si>
    <t>FY2025 10-K</t>
  </si>
  <si>
    <t>2026-03-02</t>
  </si>
  <si>
    <t>Accession 0001193125-26-083899；brka-20251231.htm</t>
  </si>
  <si>
    <t>股价</t>
  </si>
  <si>
    <t>CNBC quote API</t>
  </si>
  <si>
    <t>2026-10-28</t>
  </si>
  <si>
    <t>BRK.B 收盘 540.34 美元，-0.49%</t>
  </si>
  <si>
    <t>历史经营利润</t>
  </si>
  <si>
    <t>公司年报 / 新闻稿</t>
  </si>
  <si>
    <t>2021–2025</t>
  </si>
  <si>
    <t>27.455 / 30.793 / 37.350 / 47.437 / 44.486</t>
  </si>
  <si>
    <t>数据边界</t>
  </si>
  <si>
    <t>公司披露</t>
  </si>
  <si>
    <t>Q3 2026 未发布；使用 Q2 TTM</t>
  </si>
  <si>
    <t>免责声明：本模型为公开信息研究与教学用途，不构成投资建议，也不构成任何个性化买卖指令。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</si>
</sst>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\$#,##0.00"/>
    <numFmt numFmtId="177" formatCode="0.0000"/>
    <numFmt numFmtId="178" formatCode="#,##0.0"/>
    <numFmt numFmtId="179" formatCode="0.0&quot;x&quot;"/>
    <numFmt numFmtId="180" formatCode="0.0%"/>
    <numFmt numFmtId="181" formatCode="0.000"/>
    <numFmt numFmtId="182" formatCode="\$#,##0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  <family val="2"/>
      <charset val="134"/>
    </font>
    <font>
      <sz val="10"/>
      <color rgb="FF5B6770"/>
      <name val="Microsoft YaHei"/>
      <family val="2"/>
      <charset val="134"/>
    </font>
    <font>
      <b/>
      <sz val="11"/>
      <color rgb="FF1F2933"/>
      <name val="Microsoft YaHei"/>
      <family val="2"/>
      <charset val="134"/>
    </font>
    <font>
      <b/>
      <sz val="11"/>
      <color rgb="FFB23A2E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color rgb="FF1F2933"/>
      <name val="Microsoft YaHei"/>
      <family val="2"/>
      <charset val="134"/>
    </font>
    <font>
      <b/>
      <sz val="9"/>
      <color rgb="FF1F2933"/>
      <name val="Microsoft YaHei"/>
      <family val="2"/>
      <charset val="134"/>
    </font>
    <font>
      <b/>
      <sz val="9"/>
      <color rgb="FFB23A2E"/>
      <name val="Microsoft YaHei"/>
      <family val="2"/>
      <charset val="134"/>
    </font>
    <font>
      <sz val="10"/>
      <color rgb="FF1F2933"/>
      <name val="Microsoft YaHei"/>
      <family val="2"/>
      <charset val="134"/>
    </font>
    <font>
      <sz val="9"/>
      <color rgb="FF5B677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182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2" fillId="0" borderId="0" xfId="0" applyFont="1"/>
    <xf numFmtId="0" fontId="0" fillId="0" borderId="0" xfId="0"/>
    <xf numFmtId="0" fontId="9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BRK.B 三情景每股价值 vs 现价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结论!$B$32</c:f>
              <c:strCache>
                <c:ptCount val="1"/>
                <c:pt idx="0">
                  <c:v>每股价值（美元）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2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CEB-4C76-81CC-4F87A1A3DD99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CEB-4C76-81CC-4F87A1A3DD99}"/>
              </c:ext>
            </c:extLst>
          </c:dPt>
          <c:dPt>
            <c:idx val="2"/>
            <c:invertIfNegative val="1"/>
            <c:bubble3D val="0"/>
            <c:spPr>
              <a:solidFill>
                <a:srgbClr val="2F6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CEB-4C76-81CC-4F87A1A3DD99}"/>
              </c:ext>
            </c:extLst>
          </c:dPt>
          <c:dPt>
            <c:idx val="3"/>
            <c:invertIfNegative val="1"/>
            <c:bubble3D val="0"/>
            <c:spPr>
              <a:solidFill>
                <a:srgbClr val="1A73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CEB-4C76-81CC-4F87A1A3DD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结论!$A$33:$A$36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现价</c:v>
                </c:pt>
              </c:strCache>
            </c:strRef>
          </c:cat>
          <c:val>
            <c:numRef>
              <c:f>结论!$B$33:$B$36</c:f>
              <c:numCache>
                <c:formatCode>\$#,##0.00</c:formatCode>
                <c:ptCount val="4"/>
                <c:pt idx="0">
                  <c:v>404.93887551544458</c:v>
                </c:pt>
                <c:pt idx="1">
                  <c:v>544.87637081492869</c:v>
                </c:pt>
                <c:pt idx="2">
                  <c:v>721.32540022045907</c:v>
                </c:pt>
                <c:pt idx="3">
                  <c:v>540.34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EB-4C76-81CC-4F87A1A3DD9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zh-C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美元/股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基准情景 FCFF 路径（十亿美元）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DCF!$L$39</c:f>
              <c:strCache>
                <c:ptCount val="1"/>
                <c:pt idx="0">
                  <c:v>FCFF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DCF!$A$40:$A$49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DCF!$L$40:$L$49</c:f>
              <c:numCache>
                <c:formatCode>#,##0.0</c:formatCode>
                <c:ptCount val="10"/>
                <c:pt idx="0">
                  <c:v>28.091621875000005</c:v>
                </c:pt>
                <c:pt idx="1">
                  <c:v>29.554441481250006</c:v>
                </c:pt>
                <c:pt idx="2">
                  <c:v>31.111540614000003</c:v>
                </c:pt>
                <c:pt idx="3">
                  <c:v>32.705243571000011</c:v>
                </c:pt>
                <c:pt idx="4">
                  <c:v>33.892434560985002</c:v>
                </c:pt>
                <c:pt idx="5">
                  <c:v>35.07866977061947</c:v>
                </c:pt>
                <c:pt idx="6">
                  <c:v>35.791445371330724</c:v>
                </c:pt>
                <c:pt idx="7">
                  <c:v>36.865188732470656</c:v>
                </c:pt>
                <c:pt idx="8">
                  <c:v>37.428773399787232</c:v>
                </c:pt>
                <c:pt idx="9">
                  <c:v>38.364492734781919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41-44C8-AC7A-A5A618412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FCFF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5"/>
  <sheetViews>
    <sheetView showGridLines="0" tabSelected="1" workbookViewId="0"/>
  </sheetViews>
  <sheetFormatPr defaultRowHeight="14.4"/>
  <cols>
    <col min="1" max="1" width="30" customWidth="1"/>
    <col min="2" max="2" width="17" customWidth="1"/>
    <col min="3" max="3" width="26" customWidth="1"/>
    <col min="4" max="4" width="22" customWidth="1"/>
    <col min="5" max="5" width="14" customWidth="1"/>
  </cols>
  <sheetData>
    <row r="1" spans="1:13" ht="23.4">
      <c r="A1" s="1" t="s">
        <v>0</v>
      </c>
    </row>
    <row r="2" spans="1:13" ht="15.6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15.6">
      <c r="A3" s="27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5" spans="1:13" ht="16.2">
      <c r="A5" s="3" t="s">
        <v>3</v>
      </c>
      <c r="B5" s="4"/>
      <c r="C5" s="4"/>
      <c r="D5" s="4"/>
      <c r="E5" s="4"/>
    </row>
    <row r="6" spans="1:13" ht="54" customHeight="1">
      <c r="A6" s="30" t="s">
        <v>4</v>
      </c>
      <c r="B6" s="28"/>
      <c r="C6" s="28"/>
      <c r="D6" s="28"/>
      <c r="E6" s="28"/>
    </row>
    <row r="8" spans="1:13" ht="16.2">
      <c r="A8" s="3" t="s">
        <v>5</v>
      </c>
      <c r="B8" s="4"/>
      <c r="C8" s="4"/>
      <c r="D8" s="4"/>
      <c r="E8" s="4"/>
    </row>
    <row r="9" spans="1:13">
      <c r="A9" s="5" t="s">
        <v>6</v>
      </c>
      <c r="B9" s="5" t="s">
        <v>7</v>
      </c>
      <c r="C9" s="5" t="s">
        <v>8</v>
      </c>
    </row>
    <row r="10" spans="1:13" ht="22.95" customHeight="1">
      <c r="A10" s="6" t="s">
        <v>9</v>
      </c>
      <c r="B10" s="7">
        <v>540.34</v>
      </c>
      <c r="C10" s="8" t="s">
        <v>10</v>
      </c>
    </row>
    <row r="11" spans="1:13" ht="22.95" customHeight="1">
      <c r="A11" s="6" t="s">
        <v>11</v>
      </c>
      <c r="B11" s="9">
        <v>2.1475399999999998</v>
      </c>
      <c r="C11" s="8" t="s">
        <v>12</v>
      </c>
    </row>
    <row r="12" spans="1:13" ht="22.95" customHeight="1">
      <c r="A12" s="6" t="s">
        <v>13</v>
      </c>
      <c r="B12" s="10">
        <f>B10*B11</f>
        <v>1160.4017635999999</v>
      </c>
      <c r="C12" s="8" t="s">
        <v>14</v>
      </c>
    </row>
    <row r="13" spans="1:13" ht="22.95" customHeight="1">
      <c r="A13" s="6" t="s">
        <v>15</v>
      </c>
      <c r="B13" s="11">
        <v>-557</v>
      </c>
      <c r="C13" s="8" t="s">
        <v>16</v>
      </c>
    </row>
    <row r="14" spans="1:13" ht="22.95" customHeight="1">
      <c r="A14" s="6" t="s">
        <v>17</v>
      </c>
      <c r="B14" s="10">
        <f>B12+B13</f>
        <v>603.40176359999987</v>
      </c>
      <c r="C14" s="8" t="s">
        <v>18</v>
      </c>
    </row>
    <row r="15" spans="1:13" ht="22.95" customHeight="1">
      <c r="A15" s="6" t="s">
        <v>19</v>
      </c>
      <c r="B15" s="11">
        <v>372.5</v>
      </c>
      <c r="C15" s="8" t="s">
        <v>20</v>
      </c>
    </row>
    <row r="16" spans="1:13" ht="22.95" customHeight="1">
      <c r="A16" s="6" t="s">
        <v>21</v>
      </c>
      <c r="B16" s="11">
        <v>45.6</v>
      </c>
      <c r="C16" s="8" t="s">
        <v>22</v>
      </c>
    </row>
    <row r="17" spans="1:5" ht="22.95" customHeight="1">
      <c r="A17" s="6" t="s">
        <v>23</v>
      </c>
      <c r="B17" s="11">
        <v>36.024000000000001</v>
      </c>
      <c r="C17" s="8" t="s">
        <v>24</v>
      </c>
    </row>
    <row r="18" spans="1:5" ht="22.95" customHeight="1">
      <c r="A18" s="6" t="s">
        <v>25</v>
      </c>
      <c r="B18" s="11">
        <v>24.215</v>
      </c>
      <c r="C18" s="8" t="s">
        <v>26</v>
      </c>
    </row>
    <row r="19" spans="1:5" ht="22.95" customHeight="1">
      <c r="A19" s="6" t="s">
        <v>27</v>
      </c>
      <c r="B19" s="11">
        <v>391.1</v>
      </c>
      <c r="C19" s="8" t="s">
        <v>28</v>
      </c>
    </row>
    <row r="20" spans="1:5" ht="22.95" customHeight="1">
      <c r="A20" s="6" t="s">
        <v>29</v>
      </c>
      <c r="B20" s="12">
        <v>22.36</v>
      </c>
      <c r="C20" s="8" t="s">
        <v>30</v>
      </c>
    </row>
    <row r="21" spans="1:5" ht="22.95" customHeight="1">
      <c r="A21" s="6" t="s">
        <v>31</v>
      </c>
      <c r="B21" s="12">
        <v>23.5</v>
      </c>
      <c r="C21" s="8" t="s">
        <v>32</v>
      </c>
    </row>
    <row r="22" spans="1:5" ht="22.95" customHeight="1">
      <c r="A22" s="6" t="s">
        <v>33</v>
      </c>
      <c r="B22" s="13">
        <f>B14/B16</f>
        <v>13.232494815789471</v>
      </c>
      <c r="C22" s="8" t="s">
        <v>34</v>
      </c>
    </row>
    <row r="23" spans="1:5" ht="22.95" customHeight="1">
      <c r="A23" s="6" t="s">
        <v>35</v>
      </c>
      <c r="B23" s="13">
        <f>B10/B20</f>
        <v>24.165474060822898</v>
      </c>
      <c r="C23" s="8" t="s">
        <v>36</v>
      </c>
    </row>
    <row r="24" spans="1:5" ht="22.95" customHeight="1">
      <c r="A24" s="6" t="s">
        <v>37</v>
      </c>
      <c r="B24" s="13">
        <f>B10/B21</f>
        <v>22.993191489361703</v>
      </c>
      <c r="C24" s="8" t="s">
        <v>38</v>
      </c>
    </row>
    <row r="25" spans="1:5" ht="22.95" customHeight="1">
      <c r="A25" s="6" t="s">
        <v>39</v>
      </c>
      <c r="B25" s="14">
        <f>B18/B12</f>
        <v>2.0867772490172732E-2</v>
      </c>
      <c r="C25" s="8" t="s">
        <v>40</v>
      </c>
    </row>
    <row r="26" spans="1:5" ht="22.95" customHeight="1">
      <c r="A26" s="6" t="s">
        <v>41</v>
      </c>
      <c r="B26" s="13">
        <f>B14/B18</f>
        <v>24.918511814990701</v>
      </c>
      <c r="C26" s="8" t="s">
        <v>42</v>
      </c>
    </row>
    <row r="27" spans="1:5" ht="22.95" customHeight="1">
      <c r="A27" s="6" t="s">
        <v>43</v>
      </c>
      <c r="B27" s="15">
        <v>6.0185234899328859E-2</v>
      </c>
      <c r="C27" s="8" t="s">
        <v>44</v>
      </c>
    </row>
    <row r="28" spans="1:5" ht="22.95" customHeight="1">
      <c r="A28" s="6" t="s">
        <v>45</v>
      </c>
      <c r="B28" s="16">
        <f>B18/B17</f>
        <v>0.67219076171441261</v>
      </c>
      <c r="C28" s="8" t="s">
        <v>46</v>
      </c>
    </row>
    <row r="29" spans="1:5" ht="22.95" customHeight="1">
      <c r="A29" s="6" t="s">
        <v>47</v>
      </c>
      <c r="B29" s="17">
        <v>0</v>
      </c>
      <c r="C29" s="8" t="s">
        <v>48</v>
      </c>
    </row>
    <row r="32" spans="1:5">
      <c r="A32" s="5" t="s">
        <v>49</v>
      </c>
      <c r="B32" s="5" t="s">
        <v>50</v>
      </c>
      <c r="C32" s="5" t="s">
        <v>51</v>
      </c>
      <c r="D32" s="5" t="s">
        <v>52</v>
      </c>
      <c r="E32" s="5" t="s">
        <v>53</v>
      </c>
    </row>
    <row r="33" spans="1:5">
      <c r="A33" s="6" t="s">
        <v>54</v>
      </c>
      <c r="B33" s="7">
        <v>404.93887551544458</v>
      </c>
      <c r="C33" s="15">
        <f>B33/$B$10-1</f>
        <v>-0.25058504734899401</v>
      </c>
      <c r="D33" s="15">
        <f>1-$B$10/B33</f>
        <v>-0.3343742294740264</v>
      </c>
      <c r="E33" s="17">
        <v>5.5899999999999998E-2</v>
      </c>
    </row>
    <row r="34" spans="1:5">
      <c r="A34" s="18" t="s">
        <v>55</v>
      </c>
      <c r="B34" s="19">
        <v>544.87637081492869</v>
      </c>
      <c r="C34" s="15">
        <f>B34/$B$10-1</f>
        <v>8.3954007012780885E-3</v>
      </c>
      <c r="D34" s="15">
        <f>1-$B$10/B34</f>
        <v>8.3255047528377757E-3</v>
      </c>
      <c r="E34" s="17">
        <v>7.8799999999999995E-2</v>
      </c>
    </row>
    <row r="35" spans="1:5">
      <c r="A35" s="6" t="s">
        <v>56</v>
      </c>
      <c r="B35" s="7">
        <v>721.32540022045907</v>
      </c>
      <c r="C35" s="15">
        <f>B35/$B$10-1</f>
        <v>0.3349472558397657</v>
      </c>
      <c r="D35" s="15">
        <f>1-$B$10/B35</f>
        <v>0.25090673386122875</v>
      </c>
      <c r="E35" s="17">
        <v>9.7500000000000003E-2</v>
      </c>
    </row>
    <row r="36" spans="1:5">
      <c r="A36" s="20" t="s">
        <v>57</v>
      </c>
      <c r="B36" s="21">
        <v>540.34</v>
      </c>
      <c r="C36" s="15">
        <v>0</v>
      </c>
      <c r="D36" s="15">
        <v>0</v>
      </c>
      <c r="E36" s="22" t="s">
        <v>58</v>
      </c>
    </row>
    <row r="38" spans="1:5" ht="16.2">
      <c r="A38" s="3" t="s">
        <v>59</v>
      </c>
      <c r="B38" s="4"/>
      <c r="C38" s="4"/>
      <c r="D38" s="4"/>
      <c r="E38" s="4"/>
    </row>
    <row r="39" spans="1:5" ht="28.05" customHeight="1">
      <c r="A39" s="29" t="s">
        <v>60</v>
      </c>
      <c r="B39" s="28"/>
      <c r="C39" s="28"/>
      <c r="D39" s="28"/>
      <c r="E39" s="28"/>
    </row>
    <row r="40" spans="1:5" ht="28.05" customHeight="1">
      <c r="A40" s="29" t="s">
        <v>61</v>
      </c>
      <c r="B40" s="28"/>
      <c r="C40" s="28"/>
      <c r="D40" s="28"/>
      <c r="E40" s="28"/>
    </row>
    <row r="41" spans="1:5" ht="28.05" customHeight="1">
      <c r="A41" s="29" t="s">
        <v>62</v>
      </c>
      <c r="B41" s="28"/>
      <c r="C41" s="28"/>
      <c r="D41" s="28"/>
      <c r="E41" s="28"/>
    </row>
    <row r="42" spans="1:5" ht="28.05" customHeight="1">
      <c r="A42" s="29" t="s">
        <v>63</v>
      </c>
      <c r="B42" s="28"/>
      <c r="C42" s="28"/>
      <c r="D42" s="28"/>
      <c r="E42" s="28"/>
    </row>
    <row r="43" spans="1:5" ht="28.05" customHeight="1">
      <c r="A43" s="29" t="s">
        <v>64</v>
      </c>
      <c r="B43" s="28"/>
      <c r="C43" s="28"/>
      <c r="D43" s="28"/>
      <c r="E43" s="28"/>
    </row>
    <row r="44" spans="1:5" ht="28.05" customHeight="1">
      <c r="A44" s="29" t="s">
        <v>65</v>
      </c>
      <c r="B44" s="28"/>
      <c r="C44" s="28"/>
      <c r="D44" s="28"/>
      <c r="E44" s="28"/>
    </row>
    <row r="45" spans="1:5" ht="28.05" customHeight="1">
      <c r="A45" s="29" t="s">
        <v>66</v>
      </c>
      <c r="B45" s="28"/>
      <c r="C45" s="28"/>
      <c r="D45" s="28"/>
      <c r="E45" s="28"/>
    </row>
  </sheetData>
  <mergeCells count="10">
    <mergeCell ref="A3:M3"/>
    <mergeCell ref="A45:E45"/>
    <mergeCell ref="A44:E44"/>
    <mergeCell ref="A6:E6"/>
    <mergeCell ref="A2:M2"/>
    <mergeCell ref="A39:E39"/>
    <mergeCell ref="A43:E43"/>
    <mergeCell ref="A42:E42"/>
    <mergeCell ref="A41:E41"/>
    <mergeCell ref="A40:E40"/>
  </mergeCells>
  <phoneticPr fontId="11" type="noConversion"/>
  <pageMargins left="0.25" right="0.25" top="0.35" bottom="0.35" header="0.15" footer="0.1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"/>
  <sheetViews>
    <sheetView showGridLines="0" workbookViewId="0"/>
  </sheetViews>
  <sheetFormatPr defaultRowHeight="14.4"/>
  <cols>
    <col min="1" max="1" width="30" customWidth="1"/>
    <col min="2" max="6" width="11" customWidth="1"/>
    <col min="7" max="7" width="12" customWidth="1"/>
    <col min="8" max="8" width="34" customWidth="1"/>
  </cols>
  <sheetData>
    <row r="1" spans="1:8" ht="23.4">
      <c r="A1" s="1" t="s">
        <v>67</v>
      </c>
    </row>
    <row r="2" spans="1:8" ht="15.6">
      <c r="A2" s="27" t="s">
        <v>68</v>
      </c>
      <c r="B2" s="28"/>
      <c r="C2" s="28"/>
      <c r="D2" s="28"/>
      <c r="E2" s="28"/>
      <c r="F2" s="28"/>
      <c r="G2" s="28"/>
      <c r="H2" s="28"/>
    </row>
    <row r="4" spans="1:8">
      <c r="A4" s="5" t="s">
        <v>6</v>
      </c>
      <c r="B4" s="5" t="s">
        <v>69</v>
      </c>
      <c r="C4" s="5" t="s">
        <v>70</v>
      </c>
      <c r="D4" s="5" t="s">
        <v>71</v>
      </c>
      <c r="E4" s="5" t="s">
        <v>72</v>
      </c>
      <c r="F4" s="5" t="s">
        <v>73</v>
      </c>
      <c r="G4" s="5" t="s">
        <v>44</v>
      </c>
      <c r="H4" s="5" t="s">
        <v>8</v>
      </c>
    </row>
    <row r="5" spans="1:8">
      <c r="A5" s="6" t="s">
        <v>74</v>
      </c>
      <c r="B5" s="11">
        <v>276.185</v>
      </c>
      <c r="C5" s="11">
        <v>302.02</v>
      </c>
      <c r="D5" s="11">
        <v>364.48200000000003</v>
      </c>
      <c r="E5" s="11">
        <v>371.43299999999999</v>
      </c>
      <c r="F5" s="11">
        <v>371.44400000000002</v>
      </c>
      <c r="G5" s="11">
        <v>384.68700000000001</v>
      </c>
      <c r="H5" s="8" t="s">
        <v>75</v>
      </c>
    </row>
    <row r="6" spans="1:8">
      <c r="A6" s="6" t="s">
        <v>76</v>
      </c>
      <c r="B6" s="11">
        <v>27.454999999999998</v>
      </c>
      <c r="C6" s="11">
        <v>30.792999999999999</v>
      </c>
      <c r="D6" s="11">
        <v>37.35</v>
      </c>
      <c r="E6" s="11">
        <v>47.436999999999998</v>
      </c>
      <c r="F6" s="11">
        <v>44.485999999999997</v>
      </c>
      <c r="G6" s="11">
        <v>48.014000000000003</v>
      </c>
      <c r="H6" s="8"/>
    </row>
    <row r="7" spans="1:8">
      <c r="A7" s="6" t="s">
        <v>77</v>
      </c>
      <c r="B7" s="11">
        <v>89.936999999999998</v>
      </c>
      <c r="C7" s="11">
        <v>-22.759</v>
      </c>
      <c r="D7" s="11">
        <v>96.222999999999999</v>
      </c>
      <c r="E7" s="11">
        <v>88.995000000000005</v>
      </c>
      <c r="F7" s="11">
        <v>66.968000000000004</v>
      </c>
      <c r="G7" s="11">
        <v>85.768000000000001</v>
      </c>
      <c r="H7" s="8"/>
    </row>
    <row r="8" spans="1:8">
      <c r="A8" s="6" t="s">
        <v>78</v>
      </c>
      <c r="B8" s="11">
        <v>39.427</v>
      </c>
      <c r="C8" s="11">
        <v>37.35</v>
      </c>
      <c r="D8" s="11">
        <v>49.195999999999998</v>
      </c>
      <c r="E8" s="11">
        <v>30.591999999999999</v>
      </c>
      <c r="F8" s="11">
        <v>45.969000000000001</v>
      </c>
      <c r="G8" s="11">
        <v>46.634</v>
      </c>
      <c r="H8" s="8" t="s">
        <v>79</v>
      </c>
    </row>
    <row r="9" spans="1:8">
      <c r="A9" s="6" t="s">
        <v>80</v>
      </c>
      <c r="B9" s="11">
        <v>13.276</v>
      </c>
      <c r="C9" s="11">
        <v>15.464</v>
      </c>
      <c r="D9" s="11">
        <v>19.408999999999999</v>
      </c>
      <c r="E9" s="11">
        <v>18.975999999999999</v>
      </c>
      <c r="F9" s="11">
        <v>20.927</v>
      </c>
      <c r="G9" s="11">
        <v>22.419</v>
      </c>
      <c r="H9" s="8" t="s">
        <v>81</v>
      </c>
    </row>
    <row r="10" spans="1:8">
      <c r="A10" s="6" t="s">
        <v>82</v>
      </c>
      <c r="B10" s="11">
        <v>26.151</v>
      </c>
      <c r="C10" s="11">
        <v>21.885999999999999</v>
      </c>
      <c r="D10" s="11">
        <v>29.786999999999999</v>
      </c>
      <c r="E10" s="11">
        <v>11.616</v>
      </c>
      <c r="F10" s="11">
        <v>25.042000000000002</v>
      </c>
      <c r="G10" s="11">
        <v>24.215</v>
      </c>
      <c r="H10" s="8" t="s">
        <v>83</v>
      </c>
    </row>
    <row r="11" spans="1:8">
      <c r="A11" s="6" t="s">
        <v>84</v>
      </c>
      <c r="B11" s="11">
        <v>12.26</v>
      </c>
      <c r="C11" s="11">
        <v>13.93</v>
      </c>
      <c r="D11" s="11">
        <v>17.21</v>
      </c>
      <c r="E11" s="11">
        <v>21.96</v>
      </c>
      <c r="F11" s="11">
        <v>20.69</v>
      </c>
      <c r="G11" s="11">
        <v>22.36</v>
      </c>
      <c r="H11" s="8"/>
    </row>
    <row r="12" spans="1:8">
      <c r="A12" s="6" t="s">
        <v>85</v>
      </c>
      <c r="B12" s="12">
        <v>40.15</v>
      </c>
      <c r="C12" s="12">
        <v>-10.3</v>
      </c>
      <c r="D12" s="12">
        <v>44.34</v>
      </c>
      <c r="E12" s="12">
        <v>41.2</v>
      </c>
      <c r="F12" s="12">
        <v>31.15</v>
      </c>
      <c r="G12" s="12">
        <v>39.94</v>
      </c>
      <c r="H12" s="8"/>
    </row>
    <row r="13" spans="1:8">
      <c r="A13" s="6" t="s">
        <v>86</v>
      </c>
      <c r="B13" s="23">
        <v>2.2400000000000002</v>
      </c>
      <c r="C13" s="23">
        <v>2.21</v>
      </c>
      <c r="D13" s="23">
        <v>2.17</v>
      </c>
      <c r="E13" s="23">
        <v>2.16</v>
      </c>
      <c r="F13" s="23">
        <v>2.15</v>
      </c>
      <c r="G13" s="23">
        <v>2.1475399999999998</v>
      </c>
      <c r="H13" s="8"/>
    </row>
    <row r="15" spans="1:8">
      <c r="A15" s="6" t="s">
        <v>87</v>
      </c>
      <c r="C15" s="15">
        <f>C5/B5-1</f>
        <v>9.3542371960823267E-2</v>
      </c>
      <c r="D15" s="15">
        <f>D5/C5-1</f>
        <v>0.20681411827031337</v>
      </c>
      <c r="E15" s="15">
        <f>E5/D5-1</f>
        <v>1.9070900620606679E-2</v>
      </c>
      <c r="F15" s="15">
        <f>F5/E5-1</f>
        <v>2.9615031513108292E-5</v>
      </c>
      <c r="G15" s="15">
        <f>G5/F5-1</f>
        <v>3.5652749808854134E-2</v>
      </c>
    </row>
    <row r="16" spans="1:8">
      <c r="A16" s="6" t="s">
        <v>88</v>
      </c>
      <c r="B16" s="15">
        <f t="shared" ref="B16:G16" si="0">B6/B5</f>
        <v>9.9408005503557398E-2</v>
      </c>
      <c r="C16" s="15">
        <f t="shared" si="0"/>
        <v>0.10195682405138733</v>
      </c>
      <c r="D16" s="15">
        <f t="shared" si="0"/>
        <v>0.10247419625660525</v>
      </c>
      <c r="E16" s="15">
        <f t="shared" si="0"/>
        <v>0.12771347726238649</v>
      </c>
      <c r="F16" s="15">
        <f t="shared" si="0"/>
        <v>0.11976502514510934</v>
      </c>
      <c r="G16" s="15">
        <f t="shared" si="0"/>
        <v>0.12481315978964717</v>
      </c>
    </row>
    <row r="17" spans="1:8">
      <c r="A17" s="6" t="s">
        <v>89</v>
      </c>
      <c r="B17" s="15">
        <f t="shared" ref="B17:G17" si="1">B7/B5</f>
        <v>0.32564042218078459</v>
      </c>
      <c r="C17" s="15">
        <f t="shared" si="1"/>
        <v>-7.535593669293425E-2</v>
      </c>
      <c r="D17" s="15">
        <f t="shared" si="1"/>
        <v>0.26399931958231132</v>
      </c>
      <c r="E17" s="15">
        <f t="shared" si="1"/>
        <v>0.23959906631882469</v>
      </c>
      <c r="F17" s="15">
        <f t="shared" si="1"/>
        <v>0.18029097252883342</v>
      </c>
      <c r="G17" s="15">
        <f t="shared" si="1"/>
        <v>0.22295528572579784</v>
      </c>
    </row>
    <row r="18" spans="1:8">
      <c r="A18" s="6" t="s">
        <v>90</v>
      </c>
      <c r="B18" s="15">
        <f t="shared" ref="B18:G18" si="2">B10/B5</f>
        <v>9.4686532577801116E-2</v>
      </c>
      <c r="C18" s="15">
        <f t="shared" si="2"/>
        <v>7.2465399642407793E-2</v>
      </c>
      <c r="D18" s="15">
        <f t="shared" si="2"/>
        <v>8.172420037203483E-2</v>
      </c>
      <c r="E18" s="15">
        <f t="shared" si="2"/>
        <v>3.1273473277818611E-2</v>
      </c>
      <c r="F18" s="15">
        <f t="shared" si="2"/>
        <v>6.7417968792065561E-2</v>
      </c>
      <c r="G18" s="15">
        <f t="shared" si="2"/>
        <v>6.2947279216609864E-2</v>
      </c>
    </row>
    <row r="19" spans="1:8">
      <c r="A19" s="6" t="s">
        <v>43</v>
      </c>
      <c r="B19" s="15">
        <f t="shared" ref="B19:G20" si="3">B9/B5</f>
        <v>4.8069228958850047E-2</v>
      </c>
      <c r="C19" s="15">
        <f t="shared" si="3"/>
        <v>5.1201907158466328E-2</v>
      </c>
      <c r="D19" s="15">
        <f t="shared" si="3"/>
        <v>5.3250914997174062E-2</v>
      </c>
      <c r="E19" s="15">
        <f t="shared" si="3"/>
        <v>5.1088621635665112E-2</v>
      </c>
      <c r="F19" s="15">
        <f t="shared" si="3"/>
        <v>5.633958281732912E-2</v>
      </c>
      <c r="G19" s="15">
        <f t="shared" si="3"/>
        <v>5.8278548534262918E-2</v>
      </c>
    </row>
    <row r="20" spans="1:8">
      <c r="A20" s="6" t="s">
        <v>45</v>
      </c>
      <c r="B20" s="15">
        <f t="shared" si="3"/>
        <v>0.95250409761427801</v>
      </c>
      <c r="C20" s="15">
        <f t="shared" si="3"/>
        <v>0.71074594875458708</v>
      </c>
      <c r="D20" s="15">
        <f t="shared" si="3"/>
        <v>0.79751004016064253</v>
      </c>
      <c r="E20" s="15">
        <f t="shared" si="3"/>
        <v>0.24487214621497988</v>
      </c>
      <c r="F20" s="15">
        <f t="shared" si="3"/>
        <v>0.56291867104257531</v>
      </c>
      <c r="G20" s="15">
        <f t="shared" si="3"/>
        <v>0.50433206981297118</v>
      </c>
    </row>
    <row r="22" spans="1:8" ht="16.2">
      <c r="A22" s="3" t="s">
        <v>91</v>
      </c>
      <c r="B22" s="4"/>
      <c r="C22" s="4"/>
      <c r="D22" s="4"/>
      <c r="E22" s="4"/>
      <c r="F22" s="4"/>
      <c r="G22" s="4"/>
      <c r="H22" s="4"/>
    </row>
    <row r="23" spans="1:8" ht="30" customHeight="1">
      <c r="A23" s="29" t="s">
        <v>92</v>
      </c>
      <c r="B23" s="28"/>
      <c r="C23" s="28"/>
      <c r="D23" s="28"/>
      <c r="E23" s="28"/>
      <c r="F23" s="28"/>
      <c r="G23" s="28"/>
      <c r="H23" s="28"/>
    </row>
    <row r="24" spans="1:8" ht="30" customHeight="1">
      <c r="A24" s="29" t="s">
        <v>93</v>
      </c>
      <c r="B24" s="28"/>
      <c r="C24" s="28"/>
      <c r="D24" s="28"/>
      <c r="E24" s="28"/>
      <c r="F24" s="28"/>
      <c r="G24" s="28"/>
      <c r="H24" s="28"/>
    </row>
    <row r="25" spans="1:8" ht="30" customHeight="1">
      <c r="A25" s="29" t="s">
        <v>94</v>
      </c>
      <c r="B25" s="28"/>
      <c r="C25" s="28"/>
      <c r="D25" s="28"/>
      <c r="E25" s="28"/>
      <c r="F25" s="28"/>
      <c r="G25" s="28"/>
      <c r="H25" s="28"/>
    </row>
    <row r="26" spans="1:8" ht="30" customHeight="1">
      <c r="A26" s="29" t="s">
        <v>95</v>
      </c>
      <c r="B26" s="28"/>
      <c r="C26" s="28"/>
      <c r="D26" s="28"/>
      <c r="E26" s="28"/>
      <c r="F26" s="28"/>
      <c r="G26" s="28"/>
      <c r="H26" s="28"/>
    </row>
    <row r="27" spans="1:8" ht="30" customHeight="1">
      <c r="A27" s="29" t="s">
        <v>96</v>
      </c>
      <c r="B27" s="28"/>
      <c r="C27" s="28"/>
      <c r="D27" s="28"/>
      <c r="E27" s="28"/>
      <c r="F27" s="28"/>
      <c r="G27" s="28"/>
      <c r="H27" s="28"/>
    </row>
  </sheetData>
  <mergeCells count="6">
    <mergeCell ref="A27:H27"/>
    <mergeCell ref="A26:H26"/>
    <mergeCell ref="A25:H25"/>
    <mergeCell ref="A24:H24"/>
    <mergeCell ref="A2:H2"/>
    <mergeCell ref="A23:H23"/>
  </mergeCells>
  <phoneticPr fontId="11" type="noConversion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4"/>
  <sheetViews>
    <sheetView showGridLines="0" workbookViewId="0"/>
  </sheetViews>
  <sheetFormatPr defaultRowHeight="14.4"/>
  <cols>
    <col min="1" max="1" width="32" customWidth="1"/>
    <col min="2" max="3" width="15" customWidth="1"/>
    <col min="4" max="4" width="14" customWidth="1"/>
    <col min="5" max="5" width="40" customWidth="1"/>
    <col min="6" max="6" width="20" customWidth="1"/>
  </cols>
  <sheetData>
    <row r="1" spans="1:6" ht="23.4">
      <c r="A1" s="1" t="s">
        <v>97</v>
      </c>
    </row>
    <row r="2" spans="1:6" ht="15.6">
      <c r="A2" s="27" t="s">
        <v>98</v>
      </c>
      <c r="B2" s="28"/>
      <c r="C2" s="28"/>
      <c r="D2" s="28"/>
      <c r="E2" s="28"/>
      <c r="F2" s="28"/>
    </row>
    <row r="4" spans="1:6" ht="16.2">
      <c r="A4" s="3" t="s">
        <v>99</v>
      </c>
      <c r="B4" s="4"/>
      <c r="C4" s="4"/>
      <c r="D4" s="4"/>
      <c r="E4" s="4"/>
      <c r="F4" s="4"/>
    </row>
    <row r="5" spans="1:6" ht="15.6">
      <c r="A5" s="2" t="s">
        <v>100</v>
      </c>
    </row>
    <row r="6" spans="1:6">
      <c r="A6" s="5" t="s">
        <v>101</v>
      </c>
      <c r="B6" s="5" t="s">
        <v>44</v>
      </c>
      <c r="C6" s="5" t="s">
        <v>102</v>
      </c>
      <c r="D6" s="5" t="s">
        <v>103</v>
      </c>
      <c r="E6" s="5" t="s">
        <v>8</v>
      </c>
    </row>
    <row r="7" spans="1:6">
      <c r="A7" s="6" t="s">
        <v>104</v>
      </c>
      <c r="B7" s="11">
        <v>7.3780000000000001</v>
      </c>
      <c r="C7" s="11">
        <v>7.258</v>
      </c>
      <c r="D7" s="15">
        <v>1.7000000000000001E-2</v>
      </c>
      <c r="E7" s="6" t="s">
        <v>105</v>
      </c>
    </row>
    <row r="8" spans="1:6">
      <c r="A8" s="6" t="s">
        <v>106</v>
      </c>
      <c r="B8" s="11">
        <v>11.991</v>
      </c>
      <c r="C8" s="11">
        <v>12.513</v>
      </c>
      <c r="D8" s="15">
        <v>-4.2000000000000003E-2</v>
      </c>
      <c r="E8" s="6" t="s">
        <v>107</v>
      </c>
    </row>
    <row r="9" spans="1:6">
      <c r="A9" s="6" t="s">
        <v>108</v>
      </c>
      <c r="B9" s="11">
        <v>5.7309999999999999</v>
      </c>
      <c r="C9" s="11">
        <v>5.476</v>
      </c>
      <c r="D9" s="15">
        <v>4.7E-2</v>
      </c>
      <c r="E9" s="6" t="s">
        <v>109</v>
      </c>
    </row>
    <row r="10" spans="1:6">
      <c r="A10" s="6" t="s">
        <v>110</v>
      </c>
      <c r="B10" s="11">
        <v>4.1849999999999996</v>
      </c>
      <c r="C10" s="11">
        <v>3.9790000000000001</v>
      </c>
      <c r="D10" s="15">
        <v>5.1999999999999998E-2</v>
      </c>
      <c r="E10" s="6" t="s">
        <v>111</v>
      </c>
    </row>
    <row r="11" spans="1:6">
      <c r="A11" s="6" t="s">
        <v>112</v>
      </c>
      <c r="B11" s="11">
        <v>14.654999999999999</v>
      </c>
      <c r="C11" s="11">
        <v>13.647</v>
      </c>
      <c r="D11" s="15">
        <v>7.3999999999999996E-2</v>
      </c>
      <c r="E11" s="6" t="s">
        <v>113</v>
      </c>
    </row>
    <row r="12" spans="1:6">
      <c r="A12" s="6" t="s">
        <v>114</v>
      </c>
      <c r="B12" s="11">
        <v>4.0739999999999998</v>
      </c>
      <c r="C12" s="11">
        <v>1.613</v>
      </c>
      <c r="D12" s="15">
        <v>1.526</v>
      </c>
      <c r="E12" s="6" t="s">
        <v>115</v>
      </c>
    </row>
    <row r="13" spans="1:6">
      <c r="A13" s="18" t="s">
        <v>116</v>
      </c>
      <c r="B13" s="11">
        <v>48.014000000000003</v>
      </c>
      <c r="C13" s="11">
        <v>44.485999999999997</v>
      </c>
      <c r="D13" s="15">
        <v>7.9000000000000001E-2</v>
      </c>
      <c r="E13" s="6" t="s">
        <v>117</v>
      </c>
    </row>
    <row r="16" spans="1:6" ht="16.2">
      <c r="A16" s="3" t="s">
        <v>118</v>
      </c>
      <c r="B16" s="4"/>
      <c r="C16" s="4"/>
      <c r="D16" s="4"/>
      <c r="E16" s="4"/>
      <c r="F16" s="4"/>
    </row>
    <row r="17" spans="1:6" ht="15.6">
      <c r="A17" s="2" t="s">
        <v>119</v>
      </c>
    </row>
    <row r="18" spans="1:6">
      <c r="A18" s="5" t="s">
        <v>6</v>
      </c>
      <c r="B18" s="5" t="s">
        <v>120</v>
      </c>
      <c r="C18" s="5" t="s">
        <v>8</v>
      </c>
      <c r="D18" s="5"/>
      <c r="E18" s="5"/>
    </row>
    <row r="19" spans="1:6">
      <c r="A19" s="6" t="s">
        <v>121</v>
      </c>
      <c r="B19" s="11">
        <v>359.99900000000002</v>
      </c>
      <c r="C19" s="6" t="s">
        <v>122</v>
      </c>
      <c r="D19" s="6"/>
      <c r="E19" s="6"/>
    </row>
    <row r="20" spans="1:6">
      <c r="A20" s="6" t="s">
        <v>123</v>
      </c>
      <c r="B20" s="11">
        <v>17.033999999999999</v>
      </c>
      <c r="C20" s="6" t="s">
        <v>124</v>
      </c>
      <c r="D20" s="6"/>
      <c r="E20" s="6"/>
    </row>
    <row r="21" spans="1:6">
      <c r="A21" s="6" t="s">
        <v>125</v>
      </c>
      <c r="B21" s="11">
        <v>323.779</v>
      </c>
      <c r="C21" s="6" t="s">
        <v>126</v>
      </c>
      <c r="D21" s="6"/>
      <c r="E21" s="6"/>
    </row>
    <row r="22" spans="1:6">
      <c r="A22" s="6" t="s">
        <v>127</v>
      </c>
      <c r="B22" s="11">
        <v>19.948</v>
      </c>
      <c r="C22" s="6" t="s">
        <v>128</v>
      </c>
      <c r="D22" s="6"/>
      <c r="E22" s="6"/>
    </row>
    <row r="23" spans="1:6">
      <c r="A23" s="6" t="s">
        <v>129</v>
      </c>
      <c r="B23" s="11">
        <v>128.59899999999999</v>
      </c>
      <c r="C23" s="6" t="s">
        <v>130</v>
      </c>
      <c r="D23" s="6"/>
      <c r="E23" s="6"/>
    </row>
    <row r="24" spans="1:6">
      <c r="A24" s="6" t="s">
        <v>131</v>
      </c>
      <c r="B24" s="11">
        <v>177.5</v>
      </c>
      <c r="C24" s="6" t="s">
        <v>132</v>
      </c>
      <c r="D24" s="6"/>
      <c r="E24" s="6"/>
    </row>
    <row r="25" spans="1:6">
      <c r="A25" s="6" t="s">
        <v>133</v>
      </c>
      <c r="B25" s="11">
        <v>747.91</v>
      </c>
      <c r="C25" s="6" t="s">
        <v>134</v>
      </c>
      <c r="D25" s="6"/>
      <c r="E25" s="6"/>
    </row>
    <row r="28" spans="1:6" ht="16.2">
      <c r="A28" s="3" t="s">
        <v>135</v>
      </c>
      <c r="B28" s="4"/>
      <c r="C28" s="4"/>
      <c r="D28" s="4"/>
      <c r="E28" s="4"/>
      <c r="F28" s="4"/>
    </row>
    <row r="29" spans="1:6" ht="30" customHeight="1">
      <c r="A29" s="29" t="s">
        <v>136</v>
      </c>
      <c r="B29" s="28"/>
      <c r="C29" s="28"/>
      <c r="D29" s="28"/>
      <c r="E29" s="28"/>
      <c r="F29" s="28"/>
    </row>
    <row r="30" spans="1:6" ht="30" customHeight="1">
      <c r="A30" s="29" t="s">
        <v>137</v>
      </c>
      <c r="B30" s="28"/>
      <c r="C30" s="28"/>
      <c r="D30" s="28"/>
      <c r="E30" s="28"/>
      <c r="F30" s="28"/>
    </row>
    <row r="31" spans="1:6" ht="30" customHeight="1">
      <c r="A31" s="29" t="s">
        <v>138</v>
      </c>
      <c r="B31" s="28"/>
      <c r="C31" s="28"/>
      <c r="D31" s="28"/>
      <c r="E31" s="28"/>
      <c r="F31" s="28"/>
    </row>
    <row r="32" spans="1:6" ht="30" customHeight="1">
      <c r="A32" s="29" t="s">
        <v>139</v>
      </c>
      <c r="B32" s="28"/>
      <c r="C32" s="28"/>
      <c r="D32" s="28"/>
      <c r="E32" s="28"/>
      <c r="F32" s="28"/>
    </row>
    <row r="33" spans="1:6" ht="30" customHeight="1">
      <c r="A33" s="29" t="s">
        <v>140</v>
      </c>
      <c r="B33" s="28"/>
      <c r="C33" s="28"/>
      <c r="D33" s="28"/>
      <c r="E33" s="28"/>
      <c r="F33" s="28"/>
    </row>
    <row r="34" spans="1:6" ht="30" customHeight="1">
      <c r="A34" s="29" t="s">
        <v>141</v>
      </c>
      <c r="B34" s="28"/>
      <c r="C34" s="28"/>
      <c r="D34" s="28"/>
      <c r="E34" s="28"/>
      <c r="F34" s="28"/>
    </row>
  </sheetData>
  <mergeCells count="7">
    <mergeCell ref="A33:F33"/>
    <mergeCell ref="A2:F2"/>
    <mergeCell ref="A32:F32"/>
    <mergeCell ref="A31:F31"/>
    <mergeCell ref="A34:F34"/>
    <mergeCell ref="A30:F30"/>
    <mergeCell ref="A29:F29"/>
  </mergeCells>
  <phoneticPr fontId="11" type="noConversion"/>
  <pageMargins left="0.25" right="0.25" top="0.35" bottom="0.3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4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60" customWidth="1"/>
  </cols>
  <sheetData>
    <row r="1" spans="1:3" ht="23.4">
      <c r="A1" s="1" t="s">
        <v>142</v>
      </c>
    </row>
    <row r="2" spans="1:3" ht="15.6">
      <c r="A2" s="27" t="s">
        <v>143</v>
      </c>
      <c r="B2" s="28"/>
      <c r="C2" s="28"/>
    </row>
    <row r="4" spans="1:3">
      <c r="A4" s="5" t="s">
        <v>6</v>
      </c>
      <c r="B4" s="5" t="s">
        <v>7</v>
      </c>
      <c r="C4" s="5" t="s">
        <v>144</v>
      </c>
    </row>
    <row r="5" spans="1:3">
      <c r="A5" s="6" t="s">
        <v>145</v>
      </c>
      <c r="B5" s="11">
        <v>45.6</v>
      </c>
      <c r="C5" s="8" t="s">
        <v>44</v>
      </c>
    </row>
    <row r="6" spans="1:3">
      <c r="A6" s="6" t="s">
        <v>146</v>
      </c>
      <c r="B6" s="15">
        <v>0.21</v>
      </c>
      <c r="C6" s="8" t="s">
        <v>147</v>
      </c>
    </row>
    <row r="7" spans="1:3">
      <c r="A7" s="6" t="s">
        <v>148</v>
      </c>
      <c r="B7" s="10">
        <f>B5*(1-B6)</f>
        <v>36.024000000000001</v>
      </c>
      <c r="C7" s="8" t="s">
        <v>149</v>
      </c>
    </row>
    <row r="8" spans="1:3">
      <c r="A8" s="6" t="s">
        <v>150</v>
      </c>
      <c r="B8" s="11">
        <v>14</v>
      </c>
      <c r="C8" s="8" t="s">
        <v>44</v>
      </c>
    </row>
    <row r="9" spans="1:3">
      <c r="A9" s="6" t="s">
        <v>151</v>
      </c>
      <c r="B9" s="11">
        <v>0</v>
      </c>
      <c r="C9" s="8" t="s">
        <v>152</v>
      </c>
    </row>
    <row r="10" spans="1:3">
      <c r="A10" s="6" t="s">
        <v>153</v>
      </c>
      <c r="B10" s="11">
        <v>22.419</v>
      </c>
      <c r="C10" s="8" t="s">
        <v>44</v>
      </c>
    </row>
    <row r="11" spans="1:3">
      <c r="A11" s="6" t="s">
        <v>154</v>
      </c>
      <c r="B11" s="11">
        <v>-3.3780000000000001</v>
      </c>
      <c r="C11" s="8" t="s">
        <v>155</v>
      </c>
    </row>
    <row r="12" spans="1:3">
      <c r="A12" s="18" t="s">
        <v>156</v>
      </c>
      <c r="B12" s="10">
        <f>B7+B8+B9-B10+B11</f>
        <v>24.227</v>
      </c>
      <c r="C12" s="8" t="s">
        <v>157</v>
      </c>
    </row>
    <row r="13" spans="1:3">
      <c r="A13" s="6" t="s">
        <v>158</v>
      </c>
      <c r="B13" s="11">
        <v>46.634</v>
      </c>
      <c r="C13" s="8" t="s">
        <v>44</v>
      </c>
    </row>
    <row r="14" spans="1:3">
      <c r="A14" s="6" t="s">
        <v>153</v>
      </c>
      <c r="B14" s="11">
        <v>22.419</v>
      </c>
      <c r="C14" s="8" t="s">
        <v>44</v>
      </c>
    </row>
    <row r="15" spans="1:3">
      <c r="A15" s="18" t="s">
        <v>26</v>
      </c>
      <c r="B15" s="10">
        <f>B13-B14</f>
        <v>24.215</v>
      </c>
      <c r="C15" s="8" t="s">
        <v>159</v>
      </c>
    </row>
    <row r="16" spans="1:3">
      <c r="A16" s="6" t="s">
        <v>45</v>
      </c>
      <c r="B16" s="16">
        <f>B12/B7</f>
        <v>0.67252387297357319</v>
      </c>
      <c r="C16" s="8" t="s">
        <v>160</v>
      </c>
    </row>
    <row r="17" spans="1:3">
      <c r="A17" s="6" t="s">
        <v>43</v>
      </c>
      <c r="B17" s="16">
        <f>B10/372.5</f>
        <v>6.0185234899328859E-2</v>
      </c>
      <c r="C17" s="8" t="s">
        <v>44</v>
      </c>
    </row>
    <row r="18" spans="1:3">
      <c r="A18" s="6" t="s">
        <v>161</v>
      </c>
      <c r="B18" s="13">
        <f>B10/B8</f>
        <v>1.6013571428571429</v>
      </c>
      <c r="C18" s="8" t="s">
        <v>162</v>
      </c>
    </row>
    <row r="20" spans="1:3" ht="16.2">
      <c r="A20" s="3" t="s">
        <v>135</v>
      </c>
      <c r="B20" s="4"/>
      <c r="C20" s="4"/>
    </row>
    <row r="21" spans="1:3" ht="34.049999999999997" customHeight="1">
      <c r="A21" s="29" t="s">
        <v>163</v>
      </c>
      <c r="B21" s="28"/>
      <c r="C21" s="28"/>
    </row>
    <row r="22" spans="1:3" ht="34.049999999999997" customHeight="1">
      <c r="A22" s="29" t="s">
        <v>164</v>
      </c>
      <c r="B22" s="28"/>
      <c r="C22" s="28"/>
    </row>
    <row r="23" spans="1:3" ht="34.049999999999997" customHeight="1">
      <c r="A23" s="29" t="s">
        <v>165</v>
      </c>
      <c r="B23" s="28"/>
      <c r="C23" s="28"/>
    </row>
    <row r="24" spans="1:3" ht="34.049999999999997" customHeight="1">
      <c r="A24" s="29" t="s">
        <v>166</v>
      </c>
      <c r="B24" s="28"/>
      <c r="C24" s="28"/>
    </row>
  </sheetData>
  <mergeCells count="5">
    <mergeCell ref="A23:C23"/>
    <mergeCell ref="A22:C22"/>
    <mergeCell ref="A21:C21"/>
    <mergeCell ref="A24:C24"/>
    <mergeCell ref="A2:C2"/>
  </mergeCells>
  <phoneticPr fontId="11" type="noConversion"/>
  <pageMargins left="0.25" right="0.25" top="0.35" bottom="0.35" header="0.15" footer="0.1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8"/>
  <sheetViews>
    <sheetView showGridLines="0" workbookViewId="0"/>
  </sheetViews>
  <sheetFormatPr defaultRowHeight="14.4"/>
  <cols>
    <col min="1" max="1" width="20" customWidth="1"/>
    <col min="2" max="2" width="10" customWidth="1"/>
    <col min="3" max="3" width="11" customWidth="1"/>
    <col min="4" max="4" width="10" customWidth="1"/>
    <col min="5" max="6" width="11" customWidth="1"/>
    <col min="7" max="7" width="10" customWidth="1"/>
    <col min="8" max="8" width="9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</cols>
  <sheetData>
    <row r="1" spans="1:14" ht="23.4">
      <c r="A1" s="1" t="s">
        <v>167</v>
      </c>
    </row>
    <row r="2" spans="1:14" ht="15.6">
      <c r="A2" s="27" t="s">
        <v>168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15.6">
      <c r="A3" s="27" t="s">
        <v>169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6.2">
      <c r="A4" s="3" t="s">
        <v>170</v>
      </c>
      <c r="B4" s="4"/>
      <c r="C4" s="4"/>
      <c r="D4" s="4"/>
      <c r="E4" s="4"/>
    </row>
    <row r="5" spans="1:14">
      <c r="A5" s="6" t="s">
        <v>171</v>
      </c>
      <c r="B5" s="11">
        <v>372.5</v>
      </c>
    </row>
    <row r="6" spans="1:14">
      <c r="A6" s="6" t="s">
        <v>172</v>
      </c>
      <c r="B6" s="15">
        <v>0.21</v>
      </c>
    </row>
    <row r="7" spans="1:14">
      <c r="A7" s="6" t="s">
        <v>173</v>
      </c>
      <c r="B7" s="15">
        <v>0.02</v>
      </c>
    </row>
    <row r="8" spans="1:14">
      <c r="A8" s="6" t="s">
        <v>15</v>
      </c>
      <c r="B8" s="11">
        <v>-557</v>
      </c>
    </row>
    <row r="9" spans="1:14">
      <c r="A9" s="6" t="s">
        <v>174</v>
      </c>
      <c r="B9" s="11">
        <v>0</v>
      </c>
    </row>
    <row r="10" spans="1:14">
      <c r="A10" s="6" t="s">
        <v>175</v>
      </c>
      <c r="B10" s="23">
        <v>2.1475399999999998</v>
      </c>
    </row>
    <row r="11" spans="1:14" ht="15">
      <c r="A11" s="31" t="s">
        <v>176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3" spans="1:14" ht="16.2">
      <c r="A13" s="3" t="s">
        <v>177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6" t="s">
        <v>178</v>
      </c>
      <c r="B14" s="15">
        <v>8.5000000000000006E-2</v>
      </c>
      <c r="C14" s="6" t="s">
        <v>179</v>
      </c>
      <c r="D14" s="15">
        <v>2.5000000000000001E-2</v>
      </c>
    </row>
    <row r="16" spans="1:14">
      <c r="A16" s="5" t="s">
        <v>180</v>
      </c>
      <c r="B16" s="5" t="s">
        <v>87</v>
      </c>
      <c r="C16" s="5" t="s">
        <v>74</v>
      </c>
      <c r="D16" s="5" t="s">
        <v>181</v>
      </c>
      <c r="E16" s="5" t="s">
        <v>182</v>
      </c>
      <c r="F16" s="5" t="s">
        <v>148</v>
      </c>
      <c r="G16" s="5" t="s">
        <v>183</v>
      </c>
      <c r="H16" s="5" t="s">
        <v>184</v>
      </c>
      <c r="I16" s="5" t="s">
        <v>185</v>
      </c>
      <c r="J16" s="5" t="s">
        <v>186</v>
      </c>
      <c r="K16" s="5" t="s">
        <v>187</v>
      </c>
      <c r="L16" s="5" t="s">
        <v>188</v>
      </c>
      <c r="M16" s="5" t="s">
        <v>189</v>
      </c>
      <c r="N16" s="5" t="s">
        <v>190</v>
      </c>
    </row>
    <row r="17" spans="1:14">
      <c r="A17" s="24">
        <v>1</v>
      </c>
      <c r="B17" s="15">
        <v>0.03</v>
      </c>
      <c r="C17" s="11">
        <f>$B$5*(1+B17)</f>
        <v>383.67500000000001</v>
      </c>
      <c r="D17" s="15">
        <v>0.105</v>
      </c>
      <c r="E17" s="11">
        <f t="shared" ref="E17:E26" si="0">C17*D17</f>
        <v>40.285874999999997</v>
      </c>
      <c r="F17" s="11">
        <f t="shared" ref="F17:F26" si="1">E17*(1-$B$6)</f>
        <v>31.82584125</v>
      </c>
      <c r="G17" s="15">
        <v>3.7999999999999999E-2</v>
      </c>
      <c r="H17" s="11">
        <f t="shared" ref="H17:H26" si="2">C17*G17</f>
        <v>14.579650000000001</v>
      </c>
      <c r="I17" s="15">
        <v>7.0000000000000007E-2</v>
      </c>
      <c r="J17" s="11">
        <f t="shared" ref="J17:J26" si="3">C17*I17</f>
        <v>26.857250000000004</v>
      </c>
      <c r="K17" s="11">
        <f>(C17-$B$5)*$B$7</f>
        <v>0.22350000000000023</v>
      </c>
      <c r="L17" s="11">
        <f t="shared" ref="L17:L26" si="4">F17+H17-J17-K17</f>
        <v>19.324741249999992</v>
      </c>
      <c r="M17" s="23">
        <f>1/(1+$B$14)^1</f>
        <v>0.92165898617511521</v>
      </c>
      <c r="N17" s="11">
        <f t="shared" ref="N17:N26" si="5">L17*M17</f>
        <v>17.810821428571423</v>
      </c>
    </row>
    <row r="18" spans="1:14">
      <c r="A18" s="24">
        <v>2</v>
      </c>
      <c r="B18" s="15">
        <v>0.02</v>
      </c>
      <c r="C18" s="11">
        <f t="shared" ref="C18:C26" si="6">C17*(1+B18)</f>
        <v>391.3485</v>
      </c>
      <c r="D18" s="15">
        <v>0.105</v>
      </c>
      <c r="E18" s="11">
        <f t="shared" si="0"/>
        <v>41.091592499999997</v>
      </c>
      <c r="F18" s="11">
        <f t="shared" si="1"/>
        <v>32.462358074999997</v>
      </c>
      <c r="G18" s="15">
        <v>3.7999999999999999E-2</v>
      </c>
      <c r="H18" s="11">
        <f t="shared" si="2"/>
        <v>14.871243</v>
      </c>
      <c r="I18" s="15">
        <v>7.0000000000000007E-2</v>
      </c>
      <c r="J18" s="11">
        <f t="shared" si="3"/>
        <v>27.394395000000003</v>
      </c>
      <c r="K18" s="11">
        <f t="shared" ref="K18:K26" si="7">(C18-C17)*$B$7</f>
        <v>0.1534699999999998</v>
      </c>
      <c r="L18" s="11">
        <f t="shared" si="4"/>
        <v>19.785736074999996</v>
      </c>
      <c r="M18" s="23">
        <f>1/(1+$B$14)^2</f>
        <v>0.84945528679734128</v>
      </c>
      <c r="N18" s="11">
        <f t="shared" si="5"/>
        <v>16.807098112085622</v>
      </c>
    </row>
    <row r="19" spans="1:14">
      <c r="A19" s="24">
        <v>3</v>
      </c>
      <c r="B19" s="15">
        <v>0.02</v>
      </c>
      <c r="C19" s="11">
        <f t="shared" si="6"/>
        <v>399.17547000000002</v>
      </c>
      <c r="D19" s="15">
        <v>0.105</v>
      </c>
      <c r="E19" s="11">
        <f t="shared" si="0"/>
        <v>41.91342435</v>
      </c>
      <c r="F19" s="11">
        <f t="shared" si="1"/>
        <v>33.111605236500004</v>
      </c>
      <c r="G19" s="15">
        <v>3.7999999999999999E-2</v>
      </c>
      <c r="H19" s="11">
        <f t="shared" si="2"/>
        <v>15.168667860000001</v>
      </c>
      <c r="I19" s="15">
        <v>7.0000000000000007E-2</v>
      </c>
      <c r="J19" s="11">
        <f t="shared" si="3"/>
        <v>27.942282900000006</v>
      </c>
      <c r="K19" s="11">
        <f t="shared" si="7"/>
        <v>0.15653940000000036</v>
      </c>
      <c r="L19" s="11">
        <f t="shared" si="4"/>
        <v>20.181450796499998</v>
      </c>
      <c r="M19" s="23">
        <f>1/(1+$B$14)^3</f>
        <v>0.78290809843072917</v>
      </c>
      <c r="N19" s="11">
        <f t="shared" si="5"/>
        <v>15.800221266661138</v>
      </c>
    </row>
    <row r="20" spans="1:14">
      <c r="A20" s="24">
        <v>4</v>
      </c>
      <c r="B20" s="15">
        <v>0.02</v>
      </c>
      <c r="C20" s="11">
        <f t="shared" si="6"/>
        <v>407.15897940000002</v>
      </c>
      <c r="D20" s="15">
        <v>0.105</v>
      </c>
      <c r="E20" s="11">
        <f t="shared" si="0"/>
        <v>42.751692837</v>
      </c>
      <c r="F20" s="11">
        <f t="shared" si="1"/>
        <v>33.773837341229999</v>
      </c>
      <c r="G20" s="15">
        <v>3.7999999999999999E-2</v>
      </c>
      <c r="H20" s="11">
        <f t="shared" si="2"/>
        <v>15.472041217200001</v>
      </c>
      <c r="I20" s="15">
        <v>7.0000000000000007E-2</v>
      </c>
      <c r="J20" s="11">
        <f t="shared" si="3"/>
        <v>28.501128558000005</v>
      </c>
      <c r="K20" s="11">
        <f t="shared" si="7"/>
        <v>0.15967018800000005</v>
      </c>
      <c r="L20" s="11">
        <f t="shared" si="4"/>
        <v>20.585079812429996</v>
      </c>
      <c r="M20" s="23">
        <f>1/(1+$B$14)^4</f>
        <v>0.72157428426795334</v>
      </c>
      <c r="N20" s="11">
        <f t="shared" si="5"/>
        <v>14.85366423225287</v>
      </c>
    </row>
    <row r="21" spans="1:14">
      <c r="A21" s="24">
        <v>5</v>
      </c>
      <c r="B21" s="15">
        <v>0.02</v>
      </c>
      <c r="C21" s="11">
        <f t="shared" si="6"/>
        <v>415.30215898800003</v>
      </c>
      <c r="D21" s="15">
        <v>0.105</v>
      </c>
      <c r="E21" s="11">
        <f t="shared" si="0"/>
        <v>43.606726693740001</v>
      </c>
      <c r="F21" s="11">
        <f t="shared" si="1"/>
        <v>34.449314088054599</v>
      </c>
      <c r="G21" s="15">
        <v>3.7999999999999999E-2</v>
      </c>
      <c r="H21" s="11">
        <f t="shared" si="2"/>
        <v>15.781482041544001</v>
      </c>
      <c r="I21" s="15">
        <v>7.0000000000000007E-2</v>
      </c>
      <c r="J21" s="11">
        <f t="shared" si="3"/>
        <v>29.071151129160004</v>
      </c>
      <c r="K21" s="11">
        <f t="shared" si="7"/>
        <v>0.1628635917600002</v>
      </c>
      <c r="L21" s="11">
        <f t="shared" si="4"/>
        <v>20.996781408678597</v>
      </c>
      <c r="M21" s="23">
        <f>1/(1+$B$14)^5</f>
        <v>0.66504542328843619</v>
      </c>
      <c r="N21" s="11">
        <f t="shared" si="5"/>
        <v>13.963813379629425</v>
      </c>
    </row>
    <row r="22" spans="1:14">
      <c r="A22" s="24">
        <v>6</v>
      </c>
      <c r="B22" s="15">
        <v>0.02</v>
      </c>
      <c r="C22" s="11">
        <f t="shared" si="6"/>
        <v>423.60820216776006</v>
      </c>
      <c r="D22" s="15">
        <v>0.105</v>
      </c>
      <c r="E22" s="11">
        <f t="shared" si="0"/>
        <v>44.478861227614807</v>
      </c>
      <c r="F22" s="11">
        <f t="shared" si="1"/>
        <v>35.138300369815703</v>
      </c>
      <c r="G22" s="15">
        <v>3.7999999999999999E-2</v>
      </c>
      <c r="H22" s="11">
        <f t="shared" si="2"/>
        <v>16.09711168237488</v>
      </c>
      <c r="I22" s="15">
        <v>7.0000000000000007E-2</v>
      </c>
      <c r="J22" s="11">
        <f t="shared" si="3"/>
        <v>29.652574151743206</v>
      </c>
      <c r="K22" s="11">
        <f t="shared" si="7"/>
        <v>0.16612086359520048</v>
      </c>
      <c r="L22" s="11">
        <f t="shared" si="4"/>
        <v>21.416717036852177</v>
      </c>
      <c r="M22" s="23">
        <f>1/(1+$B$14)^6</f>
        <v>0.6129450905884205</v>
      </c>
      <c r="N22" s="11">
        <f t="shared" si="5"/>
        <v>13.127271564259926</v>
      </c>
    </row>
    <row r="23" spans="1:14">
      <c r="A23" s="24">
        <v>7</v>
      </c>
      <c r="B23" s="15">
        <v>0.02</v>
      </c>
      <c r="C23" s="11">
        <f t="shared" si="6"/>
        <v>432.08036621111529</v>
      </c>
      <c r="D23" s="15">
        <v>0.105</v>
      </c>
      <c r="E23" s="11">
        <f t="shared" si="0"/>
        <v>45.368438452167105</v>
      </c>
      <c r="F23" s="11">
        <f t="shared" si="1"/>
        <v>35.841066377212016</v>
      </c>
      <c r="G23" s="15">
        <v>3.7999999999999999E-2</v>
      </c>
      <c r="H23" s="11">
        <f t="shared" si="2"/>
        <v>16.419053916022381</v>
      </c>
      <c r="I23" s="15">
        <v>7.0000000000000007E-2</v>
      </c>
      <c r="J23" s="11">
        <f t="shared" si="3"/>
        <v>30.245625634778072</v>
      </c>
      <c r="K23" s="11">
        <f t="shared" si="7"/>
        <v>0.1694432808671047</v>
      </c>
      <c r="L23" s="11">
        <f t="shared" si="4"/>
        <v>21.845051377589218</v>
      </c>
      <c r="M23" s="23">
        <f>1/(1+$B$14)^7</f>
        <v>0.56492635077273778</v>
      </c>
      <c r="N23" s="11">
        <f t="shared" si="5"/>
        <v>12.340845157184445</v>
      </c>
    </row>
    <row r="24" spans="1:14">
      <c r="A24" s="24">
        <v>8</v>
      </c>
      <c r="B24" s="15">
        <v>0.02</v>
      </c>
      <c r="C24" s="11">
        <f t="shared" si="6"/>
        <v>440.72197353533761</v>
      </c>
      <c r="D24" s="15">
        <v>0.105</v>
      </c>
      <c r="E24" s="11">
        <f t="shared" si="0"/>
        <v>46.275807221210449</v>
      </c>
      <c r="F24" s="11">
        <f t="shared" si="1"/>
        <v>36.557887704756254</v>
      </c>
      <c r="G24" s="15">
        <v>3.7999999999999999E-2</v>
      </c>
      <c r="H24" s="11">
        <f t="shared" si="2"/>
        <v>16.747434994342829</v>
      </c>
      <c r="I24" s="15">
        <v>7.0000000000000007E-2</v>
      </c>
      <c r="J24" s="11">
        <f t="shared" si="3"/>
        <v>30.850538147473635</v>
      </c>
      <c r="K24" s="11">
        <f t="shared" si="7"/>
        <v>0.17283214648444642</v>
      </c>
      <c r="L24" s="11">
        <f t="shared" si="4"/>
        <v>22.281952405140999</v>
      </c>
      <c r="M24" s="23">
        <f>1/(1+$B$14)^8</f>
        <v>0.52066944771680901</v>
      </c>
      <c r="N24" s="11">
        <f t="shared" si="5"/>
        <v>11.601531852836988</v>
      </c>
    </row>
    <row r="25" spans="1:14">
      <c r="A25" s="24">
        <v>9</v>
      </c>
      <c r="B25" s="15">
        <v>0.02</v>
      </c>
      <c r="C25" s="11">
        <f t="shared" si="6"/>
        <v>449.53641300604437</v>
      </c>
      <c r="D25" s="15">
        <v>0.105</v>
      </c>
      <c r="E25" s="11">
        <f t="shared" si="0"/>
        <v>47.201323365634657</v>
      </c>
      <c r="F25" s="11">
        <f t="shared" si="1"/>
        <v>37.289045458851383</v>
      </c>
      <c r="G25" s="15">
        <v>3.7999999999999999E-2</v>
      </c>
      <c r="H25" s="11">
        <f t="shared" si="2"/>
        <v>17.082383694229687</v>
      </c>
      <c r="I25" s="15">
        <v>7.0000000000000007E-2</v>
      </c>
      <c r="J25" s="11">
        <f t="shared" si="3"/>
        <v>31.467548910423108</v>
      </c>
      <c r="K25" s="11">
        <f t="shared" si="7"/>
        <v>0.17628878941413517</v>
      </c>
      <c r="L25" s="11">
        <f t="shared" si="4"/>
        <v>22.727591453243825</v>
      </c>
      <c r="M25" s="23">
        <f>1/(1+$B$14)^9</f>
        <v>0.4798796753150314</v>
      </c>
      <c r="N25" s="11">
        <f t="shared" si="5"/>
        <v>10.906509207275329</v>
      </c>
    </row>
    <row r="26" spans="1:14">
      <c r="A26" s="24">
        <v>10</v>
      </c>
      <c r="B26" s="15">
        <v>0.02</v>
      </c>
      <c r="C26" s="11">
        <f t="shared" si="6"/>
        <v>458.52714126616524</v>
      </c>
      <c r="D26" s="15">
        <v>0.105</v>
      </c>
      <c r="E26" s="11">
        <f t="shared" si="0"/>
        <v>48.145349832947346</v>
      </c>
      <c r="F26" s="11">
        <f t="shared" si="1"/>
        <v>38.034826368028405</v>
      </c>
      <c r="G26" s="15">
        <v>3.7999999999999999E-2</v>
      </c>
      <c r="H26" s="11">
        <f t="shared" si="2"/>
        <v>17.424031368114278</v>
      </c>
      <c r="I26" s="15">
        <v>7.0000000000000007E-2</v>
      </c>
      <c r="J26" s="11">
        <f t="shared" si="3"/>
        <v>32.096899888631569</v>
      </c>
      <c r="K26" s="11">
        <f t="shared" si="7"/>
        <v>0.17981456520241751</v>
      </c>
      <c r="L26" s="11">
        <f t="shared" si="4"/>
        <v>23.182143282308697</v>
      </c>
      <c r="M26" s="23">
        <f>1/(1+$B$14)^10</f>
        <v>0.44228541503689528</v>
      </c>
      <c r="N26" s="11">
        <f t="shared" si="5"/>
        <v>10.253123863060676</v>
      </c>
    </row>
    <row r="27" spans="1:14">
      <c r="A27" s="18" t="s">
        <v>191</v>
      </c>
      <c r="B27" s="11">
        <f>L26*(1+$D$14)/($B$14-$D$14)</f>
        <v>396.02828107277355</v>
      </c>
    </row>
    <row r="28" spans="1:14">
      <c r="A28" s="6" t="s">
        <v>192</v>
      </c>
      <c r="B28" s="11">
        <f>B27/(1+$B$14)^10</f>
        <v>175.15753266061986</v>
      </c>
    </row>
    <row r="29" spans="1:14">
      <c r="A29" s="18" t="s">
        <v>193</v>
      </c>
      <c r="B29" s="11">
        <f>SUM(N17:N26)+B28</f>
        <v>312.62243272443772</v>
      </c>
    </row>
    <row r="30" spans="1:14">
      <c r="A30" s="6" t="s">
        <v>194</v>
      </c>
      <c r="B30" s="11">
        <f>$B$8</f>
        <v>-557</v>
      </c>
    </row>
    <row r="31" spans="1:14">
      <c r="A31" s="18" t="s">
        <v>195</v>
      </c>
      <c r="B31" s="11">
        <f>B29-B30</f>
        <v>869.62243272443766</v>
      </c>
    </row>
    <row r="32" spans="1:14">
      <c r="A32" s="18" t="s">
        <v>196</v>
      </c>
      <c r="B32" s="7">
        <f>B31/$B$10</f>
        <v>404.93887551544452</v>
      </c>
      <c r="C32" s="6" t="s">
        <v>197</v>
      </c>
    </row>
    <row r="36" spans="1:14" ht="16.2">
      <c r="A36" s="3" t="s">
        <v>198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6" t="s">
        <v>178</v>
      </c>
      <c r="B37" s="15">
        <v>7.8E-2</v>
      </c>
      <c r="C37" s="6" t="s">
        <v>179</v>
      </c>
      <c r="D37" s="15">
        <v>0.03</v>
      </c>
    </row>
    <row r="39" spans="1:14">
      <c r="A39" s="5" t="s">
        <v>180</v>
      </c>
      <c r="B39" s="5" t="s">
        <v>87</v>
      </c>
      <c r="C39" s="5" t="s">
        <v>74</v>
      </c>
      <c r="D39" s="5" t="s">
        <v>181</v>
      </c>
      <c r="E39" s="5" t="s">
        <v>182</v>
      </c>
      <c r="F39" s="5" t="s">
        <v>148</v>
      </c>
      <c r="G39" s="5" t="s">
        <v>183</v>
      </c>
      <c r="H39" s="5" t="s">
        <v>184</v>
      </c>
      <c r="I39" s="5" t="s">
        <v>185</v>
      </c>
      <c r="J39" s="5" t="s">
        <v>186</v>
      </c>
      <c r="K39" s="5" t="s">
        <v>187</v>
      </c>
      <c r="L39" s="5" t="s">
        <v>188</v>
      </c>
      <c r="M39" s="5" t="s">
        <v>189</v>
      </c>
      <c r="N39" s="5" t="s">
        <v>190</v>
      </c>
    </row>
    <row r="40" spans="1:14">
      <c r="A40" s="24">
        <v>1</v>
      </c>
      <c r="B40" s="15">
        <v>0.05</v>
      </c>
      <c r="C40" s="11">
        <f>$B$5*(1+B40)</f>
        <v>391.125</v>
      </c>
      <c r="D40" s="15">
        <v>0.1225</v>
      </c>
      <c r="E40" s="11">
        <f t="shared" ref="E40:E49" si="8">C40*D40</f>
        <v>47.912812500000001</v>
      </c>
      <c r="F40" s="11">
        <f t="shared" ref="F40:F49" si="9">E40*(1-$B$6)</f>
        <v>37.851121875000004</v>
      </c>
      <c r="G40" s="15">
        <v>3.7999999999999999E-2</v>
      </c>
      <c r="H40" s="11">
        <f t="shared" ref="H40:H49" si="10">C40*G40</f>
        <v>14.86275</v>
      </c>
      <c r="I40" s="15">
        <v>6.2E-2</v>
      </c>
      <c r="J40" s="11">
        <f t="shared" ref="J40:J49" si="11">C40*I40</f>
        <v>24.249749999999999</v>
      </c>
      <c r="K40" s="11">
        <f>(C40-$B$5)*$B$7</f>
        <v>0.3725</v>
      </c>
      <c r="L40" s="11">
        <f t="shared" ref="L40:L49" si="12">F40+H40-J40-K40</f>
        <v>28.091621875000005</v>
      </c>
      <c r="M40" s="23">
        <f>1/(1+$B$37)^1</f>
        <v>0.92764378478664189</v>
      </c>
      <c r="N40" s="11">
        <f t="shared" ref="N40:N49" si="13">L40*M40</f>
        <v>26.059018436920226</v>
      </c>
    </row>
    <row r="41" spans="1:14">
      <c r="A41" s="24">
        <v>2</v>
      </c>
      <c r="B41" s="15">
        <v>4.4999999999999998E-2</v>
      </c>
      <c r="C41" s="11">
        <f t="shared" ref="C41:C49" si="14">C40*(1+B41)</f>
        <v>408.72562499999998</v>
      </c>
      <c r="D41" s="15">
        <v>0.123</v>
      </c>
      <c r="E41" s="11">
        <f t="shared" si="8"/>
        <v>50.273251875</v>
      </c>
      <c r="F41" s="11">
        <f t="shared" si="9"/>
        <v>39.715868981250004</v>
      </c>
      <c r="G41" s="15">
        <v>3.7999999999999999E-2</v>
      </c>
      <c r="H41" s="11">
        <f t="shared" si="10"/>
        <v>15.531573749999998</v>
      </c>
      <c r="I41" s="15">
        <v>6.2E-2</v>
      </c>
      <c r="J41" s="11">
        <f t="shared" si="11"/>
        <v>25.340988749999998</v>
      </c>
      <c r="K41" s="11">
        <f t="shared" ref="K41:K49" si="15">(C41-C40)*$B$7</f>
        <v>0.35201249999999962</v>
      </c>
      <c r="L41" s="11">
        <f t="shared" si="12"/>
        <v>29.554441481250006</v>
      </c>
      <c r="M41" s="23">
        <f>1/(1+$B$37)^2</f>
        <v>0.86052299145328559</v>
      </c>
      <c r="N41" s="11">
        <f t="shared" si="13"/>
        <v>25.432276394176327</v>
      </c>
    </row>
    <row r="42" spans="1:14">
      <c r="A42" s="24">
        <v>3</v>
      </c>
      <c r="B42" s="15">
        <v>0.04</v>
      </c>
      <c r="C42" s="11">
        <f t="shared" si="14"/>
        <v>425.07465000000002</v>
      </c>
      <c r="D42" s="15">
        <v>0.124</v>
      </c>
      <c r="E42" s="11">
        <f t="shared" si="8"/>
        <v>52.709256600000003</v>
      </c>
      <c r="F42" s="11">
        <f t="shared" si="9"/>
        <v>41.640312714000004</v>
      </c>
      <c r="G42" s="15">
        <v>3.7999999999999999E-2</v>
      </c>
      <c r="H42" s="11">
        <f t="shared" si="10"/>
        <v>16.152836700000002</v>
      </c>
      <c r="I42" s="15">
        <v>6.2E-2</v>
      </c>
      <c r="J42" s="11">
        <f t="shared" si="11"/>
        <v>26.354628300000002</v>
      </c>
      <c r="K42" s="11">
        <f t="shared" si="15"/>
        <v>0.32698050000000078</v>
      </c>
      <c r="L42" s="11">
        <f t="shared" si="12"/>
        <v>31.111540614000003</v>
      </c>
      <c r="M42" s="23">
        <f>1/(1+$B$37)^3</f>
        <v>0.79825880468764887</v>
      </c>
      <c r="N42" s="11">
        <f t="shared" si="13"/>
        <v>24.835061222522885</v>
      </c>
    </row>
    <row r="43" spans="1:14">
      <c r="A43" s="24">
        <v>4</v>
      </c>
      <c r="B43" s="15">
        <v>0.04</v>
      </c>
      <c r="C43" s="11">
        <f t="shared" si="14"/>
        <v>442.07763600000004</v>
      </c>
      <c r="D43" s="15">
        <v>0.125</v>
      </c>
      <c r="E43" s="11">
        <f t="shared" si="8"/>
        <v>55.259704500000005</v>
      </c>
      <c r="F43" s="11">
        <f t="shared" si="9"/>
        <v>43.655166555000008</v>
      </c>
      <c r="G43" s="15">
        <v>3.7999999999999999E-2</v>
      </c>
      <c r="H43" s="11">
        <f t="shared" si="10"/>
        <v>16.798950168000001</v>
      </c>
      <c r="I43" s="15">
        <v>6.2E-2</v>
      </c>
      <c r="J43" s="11">
        <f t="shared" si="11"/>
        <v>27.408813432000002</v>
      </c>
      <c r="K43" s="11">
        <f t="shared" si="15"/>
        <v>0.34005972000000045</v>
      </c>
      <c r="L43" s="11">
        <f t="shared" si="12"/>
        <v>32.705243571000011</v>
      </c>
      <c r="M43" s="23">
        <f>1/(1+$B$37)^4</f>
        <v>0.74049981881971139</v>
      </c>
      <c r="N43" s="11">
        <f t="shared" si="13"/>
        <v>24.218226938780038</v>
      </c>
    </row>
    <row r="44" spans="1:14">
      <c r="A44" s="24">
        <v>5</v>
      </c>
      <c r="B44" s="15">
        <v>3.5000000000000003E-2</v>
      </c>
      <c r="C44" s="11">
        <f t="shared" si="14"/>
        <v>457.55035326000001</v>
      </c>
      <c r="D44" s="15">
        <v>0.125</v>
      </c>
      <c r="E44" s="11">
        <f t="shared" si="8"/>
        <v>57.193794157500001</v>
      </c>
      <c r="F44" s="11">
        <f t="shared" si="9"/>
        <v>45.183097384425004</v>
      </c>
      <c r="G44" s="15">
        <v>3.7999999999999999E-2</v>
      </c>
      <c r="H44" s="11">
        <f t="shared" si="10"/>
        <v>17.386913423879999</v>
      </c>
      <c r="I44" s="15">
        <v>6.2E-2</v>
      </c>
      <c r="J44" s="11">
        <f t="shared" si="11"/>
        <v>28.368121902119999</v>
      </c>
      <c r="K44" s="11">
        <f t="shared" si="15"/>
        <v>0.30945434519999937</v>
      </c>
      <c r="L44" s="11">
        <f t="shared" si="12"/>
        <v>33.892434560985002</v>
      </c>
      <c r="M44" s="23">
        <f>1/(1+$B$37)^5</f>
        <v>0.68692005456373961</v>
      </c>
      <c r="N44" s="11">
        <f t="shared" si="13"/>
        <v>23.281392997929792</v>
      </c>
    </row>
    <row r="45" spans="1:14">
      <c r="A45" s="24">
        <v>6</v>
      </c>
      <c r="B45" s="15">
        <v>3.5000000000000003E-2</v>
      </c>
      <c r="C45" s="11">
        <f t="shared" si="14"/>
        <v>473.56461562409999</v>
      </c>
      <c r="D45" s="15">
        <v>0.125</v>
      </c>
      <c r="E45" s="11">
        <f t="shared" si="8"/>
        <v>59.195576953012498</v>
      </c>
      <c r="F45" s="11">
        <f t="shared" si="9"/>
        <v>46.764505792879874</v>
      </c>
      <c r="G45" s="15">
        <v>3.7999999999999999E-2</v>
      </c>
      <c r="H45" s="11">
        <f t="shared" si="10"/>
        <v>17.995455393715797</v>
      </c>
      <c r="I45" s="15">
        <v>6.2E-2</v>
      </c>
      <c r="J45" s="11">
        <f t="shared" si="11"/>
        <v>29.3610061686942</v>
      </c>
      <c r="K45" s="11">
        <f t="shared" si="15"/>
        <v>0.32028524728199953</v>
      </c>
      <c r="L45" s="11">
        <f t="shared" si="12"/>
        <v>35.07866977061947</v>
      </c>
      <c r="M45" s="23">
        <f>1/(1+$B$37)^6</f>
        <v>0.63721711926135394</v>
      </c>
      <c r="N45" s="11">
        <f t="shared" si="13"/>
        <v>22.352728898754478</v>
      </c>
    </row>
    <row r="46" spans="1:14">
      <c r="A46" s="24">
        <v>7</v>
      </c>
      <c r="B46" s="15">
        <v>0.03</v>
      </c>
      <c r="C46" s="11">
        <f t="shared" si="14"/>
        <v>487.77155409282301</v>
      </c>
      <c r="D46" s="15">
        <v>0.124</v>
      </c>
      <c r="E46" s="11">
        <f t="shared" si="8"/>
        <v>60.483672707510053</v>
      </c>
      <c r="F46" s="11">
        <f t="shared" si="9"/>
        <v>47.782101438932941</v>
      </c>
      <c r="G46" s="15">
        <v>3.7999999999999999E-2</v>
      </c>
      <c r="H46" s="11">
        <f t="shared" si="10"/>
        <v>18.535319055527275</v>
      </c>
      <c r="I46" s="15">
        <v>6.2E-2</v>
      </c>
      <c r="J46" s="11">
        <f t="shared" si="11"/>
        <v>30.241836353755026</v>
      </c>
      <c r="K46" s="11">
        <f t="shared" si="15"/>
        <v>0.28413876937446048</v>
      </c>
      <c r="L46" s="11">
        <f t="shared" si="12"/>
        <v>35.791445371330724</v>
      </c>
      <c r="M46" s="23">
        <f>1/(1+$B$37)^7</f>
        <v>0.59111050024244338</v>
      </c>
      <c r="N46" s="11">
        <f t="shared" si="13"/>
        <v>21.15669917784739</v>
      </c>
    </row>
    <row r="47" spans="1:14">
      <c r="A47" s="24">
        <v>8</v>
      </c>
      <c r="B47" s="15">
        <v>0.03</v>
      </c>
      <c r="C47" s="11">
        <f t="shared" si="14"/>
        <v>502.4047007156077</v>
      </c>
      <c r="D47" s="15">
        <v>0.124</v>
      </c>
      <c r="E47" s="11">
        <f t="shared" si="8"/>
        <v>62.298182888735354</v>
      </c>
      <c r="F47" s="11">
        <f t="shared" si="9"/>
        <v>49.21556448210093</v>
      </c>
      <c r="G47" s="15">
        <v>3.7999999999999999E-2</v>
      </c>
      <c r="H47" s="11">
        <f t="shared" si="10"/>
        <v>19.091378627193091</v>
      </c>
      <c r="I47" s="15">
        <v>6.2E-2</v>
      </c>
      <c r="J47" s="11">
        <f t="shared" si="11"/>
        <v>31.149091444367677</v>
      </c>
      <c r="K47" s="11">
        <f t="shared" si="15"/>
        <v>0.29266293245569386</v>
      </c>
      <c r="L47" s="11">
        <f t="shared" si="12"/>
        <v>36.865188732470656</v>
      </c>
      <c r="M47" s="23">
        <f>1/(1+$B$37)^8</f>
        <v>0.54833998167202536</v>
      </c>
      <c r="N47" s="11">
        <f t="shared" si="13"/>
        <v>20.214656913898715</v>
      </c>
    </row>
    <row r="48" spans="1:14">
      <c r="A48" s="24">
        <v>9</v>
      </c>
      <c r="B48" s="15">
        <v>2.5000000000000001E-2</v>
      </c>
      <c r="C48" s="11">
        <f t="shared" si="14"/>
        <v>514.96481823349779</v>
      </c>
      <c r="D48" s="15">
        <v>0.123</v>
      </c>
      <c r="E48" s="11">
        <f t="shared" si="8"/>
        <v>63.340672642720229</v>
      </c>
      <c r="F48" s="11">
        <f t="shared" si="9"/>
        <v>50.039131387748981</v>
      </c>
      <c r="G48" s="15">
        <v>3.7999999999999999E-2</v>
      </c>
      <c r="H48" s="11">
        <f t="shared" si="10"/>
        <v>19.568663092872917</v>
      </c>
      <c r="I48" s="15">
        <v>6.2E-2</v>
      </c>
      <c r="J48" s="11">
        <f t="shared" si="11"/>
        <v>31.927818730476861</v>
      </c>
      <c r="K48" s="11">
        <f t="shared" si="15"/>
        <v>0.25120235035780186</v>
      </c>
      <c r="L48" s="11">
        <f t="shared" si="12"/>
        <v>37.428773399787232</v>
      </c>
      <c r="M48" s="23">
        <f>1/(1+$B$37)^9</f>
        <v>0.50866417594807545</v>
      </c>
      <c r="N48" s="11">
        <f t="shared" si="13"/>
        <v>19.03867617815002</v>
      </c>
    </row>
    <row r="49" spans="1:14">
      <c r="A49" s="24">
        <v>10</v>
      </c>
      <c r="B49" s="15">
        <v>2.5000000000000001E-2</v>
      </c>
      <c r="C49" s="11">
        <f t="shared" si="14"/>
        <v>527.83893868933524</v>
      </c>
      <c r="D49" s="15">
        <v>0.123</v>
      </c>
      <c r="E49" s="11">
        <f t="shared" si="8"/>
        <v>64.924189458788234</v>
      </c>
      <c r="F49" s="11">
        <f t="shared" si="9"/>
        <v>51.290109672442711</v>
      </c>
      <c r="G49" s="15">
        <v>3.7999999999999999E-2</v>
      </c>
      <c r="H49" s="11">
        <f t="shared" si="10"/>
        <v>20.057879670194737</v>
      </c>
      <c r="I49" s="15">
        <v>6.2E-2</v>
      </c>
      <c r="J49" s="11">
        <f t="shared" si="11"/>
        <v>32.726014198738781</v>
      </c>
      <c r="K49" s="11">
        <f t="shared" si="15"/>
        <v>0.25748240911674886</v>
      </c>
      <c r="L49" s="11">
        <f t="shared" si="12"/>
        <v>38.364492734781919</v>
      </c>
      <c r="M49" s="23">
        <f>1/(1+$B$37)^10</f>
        <v>0.47185916136185102</v>
      </c>
      <c r="N49" s="11">
        <f t="shared" si="13"/>
        <v>18.102637367907022</v>
      </c>
    </row>
    <row r="50" spans="1:14">
      <c r="A50" s="18" t="s">
        <v>191</v>
      </c>
      <c r="B50" s="11">
        <f>L49*(1+$D$37)/($B$37-$D$37)</f>
        <v>823.23807326719532</v>
      </c>
    </row>
    <row r="51" spans="1:14">
      <c r="A51" s="6" t="s">
        <v>192</v>
      </c>
      <c r="B51" s="11">
        <f>B50/(1+$B$37)^10</f>
        <v>388.45242685300485</v>
      </c>
    </row>
    <row r="52" spans="1:14">
      <c r="A52" s="18" t="s">
        <v>193</v>
      </c>
      <c r="B52" s="11">
        <f>SUM(N40:N49)+B51</f>
        <v>613.14380137989178</v>
      </c>
    </row>
    <row r="53" spans="1:14">
      <c r="A53" s="6" t="s">
        <v>194</v>
      </c>
      <c r="B53" s="11">
        <f>$B$8</f>
        <v>-557</v>
      </c>
    </row>
    <row r="54" spans="1:14">
      <c r="A54" s="18" t="s">
        <v>195</v>
      </c>
      <c r="B54" s="11">
        <f>B52-B53</f>
        <v>1170.1438013798918</v>
      </c>
    </row>
    <row r="55" spans="1:14">
      <c r="A55" s="18" t="s">
        <v>196</v>
      </c>
      <c r="B55" s="7">
        <f>B54/$B$10</f>
        <v>544.87637081492869</v>
      </c>
      <c r="C55" s="6" t="s">
        <v>199</v>
      </c>
    </row>
    <row r="59" spans="1:14" ht="16.2">
      <c r="A59" s="3" t="s">
        <v>200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6" t="s">
        <v>178</v>
      </c>
      <c r="B60" s="15">
        <v>7.1999999999999995E-2</v>
      </c>
      <c r="C60" s="6" t="s">
        <v>179</v>
      </c>
      <c r="D60" s="15">
        <v>3.2000000000000001E-2</v>
      </c>
    </row>
    <row r="62" spans="1:14">
      <c r="A62" s="5" t="s">
        <v>180</v>
      </c>
      <c r="B62" s="5" t="s">
        <v>87</v>
      </c>
      <c r="C62" s="5" t="s">
        <v>74</v>
      </c>
      <c r="D62" s="5" t="s">
        <v>181</v>
      </c>
      <c r="E62" s="5" t="s">
        <v>182</v>
      </c>
      <c r="F62" s="5" t="s">
        <v>148</v>
      </c>
      <c r="G62" s="5" t="s">
        <v>183</v>
      </c>
      <c r="H62" s="5" t="s">
        <v>184</v>
      </c>
      <c r="I62" s="5" t="s">
        <v>185</v>
      </c>
      <c r="J62" s="5" t="s">
        <v>186</v>
      </c>
      <c r="K62" s="5" t="s">
        <v>187</v>
      </c>
      <c r="L62" s="5" t="s">
        <v>188</v>
      </c>
      <c r="M62" s="5" t="s">
        <v>189</v>
      </c>
      <c r="N62" s="5" t="s">
        <v>190</v>
      </c>
    </row>
    <row r="63" spans="1:14">
      <c r="A63" s="24">
        <v>1</v>
      </c>
      <c r="B63" s="15">
        <v>0.06</v>
      </c>
      <c r="C63" s="11">
        <f>$B$5*(1+B63)</f>
        <v>394.85</v>
      </c>
      <c r="D63" s="15">
        <v>0.13500000000000001</v>
      </c>
      <c r="E63" s="11">
        <f t="shared" ref="E63:E72" si="16">C63*D63</f>
        <v>53.304750000000006</v>
      </c>
      <c r="F63" s="11">
        <f t="shared" ref="F63:F72" si="17">E63*(1-$B$6)</f>
        <v>42.110752500000004</v>
      </c>
      <c r="G63" s="15">
        <v>3.7999999999999999E-2</v>
      </c>
      <c r="H63" s="11">
        <f t="shared" ref="H63:H72" si="18">C63*G63</f>
        <v>15.004300000000001</v>
      </c>
      <c r="I63" s="15">
        <v>5.5E-2</v>
      </c>
      <c r="J63" s="11">
        <f t="shared" ref="J63:J72" si="19">C63*I63</f>
        <v>21.716750000000001</v>
      </c>
      <c r="K63" s="11">
        <f>(C63-$B$5)*$B$7</f>
        <v>0.44700000000000045</v>
      </c>
      <c r="L63" s="11">
        <f t="shared" ref="L63:L72" si="20">F63+H63-J63-K63</f>
        <v>34.951302499999997</v>
      </c>
      <c r="M63" s="23">
        <f>1/(1+$B$60)^1</f>
        <v>0.93283582089552231</v>
      </c>
      <c r="N63" s="11">
        <f t="shared" ref="N63:N72" si="21">L63*M63</f>
        <v>32.603826958955217</v>
      </c>
    </row>
    <row r="64" spans="1:14">
      <c r="A64" s="24">
        <v>2</v>
      </c>
      <c r="B64" s="15">
        <v>5.5E-2</v>
      </c>
      <c r="C64" s="11">
        <f t="shared" ref="C64:C72" si="22">C63*(1+B64)</f>
        <v>416.56675000000001</v>
      </c>
      <c r="D64" s="15">
        <v>0.14000000000000001</v>
      </c>
      <c r="E64" s="11">
        <f t="shared" si="16"/>
        <v>58.319345000000006</v>
      </c>
      <c r="F64" s="11">
        <f t="shared" si="17"/>
        <v>46.072282550000004</v>
      </c>
      <c r="G64" s="15">
        <v>3.7999999999999999E-2</v>
      </c>
      <c r="H64" s="11">
        <f t="shared" si="18"/>
        <v>15.8295365</v>
      </c>
      <c r="I64" s="15">
        <v>5.5E-2</v>
      </c>
      <c r="J64" s="11">
        <f t="shared" si="19"/>
        <v>22.911171250000002</v>
      </c>
      <c r="K64" s="11">
        <f t="shared" ref="K64:K72" si="23">(C64-C63)*$B$7</f>
        <v>0.4343349999999998</v>
      </c>
      <c r="L64" s="11">
        <f t="shared" si="20"/>
        <v>38.556312800000001</v>
      </c>
      <c r="M64" s="23">
        <f>1/(1+$B$60)^2</f>
        <v>0.87018266874582295</v>
      </c>
      <c r="N64" s="11">
        <f t="shared" si="21"/>
        <v>33.551035169302736</v>
      </c>
    </row>
    <row r="65" spans="1:14">
      <c r="A65" s="24">
        <v>3</v>
      </c>
      <c r="B65" s="15">
        <v>0.05</v>
      </c>
      <c r="C65" s="11">
        <f t="shared" si="22"/>
        <v>437.39508750000005</v>
      </c>
      <c r="D65" s="15">
        <v>0.14499999999999999</v>
      </c>
      <c r="E65" s="11">
        <f t="shared" si="16"/>
        <v>63.422287687500003</v>
      </c>
      <c r="F65" s="11">
        <f t="shared" si="17"/>
        <v>50.103607273125007</v>
      </c>
      <c r="G65" s="15">
        <v>3.7999999999999999E-2</v>
      </c>
      <c r="H65" s="11">
        <f t="shared" si="18"/>
        <v>16.621013325</v>
      </c>
      <c r="I65" s="15">
        <v>5.5E-2</v>
      </c>
      <c r="J65" s="11">
        <f t="shared" si="19"/>
        <v>24.056729812500002</v>
      </c>
      <c r="K65" s="11">
        <f t="shared" si="23"/>
        <v>0.41656675000000065</v>
      </c>
      <c r="L65" s="11">
        <f t="shared" si="20"/>
        <v>42.251324035624997</v>
      </c>
      <c r="M65" s="23">
        <f>1/(1+$B$60)^3</f>
        <v>0.81173756412856624</v>
      </c>
      <c r="N65" s="11">
        <f t="shared" si="21"/>
        <v>34.296986853884981</v>
      </c>
    </row>
    <row r="66" spans="1:14">
      <c r="A66" s="24">
        <v>4</v>
      </c>
      <c r="B66" s="15">
        <v>0.05</v>
      </c>
      <c r="C66" s="11">
        <f t="shared" si="22"/>
        <v>459.26484187500006</v>
      </c>
      <c r="D66" s="15">
        <v>0.14499999999999999</v>
      </c>
      <c r="E66" s="11">
        <f t="shared" si="16"/>
        <v>66.593402071875005</v>
      </c>
      <c r="F66" s="11">
        <f t="shared" si="17"/>
        <v>52.608787636781258</v>
      </c>
      <c r="G66" s="15">
        <v>3.7999999999999999E-2</v>
      </c>
      <c r="H66" s="11">
        <f t="shared" si="18"/>
        <v>17.45206399125</v>
      </c>
      <c r="I66" s="15">
        <v>5.5E-2</v>
      </c>
      <c r="J66" s="11">
        <f t="shared" si="19"/>
        <v>25.259566303125002</v>
      </c>
      <c r="K66" s="11">
        <f t="shared" si="23"/>
        <v>0.43739508750000028</v>
      </c>
      <c r="L66" s="11">
        <f t="shared" si="20"/>
        <v>44.36389023740626</v>
      </c>
      <c r="M66" s="23">
        <f>1/(1+$B$60)^4</f>
        <v>0.75721787698560261</v>
      </c>
      <c r="N66" s="11">
        <f t="shared" si="21"/>
        <v>33.593130780391071</v>
      </c>
    </row>
    <row r="67" spans="1:14">
      <c r="A67" s="24">
        <v>5</v>
      </c>
      <c r="B67" s="15">
        <v>4.4999999999999998E-2</v>
      </c>
      <c r="C67" s="11">
        <f t="shared" si="22"/>
        <v>479.93175975937504</v>
      </c>
      <c r="D67" s="15">
        <v>0.14499999999999999</v>
      </c>
      <c r="E67" s="11">
        <f t="shared" si="16"/>
        <v>69.590105165109378</v>
      </c>
      <c r="F67" s="11">
        <f t="shared" si="17"/>
        <v>54.976183080436414</v>
      </c>
      <c r="G67" s="15">
        <v>3.7999999999999999E-2</v>
      </c>
      <c r="H67" s="11">
        <f t="shared" si="18"/>
        <v>18.237406870856251</v>
      </c>
      <c r="I67" s="15">
        <v>5.5E-2</v>
      </c>
      <c r="J67" s="11">
        <f t="shared" si="19"/>
        <v>26.396246786765627</v>
      </c>
      <c r="K67" s="11">
        <f t="shared" si="23"/>
        <v>0.41333835768749966</v>
      </c>
      <c r="L67" s="11">
        <f t="shared" si="20"/>
        <v>46.404004806839531</v>
      </c>
      <c r="M67" s="23">
        <f>1/(1+$B$60)^5</f>
        <v>0.7063599598746293</v>
      </c>
      <c r="N67" s="11">
        <f t="shared" si="21"/>
        <v>32.777930973381274</v>
      </c>
    </row>
    <row r="68" spans="1:14">
      <c r="A68" s="24">
        <v>6</v>
      </c>
      <c r="B68" s="15">
        <v>0.04</v>
      </c>
      <c r="C68" s="11">
        <f t="shared" si="22"/>
        <v>499.12903014975006</v>
      </c>
      <c r="D68" s="15">
        <v>0.14000000000000001</v>
      </c>
      <c r="E68" s="11">
        <f t="shared" si="16"/>
        <v>69.878064220965015</v>
      </c>
      <c r="F68" s="11">
        <f t="shared" si="17"/>
        <v>55.203670734562365</v>
      </c>
      <c r="G68" s="15">
        <v>3.7999999999999999E-2</v>
      </c>
      <c r="H68" s="11">
        <f t="shared" si="18"/>
        <v>18.966903145690502</v>
      </c>
      <c r="I68" s="15">
        <v>5.5E-2</v>
      </c>
      <c r="J68" s="11">
        <f t="shared" si="19"/>
        <v>27.452096658236254</v>
      </c>
      <c r="K68" s="11">
        <f t="shared" si="23"/>
        <v>0.38394540780750047</v>
      </c>
      <c r="L68" s="11">
        <f t="shared" si="20"/>
        <v>46.334531814209114</v>
      </c>
      <c r="M68" s="23">
        <f>1/(1+$B$60)^6</f>
        <v>0.65891787301737803</v>
      </c>
      <c r="N68" s="11">
        <f t="shared" si="21"/>
        <v>30.530651150274704</v>
      </c>
    </row>
    <row r="69" spans="1:14">
      <c r="A69" s="24">
        <v>7</v>
      </c>
      <c r="B69" s="15">
        <v>0.04</v>
      </c>
      <c r="C69" s="11">
        <f t="shared" si="22"/>
        <v>519.09419135574012</v>
      </c>
      <c r="D69" s="15">
        <v>0.14000000000000001</v>
      </c>
      <c r="E69" s="11">
        <f t="shared" si="16"/>
        <v>72.673186789803623</v>
      </c>
      <c r="F69" s="11">
        <f t="shared" si="17"/>
        <v>57.411817563944865</v>
      </c>
      <c r="G69" s="15">
        <v>3.7999999999999999E-2</v>
      </c>
      <c r="H69" s="11">
        <f t="shared" si="18"/>
        <v>19.725579271518125</v>
      </c>
      <c r="I69" s="15">
        <v>5.5E-2</v>
      </c>
      <c r="J69" s="11">
        <f t="shared" si="19"/>
        <v>28.550180524565707</v>
      </c>
      <c r="K69" s="11">
        <f t="shared" si="23"/>
        <v>0.39930322411980113</v>
      </c>
      <c r="L69" s="11">
        <f t="shared" si="20"/>
        <v>48.187913086777492</v>
      </c>
      <c r="M69" s="23">
        <f>1/(1+$B$60)^7</f>
        <v>0.6146621949788974</v>
      </c>
      <c r="N69" s="11">
        <f t="shared" si="21"/>
        <v>29.619288429370989</v>
      </c>
    </row>
    <row r="70" spans="1:14">
      <c r="A70" s="24">
        <v>8</v>
      </c>
      <c r="B70" s="15">
        <v>3.5000000000000003E-2</v>
      </c>
      <c r="C70" s="11">
        <f t="shared" si="22"/>
        <v>537.26248805319096</v>
      </c>
      <c r="D70" s="15">
        <v>0.14000000000000001</v>
      </c>
      <c r="E70" s="11">
        <f t="shared" si="16"/>
        <v>75.216748327446737</v>
      </c>
      <c r="F70" s="11">
        <f t="shared" si="17"/>
        <v>59.421231178682923</v>
      </c>
      <c r="G70" s="15">
        <v>3.7999999999999999E-2</v>
      </c>
      <c r="H70" s="11">
        <f t="shared" si="18"/>
        <v>20.415974546021257</v>
      </c>
      <c r="I70" s="15">
        <v>5.5E-2</v>
      </c>
      <c r="J70" s="11">
        <f t="shared" si="19"/>
        <v>29.549436842925502</v>
      </c>
      <c r="K70" s="11">
        <f t="shared" si="23"/>
        <v>0.36336593394901684</v>
      </c>
      <c r="L70" s="11">
        <f t="shared" si="20"/>
        <v>49.924402947829655</v>
      </c>
      <c r="M70" s="23">
        <f>1/(1+$B$60)^8</f>
        <v>0.57337891322658319</v>
      </c>
      <c r="N70" s="11">
        <f t="shared" si="21"/>
        <v>28.625599905712594</v>
      </c>
    </row>
    <row r="71" spans="1:14">
      <c r="A71" s="24">
        <v>9</v>
      </c>
      <c r="B71" s="15">
        <v>0.03</v>
      </c>
      <c r="C71" s="11">
        <f t="shared" si="22"/>
        <v>553.38036269478675</v>
      </c>
      <c r="D71" s="15">
        <v>0.14000000000000001</v>
      </c>
      <c r="E71" s="11">
        <f t="shared" si="16"/>
        <v>77.473250777270152</v>
      </c>
      <c r="F71" s="11">
        <f t="shared" si="17"/>
        <v>61.203868114043424</v>
      </c>
      <c r="G71" s="15">
        <v>3.7999999999999999E-2</v>
      </c>
      <c r="H71" s="11">
        <f t="shared" si="18"/>
        <v>21.028453782401897</v>
      </c>
      <c r="I71" s="15">
        <v>5.5E-2</v>
      </c>
      <c r="J71" s="11">
        <f t="shared" si="19"/>
        <v>30.435919948213272</v>
      </c>
      <c r="K71" s="11">
        <f t="shared" si="23"/>
        <v>0.32235749283191584</v>
      </c>
      <c r="L71" s="11">
        <f t="shared" si="20"/>
        <v>51.474044455400133</v>
      </c>
      <c r="M71" s="23">
        <f>1/(1+$B$60)^9</f>
        <v>0.53486838920390223</v>
      </c>
      <c r="N71" s="11">
        <f t="shared" si="21"/>
        <v>27.531839243669925</v>
      </c>
    </row>
    <row r="72" spans="1:14">
      <c r="A72" s="24">
        <v>10</v>
      </c>
      <c r="B72" s="15">
        <v>0.03</v>
      </c>
      <c r="C72" s="11">
        <f t="shared" si="22"/>
        <v>569.98177357563043</v>
      </c>
      <c r="D72" s="15">
        <v>0.14000000000000001</v>
      </c>
      <c r="E72" s="11">
        <f t="shared" si="16"/>
        <v>79.797448300588272</v>
      </c>
      <c r="F72" s="11">
        <f t="shared" si="17"/>
        <v>63.039984157464737</v>
      </c>
      <c r="G72" s="15">
        <v>3.7999999999999999E-2</v>
      </c>
      <c r="H72" s="11">
        <f t="shared" si="18"/>
        <v>21.659307395873956</v>
      </c>
      <c r="I72" s="15">
        <v>5.5E-2</v>
      </c>
      <c r="J72" s="11">
        <f t="shared" si="19"/>
        <v>31.348997546659675</v>
      </c>
      <c r="K72" s="11">
        <f t="shared" si="23"/>
        <v>0.33202821761687346</v>
      </c>
      <c r="L72" s="11">
        <f t="shared" si="20"/>
        <v>53.018265789062148</v>
      </c>
      <c r="M72" s="23">
        <f>1/(1+$B$60)^10</f>
        <v>0.49894439291408776</v>
      </c>
      <c r="N72" s="11">
        <f t="shared" si="21"/>
        <v>26.453166437481361</v>
      </c>
    </row>
    <row r="73" spans="1:14">
      <c r="A73" s="18" t="s">
        <v>191</v>
      </c>
      <c r="B73" s="11">
        <f>L72*(1+$D$60)/($B$60-$D$60)</f>
        <v>1367.8712573578036</v>
      </c>
    </row>
    <row r="74" spans="1:14">
      <c r="A74" s="6" t="s">
        <v>192</v>
      </c>
      <c r="B74" s="11">
        <f>B73/(1+$B$60)^10</f>
        <v>682.49169408701925</v>
      </c>
    </row>
    <row r="75" spans="1:14">
      <c r="A75" s="18" t="s">
        <v>193</v>
      </c>
      <c r="B75" s="11">
        <f>SUM(N63:N72)+B74</f>
        <v>992.07514998944407</v>
      </c>
    </row>
    <row r="76" spans="1:14">
      <c r="A76" s="6" t="s">
        <v>194</v>
      </c>
      <c r="B76" s="11">
        <f>$B$8</f>
        <v>-557</v>
      </c>
    </row>
    <row r="77" spans="1:14">
      <c r="A77" s="18" t="s">
        <v>195</v>
      </c>
      <c r="B77" s="11">
        <f>B75-B76</f>
        <v>1549.0751499894441</v>
      </c>
    </row>
    <row r="78" spans="1:14">
      <c r="A78" s="18" t="s">
        <v>196</v>
      </c>
      <c r="B78" s="7">
        <f>B77/$B$10</f>
        <v>721.32540022045885</v>
      </c>
      <c r="C78" s="6" t="s">
        <v>201</v>
      </c>
    </row>
  </sheetData>
  <mergeCells count="3">
    <mergeCell ref="A3:N3"/>
    <mergeCell ref="A2:N2"/>
    <mergeCell ref="A11:N11"/>
  </mergeCells>
  <phoneticPr fontId="11" type="noConversion"/>
  <pageMargins left="0.25" right="0.25" top="0.35" bottom="0.35" header="0.15" footer="0.15"/>
  <pageSetup paperSize="8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2"/>
  <sheetViews>
    <sheetView showGridLines="0" workbookViewId="0"/>
  </sheetViews>
  <sheetFormatPr defaultRowHeight="14.4"/>
  <cols>
    <col min="1" max="1" width="30" customWidth="1"/>
    <col min="2" max="7" width="15" customWidth="1"/>
  </cols>
  <sheetData>
    <row r="1" spans="1:7" ht="23.4">
      <c r="A1" s="1" t="s">
        <v>202</v>
      </c>
    </row>
    <row r="2" spans="1:7" ht="15.6">
      <c r="A2" s="27" t="s">
        <v>203</v>
      </c>
      <c r="B2" s="28"/>
      <c r="C2" s="28"/>
      <c r="D2" s="28"/>
      <c r="E2" s="28"/>
      <c r="F2" s="28"/>
      <c r="G2" s="28"/>
    </row>
    <row r="4" spans="1:7">
      <c r="A4" s="5" t="s">
        <v>178</v>
      </c>
      <c r="B4" s="5" t="s">
        <v>196</v>
      </c>
    </row>
    <row r="5" spans="1:7">
      <c r="A5" s="15">
        <v>6.2E-2</v>
      </c>
      <c r="B5" s="25">
        <v>688</v>
      </c>
    </row>
    <row r="6" spans="1:7">
      <c r="A6" s="15">
        <v>6.5000000000000002E-2</v>
      </c>
      <c r="B6" s="25">
        <v>651</v>
      </c>
    </row>
    <row r="7" spans="1:7">
      <c r="A7" s="15">
        <v>6.8000000000000005E-2</v>
      </c>
      <c r="B7" s="25">
        <v>620</v>
      </c>
    </row>
    <row r="8" spans="1:7">
      <c r="A8" s="15">
        <v>7.2999999999999995E-2</v>
      </c>
      <c r="B8" s="25">
        <v>578</v>
      </c>
    </row>
    <row r="9" spans="1:7">
      <c r="A9" s="15">
        <v>7.8E-2</v>
      </c>
      <c r="B9" s="25">
        <v>545</v>
      </c>
    </row>
    <row r="10" spans="1:7">
      <c r="A10" s="15">
        <v>8.3000000000000004E-2</v>
      </c>
      <c r="B10" s="25">
        <v>518</v>
      </c>
    </row>
    <row r="11" spans="1:7">
      <c r="A11" s="15">
        <v>8.7999999999999995E-2</v>
      </c>
      <c r="B11" s="25">
        <v>496</v>
      </c>
    </row>
    <row r="12" spans="1:7">
      <c r="A12" s="15">
        <v>9.2999999999999999E-2</v>
      </c>
      <c r="B12" s="25">
        <v>477</v>
      </c>
    </row>
    <row r="14" spans="1:7">
      <c r="A14" s="5" t="s">
        <v>204</v>
      </c>
      <c r="B14" s="5" t="s">
        <v>196</v>
      </c>
    </row>
    <row r="15" spans="1:7">
      <c r="A15" s="15">
        <v>3.2000000000000001E-2</v>
      </c>
      <c r="B15" s="25">
        <v>623</v>
      </c>
    </row>
    <row r="16" spans="1:7">
      <c r="A16" s="15">
        <v>4.2000000000000003E-2</v>
      </c>
      <c r="B16" s="25">
        <v>597</v>
      </c>
    </row>
    <row r="17" spans="1:3">
      <c r="A17" s="15">
        <v>5.1999999999999998E-2</v>
      </c>
      <c r="B17" s="25">
        <v>571</v>
      </c>
    </row>
    <row r="18" spans="1:3">
      <c r="A18" s="15">
        <v>6.2E-2</v>
      </c>
      <c r="B18" s="25">
        <v>545</v>
      </c>
    </row>
    <row r="19" spans="1:3">
      <c r="A19" s="15">
        <v>7.1999999999999995E-2</v>
      </c>
      <c r="B19" s="25">
        <v>519</v>
      </c>
    </row>
    <row r="20" spans="1:3">
      <c r="A20" s="15">
        <v>8.2000000000000003E-2</v>
      </c>
      <c r="B20" s="25">
        <v>493</v>
      </c>
    </row>
    <row r="23" spans="1:3">
      <c r="A23" s="5" t="s">
        <v>205</v>
      </c>
      <c r="B23" s="5" t="s">
        <v>196</v>
      </c>
    </row>
    <row r="24" spans="1:3">
      <c r="A24" s="15">
        <v>6.3E-2</v>
      </c>
      <c r="B24" s="25">
        <v>421</v>
      </c>
    </row>
    <row r="25" spans="1:3">
      <c r="A25" s="15">
        <v>8.3000000000000004E-2</v>
      </c>
      <c r="B25" s="25">
        <v>463</v>
      </c>
    </row>
    <row r="26" spans="1:3">
      <c r="A26" s="15">
        <v>0.10299999999999999</v>
      </c>
      <c r="B26" s="25">
        <v>504</v>
      </c>
    </row>
    <row r="27" spans="1:3">
      <c r="A27" s="15">
        <v>0.123</v>
      </c>
      <c r="B27" s="25">
        <v>545</v>
      </c>
    </row>
    <row r="28" spans="1:3">
      <c r="A28" s="15">
        <v>0.14299999999999999</v>
      </c>
      <c r="B28" s="25">
        <v>586</v>
      </c>
    </row>
    <row r="29" spans="1:3">
      <c r="A29" s="15">
        <v>0.16300000000000001</v>
      </c>
      <c r="B29" s="25">
        <v>627</v>
      </c>
    </row>
    <row r="30" spans="1:3">
      <c r="A30" s="15">
        <v>0.183</v>
      </c>
      <c r="B30" s="25">
        <v>668</v>
      </c>
    </row>
    <row r="32" spans="1:3" ht="16.2">
      <c r="A32" s="3" t="s">
        <v>206</v>
      </c>
      <c r="B32" s="4"/>
      <c r="C32" s="4"/>
    </row>
    <row r="33" spans="1:7">
      <c r="A33" s="6" t="s">
        <v>207</v>
      </c>
      <c r="B33" s="15">
        <v>3.4649740009217563E-2</v>
      </c>
    </row>
    <row r="34" spans="1:7">
      <c r="A34" s="6" t="s">
        <v>208</v>
      </c>
      <c r="B34" s="15">
        <v>3.546998547924618E-2</v>
      </c>
    </row>
    <row r="36" spans="1:7" ht="16.2">
      <c r="A36" s="3" t="s">
        <v>209</v>
      </c>
      <c r="B36" s="4"/>
      <c r="C36" s="4"/>
      <c r="D36" s="4"/>
      <c r="E36" s="4"/>
      <c r="F36" s="4"/>
      <c r="G36" s="4"/>
    </row>
    <row r="37" spans="1:7">
      <c r="A37" s="5" t="s">
        <v>210</v>
      </c>
      <c r="B37" s="5" t="s">
        <v>196</v>
      </c>
      <c r="C37" s="5" t="s">
        <v>211</v>
      </c>
      <c r="D37" s="5" t="s">
        <v>212</v>
      </c>
    </row>
    <row r="38" spans="1:7">
      <c r="A38" s="6" t="s">
        <v>213</v>
      </c>
      <c r="B38" s="26" t="s">
        <v>214</v>
      </c>
      <c r="C38" s="26" t="s">
        <v>215</v>
      </c>
      <c r="D38" s="26" t="s">
        <v>216</v>
      </c>
    </row>
    <row r="39" spans="1:7">
      <c r="A39" s="6" t="s">
        <v>217</v>
      </c>
      <c r="B39" s="26" t="s">
        <v>218</v>
      </c>
      <c r="C39" s="26" t="s">
        <v>219</v>
      </c>
      <c r="D39" s="26" t="s">
        <v>220</v>
      </c>
    </row>
    <row r="40" spans="1:7">
      <c r="A40" s="6" t="s">
        <v>221</v>
      </c>
      <c r="B40" s="26" t="s">
        <v>58</v>
      </c>
      <c r="C40" s="26" t="s">
        <v>222</v>
      </c>
      <c r="D40" s="26" t="s">
        <v>223</v>
      </c>
    </row>
    <row r="41" spans="1:7">
      <c r="A41" s="6" t="s">
        <v>224</v>
      </c>
      <c r="B41" s="26" t="s">
        <v>225</v>
      </c>
      <c r="C41" s="26" t="s">
        <v>226</v>
      </c>
      <c r="D41" s="26" t="s">
        <v>227</v>
      </c>
    </row>
    <row r="42" spans="1:7" ht="40.049999999999997" customHeight="1">
      <c r="A42" s="32" t="s">
        <v>228</v>
      </c>
      <c r="B42" s="28"/>
      <c r="C42" s="28"/>
      <c r="D42" s="28"/>
      <c r="E42" s="28"/>
      <c r="F42" s="28"/>
      <c r="G42" s="28"/>
    </row>
  </sheetData>
  <mergeCells count="2">
    <mergeCell ref="A2:G2"/>
    <mergeCell ref="A42:G42"/>
  </mergeCells>
  <phoneticPr fontId="11" type="noConversion"/>
  <pageMargins left="0.25" right="0.25" top="0.35" bottom="0.35" header="0.15" footer="0.15"/>
  <pageSetup paperSize="8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3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70" customWidth="1"/>
  </cols>
  <sheetData>
    <row r="1" spans="1:4" ht="23.4">
      <c r="A1" s="1" t="s">
        <v>229</v>
      </c>
    </row>
    <row r="2" spans="1:4" ht="15.6">
      <c r="A2" s="27" t="s">
        <v>230</v>
      </c>
      <c r="B2" s="28"/>
      <c r="C2" s="28"/>
      <c r="D2" s="28"/>
    </row>
    <row r="4" spans="1:4">
      <c r="A4" s="5" t="s">
        <v>231</v>
      </c>
      <c r="B4" s="5" t="s">
        <v>232</v>
      </c>
      <c r="C4" s="5" t="s">
        <v>233</v>
      </c>
      <c r="D4" s="5" t="s">
        <v>234</v>
      </c>
    </row>
    <row r="5" spans="1:4">
      <c r="A5" s="6" t="s">
        <v>235</v>
      </c>
      <c r="B5" s="6" t="s">
        <v>236</v>
      </c>
      <c r="C5" s="22" t="s">
        <v>237</v>
      </c>
      <c r="D5" s="8" t="s">
        <v>238</v>
      </c>
    </row>
    <row r="6" spans="1:4">
      <c r="A6" s="6" t="s">
        <v>239</v>
      </c>
      <c r="B6" s="6" t="s">
        <v>236</v>
      </c>
      <c r="C6" s="22" t="s">
        <v>240</v>
      </c>
      <c r="D6" s="8" t="s">
        <v>241</v>
      </c>
    </row>
    <row r="7" spans="1:4">
      <c r="A7" s="6" t="s">
        <v>242</v>
      </c>
      <c r="B7" s="6" t="s">
        <v>236</v>
      </c>
      <c r="C7" s="22" t="s">
        <v>243</v>
      </c>
      <c r="D7" s="8" t="s">
        <v>244</v>
      </c>
    </row>
    <row r="8" spans="1:4">
      <c r="A8" s="6" t="s">
        <v>245</v>
      </c>
      <c r="B8" s="6" t="s">
        <v>246</v>
      </c>
      <c r="C8" s="22" t="s">
        <v>247</v>
      </c>
      <c r="D8" s="8" t="s">
        <v>248</v>
      </c>
    </row>
    <row r="9" spans="1:4">
      <c r="A9" s="6" t="s">
        <v>249</v>
      </c>
      <c r="B9" s="6" t="s">
        <v>250</v>
      </c>
      <c r="C9" s="22" t="s">
        <v>251</v>
      </c>
      <c r="D9" s="8" t="s">
        <v>252</v>
      </c>
    </row>
    <row r="10" spans="1:4">
      <c r="A10" s="6" t="s">
        <v>253</v>
      </c>
      <c r="B10" s="6" t="s">
        <v>254</v>
      </c>
      <c r="C10" s="22" t="s">
        <v>240</v>
      </c>
      <c r="D10" s="8" t="s">
        <v>255</v>
      </c>
    </row>
    <row r="13" spans="1:4" ht="15">
      <c r="A13" s="31" t="s">
        <v>256</v>
      </c>
      <c r="B13" s="28"/>
      <c r="C13" s="28"/>
      <c r="D13" s="28"/>
    </row>
  </sheetData>
  <mergeCells count="2">
    <mergeCell ref="A13:D13"/>
    <mergeCell ref="A2:D2"/>
  </mergeCells>
  <phoneticPr fontId="11" type="noConversion"/>
  <pageMargins left="0.25" right="0.25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结论</vt:lpstr>
      <vt:lpstr>历史财务</vt:lpstr>
      <vt:lpstr>分部</vt:lpstr>
      <vt:lpstr>FCFF桥</vt:lpstr>
      <vt:lpstr>DCF</vt:lpstr>
      <vt:lpstr>敏感性</vt:lpstr>
      <vt:lpstr>来源</vt:lpstr>
      <vt:lpstr>DCF!Print_Area</vt:lpstr>
      <vt:lpstr>FCFF桥!Print_Area</vt:lpstr>
      <vt:lpstr>分部!Print_Area</vt:lpstr>
      <vt:lpstr>结论!Print_Area</vt:lpstr>
      <vt:lpstr>来源!Print_Area</vt:lpstr>
      <vt:lpstr>历史财务!Print_Area</vt:lpstr>
      <vt:lpstr>敏感性!Print_Area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2026-10-29T09:03:29Z</dcterms:created>
  <dcterms:modified xsi:type="dcterms:W3CDTF">2026-10-29T10:34:24Z</dcterms:modified>
</cp:coreProperties>
</file>