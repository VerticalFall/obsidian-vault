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000660.KS-2026-10-29\"/>
    </mc:Choice>
  </mc:AlternateContent>
  <xr:revisionPtr revIDLastSave="0" documentId="13_ncr:1_{DDA52CC3-F0AA-4DD2-97B8-B9012E10F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分部!$A$1:$F$30</definedName>
    <definedName name="_xlnm.Print_Area" localSheetId="0">结论!$A$1:$M$47</definedName>
    <definedName name="_xlnm.Print_Area" localSheetId="6">来源!$A$1:$D$14</definedName>
    <definedName name="_xlnm.Print_Area" localSheetId="1">历史财务!$A$1:$H$27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C64" i="5" l="1"/>
  <c r="K63" i="5"/>
  <c r="J63" i="5"/>
  <c r="H63" i="5"/>
  <c r="E63" i="5"/>
  <c r="F63" i="5" s="1"/>
  <c r="L63" i="5" s="1"/>
  <c r="N63" i="5" s="1"/>
  <c r="C41" i="5"/>
  <c r="K40" i="5"/>
  <c r="H40" i="5"/>
  <c r="E40" i="5"/>
  <c r="F40" i="5" s="1"/>
  <c r="L40" i="5" s="1"/>
  <c r="N40" i="5" s="1"/>
  <c r="J40" i="5"/>
  <c r="H17" i="5"/>
  <c r="E17" i="5"/>
  <c r="F17" i="5" s="1"/>
  <c r="C18" i="5"/>
  <c r="K17" i="5"/>
  <c r="J17" i="5"/>
  <c r="B25" i="1"/>
  <c r="B14" i="1"/>
  <c r="E64" i="5" l="1"/>
  <c r="F64" i="5" s="1"/>
  <c r="H64" i="5"/>
  <c r="J64" i="5"/>
  <c r="K64" i="5"/>
  <c r="C65" i="5"/>
  <c r="E41" i="5"/>
  <c r="F41" i="5" s="1"/>
  <c r="H41" i="5"/>
  <c r="J41" i="5"/>
  <c r="K41" i="5"/>
  <c r="C42" i="5"/>
  <c r="H18" i="5"/>
  <c r="J18" i="5"/>
  <c r="K18" i="5"/>
  <c r="C19" i="5"/>
  <c r="E18" i="5"/>
  <c r="F18" i="5" s="1"/>
  <c r="B26" i="1"/>
  <c r="B22" i="1"/>
  <c r="L17" i="5"/>
  <c r="N17" i="5" s="1"/>
  <c r="L18" i="5" l="1"/>
  <c r="N18" i="5" s="1"/>
  <c r="E65" i="5"/>
  <c r="F65" i="5" s="1"/>
  <c r="H65" i="5"/>
  <c r="J65" i="5"/>
  <c r="K65" i="5"/>
  <c r="C66" i="5"/>
  <c r="E42" i="5"/>
  <c r="F42" i="5" s="1"/>
  <c r="H42" i="5"/>
  <c r="J42" i="5"/>
  <c r="K42" i="5"/>
  <c r="C43" i="5"/>
  <c r="E19" i="5"/>
  <c r="F19" i="5" s="1"/>
  <c r="H19" i="5"/>
  <c r="J19" i="5"/>
  <c r="K19" i="5"/>
  <c r="C20" i="5"/>
  <c r="L64" i="5"/>
  <c r="N64" i="5" s="1"/>
  <c r="L41" i="5"/>
  <c r="N41" i="5" s="1"/>
  <c r="E66" i="5" l="1"/>
  <c r="F66" i="5" s="1"/>
  <c r="H66" i="5"/>
  <c r="J66" i="5"/>
  <c r="K66" i="5"/>
  <c r="C67" i="5"/>
  <c r="E43" i="5"/>
  <c r="F43" i="5" s="1"/>
  <c r="H43" i="5"/>
  <c r="J43" i="5"/>
  <c r="K43" i="5"/>
  <c r="C44" i="5"/>
  <c r="C21" i="5"/>
  <c r="E20" i="5"/>
  <c r="F20" i="5" s="1"/>
  <c r="H20" i="5"/>
  <c r="J20" i="5"/>
  <c r="K20" i="5"/>
  <c r="L65" i="5"/>
  <c r="N65" i="5" s="1"/>
  <c r="L42" i="5"/>
  <c r="N42" i="5" s="1"/>
  <c r="L19" i="5"/>
  <c r="N19" i="5" s="1"/>
  <c r="L66" i="5" l="1"/>
  <c r="N66" i="5" s="1"/>
  <c r="E67" i="5"/>
  <c r="F67" i="5" s="1"/>
  <c r="H67" i="5"/>
  <c r="J67" i="5"/>
  <c r="K67" i="5"/>
  <c r="C68" i="5"/>
  <c r="E44" i="5"/>
  <c r="F44" i="5" s="1"/>
  <c r="H44" i="5"/>
  <c r="J44" i="5"/>
  <c r="K44" i="5"/>
  <c r="C45" i="5"/>
  <c r="H21" i="5"/>
  <c r="J21" i="5"/>
  <c r="K21" i="5"/>
  <c r="E21" i="5"/>
  <c r="F21" i="5" s="1"/>
  <c r="L21" i="5" s="1"/>
  <c r="N21" i="5" s="1"/>
  <c r="C22" i="5"/>
  <c r="L43" i="5"/>
  <c r="N43" i="5" s="1"/>
  <c r="L20" i="5"/>
  <c r="N20" i="5" s="1"/>
  <c r="L67" i="5" l="1"/>
  <c r="N67" i="5" s="1"/>
  <c r="E68" i="5"/>
  <c r="F68" i="5" s="1"/>
  <c r="H68" i="5"/>
  <c r="J68" i="5"/>
  <c r="K68" i="5"/>
  <c r="C69" i="5"/>
  <c r="E45" i="5"/>
  <c r="F45" i="5" s="1"/>
  <c r="H45" i="5"/>
  <c r="J45" i="5"/>
  <c r="K45" i="5"/>
  <c r="C46" i="5"/>
  <c r="E22" i="5"/>
  <c r="F22" i="5" s="1"/>
  <c r="H22" i="5"/>
  <c r="J22" i="5"/>
  <c r="K22" i="5"/>
  <c r="C23" i="5"/>
  <c r="L44" i="5"/>
  <c r="N44" i="5" s="1"/>
  <c r="L45" i="5" l="1"/>
  <c r="N45" i="5" s="1"/>
  <c r="L22" i="5"/>
  <c r="N22" i="5" s="1"/>
  <c r="E69" i="5"/>
  <c r="F69" i="5" s="1"/>
  <c r="H69" i="5"/>
  <c r="J69" i="5"/>
  <c r="K69" i="5"/>
  <c r="C70" i="5"/>
  <c r="E46" i="5"/>
  <c r="F46" i="5" s="1"/>
  <c r="H46" i="5"/>
  <c r="J46" i="5"/>
  <c r="K46" i="5"/>
  <c r="C47" i="5"/>
  <c r="H23" i="5"/>
  <c r="J23" i="5"/>
  <c r="K23" i="5"/>
  <c r="E23" i="5"/>
  <c r="F23" i="5" s="1"/>
  <c r="L23" i="5" s="1"/>
  <c r="N23" i="5" s="1"/>
  <c r="C24" i="5"/>
  <c r="L68" i="5"/>
  <c r="N68" i="5" s="1"/>
  <c r="L69" i="5" l="1"/>
  <c r="N69" i="5" s="1"/>
  <c r="E70" i="5"/>
  <c r="F70" i="5" s="1"/>
  <c r="H70" i="5"/>
  <c r="J70" i="5"/>
  <c r="K70" i="5"/>
  <c r="C71" i="5"/>
  <c r="E47" i="5"/>
  <c r="F47" i="5" s="1"/>
  <c r="H47" i="5"/>
  <c r="J47" i="5"/>
  <c r="K47" i="5"/>
  <c r="C48" i="5"/>
  <c r="H24" i="5"/>
  <c r="J24" i="5"/>
  <c r="K24" i="5"/>
  <c r="C25" i="5"/>
  <c r="E24" i="5"/>
  <c r="F24" i="5" s="1"/>
  <c r="L24" i="5" s="1"/>
  <c r="N24" i="5" s="1"/>
  <c r="L46" i="5"/>
  <c r="N46" i="5" s="1"/>
  <c r="E71" i="5" l="1"/>
  <c r="F71" i="5" s="1"/>
  <c r="H71" i="5"/>
  <c r="J71" i="5"/>
  <c r="K71" i="5"/>
  <c r="C72" i="5"/>
  <c r="E48" i="5"/>
  <c r="F48" i="5" s="1"/>
  <c r="H48" i="5"/>
  <c r="J48" i="5"/>
  <c r="K48" i="5"/>
  <c r="C49" i="5"/>
  <c r="C26" i="5"/>
  <c r="E25" i="5"/>
  <c r="F25" i="5" s="1"/>
  <c r="H25" i="5"/>
  <c r="J25" i="5"/>
  <c r="K25" i="5"/>
  <c r="L70" i="5"/>
  <c r="N70" i="5" s="1"/>
  <c r="L47" i="5"/>
  <c r="N47" i="5" s="1"/>
  <c r="L48" i="5" l="1"/>
  <c r="N48" i="5" s="1"/>
  <c r="L71" i="5"/>
  <c r="N71" i="5" s="1"/>
  <c r="L25" i="5"/>
  <c r="N25" i="5" s="1"/>
  <c r="E72" i="5"/>
  <c r="F72" i="5" s="1"/>
  <c r="H72" i="5"/>
  <c r="J72" i="5"/>
  <c r="K72" i="5"/>
  <c r="E49" i="5"/>
  <c r="F49" i="5" s="1"/>
  <c r="H49" i="5"/>
  <c r="J49" i="5"/>
  <c r="K49" i="5"/>
  <c r="J26" i="5"/>
  <c r="E26" i="5"/>
  <c r="F26" i="5" s="1"/>
  <c r="H26" i="5"/>
  <c r="K26" i="5"/>
  <c r="L26" i="5" l="1"/>
  <c r="L49" i="5"/>
  <c r="L72" i="5"/>
  <c r="N26" i="5" l="1"/>
  <c r="B27" i="5"/>
  <c r="B28" i="5" s="1"/>
  <c r="B29" i="5" s="1"/>
  <c r="B31" i="5" s="1"/>
  <c r="B32" i="5" s="1"/>
  <c r="N49" i="5"/>
  <c r="B50" i="5"/>
  <c r="B51" i="5" s="1"/>
  <c r="B52" i="5" s="1"/>
  <c r="B54" i="5" s="1"/>
  <c r="B55" i="5" s="1"/>
  <c r="B73" i="5"/>
  <c r="B74" i="5" s="1"/>
  <c r="N72" i="5"/>
  <c r="B75" i="5" l="1"/>
  <c r="B77" i="5" s="1"/>
  <c r="B78" i="5" s="1"/>
</calcChain>
</file>

<file path=xl/sharedStrings.xml><?xml version="1.0" encoding="utf-8"?>
<sst xmlns="http://schemas.openxmlformats.org/spreadsheetml/2006/main" count="333" uniqueCount="248">
  <si>
    <t>SK海力士（000660.KS）巴菲特框架估值</t>
  </si>
  <si>
    <t>研究日 2026-10-29｜收盘价 $1,127.30｜最新财报：2026 Q3（2026-09-30）</t>
  </si>
  <si>
    <t>市值按 0.7305B 股计算；净负债 = 债务 + 融资租赁 − 现金及有价证券。数据边界见报告第 1 节。</t>
  </si>
  <si>
    <t>一句话结论</t>
  </si>
  <si>
    <t>内存三家里最便宜，但仍是周期顶部盈利；现价略高于基准价值。结论：观察，等 HBM 周期或估值给出折扣。</t>
  </si>
  <si>
    <t>关键数据（十亿美元 / 倍 / 百分比）</t>
  </si>
  <si>
    <t>项目</t>
  </si>
  <si>
    <t>数值</t>
  </si>
  <si>
    <t>备注</t>
  </si>
  <si>
    <t>收盘价（美元）</t>
  </si>
  <si>
    <t>2026-10-28 收盘（₩1,508,000，按 1,337.7 折算）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</si>
  <si>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</si>
  <si>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</si>
  <si>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</si>
  <si>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</si>
  <si>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</si>
  <si>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负数 = 净现金；韩元按 1,337.7 折算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</si>
  <si>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</si>
  <si>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</si>
  <si>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</si>
  <si>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</si>
  <si>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</si>
  <si>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</si>
  <si>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</si>
  <si>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(1−25%)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</si>
  <si>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</si>
  <si>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</si>
  <si>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</si>
  <si>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</si>
  <si>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</si>
  <si>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TTM EPS ₩259,132，按 1,337.7 折算</t>
  </si>
  <si>
    <t>2027E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</si>
  <si>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</si>
  <si>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</si>
  <si>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</si>
  <si>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</si>
  <si>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</si>
  <si>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</si>
  <si>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</si>
  <si>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</si>
  <si>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</si>
  <si>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</si>
  <si>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</si>
  <si>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</si>
  <si>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</si>
  <si>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</si>
  <si>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</si>
  <si>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</si>
  <si>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</si>
  <si>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</si>
  <si>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</si>
  <si>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</si>
  <si>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</si>
  <si>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</si>
  <si>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</si>
  <si>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</si>
  <si>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</si>
  <si>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</si>
  <si>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</si>
  <si>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</si>
  <si>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$985，现价 $1,127.30；现价高估 14.4%。</t>
  </si>
  <si>
    <t>• 悲观 $369；基准 $985；乐观 $1,508；概率加权约 $962（25%/50%/25%）。</t>
  </si>
  <si>
    <t>• 反推：现价隐含未来 10 年收入 CAGR 约 6.6%，基准情景约 3.6%。</t>
  </si>
  <si>
    <t>• 若要求 20% 安全边际，观察价约 $788（基准价值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</si>
  <si>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</si>
  <si>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</si>
  <si>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SK海力士五年财务与现金流（十亿美元，除每股数据）</t>
  </si>
  <si>
    <t>来源：公司 10-K/10-Q；TTM = 最近四个季度。</t>
  </si>
  <si>
    <t>FY2022</t>
  </si>
  <si>
    <t>FY2023</t>
  </si>
  <si>
    <t>FY2024</t>
  </si>
  <si>
    <t>FY2025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</si>
  <si>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</si>
  <si>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</si>
  <si>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</si>
  <si>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</si>
  <si>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</si>
  <si>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</si>
  <si>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</si>
  <si>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</si>
  <si>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</si>
  <si>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</si>
  <si>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</si>
  <si>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</si>
  <si>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</si>
  <si>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</si>
  <si>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</si>
  <si>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</si>
  <si>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</si>
  <si>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</si>
  <si>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</si>
  <si>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</si>
  <si>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FY2022–FY2025 收入从 33.4B 增至 72.6B 美元，CAGR 约 30%；FY2023 -26.6%，周期鲜明。</t>
  </si>
  <si>
    <t>• TTM 收入 201.4B（+177%），经营利润 150.0B，经营利润率 74.5%；Q3 单季经营利润率约 79.7%。</t>
  </si>
  <si>
    <t>• TTM FCF 75.5B，capex 33.6B（占收入 16.7%）；FCF/NOPAT 约 67%，HBM 扩产仍在继续。</t>
  </si>
  <si>
    <t>• 净现金 73.8B；Q3 末现金 ₩114.5T、净现金 ₩98.7T；资产负债表为历史最健康。</t>
  </si>
  <si>
    <t>• 净利润含非经营损益，估值应以经营利润/EBIT 为主；EPS 仅作参考。</t>
  </si>
  <si>
    <t>SK海力士：分部与关键运营数据</t>
  </si>
  <si>
    <t>单位：十亿美元，另有注明除外；同比为公开披露口径。</t>
  </si>
  <si>
    <t>2026 Q3 产品结构与损益</t>
  </si>
  <si>
    <t>单位：十亿美元（按 1,337.7 折算）；季度截至 2026-09-30。</t>
  </si>
  <si>
    <t>Revenue</t>
  </si>
  <si>
    <t>104.62T KRW / 78.2B USD</t>
  </si>
  <si>
    <t>同比 +328%，环比 +32%</t>
  </si>
  <si>
    <t>Operating profit</t>
  </si>
  <si>
    <t>83.33T KRW / 62.3B USD</t>
  </si>
  <si>
    <t>营业利润率约 79.7%</t>
  </si>
  <si>
    <t>Net profit</t>
  </si>
  <si>
    <t>39.78T KRW / 29.7B USD</t>
  </si>
  <si>
    <t>受非经营损益扭曲</t>
  </si>
  <si>
    <t>EBITDA</t>
  </si>
  <si>
    <t>87.68T KRW / 65.5B USD</t>
  </si>
  <si>
    <t>EBITDA 利润率约 84%</t>
  </si>
  <si>
    <t>DRAM / NAND mix</t>
  </si>
  <si>
    <t>约 75% / 24%</t>
  </si>
  <si>
    <t>HBM4 开始放量</t>
  </si>
  <si>
    <t>Cash / Net cash</t>
  </si>
  <si>
    <t>114.5T / 98.7T KRW</t>
  </si>
  <si>
    <t>净现金约 73.8B USD</t>
  </si>
  <si>
    <t>2026 年 9 个月累计</t>
  </si>
  <si>
    <t>单位：万亿韩元；公司披露。</t>
  </si>
  <si>
    <t>9M 2026</t>
  </si>
  <si>
    <t>9M 2025</t>
  </si>
  <si>
    <t>同比</t>
  </si>
  <si>
    <t>Q1 52.576 + Q2 79.319 + Q3 104.620</t>
  </si>
  <si>
    <t>营业利润率 76.7%</t>
  </si>
  <si>
    <t>含非经营项目</t>
  </si>
  <si>
    <t>解读</t>
  </si>
  <si>
    <t>• Q3 2026 收入 ₩104.62T（+328% YoY，+32% QoQ），经营利润 ₩83.33T，经营利润率约 79.7%。</t>
  </si>
  <si>
    <t>• Q3 净利润 ₩39.78T，受非经营损益影响；EBITDA ₩87.68T，EBITDA 利润率约 84%。</t>
  </si>
  <si>
    <t>• 产品结构：DRAM 约 75%、NAND 约 24%；HBM4 开始放量，HBM 占 DRAM 收入比重持续上升。</t>
  </si>
  <si>
    <t>• 9M 2026 收入 ₩236.53T（+268%），经营利润 ₩181.49T（+547%），净利润 ₩174.05T（+528%）。</t>
  </si>
  <si>
    <t>• Q3 末现金 ₩114.5T、净现金 ₩98.7T；公司宣布 100T 韩元股东回报计划。</t>
  </si>
  <si>
    <t>• 2027 年 capex 将继续增加，HBM4E 与先进封装是重点；供给纪律是周期能否软着陆的关键。</t>
  </si>
  <si>
    <t>000660.KS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</si>
  <si>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</si>
  <si>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</si>
  <si>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</si>
  <si>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</si>
  <si>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</si>
  <si>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</si>
  <si>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</si>
  <si>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</si>
  <si>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</si>
  <si>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</si>
  <si>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</si>
  <si>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</si>
  <si>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</si>
  <si>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</si>
  <si>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</si>
  <si>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</si>
  <si>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+0.04B（四舍五入/汇率）</t>
  </si>
  <si>
    <t>现金转化率</t>
  </si>
  <si>
    <t>Capex / D&amp;A</t>
  </si>
  <si>
    <t>资本开支是折旧的倍数</t>
  </si>
  <si>
    <t>• TTM NOPAT 112.5B，D&amp;A 12.0B、capex 33.6B；FCFF 75.5B。</t>
  </si>
  <si>
    <t>• 营运资金及其他约 -15.4B，HBM 应收与库存扩张；部分被预付款对冲。</t>
  </si>
  <si>
    <t>• Capex/NOPAT 30%，2027 年仍将上升；FCF/NOPAT 67%。</t>
  </si>
  <si>
    <t>• 净现金 73.8B，即使周期下行也有能力维持 capex 与股东回报。</t>
  </si>
  <si>
    <t>三情景 FCFF DCF（未来 12 个月起算，10 年明确预测）</t>
  </si>
  <si>
    <t>单位：十亿美元，除每股数据；第 1 年约为未来四个季度；终值用永续增长。</t>
  </si>
  <si>
    <t>韩元报表按 1,337.7 KRW/USD 折算；每股价值为美元 ADR 等价，非韩国本地股价格。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</si>
  <si>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</si>
  <si>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</si>
  <si>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</si>
  <si>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</si>
  <si>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</si>
  <si>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</si>
  <si>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11.81 − 85.59 = -73.78（十亿美元，按 1,337.7 折算）；股权投资为 0。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</si>
  <si>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</si>
  <si>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</si>
  <si>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</si>
  <si>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</si>
  <si>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</si>
  <si>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</si>
  <si>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</si>
  <si>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</si>
  <si>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</si>
  <si>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</si>
  <si>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</si>
  <si>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</si>
  <si>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</si>
  <si>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</si>
  <si>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</si>
  <si>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</si>
  <si>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</si>
  <si>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</si>
  <si>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</si>
  <si>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</si>
  <si>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42%；终值 FCF 17.3B；终值收入 141B</t>
  </si>
  <si>
    <t>基准情景</t>
  </si>
  <si>
    <t>TV 占比 45%；终值 FCF 45.6B；终值收入 288B</t>
  </si>
  <si>
    <t>乐观情景</t>
  </si>
  <si>
    <t>TV 占比 51%；终值 FCF 66.0B；终值收入 393B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</si>
  <si>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</si>
  <si>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</si>
  <si>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</si>
  <si>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</si>
  <si>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</si>
  <si>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$1,127.30</t>
  </si>
  <si>
    <t>基准情景 10 年 CAGR</t>
  </si>
  <si>
    <t>交叉检查：DCF、中周期盈利、EV/EBIT</t>
  </si>
  <si>
    <t>方法</t>
  </si>
  <si>
    <t>相对现价</t>
  </si>
  <si>
    <t>读数</t>
  </si>
  <si>
    <t>DCF 基准（周期路径）</t>
  </si>
  <si>
    <t>$985</t>
  </si>
  <si>
    <t>现价高 14%</t>
  </si>
  <si>
    <t>略贵</t>
  </si>
  <si>
    <t>中周期 EPS 180 × 6–8x</t>
  </si>
  <si>
    <t>$1,080–1,440</t>
  </si>
  <si>
    <t>现价在区间内</t>
  </si>
  <si>
    <t>大致合理</t>
  </si>
  <si>
    <t>EV/EBIT 5.0x（峰值）</t>
  </si>
  <si>
    <t>低于 MU/SNDK</t>
  </si>
  <si>
    <t>相对便宜</t>
  </si>
  <si>
    <t>FCF 收益率 9.2%</t>
  </si>
  <si>
    <t>最高</t>
  </si>
  <si>
    <t>现金回报强</t>
  </si>
  <si>
    <t>Hynix 是内存三家中最便宜的；但 5x 峰值 EBIT 仍隐含周期持续，现价高于基准 14%。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</si>
  <si>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</si>
  <si>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</si>
  <si>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</si>
  <si>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</si>
  <si>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</si>
  <si>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</si>
  <si>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2026 Q3 业绩发布</t>
  </si>
  <si>
    <t>SK hynix Newsroom / DART</t>
  </si>
  <si>
    <t>2026-10-28</t>
  </si>
  <si>
    <t>Revenue 104.62T；OP 83.33T；NP 39.78T</t>
  </si>
  <si>
    <t>2026 Q3 电话会</t>
  </si>
  <si>
    <t>SK hynix IR</t>
  </si>
  <si>
    <t>HBM4、2027 capex、100T 股东回报</t>
  </si>
  <si>
    <t>FY2025 业务报告</t>
  </si>
  <si>
    <t>DART</t>
  </si>
  <si>
    <t>2026-03</t>
  </si>
  <si>
    <t>Revenue 97.147T；OP 47.206T；NI 42.948T</t>
  </si>
  <si>
    <t>股价</t>
  </si>
  <si>
    <t>Naver mobile API / KRX</t>
  </si>
  <si>
    <t>收盘 ₩1,508,000</t>
  </si>
  <si>
    <t>汇率</t>
  </si>
  <si>
    <t>Yonhap / WebSearch</t>
  </si>
  <si>
    <t>1,337.7 KRW/USD</t>
  </si>
  <si>
    <t>历史现金流</t>
  </si>
  <si>
    <t>公司年报 / ADVFN</t>
  </si>
  <si>
    <t>2026-10</t>
  </si>
  <si>
    <t>2022–2025 CFO、capex；TTM 为估算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</si>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</sst>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$#,##0.00"/>
    <numFmt numFmtId="177" formatCode="0.0000"/>
    <numFmt numFmtId="178" formatCode="#,##0.0"/>
    <numFmt numFmtId="179" formatCode="0.0&quot;x&quot;"/>
    <numFmt numFmtId="180" formatCode="0.0%"/>
    <numFmt numFmtId="181" formatCode="0.000"/>
    <numFmt numFmtId="182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82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000660.KS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68-41B5-A747-5DAF834203F5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68-41B5-A747-5DAF834203F5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68-41B5-A747-5DAF834203F5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968-41B5-A747-5DAF834203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369.3819551942259</c:v>
                </c:pt>
                <c:pt idx="1">
                  <c:v>985.48737166304227</c:v>
                </c:pt>
                <c:pt idx="2">
                  <c:v>1508.4182926468941</c:v>
                </c:pt>
                <c:pt idx="3">
                  <c:v>1127.3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68-41B5-A747-5DAF834203F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美元/股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114.87363160648874</c:v>
                </c:pt>
                <c:pt idx="1">
                  <c:v>70.363874785078863</c:v>
                </c:pt>
                <c:pt idx="2">
                  <c:v>34.776834171525756</c:v>
                </c:pt>
                <c:pt idx="3">
                  <c:v>37.410005108114674</c:v>
                </c:pt>
                <c:pt idx="4">
                  <c:v>42.503174478255588</c:v>
                </c:pt>
                <c:pt idx="5">
                  <c:v>44.678093016191681</c:v>
                </c:pt>
                <c:pt idx="6">
                  <c:v>46.084802958631045</c:v>
                </c:pt>
                <c:pt idx="7">
                  <c:v>46.630628310615684</c:v>
                </c:pt>
                <c:pt idx="8">
                  <c:v>46.323586771459567</c:v>
                </c:pt>
                <c:pt idx="9">
                  <c:v>45.552771519715833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31-4EB4-8172-800C9774D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15.6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30" t="s">
        <v>4</v>
      </c>
      <c r="B6" s="28"/>
      <c r="C6" s="28"/>
      <c r="D6" s="28"/>
      <c r="E6" s="28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95" customHeight="1">
      <c r="A10" s="6" t="s">
        <v>9</v>
      </c>
      <c r="B10" s="7">
        <v>1127.3</v>
      </c>
      <c r="C10" s="8" t="s">
        <v>10</v>
      </c>
    </row>
    <row r="11" spans="1:13" ht="22.95" customHeight="1">
      <c r="A11" s="6" t="s">
        <v>11</v>
      </c>
      <c r="B11" s="9">
        <v>0.73050000000000004</v>
      </c>
      <c r="C11" s="8" t="s">
        <v>12</v>
      </c>
    </row>
    <row r="12" spans="1:13" ht="22.95" customHeight="1">
      <c r="A12" s="6" t="s">
        <v>13</v>
      </c>
      <c r="B12" s="10">
        <f>B10*B11</f>
        <v>823.49265000000003</v>
      </c>
      <c r="C12" s="8" t="s">
        <v>14</v>
      </c>
    </row>
    <row r="13" spans="1:13" ht="22.95" customHeight="1">
      <c r="A13" s="6" t="s">
        <v>15</v>
      </c>
      <c r="B13" s="11">
        <v>-73.783000000000001</v>
      </c>
      <c r="C13" s="8" t="s">
        <v>16</v>
      </c>
    </row>
    <row r="14" spans="1:13" ht="22.95" customHeight="1">
      <c r="A14" s="6" t="s">
        <v>17</v>
      </c>
      <c r="B14" s="10">
        <f>B12+B13</f>
        <v>749.70965000000001</v>
      </c>
      <c r="C14" s="8" t="s">
        <v>18</v>
      </c>
    </row>
    <row r="15" spans="1:13" ht="22.95" customHeight="1">
      <c r="A15" s="6" t="s">
        <v>19</v>
      </c>
      <c r="B15" s="11">
        <v>201.3560589070793</v>
      </c>
      <c r="C15" s="8" t="s">
        <v>20</v>
      </c>
    </row>
    <row r="16" spans="1:13" ht="22.95" customHeight="1">
      <c r="A16" s="6" t="s">
        <v>21</v>
      </c>
      <c r="B16" s="11">
        <v>149.9962622411602</v>
      </c>
      <c r="C16" s="8" t="s">
        <v>22</v>
      </c>
    </row>
    <row r="17" spans="1:5" ht="22.95" customHeight="1">
      <c r="A17" s="6" t="s">
        <v>23</v>
      </c>
      <c r="B17" s="11">
        <v>112.497</v>
      </c>
      <c r="C17" s="8" t="s">
        <v>24</v>
      </c>
    </row>
    <row r="18" spans="1:5" ht="22.95" customHeight="1">
      <c r="A18" s="6" t="s">
        <v>25</v>
      </c>
      <c r="B18" s="11">
        <v>75.502728563953056</v>
      </c>
      <c r="C18" s="8" t="s">
        <v>26</v>
      </c>
    </row>
    <row r="19" spans="1:5" ht="22.95" customHeight="1">
      <c r="A19" s="6" t="s">
        <v>27</v>
      </c>
      <c r="B19" s="11">
        <v>292</v>
      </c>
      <c r="C19" s="8" t="s">
        <v>28</v>
      </c>
    </row>
    <row r="20" spans="1:5" ht="22.95" customHeight="1">
      <c r="A20" s="6" t="s">
        <v>29</v>
      </c>
      <c r="B20" s="12">
        <v>193.71458473499291</v>
      </c>
      <c r="C20" s="8" t="s">
        <v>30</v>
      </c>
    </row>
    <row r="21" spans="1:5" ht="22.95" customHeight="1">
      <c r="A21" s="6" t="s">
        <v>31</v>
      </c>
      <c r="B21" s="12">
        <v>266.38409209837778</v>
      </c>
      <c r="C21" s="8" t="s">
        <v>32</v>
      </c>
    </row>
    <row r="22" spans="1:5" ht="22.95" customHeight="1">
      <c r="A22" s="6" t="s">
        <v>33</v>
      </c>
      <c r="B22" s="13">
        <f>B14/B16</f>
        <v>4.9981888801644656</v>
      </c>
      <c r="C22" s="8" t="s">
        <v>34</v>
      </c>
    </row>
    <row r="23" spans="1:5" ht="22.95" customHeight="1">
      <c r="A23" s="6" t="s">
        <v>35</v>
      </c>
      <c r="B23" s="13">
        <f>B10/B20</f>
        <v>5.8193862973310893</v>
      </c>
      <c r="C23" s="8" t="s">
        <v>36</v>
      </c>
    </row>
    <row r="24" spans="1:5" ht="22.95" customHeight="1">
      <c r="A24" s="6" t="s">
        <v>37</v>
      </c>
      <c r="B24" s="13">
        <f>B10/B21</f>
        <v>4.231859309315209</v>
      </c>
      <c r="C24" s="8" t="s">
        <v>38</v>
      </c>
    </row>
    <row r="25" spans="1:5" ht="22.95" customHeight="1">
      <c r="A25" s="6" t="s">
        <v>39</v>
      </c>
      <c r="B25" s="14">
        <f>B18/B12</f>
        <v>9.1685977481344924E-2</v>
      </c>
      <c r="C25" s="8" t="s">
        <v>40</v>
      </c>
    </row>
    <row r="26" spans="1:5" ht="22.95" customHeight="1">
      <c r="A26" s="6" t="s">
        <v>41</v>
      </c>
      <c r="B26" s="13">
        <f>B14/B18</f>
        <v>9.9295702851980199</v>
      </c>
      <c r="C26" s="8" t="s">
        <v>42</v>
      </c>
    </row>
    <row r="27" spans="1:5" ht="22.95" customHeight="1">
      <c r="A27" s="6" t="s">
        <v>43</v>
      </c>
      <c r="B27" s="15">
        <v>0.16706638847019159</v>
      </c>
      <c r="C27" s="8" t="s">
        <v>44</v>
      </c>
    </row>
    <row r="28" spans="1:5" ht="22.95" customHeight="1">
      <c r="A28" s="6" t="s">
        <v>45</v>
      </c>
      <c r="B28" s="16">
        <f>B18/B17</f>
        <v>0.67115326243324758</v>
      </c>
      <c r="C28" s="8" t="s">
        <v>46</v>
      </c>
    </row>
    <row r="29" spans="1:5" ht="22.95" customHeight="1">
      <c r="A29" s="6" t="s">
        <v>47</v>
      </c>
      <c r="B29" s="17">
        <v>1.6588308347378691E-2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369.3819551942259</v>
      </c>
      <c r="C33" s="15">
        <f>B33/$B$10-1</f>
        <v>-0.67233038659254341</v>
      </c>
      <c r="D33" s="15">
        <f>1-$B$10/B33</f>
        <v>-2.0518545482473578</v>
      </c>
      <c r="E33" s="17">
        <v>4.3999999999999997E-2</v>
      </c>
    </row>
    <row r="34" spans="1:5">
      <c r="A34" s="18" t="s">
        <v>55</v>
      </c>
      <c r="B34" s="19">
        <v>985.48737166304227</v>
      </c>
      <c r="C34" s="15">
        <f>B34/$B$10-1</f>
        <v>-0.12579848162597151</v>
      </c>
      <c r="D34" s="15">
        <f>1-$B$10/B34</f>
        <v>-0.14390101021552848</v>
      </c>
      <c r="E34" s="17">
        <v>8.4599999999999995E-2</v>
      </c>
    </row>
    <row r="35" spans="1:5">
      <c r="A35" s="6" t="s">
        <v>56</v>
      </c>
      <c r="B35" s="7">
        <v>1508.4182926468941</v>
      </c>
      <c r="C35" s="15">
        <f>B35/$B$10-1</f>
        <v>0.33808062862316524</v>
      </c>
      <c r="D35" s="15">
        <f>1-$B$10/B35</f>
        <v>0.25266087961458461</v>
      </c>
      <c r="E35" s="17">
        <v>0.11269999999999999</v>
      </c>
    </row>
    <row r="36" spans="1:5">
      <c r="A36" s="20" t="s">
        <v>57</v>
      </c>
      <c r="B36" s="21">
        <v>1127.3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28.05" customHeight="1">
      <c r="A39" s="29" t="s">
        <v>60</v>
      </c>
      <c r="B39" s="28"/>
      <c r="C39" s="28"/>
      <c r="D39" s="28"/>
      <c r="E39" s="28"/>
    </row>
    <row r="40" spans="1:5" ht="28.05" customHeight="1">
      <c r="A40" s="29" t="s">
        <v>61</v>
      </c>
      <c r="B40" s="28"/>
      <c r="C40" s="28"/>
      <c r="D40" s="28"/>
      <c r="E40" s="28"/>
    </row>
    <row r="41" spans="1:5" ht="28.05" customHeight="1">
      <c r="A41" s="29" t="s">
        <v>62</v>
      </c>
      <c r="B41" s="28"/>
      <c r="C41" s="28"/>
      <c r="D41" s="28"/>
      <c r="E41" s="28"/>
    </row>
    <row r="42" spans="1:5" ht="28.05" customHeight="1">
      <c r="A42" s="29" t="s">
        <v>63</v>
      </c>
      <c r="B42" s="28"/>
      <c r="C42" s="28"/>
      <c r="D42" s="28"/>
      <c r="E42" s="28"/>
    </row>
    <row r="43" spans="1:5" ht="28.05" customHeight="1">
      <c r="A43" s="29" t="s">
        <v>64</v>
      </c>
      <c r="B43" s="28"/>
      <c r="C43" s="28"/>
      <c r="D43" s="28"/>
      <c r="E43" s="28"/>
    </row>
    <row r="44" spans="1:5" ht="28.05" customHeight="1">
      <c r="A44" s="29" t="s">
        <v>65</v>
      </c>
      <c r="B44" s="28"/>
      <c r="C44" s="28"/>
      <c r="D44" s="28"/>
      <c r="E44" s="28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30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7" t="s">
        <v>67</v>
      </c>
      <c r="B2" s="28"/>
      <c r="C2" s="28"/>
      <c r="D2" s="28"/>
      <c r="E2" s="28"/>
      <c r="F2" s="28"/>
      <c r="G2" s="28"/>
      <c r="H2" s="28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44</v>
      </c>
      <c r="G4" s="5" t="s">
        <v>8</v>
      </c>
    </row>
    <row r="5" spans="1:8">
      <c r="A5" s="6" t="s">
        <v>72</v>
      </c>
      <c r="B5" s="11">
        <v>33.380000000000003</v>
      </c>
      <c r="C5" s="11">
        <v>24.5</v>
      </c>
      <c r="D5" s="11">
        <v>49.48</v>
      </c>
      <c r="E5" s="11">
        <v>72.62</v>
      </c>
      <c r="F5" s="11">
        <v>201.36</v>
      </c>
      <c r="H5" s="8" t="s">
        <v>73</v>
      </c>
    </row>
    <row r="6" spans="1:8">
      <c r="A6" s="6" t="s">
        <v>74</v>
      </c>
      <c r="B6" s="11">
        <v>5.24</v>
      </c>
      <c r="C6" s="11">
        <v>-5.78</v>
      </c>
      <c r="D6" s="11">
        <v>17.54</v>
      </c>
      <c r="E6" s="11">
        <v>35.29</v>
      </c>
      <c r="F6" s="11">
        <v>150</v>
      </c>
      <c r="H6" s="8" t="s">
        <v>75</v>
      </c>
    </row>
    <row r="7" spans="1:8">
      <c r="A7" s="6" t="s">
        <v>76</v>
      </c>
      <c r="B7" s="11">
        <v>1.82</v>
      </c>
      <c r="C7" s="11">
        <v>-6.83</v>
      </c>
      <c r="D7" s="11">
        <v>14.8</v>
      </c>
      <c r="E7" s="11">
        <v>32.11</v>
      </c>
      <c r="F7" s="11">
        <v>141.52000000000001</v>
      </c>
      <c r="H7" s="8" t="s">
        <v>75</v>
      </c>
    </row>
    <row r="8" spans="1:8">
      <c r="A8" s="6" t="s">
        <v>77</v>
      </c>
      <c r="B8" s="11">
        <v>11.05</v>
      </c>
      <c r="C8" s="11">
        <v>3.2</v>
      </c>
      <c r="D8" s="11">
        <v>22.28</v>
      </c>
      <c r="E8" s="11">
        <v>39.9</v>
      </c>
      <c r="F8" s="11">
        <v>109.1</v>
      </c>
      <c r="H8" s="8" t="s">
        <v>78</v>
      </c>
    </row>
    <row r="9" spans="1:8">
      <c r="A9" s="6" t="s">
        <v>79</v>
      </c>
      <c r="B9" s="11">
        <v>14.69</v>
      </c>
      <c r="C9" s="11">
        <v>4.93</v>
      </c>
      <c r="D9" s="11">
        <v>13.42</v>
      </c>
      <c r="E9" s="11">
        <v>22.56</v>
      </c>
      <c r="F9" s="11">
        <v>33.64</v>
      </c>
      <c r="H9" s="8" t="s">
        <v>80</v>
      </c>
    </row>
    <row r="10" spans="1:8">
      <c r="A10" s="6" t="s">
        <v>81</v>
      </c>
      <c r="B10" s="11">
        <v>-3.64</v>
      </c>
      <c r="C10" s="11">
        <v>-1.73</v>
      </c>
      <c r="D10" s="11">
        <v>8.86</v>
      </c>
      <c r="E10" s="11">
        <v>17.34</v>
      </c>
      <c r="F10" s="11">
        <v>75.459999999999994</v>
      </c>
      <c r="H10" s="8" t="s">
        <v>82</v>
      </c>
    </row>
    <row r="11" spans="1:8">
      <c r="A11" s="6" t="s">
        <v>83</v>
      </c>
      <c r="B11" s="12">
        <v>2.5</v>
      </c>
      <c r="C11" s="12">
        <v>-9.36</v>
      </c>
      <c r="D11" s="12">
        <v>20.32</v>
      </c>
      <c r="E11" s="12">
        <v>44.07</v>
      </c>
      <c r="F11" s="12">
        <v>193.72</v>
      </c>
      <c r="H11" s="8" t="s">
        <v>84</v>
      </c>
    </row>
    <row r="12" spans="1:8">
      <c r="A12" s="6" t="s">
        <v>85</v>
      </c>
      <c r="B12" s="23">
        <v>0.72799999999999998</v>
      </c>
      <c r="C12" s="23">
        <v>0.72799999999999998</v>
      </c>
      <c r="D12" s="23">
        <v>0.72799999999999998</v>
      </c>
      <c r="E12" s="23">
        <v>0.72799999999999998</v>
      </c>
      <c r="F12" s="23">
        <v>0.73050000000000004</v>
      </c>
      <c r="H12" s="8" t="s">
        <v>86</v>
      </c>
    </row>
    <row r="14" spans="1:8">
      <c r="A14" s="6" t="s">
        <v>87</v>
      </c>
      <c r="C14" s="15">
        <f>C5/B5-1</f>
        <v>-0.2660275614140204</v>
      </c>
      <c r="D14" s="15">
        <f>D5/C5-1</f>
        <v>1.0195918367346937</v>
      </c>
      <c r="E14" s="15">
        <f>E5/D5-1</f>
        <v>0.46766370250606326</v>
      </c>
      <c r="F14" s="15">
        <f>F5/E5-1</f>
        <v>1.7727898650509504</v>
      </c>
    </row>
    <row r="15" spans="1:8">
      <c r="A15" s="6" t="s">
        <v>88</v>
      </c>
      <c r="B15" s="15">
        <f>B6/B5</f>
        <v>0.15698022768124625</v>
      </c>
      <c r="C15" s="15">
        <f>C6/C5</f>
        <v>-0.23591836734693877</v>
      </c>
      <c r="D15" s="15">
        <f>D6/D5</f>
        <v>0.35448666127728373</v>
      </c>
      <c r="E15" s="15">
        <f>E6/E5</f>
        <v>0.48595428256678597</v>
      </c>
      <c r="F15" s="15">
        <f>F6/F5</f>
        <v>0.74493444576877232</v>
      </c>
    </row>
    <row r="16" spans="1:8">
      <c r="A16" s="6" t="s">
        <v>89</v>
      </c>
      <c r="B16" s="15">
        <f>B7/B5</f>
        <v>5.4523666866387058E-2</v>
      </c>
      <c r="C16" s="15">
        <f>C7/C5</f>
        <v>-0.27877551020408164</v>
      </c>
      <c r="D16" s="15">
        <f>D7/D5</f>
        <v>0.29911075181891678</v>
      </c>
      <c r="E16" s="15">
        <f>E7/E5</f>
        <v>0.44216469292206001</v>
      </c>
      <c r="F16" s="15">
        <f>F7/F5</f>
        <v>0.70282081843464439</v>
      </c>
    </row>
    <row r="17" spans="1:8">
      <c r="A17" s="6" t="s">
        <v>90</v>
      </c>
      <c r="B17" s="15">
        <f>B10/B5</f>
        <v>-0.10904733373277412</v>
      </c>
      <c r="C17" s="15">
        <f>C10/C5</f>
        <v>-7.0612244897959184E-2</v>
      </c>
      <c r="D17" s="15">
        <f>D10/D5</f>
        <v>0.17906224737267581</v>
      </c>
      <c r="E17" s="15">
        <f>E10/E5</f>
        <v>0.23877719636463782</v>
      </c>
      <c r="F17" s="15">
        <f>F10/F5</f>
        <v>0.374751688518077</v>
      </c>
    </row>
    <row r="18" spans="1:8">
      <c r="A18" s="6" t="s">
        <v>43</v>
      </c>
      <c r="B18" s="15">
        <f>B9/B5</f>
        <v>0.44008388256440978</v>
      </c>
      <c r="C18" s="15">
        <f>C9/C5</f>
        <v>0.20122448979591837</v>
      </c>
      <c r="D18" s="15">
        <f>D9/D5</f>
        <v>0.27122069523039616</v>
      </c>
      <c r="E18" s="15">
        <f>E9/E5</f>
        <v>0.31065822087579176</v>
      </c>
      <c r="F18" s="15">
        <f>F9/F5</f>
        <v>0.16706396503774334</v>
      </c>
    </row>
    <row r="19" spans="1:8">
      <c r="A19" s="6" t="s">
        <v>45</v>
      </c>
      <c r="B19" s="15">
        <f>B10/(B6*(1-0.25))</f>
        <v>-0.92620865139949105</v>
      </c>
      <c r="C19" s="15">
        <f>C10/(C6*(1-0.25))</f>
        <v>0.39907727797001152</v>
      </c>
      <c r="D19" s="15">
        <f>D10/(D6*(1-0.25))</f>
        <v>0.67350817179779554</v>
      </c>
      <c r="E19" s="15">
        <f>E10/(E6*(1-0.25))</f>
        <v>0.65514310002833664</v>
      </c>
      <c r="F19" s="15">
        <f>F10/(F6*(1-0.25))</f>
        <v>0.67075555555555555</v>
      </c>
    </row>
    <row r="21" spans="1:8" ht="16.2">
      <c r="A21" s="3" t="s">
        <v>91</v>
      </c>
      <c r="B21" s="4"/>
      <c r="C21" s="4"/>
      <c r="D21" s="4"/>
      <c r="E21" s="4"/>
      <c r="F21" s="4"/>
      <c r="G21" s="4"/>
      <c r="H21" s="4"/>
    </row>
    <row r="22" spans="1:8" ht="30" customHeight="1">
      <c r="A22" s="29" t="s">
        <v>92</v>
      </c>
      <c r="B22" s="28"/>
      <c r="C22" s="28"/>
      <c r="D22" s="28"/>
      <c r="E22" s="28"/>
      <c r="F22" s="28"/>
      <c r="G22" s="28"/>
      <c r="H22" s="28"/>
    </row>
    <row r="23" spans="1:8" ht="30" customHeight="1">
      <c r="A23" s="29" t="s">
        <v>93</v>
      </c>
      <c r="B23" s="28"/>
      <c r="C23" s="28"/>
      <c r="D23" s="28"/>
      <c r="E23" s="28"/>
      <c r="F23" s="28"/>
      <c r="G23" s="28"/>
      <c r="H23" s="28"/>
    </row>
    <row r="24" spans="1:8" ht="30" customHeight="1">
      <c r="A24" s="29" t="s">
        <v>94</v>
      </c>
      <c r="B24" s="28"/>
      <c r="C24" s="28"/>
      <c r="D24" s="28"/>
      <c r="E24" s="28"/>
      <c r="F24" s="28"/>
      <c r="G24" s="28"/>
      <c r="H24" s="28"/>
    </row>
    <row r="25" spans="1:8" ht="30" customHeight="1">
      <c r="A25" s="29" t="s">
        <v>95</v>
      </c>
      <c r="B25" s="28"/>
      <c r="C25" s="28"/>
      <c r="D25" s="28"/>
      <c r="E25" s="28"/>
      <c r="F25" s="28"/>
      <c r="G25" s="28"/>
      <c r="H25" s="28"/>
    </row>
    <row r="26" spans="1:8" ht="30" customHeight="1">
      <c r="A26" s="29" t="s">
        <v>96</v>
      </c>
      <c r="B26" s="28"/>
      <c r="C26" s="28"/>
      <c r="D26" s="28"/>
      <c r="E26" s="28"/>
      <c r="F26" s="28"/>
      <c r="G26" s="28"/>
      <c r="H26" s="28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9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0" customWidth="1"/>
    <col min="6" max="6" width="20" customWidth="1"/>
  </cols>
  <sheetData>
    <row r="1" spans="1:6" ht="23.4">
      <c r="A1" s="1" t="s">
        <v>97</v>
      </c>
    </row>
    <row r="2" spans="1:6" ht="15.6">
      <c r="A2" s="27" t="s">
        <v>98</v>
      </c>
      <c r="B2" s="28"/>
      <c r="C2" s="28"/>
      <c r="D2" s="28"/>
      <c r="E2" s="28"/>
      <c r="F2" s="28"/>
    </row>
    <row r="4" spans="1:6" ht="16.2">
      <c r="A4" s="3" t="s">
        <v>99</v>
      </c>
      <c r="B4" s="4"/>
      <c r="C4" s="4"/>
      <c r="D4" s="4"/>
      <c r="E4" s="4"/>
      <c r="F4" s="4"/>
    </row>
    <row r="5" spans="1:6" ht="15.6">
      <c r="A5" s="2" t="s">
        <v>100</v>
      </c>
    </row>
    <row r="6" spans="1:6">
      <c r="A6" s="5" t="s">
        <v>6</v>
      </c>
      <c r="B6" s="5" t="s">
        <v>7</v>
      </c>
      <c r="C6" s="5" t="s">
        <v>8</v>
      </c>
      <c r="D6" s="5"/>
      <c r="E6" s="5"/>
    </row>
    <row r="7" spans="1:6">
      <c r="A7" s="6" t="s">
        <v>101</v>
      </c>
      <c r="B7" s="6" t="s">
        <v>102</v>
      </c>
      <c r="C7" s="6" t="s">
        <v>103</v>
      </c>
      <c r="D7" s="6"/>
      <c r="E7" s="6"/>
    </row>
    <row r="8" spans="1:6">
      <c r="A8" s="6" t="s">
        <v>104</v>
      </c>
      <c r="B8" s="6" t="s">
        <v>105</v>
      </c>
      <c r="C8" s="6" t="s">
        <v>106</v>
      </c>
      <c r="D8" s="6"/>
      <c r="E8" s="6"/>
    </row>
    <row r="9" spans="1:6">
      <c r="A9" s="6" t="s">
        <v>107</v>
      </c>
      <c r="B9" s="6" t="s">
        <v>108</v>
      </c>
      <c r="C9" s="6" t="s">
        <v>109</v>
      </c>
      <c r="D9" s="6"/>
      <c r="E9" s="6"/>
    </row>
    <row r="10" spans="1:6">
      <c r="A10" s="6" t="s">
        <v>110</v>
      </c>
      <c r="B10" s="6" t="s">
        <v>111</v>
      </c>
      <c r="C10" s="6" t="s">
        <v>112</v>
      </c>
      <c r="D10" s="6"/>
      <c r="E10" s="6"/>
    </row>
    <row r="11" spans="1:6">
      <c r="A11" s="6" t="s">
        <v>113</v>
      </c>
      <c r="B11" s="6" t="s">
        <v>114</v>
      </c>
      <c r="C11" s="6" t="s">
        <v>115</v>
      </c>
      <c r="D11" s="6"/>
      <c r="E11" s="6"/>
    </row>
    <row r="12" spans="1:6">
      <c r="A12" s="6" t="s">
        <v>116</v>
      </c>
      <c r="B12" s="6" t="s">
        <v>117</v>
      </c>
      <c r="C12" s="6" t="s">
        <v>118</v>
      </c>
      <c r="D12" s="6"/>
      <c r="E12" s="6"/>
    </row>
    <row r="15" spans="1:6" ht="16.2">
      <c r="A15" s="3" t="s">
        <v>119</v>
      </c>
      <c r="B15" s="4"/>
      <c r="C15" s="4"/>
      <c r="D15" s="4"/>
      <c r="E15" s="4"/>
      <c r="F15" s="4"/>
    </row>
    <row r="16" spans="1:6" ht="15.6">
      <c r="A16" s="2" t="s">
        <v>120</v>
      </c>
    </row>
    <row r="17" spans="1:6">
      <c r="A17" s="5" t="s">
        <v>6</v>
      </c>
      <c r="B17" s="5" t="s">
        <v>121</v>
      </c>
      <c r="C17" s="5" t="s">
        <v>122</v>
      </c>
      <c r="D17" s="5" t="s">
        <v>123</v>
      </c>
      <c r="E17" s="5" t="s">
        <v>8</v>
      </c>
    </row>
    <row r="18" spans="1:6">
      <c r="A18" s="6" t="s">
        <v>101</v>
      </c>
      <c r="B18" s="11">
        <v>236.52699999999999</v>
      </c>
      <c r="C18" s="11">
        <v>64.319999999999993</v>
      </c>
      <c r="D18" s="15">
        <v>2.6760000000000002</v>
      </c>
      <c r="E18" s="6" t="s">
        <v>124</v>
      </c>
    </row>
    <row r="19" spans="1:6">
      <c r="A19" s="6" t="s">
        <v>104</v>
      </c>
      <c r="B19" s="11">
        <v>181.48699999999999</v>
      </c>
      <c r="C19" s="11">
        <v>28.036999999999999</v>
      </c>
      <c r="D19" s="15">
        <v>5.4729999999999999</v>
      </c>
      <c r="E19" s="6" t="s">
        <v>125</v>
      </c>
    </row>
    <row r="20" spans="1:6">
      <c r="A20" s="6" t="s">
        <v>107</v>
      </c>
      <c r="B20" s="11">
        <v>174.04499999999999</v>
      </c>
      <c r="C20" s="11">
        <v>27.702000000000002</v>
      </c>
      <c r="D20" s="15">
        <v>5.2830000000000004</v>
      </c>
      <c r="E20" s="6" t="s">
        <v>126</v>
      </c>
    </row>
    <row r="23" spans="1:6" ht="16.2">
      <c r="A23" s="3" t="s">
        <v>127</v>
      </c>
      <c r="B23" s="4"/>
      <c r="C23" s="4"/>
      <c r="D23" s="4"/>
      <c r="E23" s="4"/>
      <c r="F23" s="4"/>
    </row>
    <row r="24" spans="1:6" ht="30" customHeight="1">
      <c r="A24" s="29" t="s">
        <v>128</v>
      </c>
      <c r="B24" s="28"/>
      <c r="C24" s="28"/>
      <c r="D24" s="28"/>
      <c r="E24" s="28"/>
      <c r="F24" s="28"/>
    </row>
    <row r="25" spans="1:6" ht="30" customHeight="1">
      <c r="A25" s="29" t="s">
        <v>129</v>
      </c>
      <c r="B25" s="28"/>
      <c r="C25" s="28"/>
      <c r="D25" s="28"/>
      <c r="E25" s="28"/>
      <c r="F25" s="28"/>
    </row>
    <row r="26" spans="1:6" ht="30" customHeight="1">
      <c r="A26" s="29" t="s">
        <v>130</v>
      </c>
      <c r="B26" s="28"/>
      <c r="C26" s="28"/>
      <c r="D26" s="28"/>
      <c r="E26" s="28"/>
      <c r="F26" s="28"/>
    </row>
    <row r="27" spans="1:6" ht="30" customHeight="1">
      <c r="A27" s="29" t="s">
        <v>131</v>
      </c>
      <c r="B27" s="28"/>
      <c r="C27" s="28"/>
      <c r="D27" s="28"/>
      <c r="E27" s="28"/>
      <c r="F27" s="28"/>
    </row>
    <row r="28" spans="1:6" ht="30" customHeight="1">
      <c r="A28" s="29" t="s">
        <v>132</v>
      </c>
      <c r="B28" s="28"/>
      <c r="C28" s="28"/>
      <c r="D28" s="28"/>
      <c r="E28" s="28"/>
      <c r="F28" s="28"/>
    </row>
    <row r="29" spans="1:6" ht="30" customHeight="1">
      <c r="A29" s="29" t="s">
        <v>133</v>
      </c>
      <c r="B29" s="28"/>
      <c r="C29" s="28"/>
      <c r="D29" s="28"/>
      <c r="E29" s="28"/>
      <c r="F29" s="28"/>
    </row>
  </sheetData>
  <mergeCells count="7">
    <mergeCell ref="A29:F29"/>
    <mergeCell ref="A25:F25"/>
    <mergeCell ref="A24:F24"/>
    <mergeCell ref="A2:F2"/>
    <mergeCell ref="A28:F28"/>
    <mergeCell ref="A27:F27"/>
    <mergeCell ref="A26:F26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134</v>
      </c>
    </row>
    <row r="2" spans="1:3" ht="15.6">
      <c r="A2" s="27" t="s">
        <v>135</v>
      </c>
      <c r="B2" s="28"/>
      <c r="C2" s="28"/>
    </row>
    <row r="4" spans="1:3">
      <c r="A4" s="5" t="s">
        <v>6</v>
      </c>
      <c r="B4" s="5" t="s">
        <v>7</v>
      </c>
      <c r="C4" s="5" t="s">
        <v>136</v>
      </c>
    </row>
    <row r="5" spans="1:3">
      <c r="A5" s="6" t="s">
        <v>137</v>
      </c>
      <c r="B5" s="11">
        <v>149.9962622411602</v>
      </c>
      <c r="C5" s="8" t="s">
        <v>44</v>
      </c>
    </row>
    <row r="6" spans="1:3">
      <c r="A6" s="6" t="s">
        <v>138</v>
      </c>
      <c r="B6" s="15">
        <v>0.25</v>
      </c>
      <c r="C6" s="8" t="s">
        <v>139</v>
      </c>
    </row>
    <row r="7" spans="1:3">
      <c r="A7" s="6" t="s">
        <v>140</v>
      </c>
      <c r="B7" s="10">
        <f>B5*(1-B6)</f>
        <v>112.49719668087015</v>
      </c>
      <c r="C7" s="8" t="s">
        <v>141</v>
      </c>
    </row>
    <row r="8" spans="1:3">
      <c r="A8" s="6" t="s">
        <v>142</v>
      </c>
      <c r="B8" s="11">
        <v>11.9608282873589</v>
      </c>
      <c r="C8" s="8" t="s">
        <v>44</v>
      </c>
    </row>
    <row r="9" spans="1:3">
      <c r="A9" s="6" t="s">
        <v>143</v>
      </c>
      <c r="B9" s="11">
        <v>0</v>
      </c>
      <c r="C9" s="8" t="s">
        <v>144</v>
      </c>
    </row>
    <row r="10" spans="1:3">
      <c r="A10" s="6" t="s">
        <v>145</v>
      </c>
      <c r="B10" s="11">
        <v>33.639829558196901</v>
      </c>
      <c r="C10" s="8" t="s">
        <v>44</v>
      </c>
    </row>
    <row r="11" spans="1:3">
      <c r="A11" s="6" t="s">
        <v>146</v>
      </c>
      <c r="B11" s="11">
        <v>-15.36</v>
      </c>
      <c r="C11" s="8" t="s">
        <v>147</v>
      </c>
    </row>
    <row r="12" spans="1:3">
      <c r="A12" s="18" t="s">
        <v>148</v>
      </c>
      <c r="B12" s="10">
        <f>B7+B8+B9-B10+B11</f>
        <v>75.458195410032133</v>
      </c>
      <c r="C12" s="8" t="s">
        <v>149</v>
      </c>
    </row>
    <row r="13" spans="1:3">
      <c r="A13" s="6" t="s">
        <v>150</v>
      </c>
      <c r="B13" s="11">
        <v>109.14255812214989</v>
      </c>
      <c r="C13" s="8" t="s">
        <v>44</v>
      </c>
    </row>
    <row r="14" spans="1:3">
      <c r="A14" s="6" t="s">
        <v>145</v>
      </c>
      <c r="B14" s="11">
        <v>33.639829558196901</v>
      </c>
      <c r="C14" s="8" t="s">
        <v>44</v>
      </c>
    </row>
    <row r="15" spans="1:3">
      <c r="A15" s="18" t="s">
        <v>26</v>
      </c>
      <c r="B15" s="10">
        <f>B13-B14</f>
        <v>75.502728563952985</v>
      </c>
      <c r="C15" s="8" t="s">
        <v>151</v>
      </c>
    </row>
    <row r="16" spans="1:3">
      <c r="A16" s="6" t="s">
        <v>45</v>
      </c>
      <c r="B16" s="16">
        <f>B12/B7</f>
        <v>0.67075622892266795</v>
      </c>
      <c r="C16" s="8" t="s">
        <v>152</v>
      </c>
    </row>
    <row r="17" spans="1:3">
      <c r="A17" s="6" t="s">
        <v>43</v>
      </c>
      <c r="B17" s="16">
        <f>B10/201.356058907079</f>
        <v>0.1670663884701919</v>
      </c>
      <c r="C17" s="8" t="s">
        <v>44</v>
      </c>
    </row>
    <row r="18" spans="1:3">
      <c r="A18" s="6" t="s">
        <v>153</v>
      </c>
      <c r="B18" s="13">
        <f>B10/B8</f>
        <v>2.8124999999999996</v>
      </c>
      <c r="C18" s="8" t="s">
        <v>154</v>
      </c>
    </row>
    <row r="20" spans="1:3" ht="16.2">
      <c r="A20" s="3" t="s">
        <v>127</v>
      </c>
      <c r="B20" s="4"/>
      <c r="C20" s="4"/>
    </row>
    <row r="21" spans="1:3" ht="34.049999999999997" customHeight="1">
      <c r="A21" s="29" t="s">
        <v>155</v>
      </c>
      <c r="B21" s="28"/>
      <c r="C21" s="28"/>
    </row>
    <row r="22" spans="1:3" ht="34.049999999999997" customHeight="1">
      <c r="A22" s="29" t="s">
        <v>156</v>
      </c>
      <c r="B22" s="28"/>
      <c r="C22" s="28"/>
    </row>
    <row r="23" spans="1:3" ht="34.049999999999997" customHeight="1">
      <c r="A23" s="29" t="s">
        <v>157</v>
      </c>
      <c r="B23" s="28"/>
      <c r="C23" s="28"/>
    </row>
    <row r="24" spans="1:3" ht="34.049999999999997" customHeight="1">
      <c r="A24" s="29" t="s">
        <v>158</v>
      </c>
      <c r="B24" s="28"/>
      <c r="C24" s="28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159</v>
      </c>
    </row>
    <row r="2" spans="1:14" ht="15.6">
      <c r="A2" s="27" t="s">
        <v>160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5.6">
      <c r="A3" s="27" t="s">
        <v>161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6.2">
      <c r="A4" s="3" t="s">
        <v>162</v>
      </c>
      <c r="B4" s="4"/>
      <c r="C4" s="4"/>
      <c r="D4" s="4"/>
      <c r="E4" s="4"/>
    </row>
    <row r="5" spans="1:14">
      <c r="A5" s="6" t="s">
        <v>163</v>
      </c>
      <c r="B5" s="11">
        <v>201.3560589070793</v>
      </c>
    </row>
    <row r="6" spans="1:14">
      <c r="A6" s="6" t="s">
        <v>164</v>
      </c>
      <c r="B6" s="15">
        <v>0.25</v>
      </c>
    </row>
    <row r="7" spans="1:14">
      <c r="A7" s="6" t="s">
        <v>165</v>
      </c>
      <c r="B7" s="15">
        <v>0.15</v>
      </c>
    </row>
    <row r="8" spans="1:14">
      <c r="A8" s="6" t="s">
        <v>15</v>
      </c>
      <c r="B8" s="11">
        <v>-73.783000000000001</v>
      </c>
    </row>
    <row r="9" spans="1:14">
      <c r="A9" s="6" t="s">
        <v>166</v>
      </c>
      <c r="B9" s="11">
        <v>0</v>
      </c>
    </row>
    <row r="10" spans="1:14">
      <c r="A10" s="6" t="s">
        <v>167</v>
      </c>
      <c r="B10" s="9">
        <v>0.73050000000000004</v>
      </c>
    </row>
    <row r="11" spans="1:14" ht="15">
      <c r="A11" s="31" t="s">
        <v>168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3" spans="1:14" ht="16.2">
      <c r="A13" s="3" t="s">
        <v>169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170</v>
      </c>
      <c r="B14" s="15">
        <v>0.105</v>
      </c>
      <c r="C14" s="6" t="s">
        <v>171</v>
      </c>
      <c r="D14" s="15">
        <v>2.5000000000000001E-2</v>
      </c>
    </row>
    <row r="16" spans="1:14">
      <c r="A16" s="5" t="s">
        <v>172</v>
      </c>
      <c r="B16" s="5" t="s">
        <v>87</v>
      </c>
      <c r="C16" s="5" t="s">
        <v>72</v>
      </c>
      <c r="D16" s="5" t="s">
        <v>173</v>
      </c>
      <c r="E16" s="5" t="s">
        <v>174</v>
      </c>
      <c r="F16" s="5" t="s">
        <v>140</v>
      </c>
      <c r="G16" s="5" t="s">
        <v>175</v>
      </c>
      <c r="H16" s="5" t="s">
        <v>176</v>
      </c>
      <c r="I16" s="5" t="s">
        <v>177</v>
      </c>
      <c r="J16" s="5" t="s">
        <v>178</v>
      </c>
      <c r="K16" s="5" t="s">
        <v>179</v>
      </c>
      <c r="L16" s="5" t="s">
        <v>180</v>
      </c>
      <c r="M16" s="5" t="s">
        <v>181</v>
      </c>
      <c r="N16" s="5" t="s">
        <v>182</v>
      </c>
    </row>
    <row r="17" spans="1:14">
      <c r="A17" s="24">
        <v>1</v>
      </c>
      <c r="B17" s="15">
        <v>0.15</v>
      </c>
      <c r="C17" s="11">
        <f>$B$5*(1+B17)</f>
        <v>231.55946774314117</v>
      </c>
      <c r="D17" s="15">
        <v>0.55000000000000004</v>
      </c>
      <c r="E17" s="11">
        <f t="shared" ref="E17:E26" si="0">C17*D17</f>
        <v>127.35770725872766</v>
      </c>
      <c r="F17" s="11">
        <f t="shared" ref="F17:F26" si="1">E17*(1-$B$6)</f>
        <v>95.518280444045743</v>
      </c>
      <c r="G17" s="15">
        <v>0.08</v>
      </c>
      <c r="H17" s="11">
        <f t="shared" ref="H17:H26" si="2">C17*G17</f>
        <v>18.524757419451294</v>
      </c>
      <c r="I17" s="15">
        <v>0.2</v>
      </c>
      <c r="J17" s="11">
        <f t="shared" ref="J17:J26" si="3">C17*I17</f>
        <v>46.311893548628234</v>
      </c>
      <c r="K17" s="11">
        <f>(C17-$B$5)*$B$7</f>
        <v>4.5305113254092797</v>
      </c>
      <c r="L17" s="11">
        <f t="shared" ref="L17:L26" si="4">F17+H17-J17-K17</f>
        <v>63.200632989459521</v>
      </c>
      <c r="M17" s="23">
        <f>1/(1+$B$14)^1</f>
        <v>0.90497737556561086</v>
      </c>
      <c r="N17" s="11">
        <f t="shared" ref="N17:N26" si="5">L17*M17</f>
        <v>57.195142976886444</v>
      </c>
    </row>
    <row r="18" spans="1:14">
      <c r="A18" s="24">
        <v>2</v>
      </c>
      <c r="B18" s="15">
        <v>-0.5</v>
      </c>
      <c r="C18" s="11">
        <f t="shared" ref="C18:C26" si="6">C17*(1+B18)</f>
        <v>115.77973387157058</v>
      </c>
      <c r="D18" s="15">
        <v>0.2</v>
      </c>
      <c r="E18" s="11">
        <f t="shared" si="0"/>
        <v>23.155946774314117</v>
      </c>
      <c r="F18" s="11">
        <f t="shared" si="1"/>
        <v>17.366960080735588</v>
      </c>
      <c r="G18" s="15">
        <v>0.08</v>
      </c>
      <c r="H18" s="11">
        <f t="shared" si="2"/>
        <v>9.2623787097256471</v>
      </c>
      <c r="I18" s="15">
        <v>0.2</v>
      </c>
      <c r="J18" s="11">
        <f t="shared" si="3"/>
        <v>23.155946774314117</v>
      </c>
      <c r="K18" s="11">
        <f t="shared" ref="K18:K26" si="7">(C18-C17)*$B$7</f>
        <v>-17.366960080735588</v>
      </c>
      <c r="L18" s="11">
        <f t="shared" si="4"/>
        <v>20.840352096882704</v>
      </c>
      <c r="M18" s="23">
        <f>1/(1+$B$14)^2</f>
        <v>0.81898405028562071</v>
      </c>
      <c r="N18" s="11">
        <f t="shared" si="5"/>
        <v>17.067915969683426</v>
      </c>
    </row>
    <row r="19" spans="1:14">
      <c r="A19" s="24">
        <v>3</v>
      </c>
      <c r="B19" s="15">
        <v>-0.15</v>
      </c>
      <c r="C19" s="11">
        <f t="shared" si="6"/>
        <v>98.41277379083499</v>
      </c>
      <c r="D19" s="15">
        <v>0.1</v>
      </c>
      <c r="E19" s="11">
        <f t="shared" si="0"/>
        <v>9.8412773790835004</v>
      </c>
      <c r="F19" s="11">
        <f t="shared" si="1"/>
        <v>7.3809580343126253</v>
      </c>
      <c r="G19" s="15">
        <v>0.08</v>
      </c>
      <c r="H19" s="11">
        <f t="shared" si="2"/>
        <v>7.8730219032667996</v>
      </c>
      <c r="I19" s="15">
        <v>0.2</v>
      </c>
      <c r="J19" s="11">
        <f t="shared" si="3"/>
        <v>19.682554758167001</v>
      </c>
      <c r="K19" s="11">
        <f t="shared" si="7"/>
        <v>-2.6050440121103393</v>
      </c>
      <c r="L19" s="11">
        <f t="shared" si="4"/>
        <v>-1.8235308084772366</v>
      </c>
      <c r="M19" s="23">
        <f>1/(1+$B$14)^3</f>
        <v>0.74116203645757528</v>
      </c>
      <c r="N19" s="11">
        <f t="shared" si="5"/>
        <v>-1.3515318075541174</v>
      </c>
    </row>
    <row r="20" spans="1:14">
      <c r="A20" s="24">
        <v>4</v>
      </c>
      <c r="B20" s="15">
        <v>0.1</v>
      </c>
      <c r="C20" s="11">
        <f t="shared" si="6"/>
        <v>108.2540511699185</v>
      </c>
      <c r="D20" s="15">
        <v>0.2</v>
      </c>
      <c r="E20" s="11">
        <f t="shared" si="0"/>
        <v>21.650810233983702</v>
      </c>
      <c r="F20" s="11">
        <f t="shared" si="1"/>
        <v>16.238107675487775</v>
      </c>
      <c r="G20" s="15">
        <v>0.08</v>
      </c>
      <c r="H20" s="11">
        <f t="shared" si="2"/>
        <v>8.6603240935934807</v>
      </c>
      <c r="I20" s="15">
        <v>0.2</v>
      </c>
      <c r="J20" s="11">
        <f t="shared" si="3"/>
        <v>21.650810233983702</v>
      </c>
      <c r="K20" s="11">
        <f t="shared" si="7"/>
        <v>1.476191606862526</v>
      </c>
      <c r="L20" s="11">
        <f t="shared" si="4"/>
        <v>1.7714299282350283</v>
      </c>
      <c r="M20" s="23">
        <f>1/(1+$B$14)^4</f>
        <v>0.67073487462224002</v>
      </c>
      <c r="N20" s="11">
        <f t="shared" si="5"/>
        <v>1.1881598308168053</v>
      </c>
    </row>
    <row r="21" spans="1:14">
      <c r="A21" s="24">
        <v>5</v>
      </c>
      <c r="B21" s="15">
        <v>0.08</v>
      </c>
      <c r="C21" s="11">
        <f t="shared" si="6"/>
        <v>116.91437526351199</v>
      </c>
      <c r="D21" s="15">
        <v>0.28000000000000003</v>
      </c>
      <c r="E21" s="11">
        <f t="shared" si="0"/>
        <v>32.73602507378336</v>
      </c>
      <c r="F21" s="11">
        <f t="shared" si="1"/>
        <v>24.552018805337518</v>
      </c>
      <c r="G21" s="15">
        <v>0.08</v>
      </c>
      <c r="H21" s="11">
        <f t="shared" si="2"/>
        <v>9.3531500210809586</v>
      </c>
      <c r="I21" s="15">
        <v>0.2</v>
      </c>
      <c r="J21" s="11">
        <f t="shared" si="3"/>
        <v>23.382875052702399</v>
      </c>
      <c r="K21" s="11">
        <f t="shared" si="7"/>
        <v>1.2990486140390232</v>
      </c>
      <c r="L21" s="11">
        <f t="shared" si="4"/>
        <v>9.2232451596770524</v>
      </c>
      <c r="M21" s="23">
        <f>1/(1+$B$14)^5</f>
        <v>0.60699988653596382</v>
      </c>
      <c r="N21" s="11">
        <f t="shared" si="5"/>
        <v>5.598508765417348</v>
      </c>
    </row>
    <row r="22" spans="1:14">
      <c r="A22" s="24">
        <v>6</v>
      </c>
      <c r="B22" s="15">
        <v>0.06</v>
      </c>
      <c r="C22" s="11">
        <f t="shared" si="6"/>
        <v>123.9292377793227</v>
      </c>
      <c r="D22" s="15">
        <v>0.3</v>
      </c>
      <c r="E22" s="11">
        <f t="shared" si="0"/>
        <v>37.17877133379681</v>
      </c>
      <c r="F22" s="11">
        <f t="shared" si="1"/>
        <v>27.884078500347606</v>
      </c>
      <c r="G22" s="15">
        <v>0.08</v>
      </c>
      <c r="H22" s="11">
        <f t="shared" si="2"/>
        <v>9.9143390223458159</v>
      </c>
      <c r="I22" s="15">
        <v>0.2</v>
      </c>
      <c r="J22" s="11">
        <f t="shared" si="3"/>
        <v>24.785847555864542</v>
      </c>
      <c r="K22" s="11">
        <f t="shared" si="7"/>
        <v>1.0522293773716078</v>
      </c>
      <c r="L22" s="11">
        <f t="shared" si="4"/>
        <v>11.960340589457269</v>
      </c>
      <c r="M22" s="23">
        <f>1/(1+$B$14)^6</f>
        <v>0.54932116428594002</v>
      </c>
      <c r="N22" s="11">
        <f t="shared" si="5"/>
        <v>6.5700682178570533</v>
      </c>
    </row>
    <row r="23" spans="1:14">
      <c r="A23" s="24">
        <v>7</v>
      </c>
      <c r="B23" s="15">
        <v>0.04</v>
      </c>
      <c r="C23" s="11">
        <f t="shared" si="6"/>
        <v>128.88640729049561</v>
      </c>
      <c r="D23" s="15">
        <v>0.32</v>
      </c>
      <c r="E23" s="11">
        <f t="shared" si="0"/>
        <v>41.243650332958595</v>
      </c>
      <c r="F23" s="11">
        <f t="shared" si="1"/>
        <v>30.932737749718946</v>
      </c>
      <c r="G23" s="15">
        <v>0.08</v>
      </c>
      <c r="H23" s="11">
        <f t="shared" si="2"/>
        <v>10.310912583239649</v>
      </c>
      <c r="I23" s="15">
        <v>0.2</v>
      </c>
      <c r="J23" s="11">
        <f t="shared" si="3"/>
        <v>25.777281458099125</v>
      </c>
      <c r="K23" s="11">
        <f t="shared" si="7"/>
        <v>0.74357542667593601</v>
      </c>
      <c r="L23" s="11">
        <f t="shared" si="4"/>
        <v>14.722793448183534</v>
      </c>
      <c r="M23" s="23">
        <f>1/(1+$B$14)^7</f>
        <v>0.49712322559813582</v>
      </c>
      <c r="N23" s="11">
        <f t="shared" si="5"/>
        <v>7.3190425687760987</v>
      </c>
    </row>
    <row r="24" spans="1:14">
      <c r="A24" s="24">
        <v>8</v>
      </c>
      <c r="B24" s="15">
        <v>0.03</v>
      </c>
      <c r="C24" s="11">
        <f t="shared" si="6"/>
        <v>132.7529995092105</v>
      </c>
      <c r="D24" s="15">
        <v>0.33</v>
      </c>
      <c r="E24" s="11">
        <f t="shared" si="0"/>
        <v>43.808489838039463</v>
      </c>
      <c r="F24" s="11">
        <f t="shared" si="1"/>
        <v>32.856367378529598</v>
      </c>
      <c r="G24" s="15">
        <v>0.08</v>
      </c>
      <c r="H24" s="11">
        <f t="shared" si="2"/>
        <v>10.620239960736839</v>
      </c>
      <c r="I24" s="15">
        <v>0.2</v>
      </c>
      <c r="J24" s="11">
        <f t="shared" si="3"/>
        <v>26.550599901842102</v>
      </c>
      <c r="K24" s="11">
        <f t="shared" si="7"/>
        <v>0.57998883280723279</v>
      </c>
      <c r="L24" s="11">
        <f t="shared" si="4"/>
        <v>16.346018604617104</v>
      </c>
      <c r="M24" s="23">
        <f>1/(1+$B$14)^8</f>
        <v>0.44988527203451206</v>
      </c>
      <c r="N24" s="11">
        <f t="shared" si="5"/>
        <v>7.3538330266193608</v>
      </c>
    </row>
    <row r="25" spans="1:14">
      <c r="A25" s="24">
        <v>9</v>
      </c>
      <c r="B25" s="15">
        <v>0.03</v>
      </c>
      <c r="C25" s="11">
        <f t="shared" si="6"/>
        <v>136.73558949448682</v>
      </c>
      <c r="D25" s="15">
        <v>0.33</v>
      </c>
      <c r="E25" s="11">
        <f t="shared" si="0"/>
        <v>45.122744533180651</v>
      </c>
      <c r="F25" s="11">
        <f t="shared" si="1"/>
        <v>33.842058399885488</v>
      </c>
      <c r="G25" s="15">
        <v>0.08</v>
      </c>
      <c r="H25" s="11">
        <f t="shared" si="2"/>
        <v>10.938847159558945</v>
      </c>
      <c r="I25" s="15">
        <v>0.2</v>
      </c>
      <c r="J25" s="11">
        <f t="shared" si="3"/>
        <v>27.347117898897366</v>
      </c>
      <c r="K25" s="11">
        <f t="shared" si="7"/>
        <v>0.59738849779144798</v>
      </c>
      <c r="L25" s="11">
        <f t="shared" si="4"/>
        <v>16.836399162755619</v>
      </c>
      <c r="M25" s="23">
        <f>1/(1+$B$14)^9</f>
        <v>0.40713599279141366</v>
      </c>
      <c r="N25" s="11">
        <f t="shared" si="5"/>
        <v>6.8547040881610348</v>
      </c>
    </row>
    <row r="26" spans="1:14">
      <c r="A26" s="24">
        <v>10</v>
      </c>
      <c r="B26" s="15">
        <v>0.03</v>
      </c>
      <c r="C26" s="11">
        <f t="shared" si="6"/>
        <v>140.83765717932141</v>
      </c>
      <c r="D26" s="15">
        <v>0.33</v>
      </c>
      <c r="E26" s="11">
        <f t="shared" si="0"/>
        <v>46.476426869176066</v>
      </c>
      <c r="F26" s="11">
        <f t="shared" si="1"/>
        <v>34.85732015188205</v>
      </c>
      <c r="G26" s="15">
        <v>0.08</v>
      </c>
      <c r="H26" s="11">
        <f t="shared" si="2"/>
        <v>11.267012574345713</v>
      </c>
      <c r="I26" s="15">
        <v>0.2</v>
      </c>
      <c r="J26" s="11">
        <f t="shared" si="3"/>
        <v>28.167531435864284</v>
      </c>
      <c r="K26" s="11">
        <f t="shared" si="7"/>
        <v>0.61531015272518907</v>
      </c>
      <c r="L26" s="11">
        <f t="shared" si="4"/>
        <v>17.34149113763829</v>
      </c>
      <c r="M26" s="23">
        <f>1/(1+$B$14)^10</f>
        <v>0.36844886225467294</v>
      </c>
      <c r="N26" s="11">
        <f t="shared" si="5"/>
        <v>6.3894526794623214</v>
      </c>
    </row>
    <row r="27" spans="1:14">
      <c r="A27" s="18" t="s">
        <v>183</v>
      </c>
      <c r="B27" s="11">
        <f>L26*(1+$D$14)/($B$14-$D$14)</f>
        <v>222.18785520099058</v>
      </c>
    </row>
    <row r="28" spans="1:14">
      <c r="A28" s="6" t="s">
        <v>184</v>
      </c>
      <c r="B28" s="11">
        <f>B27/(1+$B$14)^10</f>
        <v>81.864862455611004</v>
      </c>
    </row>
    <row r="29" spans="1:14">
      <c r="A29" s="18" t="s">
        <v>185</v>
      </c>
      <c r="B29" s="11">
        <f>SUM(N17:N26)+B28</f>
        <v>196.05015877173679</v>
      </c>
    </row>
    <row r="30" spans="1:14">
      <c r="A30" s="6" t="s">
        <v>186</v>
      </c>
      <c r="B30" s="11">
        <f>$B$8</f>
        <v>-73.783000000000001</v>
      </c>
    </row>
    <row r="31" spans="1:14">
      <c r="A31" s="18" t="s">
        <v>187</v>
      </c>
      <c r="B31" s="11">
        <f>B29-B30</f>
        <v>269.83315877173681</v>
      </c>
    </row>
    <row r="32" spans="1:14">
      <c r="A32" s="18" t="s">
        <v>188</v>
      </c>
      <c r="B32" s="7">
        <f>B31/$B$10</f>
        <v>369.38146306877042</v>
      </c>
      <c r="C32" s="6" t="s">
        <v>189</v>
      </c>
    </row>
    <row r="36" spans="1:14" ht="16.2">
      <c r="A36" s="3" t="s">
        <v>190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170</v>
      </c>
      <c r="B37" s="15">
        <v>9.5000000000000001E-2</v>
      </c>
      <c r="C37" s="6" t="s">
        <v>171</v>
      </c>
      <c r="D37" s="15">
        <v>0.03</v>
      </c>
    </row>
    <row r="39" spans="1:14">
      <c r="A39" s="5" t="s">
        <v>172</v>
      </c>
      <c r="B39" s="5" t="s">
        <v>87</v>
      </c>
      <c r="C39" s="5" t="s">
        <v>72</v>
      </c>
      <c r="D39" s="5" t="s">
        <v>173</v>
      </c>
      <c r="E39" s="5" t="s">
        <v>174</v>
      </c>
      <c r="F39" s="5" t="s">
        <v>140</v>
      </c>
      <c r="G39" s="5" t="s">
        <v>175</v>
      </c>
      <c r="H39" s="5" t="s">
        <v>176</v>
      </c>
      <c r="I39" s="5" t="s">
        <v>177</v>
      </c>
      <c r="J39" s="5" t="s">
        <v>178</v>
      </c>
      <c r="K39" s="5" t="s">
        <v>179</v>
      </c>
      <c r="L39" s="5" t="s">
        <v>180</v>
      </c>
      <c r="M39" s="5" t="s">
        <v>181</v>
      </c>
      <c r="N39" s="5" t="s">
        <v>182</v>
      </c>
    </row>
    <row r="40" spans="1:14">
      <c r="A40" s="24">
        <v>1</v>
      </c>
      <c r="B40" s="15">
        <v>0.45</v>
      </c>
      <c r="C40" s="11">
        <f>$B$5*(1+B40)</f>
        <v>291.96628541526496</v>
      </c>
      <c r="D40" s="15">
        <v>0.72</v>
      </c>
      <c r="E40" s="11">
        <f t="shared" ref="E40:E49" si="8">C40*D40</f>
        <v>210.21572549899076</v>
      </c>
      <c r="F40" s="11">
        <f t="shared" ref="F40:F49" si="9">E40*(1-$B$6)</f>
        <v>157.66179412424307</v>
      </c>
      <c r="G40" s="15">
        <v>0.08</v>
      </c>
      <c r="H40" s="11">
        <f t="shared" ref="H40:H49" si="10">C40*G40</f>
        <v>23.357302833221198</v>
      </c>
      <c r="I40" s="15">
        <v>0.18</v>
      </c>
      <c r="J40" s="11">
        <f t="shared" ref="J40:J49" si="11">C40*I40</f>
        <v>52.553931374747691</v>
      </c>
      <c r="K40" s="11">
        <f>(C40-$B$5)*$B$7</f>
        <v>13.591533976227849</v>
      </c>
      <c r="L40" s="11">
        <f t="shared" ref="L40:L49" si="12">F40+H40-J40-K40</f>
        <v>114.87363160648874</v>
      </c>
      <c r="M40" s="23">
        <f>1/(1+$B$37)^1</f>
        <v>0.91324200913242015</v>
      </c>
      <c r="N40" s="11">
        <f t="shared" ref="N40:N49" si="13">L40*M40</f>
        <v>104.90742612464726</v>
      </c>
    </row>
    <row r="41" spans="1:14">
      <c r="A41" s="24">
        <v>2</v>
      </c>
      <c r="B41" s="15">
        <v>-0.35</v>
      </c>
      <c r="C41" s="11">
        <f t="shared" ref="C41:C49" si="14">C40*(1+B41)</f>
        <v>189.77808551992223</v>
      </c>
      <c r="D41" s="15">
        <v>0.52</v>
      </c>
      <c r="E41" s="11">
        <f t="shared" si="8"/>
        <v>98.68460447035956</v>
      </c>
      <c r="F41" s="11">
        <f t="shared" si="9"/>
        <v>74.013453352769673</v>
      </c>
      <c r="G41" s="15">
        <v>0.08</v>
      </c>
      <c r="H41" s="11">
        <f t="shared" si="10"/>
        <v>15.182246841593779</v>
      </c>
      <c r="I41" s="15">
        <v>0.18</v>
      </c>
      <c r="J41" s="11">
        <f t="shared" si="11"/>
        <v>34.160055393585999</v>
      </c>
      <c r="K41" s="11">
        <f t="shared" ref="K41:K49" si="15">(C41-C40)*$B$7</f>
        <v>-15.328229984301409</v>
      </c>
      <c r="L41" s="11">
        <f t="shared" si="12"/>
        <v>70.363874785078863</v>
      </c>
      <c r="M41" s="23">
        <f>1/(1+$B$37)^2</f>
        <v>0.8340109672442193</v>
      </c>
      <c r="N41" s="11">
        <f t="shared" si="13"/>
        <v>58.684243268554759</v>
      </c>
    </row>
    <row r="42" spans="1:14">
      <c r="A42" s="24">
        <v>3</v>
      </c>
      <c r="B42" s="15">
        <v>-0.05</v>
      </c>
      <c r="C42" s="11">
        <f t="shared" si="14"/>
        <v>180.28918124392612</v>
      </c>
      <c r="D42" s="15">
        <v>0.38</v>
      </c>
      <c r="E42" s="11">
        <f t="shared" si="8"/>
        <v>68.509888872691931</v>
      </c>
      <c r="F42" s="11">
        <f t="shared" si="9"/>
        <v>51.382416654518948</v>
      </c>
      <c r="G42" s="15">
        <v>0.08</v>
      </c>
      <c r="H42" s="11">
        <f t="shared" si="10"/>
        <v>14.42313449951409</v>
      </c>
      <c r="I42" s="15">
        <v>0.18</v>
      </c>
      <c r="J42" s="11">
        <f t="shared" si="11"/>
        <v>32.452052623906702</v>
      </c>
      <c r="K42" s="11">
        <f t="shared" si="15"/>
        <v>-1.4233356413994158</v>
      </c>
      <c r="L42" s="11">
        <f t="shared" si="12"/>
        <v>34.776834171525756</v>
      </c>
      <c r="M42" s="23">
        <f>1/(1+$B$37)^3</f>
        <v>0.76165385136458386</v>
      </c>
      <c r="N42" s="11">
        <f t="shared" si="13"/>
        <v>26.487909685010059</v>
      </c>
    </row>
    <row r="43" spans="1:14">
      <c r="A43" s="24">
        <v>4</v>
      </c>
      <c r="B43" s="15">
        <v>0.15</v>
      </c>
      <c r="C43" s="11">
        <f t="shared" si="14"/>
        <v>207.33255843051504</v>
      </c>
      <c r="D43" s="15">
        <v>0.4</v>
      </c>
      <c r="E43" s="11">
        <f t="shared" si="8"/>
        <v>82.933023372206023</v>
      </c>
      <c r="F43" s="11">
        <f t="shared" si="9"/>
        <v>62.199767529154514</v>
      </c>
      <c r="G43" s="15">
        <v>0.08</v>
      </c>
      <c r="H43" s="11">
        <f t="shared" si="10"/>
        <v>16.586604674441205</v>
      </c>
      <c r="I43" s="15">
        <v>0.18</v>
      </c>
      <c r="J43" s="11">
        <f t="shared" si="11"/>
        <v>37.319860517492707</v>
      </c>
      <c r="K43" s="11">
        <f t="shared" si="15"/>
        <v>4.0565065779883369</v>
      </c>
      <c r="L43" s="11">
        <f t="shared" si="12"/>
        <v>37.410005108114674</v>
      </c>
      <c r="M43" s="23">
        <f>1/(1+$B$37)^4</f>
        <v>0.6955742934836382</v>
      </c>
      <c r="N43" s="11">
        <f t="shared" si="13"/>
        <v>26.021437872296161</v>
      </c>
    </row>
    <row r="44" spans="1:14">
      <c r="A44" s="24">
        <v>5</v>
      </c>
      <c r="B44" s="15">
        <v>0.1</v>
      </c>
      <c r="C44" s="11">
        <f t="shared" si="14"/>
        <v>228.06581427356656</v>
      </c>
      <c r="D44" s="15">
        <v>0.4</v>
      </c>
      <c r="E44" s="11">
        <f t="shared" si="8"/>
        <v>91.226325709426632</v>
      </c>
      <c r="F44" s="11">
        <f t="shared" si="9"/>
        <v>68.419744282069971</v>
      </c>
      <c r="G44" s="15">
        <v>0.08</v>
      </c>
      <c r="H44" s="11">
        <f t="shared" si="10"/>
        <v>18.245265141885326</v>
      </c>
      <c r="I44" s="15">
        <v>0.18</v>
      </c>
      <c r="J44" s="11">
        <f t="shared" si="11"/>
        <v>41.051846569241981</v>
      </c>
      <c r="K44" s="11">
        <f t="shared" si="15"/>
        <v>3.1099883764577285</v>
      </c>
      <c r="L44" s="11">
        <f t="shared" si="12"/>
        <v>42.503174478255588</v>
      </c>
      <c r="M44" s="23">
        <f>1/(1+$B$37)^5</f>
        <v>0.63522766528186136</v>
      </c>
      <c r="N44" s="11">
        <f t="shared" si="13"/>
        <v>26.999192290889894</v>
      </c>
    </row>
    <row r="45" spans="1:14">
      <c r="A45" s="24">
        <v>6</v>
      </c>
      <c r="B45" s="15">
        <v>0.08</v>
      </c>
      <c r="C45" s="11">
        <f t="shared" si="14"/>
        <v>246.3110794154519</v>
      </c>
      <c r="D45" s="15">
        <v>0.39</v>
      </c>
      <c r="E45" s="11">
        <f t="shared" si="8"/>
        <v>96.061320972026238</v>
      </c>
      <c r="F45" s="11">
        <f t="shared" si="9"/>
        <v>72.045990729019678</v>
      </c>
      <c r="G45" s="15">
        <v>0.08</v>
      </c>
      <c r="H45" s="11">
        <f t="shared" si="10"/>
        <v>19.704886353236152</v>
      </c>
      <c r="I45" s="15">
        <v>0.18</v>
      </c>
      <c r="J45" s="11">
        <f t="shared" si="11"/>
        <v>44.335994294781344</v>
      </c>
      <c r="K45" s="11">
        <f t="shared" si="15"/>
        <v>2.7367897712828011</v>
      </c>
      <c r="L45" s="11">
        <f t="shared" si="12"/>
        <v>44.678093016191681</v>
      </c>
      <c r="M45" s="23">
        <f>1/(1+$B$37)^6</f>
        <v>0.58011658929850352</v>
      </c>
      <c r="N45" s="11">
        <f t="shared" si="13"/>
        <v>25.918502936914408</v>
      </c>
    </row>
    <row r="46" spans="1:14">
      <c r="A46" s="24">
        <v>7</v>
      </c>
      <c r="B46" s="15">
        <v>0.06</v>
      </c>
      <c r="C46" s="11">
        <f t="shared" si="14"/>
        <v>261.089744180379</v>
      </c>
      <c r="D46" s="15">
        <v>0.38</v>
      </c>
      <c r="E46" s="11">
        <f t="shared" si="8"/>
        <v>99.214102788544025</v>
      </c>
      <c r="F46" s="11">
        <f t="shared" si="9"/>
        <v>74.410577091408015</v>
      </c>
      <c r="G46" s="15">
        <v>0.08</v>
      </c>
      <c r="H46" s="11">
        <f t="shared" si="10"/>
        <v>20.88717953443032</v>
      </c>
      <c r="I46" s="15">
        <v>0.18</v>
      </c>
      <c r="J46" s="11">
        <f t="shared" si="11"/>
        <v>46.996153952468219</v>
      </c>
      <c r="K46" s="11">
        <f t="shared" si="15"/>
        <v>2.2167997147390648</v>
      </c>
      <c r="L46" s="11">
        <f t="shared" si="12"/>
        <v>46.084802958631045</v>
      </c>
      <c r="M46" s="23">
        <f>1/(1+$B$37)^7</f>
        <v>0.52978683954201233</v>
      </c>
      <c r="N46" s="11">
        <f t="shared" si="13"/>
        <v>24.41512211036952</v>
      </c>
    </row>
    <row r="47" spans="1:14">
      <c r="A47" s="24">
        <v>8</v>
      </c>
      <c r="B47" s="15">
        <v>0.04</v>
      </c>
      <c r="C47" s="11">
        <f t="shared" si="14"/>
        <v>271.53333394759414</v>
      </c>
      <c r="D47" s="15">
        <v>0.37</v>
      </c>
      <c r="E47" s="11">
        <f t="shared" si="8"/>
        <v>100.46733356060983</v>
      </c>
      <c r="F47" s="11">
        <f t="shared" si="9"/>
        <v>75.350500170457366</v>
      </c>
      <c r="G47" s="15">
        <v>0.08</v>
      </c>
      <c r="H47" s="11">
        <f t="shared" si="10"/>
        <v>21.722666715807531</v>
      </c>
      <c r="I47" s="15">
        <v>0.18</v>
      </c>
      <c r="J47" s="11">
        <f t="shared" si="11"/>
        <v>48.876000110566942</v>
      </c>
      <c r="K47" s="11">
        <f t="shared" si="15"/>
        <v>1.5665384650822716</v>
      </c>
      <c r="L47" s="11">
        <f t="shared" si="12"/>
        <v>46.630628310615684</v>
      </c>
      <c r="M47" s="23">
        <f>1/(1+$B$37)^8</f>
        <v>0.4838235977552624</v>
      </c>
      <c r="N47" s="11">
        <f t="shared" si="13"/>
        <v>22.560998354830474</v>
      </c>
    </row>
    <row r="48" spans="1:14">
      <c r="A48" s="24">
        <v>9</v>
      </c>
      <c r="B48" s="15">
        <v>0.03</v>
      </c>
      <c r="C48" s="11">
        <f t="shared" si="14"/>
        <v>279.679333966022</v>
      </c>
      <c r="D48" s="15">
        <v>0.36</v>
      </c>
      <c r="E48" s="11">
        <f t="shared" si="8"/>
        <v>100.68456022776792</v>
      </c>
      <c r="F48" s="11">
        <f t="shared" si="9"/>
        <v>75.513420170825938</v>
      </c>
      <c r="G48" s="15">
        <v>0.08</v>
      </c>
      <c r="H48" s="11">
        <f t="shared" si="10"/>
        <v>22.37434671728176</v>
      </c>
      <c r="I48" s="15">
        <v>0.18</v>
      </c>
      <c r="J48" s="11">
        <f t="shared" si="11"/>
        <v>50.342280113883959</v>
      </c>
      <c r="K48" s="11">
        <f t="shared" si="15"/>
        <v>1.2219000027641782</v>
      </c>
      <c r="L48" s="11">
        <f t="shared" si="12"/>
        <v>46.323586771459567</v>
      </c>
      <c r="M48" s="23">
        <f>1/(1+$B$37)^9</f>
        <v>0.44184803447969173</v>
      </c>
      <c r="N48" s="11">
        <f t="shared" si="13"/>
        <v>20.467985765018859</v>
      </c>
    </row>
    <row r="49" spans="1:14">
      <c r="A49" s="24">
        <v>10</v>
      </c>
      <c r="B49" s="15">
        <v>0.03</v>
      </c>
      <c r="C49" s="11">
        <f t="shared" si="14"/>
        <v>288.06971398500269</v>
      </c>
      <c r="D49" s="15">
        <v>0.35</v>
      </c>
      <c r="E49" s="11">
        <f t="shared" si="8"/>
        <v>100.82439989475094</v>
      </c>
      <c r="F49" s="11">
        <f t="shared" si="9"/>
        <v>75.618299921063198</v>
      </c>
      <c r="G49" s="15">
        <v>0.08</v>
      </c>
      <c r="H49" s="11">
        <f t="shared" si="10"/>
        <v>23.045577118800217</v>
      </c>
      <c r="I49" s="15">
        <v>0.18</v>
      </c>
      <c r="J49" s="11">
        <f t="shared" si="11"/>
        <v>51.852548517300484</v>
      </c>
      <c r="K49" s="11">
        <f t="shared" si="15"/>
        <v>1.2585570028471038</v>
      </c>
      <c r="L49" s="11">
        <f t="shared" si="12"/>
        <v>45.552771519715833</v>
      </c>
      <c r="M49" s="23">
        <f>1/(1+$B$37)^10</f>
        <v>0.40351418673944445</v>
      </c>
      <c r="N49" s="11">
        <f t="shared" si="13"/>
        <v>18.381189553505862</v>
      </c>
    </row>
    <row r="50" spans="1:14">
      <c r="A50" s="18" t="s">
        <v>183</v>
      </c>
      <c r="B50" s="11">
        <f>L49*(1+$D$37)/($B$37-$D$37)</f>
        <v>721.83622562011249</v>
      </c>
    </row>
    <row r="51" spans="1:14">
      <c r="A51" s="6" t="s">
        <v>184</v>
      </c>
      <c r="B51" s="11">
        <f>B50/(1+$B$37)^10</f>
        <v>291.27115754016984</v>
      </c>
    </row>
    <row r="52" spans="1:14">
      <c r="A52" s="18" t="s">
        <v>185</v>
      </c>
      <c r="B52" s="11">
        <f>SUM(N40:N49)+B51</f>
        <v>646.11516550220711</v>
      </c>
    </row>
    <row r="53" spans="1:14">
      <c r="A53" s="6" t="s">
        <v>186</v>
      </c>
      <c r="B53" s="11">
        <f>$B$8</f>
        <v>-73.783000000000001</v>
      </c>
    </row>
    <row r="54" spans="1:14">
      <c r="A54" s="18" t="s">
        <v>187</v>
      </c>
      <c r="B54" s="11">
        <f>B52-B53</f>
        <v>719.89816550220712</v>
      </c>
    </row>
    <row r="55" spans="1:14">
      <c r="A55" s="18" t="s">
        <v>188</v>
      </c>
      <c r="B55" s="7">
        <f>B54/$B$10</f>
        <v>985.48687953758667</v>
      </c>
      <c r="C55" s="6" t="s">
        <v>191</v>
      </c>
    </row>
    <row r="59" spans="1:14" ht="16.2">
      <c r="A59" s="3" t="s">
        <v>192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170</v>
      </c>
      <c r="B60" s="15">
        <v>8.7999999999999995E-2</v>
      </c>
      <c r="C60" s="6" t="s">
        <v>171</v>
      </c>
      <c r="D60" s="15">
        <v>3.2000000000000001E-2</v>
      </c>
    </row>
    <row r="62" spans="1:14">
      <c r="A62" s="5" t="s">
        <v>172</v>
      </c>
      <c r="B62" s="5" t="s">
        <v>87</v>
      </c>
      <c r="C62" s="5" t="s">
        <v>72</v>
      </c>
      <c r="D62" s="5" t="s">
        <v>173</v>
      </c>
      <c r="E62" s="5" t="s">
        <v>174</v>
      </c>
      <c r="F62" s="5" t="s">
        <v>140</v>
      </c>
      <c r="G62" s="5" t="s">
        <v>175</v>
      </c>
      <c r="H62" s="5" t="s">
        <v>176</v>
      </c>
      <c r="I62" s="5" t="s">
        <v>177</v>
      </c>
      <c r="J62" s="5" t="s">
        <v>178</v>
      </c>
      <c r="K62" s="5" t="s">
        <v>179</v>
      </c>
      <c r="L62" s="5" t="s">
        <v>180</v>
      </c>
      <c r="M62" s="5" t="s">
        <v>181</v>
      </c>
      <c r="N62" s="5" t="s">
        <v>182</v>
      </c>
    </row>
    <row r="63" spans="1:14">
      <c r="A63" s="24">
        <v>1</v>
      </c>
      <c r="B63" s="15">
        <v>0.55000000000000004</v>
      </c>
      <c r="C63" s="11">
        <f>$B$5*(1+B63)</f>
        <v>312.10189130597291</v>
      </c>
      <c r="D63" s="15">
        <v>0.75</v>
      </c>
      <c r="E63" s="11">
        <f t="shared" ref="E63:E72" si="16">C63*D63</f>
        <v>234.07641847947968</v>
      </c>
      <c r="F63" s="11">
        <f t="shared" ref="F63:F72" si="17">E63*(1-$B$6)</f>
        <v>175.55731385960976</v>
      </c>
      <c r="G63" s="15">
        <v>0.08</v>
      </c>
      <c r="H63" s="11">
        <f t="shared" ref="H63:H72" si="18">C63*G63</f>
        <v>24.968151304477832</v>
      </c>
      <c r="I63" s="15">
        <v>0.17</v>
      </c>
      <c r="J63" s="11">
        <f t="shared" ref="J63:J72" si="19">C63*I63</f>
        <v>53.0573215220154</v>
      </c>
      <c r="K63" s="11">
        <f>(C63-$B$5)*$B$7</f>
        <v>16.611874859834042</v>
      </c>
      <c r="L63" s="11">
        <f t="shared" ref="L63:L72" si="20">F63+H63-J63-K63</f>
        <v>130.85626878223815</v>
      </c>
      <c r="M63" s="23">
        <f>1/(1+$B$60)^1</f>
        <v>0.91911764705882348</v>
      </c>
      <c r="N63" s="11">
        <f t="shared" ref="N63:N72" si="21">L63*M63</f>
        <v>120.27230586602771</v>
      </c>
    </row>
    <row r="64" spans="1:14">
      <c r="A64" s="24">
        <v>2</v>
      </c>
      <c r="B64" s="15">
        <v>-0.25</v>
      </c>
      <c r="C64" s="11">
        <f t="shared" ref="C64:C72" si="22">C63*(1+B64)</f>
        <v>234.07641847947968</v>
      </c>
      <c r="D64" s="15">
        <v>0.6</v>
      </c>
      <c r="E64" s="11">
        <f t="shared" si="16"/>
        <v>140.4458510876878</v>
      </c>
      <c r="F64" s="11">
        <f t="shared" si="17"/>
        <v>105.33438831576585</v>
      </c>
      <c r="G64" s="15">
        <v>0.08</v>
      </c>
      <c r="H64" s="11">
        <f t="shared" si="18"/>
        <v>18.726113478358375</v>
      </c>
      <c r="I64" s="15">
        <v>0.17</v>
      </c>
      <c r="J64" s="11">
        <f t="shared" si="19"/>
        <v>39.79299114151155</v>
      </c>
      <c r="K64" s="11">
        <f t="shared" ref="K64:K72" si="23">(C64-C63)*$B$7</f>
        <v>-11.703820923973984</v>
      </c>
      <c r="L64" s="11">
        <f t="shared" si="20"/>
        <v>95.97133157658665</v>
      </c>
      <c r="M64" s="23">
        <f>1/(1+$B$60)^2</f>
        <v>0.84477724913494801</v>
      </c>
      <c r="N64" s="11">
        <f t="shared" si="21"/>
        <v>81.074397485086848</v>
      </c>
    </row>
    <row r="65" spans="1:14">
      <c r="A65" s="24">
        <v>3</v>
      </c>
      <c r="B65" s="15">
        <v>0.05</v>
      </c>
      <c r="C65" s="11">
        <f t="shared" si="22"/>
        <v>245.78023940345369</v>
      </c>
      <c r="D65" s="15">
        <v>0.45</v>
      </c>
      <c r="E65" s="11">
        <f t="shared" si="16"/>
        <v>110.60110773155417</v>
      </c>
      <c r="F65" s="11">
        <f t="shared" si="17"/>
        <v>82.950830798665621</v>
      </c>
      <c r="G65" s="15">
        <v>0.08</v>
      </c>
      <c r="H65" s="11">
        <f t="shared" si="18"/>
        <v>19.662419152276296</v>
      </c>
      <c r="I65" s="15">
        <v>0.17</v>
      </c>
      <c r="J65" s="11">
        <f t="shared" si="19"/>
        <v>41.78264069858713</v>
      </c>
      <c r="K65" s="11">
        <f t="shared" si="23"/>
        <v>1.7555731385961011</v>
      </c>
      <c r="L65" s="11">
        <f t="shared" si="20"/>
        <v>59.075036113758692</v>
      </c>
      <c r="M65" s="23">
        <f>1/(1+$B$60)^3</f>
        <v>0.77644967751373895</v>
      </c>
      <c r="N65" s="11">
        <f t="shared" si="21"/>
        <v>45.868792739640419</v>
      </c>
    </row>
    <row r="66" spans="1:14">
      <c r="A66" s="24">
        <v>4</v>
      </c>
      <c r="B66" s="15">
        <v>0.15</v>
      </c>
      <c r="C66" s="11">
        <f t="shared" si="22"/>
        <v>282.6472753139717</v>
      </c>
      <c r="D66" s="15">
        <v>0.45</v>
      </c>
      <c r="E66" s="11">
        <f t="shared" si="16"/>
        <v>127.19127389128727</v>
      </c>
      <c r="F66" s="11">
        <f t="shared" si="17"/>
        <v>95.39345541846545</v>
      </c>
      <c r="G66" s="15">
        <v>0.08</v>
      </c>
      <c r="H66" s="11">
        <f t="shared" si="18"/>
        <v>22.611782025117737</v>
      </c>
      <c r="I66" s="15">
        <v>0.17</v>
      </c>
      <c r="J66" s="11">
        <f t="shared" si="19"/>
        <v>48.050036803375193</v>
      </c>
      <c r="K66" s="11">
        <f t="shared" si="23"/>
        <v>5.5300553865777013</v>
      </c>
      <c r="L66" s="11">
        <f t="shared" si="20"/>
        <v>64.425145253630291</v>
      </c>
      <c r="M66" s="23">
        <f>1/(1+$B$60)^4</f>
        <v>0.71364860065600999</v>
      </c>
      <c r="N66" s="11">
        <f t="shared" si="21"/>
        <v>45.976914757313438</v>
      </c>
    </row>
    <row r="67" spans="1:14">
      <c r="A67" s="24">
        <v>5</v>
      </c>
      <c r="B67" s="15">
        <v>0.1</v>
      </c>
      <c r="C67" s="11">
        <f t="shared" si="22"/>
        <v>310.91200284536887</v>
      </c>
      <c r="D67" s="15">
        <v>0.42</v>
      </c>
      <c r="E67" s="11">
        <f t="shared" si="16"/>
        <v>130.58304119505493</v>
      </c>
      <c r="F67" s="11">
        <f t="shared" si="17"/>
        <v>97.937280896291199</v>
      </c>
      <c r="G67" s="15">
        <v>0.08</v>
      </c>
      <c r="H67" s="11">
        <f t="shared" si="18"/>
        <v>24.872960227629509</v>
      </c>
      <c r="I67" s="15">
        <v>0.17</v>
      </c>
      <c r="J67" s="11">
        <f t="shared" si="19"/>
        <v>52.855040483712713</v>
      </c>
      <c r="K67" s="11">
        <f t="shared" si="23"/>
        <v>4.239709129709575</v>
      </c>
      <c r="L67" s="11">
        <f t="shared" si="20"/>
        <v>65.71549151049841</v>
      </c>
      <c r="M67" s="23">
        <f>1/(1+$B$60)^5</f>
        <v>0.65592702266177383</v>
      </c>
      <c r="N67" s="11">
        <f t="shared" si="21"/>
        <v>43.104566689236293</v>
      </c>
    </row>
    <row r="68" spans="1:14">
      <c r="A68" s="24">
        <v>6</v>
      </c>
      <c r="B68" s="15">
        <v>0.08</v>
      </c>
      <c r="C68" s="11">
        <f t="shared" si="22"/>
        <v>335.78496307299838</v>
      </c>
      <c r="D68" s="15">
        <v>0.4</v>
      </c>
      <c r="E68" s="11">
        <f t="shared" si="16"/>
        <v>134.31398522919935</v>
      </c>
      <c r="F68" s="11">
        <f t="shared" si="17"/>
        <v>100.7354889218995</v>
      </c>
      <c r="G68" s="15">
        <v>0.08</v>
      </c>
      <c r="H68" s="11">
        <f t="shared" si="18"/>
        <v>26.862797045839869</v>
      </c>
      <c r="I68" s="15">
        <v>0.17</v>
      </c>
      <c r="J68" s="11">
        <f t="shared" si="19"/>
        <v>57.083443722409726</v>
      </c>
      <c r="K68" s="11">
        <f t="shared" si="23"/>
        <v>3.7309440341444255</v>
      </c>
      <c r="L68" s="11">
        <f t="shared" si="20"/>
        <v>66.783898211185218</v>
      </c>
      <c r="M68" s="23">
        <f>1/(1+$B$60)^6</f>
        <v>0.60287410171118916</v>
      </c>
      <c r="N68" s="11">
        <f t="shared" si="21"/>
        <v>40.262282642839779</v>
      </c>
    </row>
    <row r="69" spans="1:14">
      <c r="A69" s="24">
        <v>7</v>
      </c>
      <c r="B69" s="15">
        <v>0.06</v>
      </c>
      <c r="C69" s="11">
        <f t="shared" si="22"/>
        <v>355.9320608573783</v>
      </c>
      <c r="D69" s="15">
        <v>0.38</v>
      </c>
      <c r="E69" s="11">
        <f t="shared" si="16"/>
        <v>135.25418312580376</v>
      </c>
      <c r="F69" s="11">
        <f t="shared" si="17"/>
        <v>101.44063734435282</v>
      </c>
      <c r="G69" s="15">
        <v>0.08</v>
      </c>
      <c r="H69" s="11">
        <f t="shared" si="18"/>
        <v>28.474564868590264</v>
      </c>
      <c r="I69" s="15">
        <v>0.17</v>
      </c>
      <c r="J69" s="11">
        <f t="shared" si="19"/>
        <v>60.508450345754319</v>
      </c>
      <c r="K69" s="11">
        <f t="shared" si="23"/>
        <v>3.0220646676569882</v>
      </c>
      <c r="L69" s="11">
        <f t="shared" si="20"/>
        <v>66.384687199531783</v>
      </c>
      <c r="M69" s="23">
        <f>1/(1+$B$60)^7</f>
        <v>0.55411222583748998</v>
      </c>
      <c r="N69" s="11">
        <f t="shared" si="21"/>
        <v>36.784566785658086</v>
      </c>
    </row>
    <row r="70" spans="1:14">
      <c r="A70" s="24">
        <v>8</v>
      </c>
      <c r="B70" s="15">
        <v>0.04</v>
      </c>
      <c r="C70" s="11">
        <f t="shared" si="22"/>
        <v>370.16934329167344</v>
      </c>
      <c r="D70" s="15">
        <v>0.36</v>
      </c>
      <c r="E70" s="11">
        <f t="shared" si="16"/>
        <v>133.26096358500243</v>
      </c>
      <c r="F70" s="11">
        <f t="shared" si="17"/>
        <v>99.945722688751829</v>
      </c>
      <c r="G70" s="15">
        <v>0.08</v>
      </c>
      <c r="H70" s="11">
        <f t="shared" si="18"/>
        <v>29.613547463333877</v>
      </c>
      <c r="I70" s="15">
        <v>0.17</v>
      </c>
      <c r="J70" s="11">
        <f t="shared" si="19"/>
        <v>62.928788359584487</v>
      </c>
      <c r="K70" s="11">
        <f t="shared" si="23"/>
        <v>2.1355923651442708</v>
      </c>
      <c r="L70" s="11">
        <f t="shared" si="20"/>
        <v>64.494889427356938</v>
      </c>
      <c r="M70" s="23">
        <f>1/(1+$B$60)^8</f>
        <v>0.50929432521828111</v>
      </c>
      <c r="N70" s="11">
        <f t="shared" si="21"/>
        <v>32.846881190933402</v>
      </c>
    </row>
    <row r="71" spans="1:14">
      <c r="A71" s="24">
        <v>9</v>
      </c>
      <c r="B71" s="15">
        <v>0.03</v>
      </c>
      <c r="C71" s="11">
        <f t="shared" si="22"/>
        <v>381.27442359042368</v>
      </c>
      <c r="D71" s="15">
        <v>0.35</v>
      </c>
      <c r="E71" s="11">
        <f t="shared" si="16"/>
        <v>133.44604825664828</v>
      </c>
      <c r="F71" s="11">
        <f t="shared" si="17"/>
        <v>100.08453619248621</v>
      </c>
      <c r="G71" s="15">
        <v>0.08</v>
      </c>
      <c r="H71" s="11">
        <f t="shared" si="18"/>
        <v>30.501953887233896</v>
      </c>
      <c r="I71" s="15">
        <v>0.17</v>
      </c>
      <c r="J71" s="11">
        <f t="shared" si="19"/>
        <v>64.816652010372025</v>
      </c>
      <c r="K71" s="11">
        <f t="shared" si="23"/>
        <v>1.6657620448125356</v>
      </c>
      <c r="L71" s="11">
        <f t="shared" si="20"/>
        <v>64.104076024535544</v>
      </c>
      <c r="M71" s="23">
        <f>1/(1+$B$60)^9</f>
        <v>0.46810140185503785</v>
      </c>
      <c r="N71" s="11">
        <f t="shared" si="21"/>
        <v>30.007207851707008</v>
      </c>
    </row>
    <row r="72" spans="1:14">
      <c r="A72" s="24">
        <v>10</v>
      </c>
      <c r="B72" s="15">
        <v>0.03</v>
      </c>
      <c r="C72" s="11">
        <f t="shared" si="22"/>
        <v>392.71265629813638</v>
      </c>
      <c r="D72" s="15">
        <v>0.35</v>
      </c>
      <c r="E72" s="11">
        <f t="shared" si="16"/>
        <v>137.44942970434772</v>
      </c>
      <c r="F72" s="11">
        <f t="shared" si="17"/>
        <v>103.08707227826079</v>
      </c>
      <c r="G72" s="15">
        <v>0.08</v>
      </c>
      <c r="H72" s="11">
        <f t="shared" si="18"/>
        <v>31.417012503850913</v>
      </c>
      <c r="I72" s="15">
        <v>0.17</v>
      </c>
      <c r="J72" s="11">
        <f t="shared" si="19"/>
        <v>66.761151570683182</v>
      </c>
      <c r="K72" s="11">
        <f t="shared" si="23"/>
        <v>1.7157349061569049</v>
      </c>
      <c r="L72" s="11">
        <f t="shared" si="20"/>
        <v>66.027198305271611</v>
      </c>
      <c r="M72" s="23">
        <f>1/(1+$B$60)^10</f>
        <v>0.43024025905793917</v>
      </c>
      <c r="N72" s="11">
        <f t="shared" si="21"/>
        <v>28.407558903729981</v>
      </c>
    </row>
    <row r="73" spans="1:14">
      <c r="A73" s="18" t="s">
        <v>183</v>
      </c>
      <c r="B73" s="11">
        <f>L72*(1+$D$60)/($B$60-$D$60)</f>
        <v>1216.7869401971484</v>
      </c>
    </row>
    <row r="74" spans="1:14">
      <c r="A74" s="6" t="s">
        <v>184</v>
      </c>
      <c r="B74" s="11">
        <f>B73/(1+$B$60)^10</f>
        <v>523.51072836873823</v>
      </c>
    </row>
    <row r="75" spans="1:14">
      <c r="A75" s="18" t="s">
        <v>185</v>
      </c>
      <c r="B75" s="11">
        <f>SUM(N63:N72)+B74</f>
        <v>1028.1162032809111</v>
      </c>
    </row>
    <row r="76" spans="1:14">
      <c r="A76" s="6" t="s">
        <v>186</v>
      </c>
      <c r="B76" s="11">
        <f>$B$8</f>
        <v>-73.783000000000001</v>
      </c>
    </row>
    <row r="77" spans="1:14">
      <c r="A77" s="18" t="s">
        <v>187</v>
      </c>
      <c r="B77" s="11">
        <f>B75-B76</f>
        <v>1101.899203280911</v>
      </c>
    </row>
    <row r="78" spans="1:14">
      <c r="A78" s="18" t="s">
        <v>188</v>
      </c>
      <c r="B78" s="7">
        <f>B77/$B$10</f>
        <v>1508.4178005214387</v>
      </c>
      <c r="C78" s="6" t="s">
        <v>193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194</v>
      </c>
    </row>
    <row r="2" spans="1:7" ht="15.6">
      <c r="A2" s="27" t="s">
        <v>195</v>
      </c>
      <c r="B2" s="28"/>
      <c r="C2" s="28"/>
      <c r="D2" s="28"/>
      <c r="E2" s="28"/>
      <c r="F2" s="28"/>
      <c r="G2" s="28"/>
    </row>
    <row r="4" spans="1:7">
      <c r="A4" s="5" t="s">
        <v>170</v>
      </c>
      <c r="B4" s="5" t="s">
        <v>188</v>
      </c>
    </row>
    <row r="5" spans="1:7">
      <c r="A5" s="15">
        <v>7.9000000000000001E-2</v>
      </c>
      <c r="B5" s="25">
        <v>1229</v>
      </c>
    </row>
    <row r="6" spans="1:7">
      <c r="A6" s="15">
        <v>8.2000000000000003E-2</v>
      </c>
      <c r="B6" s="25">
        <v>1172</v>
      </c>
    </row>
    <row r="7" spans="1:7">
      <c r="A7" s="15">
        <v>8.5000000000000006E-2</v>
      </c>
      <c r="B7" s="25">
        <v>1122</v>
      </c>
    </row>
    <row r="8" spans="1:7">
      <c r="A8" s="15">
        <v>0.09</v>
      </c>
      <c r="B8" s="25">
        <v>1048</v>
      </c>
    </row>
    <row r="9" spans="1:7">
      <c r="A9" s="15">
        <v>9.5000000000000001E-2</v>
      </c>
      <c r="B9" s="25">
        <v>985</v>
      </c>
    </row>
    <row r="10" spans="1:7">
      <c r="A10" s="15">
        <v>0.1</v>
      </c>
      <c r="B10" s="25">
        <v>932</v>
      </c>
    </row>
    <row r="11" spans="1:7">
      <c r="A11" s="15">
        <v>0.105</v>
      </c>
      <c r="B11" s="25">
        <v>885</v>
      </c>
    </row>
    <row r="12" spans="1:7">
      <c r="A12" s="15">
        <v>0.11</v>
      </c>
      <c r="B12" s="25">
        <v>844</v>
      </c>
    </row>
    <row r="14" spans="1:7">
      <c r="A14" s="5" t="s">
        <v>196</v>
      </c>
      <c r="B14" s="5" t="s">
        <v>188</v>
      </c>
    </row>
    <row r="15" spans="1:7">
      <c r="A15" s="15">
        <v>0.15</v>
      </c>
      <c r="B15" s="25">
        <v>1066</v>
      </c>
    </row>
    <row r="16" spans="1:7">
      <c r="A16" s="15">
        <v>0.16</v>
      </c>
      <c r="B16" s="25">
        <v>1039</v>
      </c>
    </row>
    <row r="17" spans="1:3">
      <c r="A17" s="15">
        <v>0.17</v>
      </c>
      <c r="B17" s="25">
        <v>1012</v>
      </c>
    </row>
    <row r="18" spans="1:3">
      <c r="A18" s="15">
        <v>0.18</v>
      </c>
      <c r="B18" s="25">
        <v>985</v>
      </c>
    </row>
    <row r="19" spans="1:3">
      <c r="A19" s="15">
        <v>0.19</v>
      </c>
      <c r="B19" s="25">
        <v>959</v>
      </c>
    </row>
    <row r="20" spans="1:3">
      <c r="A20" s="15">
        <v>0.2</v>
      </c>
      <c r="B20" s="25">
        <v>932</v>
      </c>
    </row>
    <row r="23" spans="1:3">
      <c r="A23" s="5" t="s">
        <v>197</v>
      </c>
      <c r="B23" s="5" t="s">
        <v>188</v>
      </c>
    </row>
    <row r="24" spans="1:3">
      <c r="A24" s="15">
        <v>0.28999999999999998</v>
      </c>
      <c r="B24" s="25">
        <v>865</v>
      </c>
    </row>
    <row r="25" spans="1:3">
      <c r="A25" s="15">
        <v>0.31</v>
      </c>
      <c r="B25" s="25">
        <v>905</v>
      </c>
    </row>
    <row r="26" spans="1:3">
      <c r="A26" s="15">
        <v>0.33</v>
      </c>
      <c r="B26" s="25">
        <v>945</v>
      </c>
    </row>
    <row r="27" spans="1:3">
      <c r="A27" s="15">
        <v>0.35</v>
      </c>
      <c r="B27" s="25">
        <v>985</v>
      </c>
    </row>
    <row r="28" spans="1:3">
      <c r="A28" s="15">
        <v>0.37</v>
      </c>
      <c r="B28" s="25">
        <v>1026</v>
      </c>
    </row>
    <row r="29" spans="1:3">
      <c r="A29" s="15">
        <v>0.39</v>
      </c>
      <c r="B29" s="25">
        <v>1066</v>
      </c>
    </row>
    <row r="30" spans="1:3">
      <c r="A30" s="15">
        <v>0.41</v>
      </c>
      <c r="B30" s="25">
        <v>1106</v>
      </c>
    </row>
    <row r="32" spans="1:3" ht="16.2">
      <c r="A32" s="3" t="s">
        <v>198</v>
      </c>
      <c r="B32" s="4"/>
      <c r="C32" s="4"/>
    </row>
    <row r="33" spans="1:7">
      <c r="A33" s="6" t="s">
        <v>199</v>
      </c>
      <c r="B33" s="15">
        <v>6.6036323067328317E-2</v>
      </c>
    </row>
    <row r="34" spans="1:7">
      <c r="A34" s="6" t="s">
        <v>200</v>
      </c>
      <c r="B34" s="15">
        <v>3.6461775216237953E-2</v>
      </c>
    </row>
    <row r="36" spans="1:7" ht="16.2">
      <c r="A36" s="3" t="s">
        <v>201</v>
      </c>
      <c r="B36" s="4"/>
      <c r="C36" s="4"/>
      <c r="D36" s="4"/>
      <c r="E36" s="4"/>
      <c r="F36" s="4"/>
      <c r="G36" s="4"/>
    </row>
    <row r="37" spans="1:7">
      <c r="A37" s="5" t="s">
        <v>202</v>
      </c>
      <c r="B37" s="5" t="s">
        <v>188</v>
      </c>
      <c r="C37" s="5" t="s">
        <v>203</v>
      </c>
      <c r="D37" s="5" t="s">
        <v>204</v>
      </c>
    </row>
    <row r="38" spans="1:7">
      <c r="A38" s="6" t="s">
        <v>205</v>
      </c>
      <c r="B38" s="26" t="s">
        <v>206</v>
      </c>
      <c r="C38" s="26" t="s">
        <v>207</v>
      </c>
      <c r="D38" s="26" t="s">
        <v>208</v>
      </c>
    </row>
    <row r="39" spans="1:7">
      <c r="A39" s="6" t="s">
        <v>209</v>
      </c>
      <c r="B39" s="26" t="s">
        <v>210</v>
      </c>
      <c r="C39" s="26" t="s">
        <v>211</v>
      </c>
      <c r="D39" s="26" t="s">
        <v>212</v>
      </c>
    </row>
    <row r="40" spans="1:7">
      <c r="A40" s="6" t="s">
        <v>213</v>
      </c>
      <c r="B40" s="26" t="s">
        <v>58</v>
      </c>
      <c r="C40" s="26" t="s">
        <v>214</v>
      </c>
      <c r="D40" s="26" t="s">
        <v>215</v>
      </c>
    </row>
    <row r="41" spans="1:7">
      <c r="A41" s="6" t="s">
        <v>216</v>
      </c>
      <c r="B41" s="26" t="s">
        <v>58</v>
      </c>
      <c r="C41" s="26" t="s">
        <v>217</v>
      </c>
      <c r="D41" s="26" t="s">
        <v>218</v>
      </c>
    </row>
    <row r="42" spans="1:7" ht="40.049999999999997" customHeight="1">
      <c r="A42" s="32" t="s">
        <v>219</v>
      </c>
      <c r="B42" s="28"/>
      <c r="C42" s="28"/>
      <c r="D42" s="28"/>
      <c r="E42" s="28"/>
      <c r="F42" s="28"/>
      <c r="G42" s="28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3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220</v>
      </c>
    </row>
    <row r="2" spans="1:4" ht="15.6">
      <c r="A2" s="27" t="s">
        <v>221</v>
      </c>
      <c r="B2" s="28"/>
      <c r="C2" s="28"/>
      <c r="D2" s="28"/>
    </row>
    <row r="4" spans="1:4">
      <c r="A4" s="5" t="s">
        <v>222</v>
      </c>
      <c r="B4" s="5" t="s">
        <v>223</v>
      </c>
      <c r="C4" s="5" t="s">
        <v>224</v>
      </c>
      <c r="D4" s="5" t="s">
        <v>225</v>
      </c>
    </row>
    <row r="5" spans="1:4">
      <c r="A5" s="6" t="s">
        <v>226</v>
      </c>
      <c r="B5" s="6" t="s">
        <v>227</v>
      </c>
      <c r="C5" s="22" t="s">
        <v>228</v>
      </c>
      <c r="D5" s="8" t="s">
        <v>229</v>
      </c>
    </row>
    <row r="6" spans="1:4">
      <c r="A6" s="6" t="s">
        <v>230</v>
      </c>
      <c r="B6" s="6" t="s">
        <v>231</v>
      </c>
      <c r="C6" s="22" t="s">
        <v>228</v>
      </c>
      <c r="D6" s="8" t="s">
        <v>232</v>
      </c>
    </row>
    <row r="7" spans="1:4">
      <c r="A7" s="6" t="s">
        <v>233</v>
      </c>
      <c r="B7" s="6" t="s">
        <v>234</v>
      </c>
      <c r="C7" s="22" t="s">
        <v>235</v>
      </c>
      <c r="D7" s="8" t="s">
        <v>236</v>
      </c>
    </row>
    <row r="8" spans="1:4">
      <c r="A8" s="6" t="s">
        <v>237</v>
      </c>
      <c r="B8" s="6" t="s">
        <v>238</v>
      </c>
      <c r="C8" s="22" t="s">
        <v>228</v>
      </c>
      <c r="D8" s="8" t="s">
        <v>239</v>
      </c>
    </row>
    <row r="9" spans="1:4">
      <c r="A9" s="6" t="s">
        <v>240</v>
      </c>
      <c r="B9" s="6" t="s">
        <v>241</v>
      </c>
      <c r="C9" s="22" t="s">
        <v>228</v>
      </c>
      <c r="D9" s="8" t="s">
        <v>242</v>
      </c>
    </row>
    <row r="10" spans="1:4">
      <c r="A10" s="6" t="s">
        <v>243</v>
      </c>
      <c r="B10" s="6" t="s">
        <v>244</v>
      </c>
      <c r="C10" s="22" t="s">
        <v>245</v>
      </c>
      <c r="D10" s="8" t="s">
        <v>246</v>
      </c>
    </row>
    <row r="13" spans="1:4" ht="15">
      <c r="A13" s="31" t="s">
        <v>247</v>
      </c>
      <c r="B13" s="28"/>
      <c r="C13" s="28"/>
      <c r="D13" s="28"/>
    </row>
  </sheetData>
  <mergeCells count="2">
    <mergeCell ref="A13:D13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2026-10-29T09:03:28Z</dcterms:created>
  <dcterms:modified xsi:type="dcterms:W3CDTF">2026-10-29T10:34:09Z</dcterms:modified>
</cp:coreProperties>
</file>