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MA-2026-10-29\"/>
    </mc:Choice>
  </mc:AlternateContent>
  <xr:revisionPtr revIDLastSave="0" documentId="13_ncr:1_{38A9AD6F-2D5F-46AB-8925-1125CB382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分部!$A$1:$F$29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J40" i="5"/>
  <c r="C41" i="5"/>
  <c r="K40" i="5"/>
  <c r="H40" i="5"/>
  <c r="E40" i="5"/>
  <c r="F40" i="5" s="1"/>
  <c r="J17" i="5"/>
  <c r="C18" i="5"/>
  <c r="H17" i="5"/>
  <c r="K17" i="5"/>
  <c r="E17" i="5"/>
  <c r="F17" i="5" s="1"/>
  <c r="B25" i="1"/>
  <c r="B14" i="1"/>
  <c r="L40" i="5" l="1"/>
  <c r="N40" i="5" s="1"/>
  <c r="L17" i="5"/>
  <c r="N17" i="5" s="1"/>
  <c r="E64" i="5"/>
  <c r="F64" i="5" s="1"/>
  <c r="H64" i="5"/>
  <c r="K64" i="5"/>
  <c r="C65" i="5"/>
  <c r="J64" i="5"/>
  <c r="J41" i="5"/>
  <c r="E41" i="5"/>
  <c r="F41" i="5" s="1"/>
  <c r="H41" i="5"/>
  <c r="K41" i="5"/>
  <c r="C42" i="5"/>
  <c r="H18" i="5"/>
  <c r="J18" i="5"/>
  <c r="E18" i="5"/>
  <c r="F18" i="5" s="1"/>
  <c r="C19" i="5"/>
  <c r="K18" i="5"/>
  <c r="B22" i="1"/>
  <c r="B26" i="1"/>
  <c r="L63" i="5"/>
  <c r="N63" i="5" s="1"/>
  <c r="L18" i="5" l="1"/>
  <c r="N18" i="5" s="1"/>
  <c r="L64" i="5"/>
  <c r="N64" i="5" s="1"/>
  <c r="E65" i="5"/>
  <c r="F65" i="5" s="1"/>
  <c r="H65" i="5"/>
  <c r="J65" i="5"/>
  <c r="K65" i="5"/>
  <c r="C66" i="5"/>
  <c r="E42" i="5"/>
  <c r="F42" i="5" s="1"/>
  <c r="J42" i="5"/>
  <c r="K42" i="5"/>
  <c r="H42" i="5"/>
  <c r="C43" i="5"/>
  <c r="H19" i="5"/>
  <c r="J19" i="5"/>
  <c r="K19" i="5"/>
  <c r="C20" i="5"/>
  <c r="E19" i="5"/>
  <c r="F19" i="5" s="1"/>
  <c r="L19" i="5" s="1"/>
  <c r="N19" i="5" s="1"/>
  <c r="L41" i="5"/>
  <c r="N41" i="5" s="1"/>
  <c r="L65" i="5" l="1"/>
  <c r="N65" i="5" s="1"/>
  <c r="E66" i="5"/>
  <c r="F66" i="5" s="1"/>
  <c r="H66" i="5"/>
  <c r="J66" i="5"/>
  <c r="K66" i="5"/>
  <c r="C67" i="5"/>
  <c r="E43" i="5"/>
  <c r="F43" i="5" s="1"/>
  <c r="H43" i="5"/>
  <c r="J43" i="5"/>
  <c r="K43" i="5"/>
  <c r="C44" i="5"/>
  <c r="J20" i="5"/>
  <c r="C21" i="5"/>
  <c r="E20" i="5"/>
  <c r="F20" i="5" s="1"/>
  <c r="H20" i="5"/>
  <c r="K20" i="5"/>
  <c r="L42" i="5"/>
  <c r="N42" i="5" s="1"/>
  <c r="E67" i="5" l="1"/>
  <c r="F67" i="5" s="1"/>
  <c r="H67" i="5"/>
  <c r="J67" i="5"/>
  <c r="K67" i="5"/>
  <c r="C68" i="5"/>
  <c r="E44" i="5"/>
  <c r="F44" i="5" s="1"/>
  <c r="H44" i="5"/>
  <c r="J44" i="5"/>
  <c r="K44" i="5"/>
  <c r="C45" i="5"/>
  <c r="E21" i="5"/>
  <c r="F21" i="5" s="1"/>
  <c r="H21" i="5"/>
  <c r="J21" i="5"/>
  <c r="K21" i="5"/>
  <c r="C22" i="5"/>
  <c r="L66" i="5"/>
  <c r="N66" i="5" s="1"/>
  <c r="L43" i="5"/>
  <c r="N43" i="5" s="1"/>
  <c r="L20" i="5"/>
  <c r="N20" i="5" s="1"/>
  <c r="L44" i="5" l="1"/>
  <c r="N44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67" i="5"/>
  <c r="N67" i="5" s="1"/>
  <c r="L21" i="5"/>
  <c r="N21" i="5" s="1"/>
  <c r="L68" i="5" l="1"/>
  <c r="N68" i="5" s="1"/>
  <c r="E69" i="5"/>
  <c r="F69" i="5" s="1"/>
  <c r="H69" i="5"/>
  <c r="J69" i="5"/>
  <c r="K69" i="5"/>
  <c r="C70" i="5"/>
  <c r="E46" i="5"/>
  <c r="F46" i="5" s="1"/>
  <c r="H46" i="5"/>
  <c r="J46" i="5"/>
  <c r="K46" i="5"/>
  <c r="C47" i="5"/>
  <c r="E23" i="5"/>
  <c r="F23" i="5" s="1"/>
  <c r="H23" i="5"/>
  <c r="J23" i="5"/>
  <c r="K23" i="5"/>
  <c r="C24" i="5"/>
  <c r="L45" i="5"/>
  <c r="N45" i="5" s="1"/>
  <c r="L22" i="5"/>
  <c r="N22" i="5" s="1"/>
  <c r="E70" i="5" l="1"/>
  <c r="F70" i="5" s="1"/>
  <c r="K70" i="5"/>
  <c r="C71" i="5"/>
  <c r="H70" i="5"/>
  <c r="J70" i="5"/>
  <c r="E47" i="5"/>
  <c r="F47" i="5" s="1"/>
  <c r="H47" i="5"/>
  <c r="J47" i="5"/>
  <c r="K47" i="5"/>
  <c r="C48" i="5"/>
  <c r="H24" i="5"/>
  <c r="J24" i="5"/>
  <c r="K24" i="5"/>
  <c r="C25" i="5"/>
  <c r="E24" i="5"/>
  <c r="F24" i="5" s="1"/>
  <c r="L24" i="5" s="1"/>
  <c r="N24" i="5" s="1"/>
  <c r="L23" i="5"/>
  <c r="N23" i="5" s="1"/>
  <c r="L69" i="5"/>
  <c r="N69" i="5" s="1"/>
  <c r="L46" i="5"/>
  <c r="N46" i="5" s="1"/>
  <c r="L70" i="5" l="1"/>
  <c r="N70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E25" i="5"/>
  <c r="F25" i="5" s="1"/>
  <c r="H25" i="5"/>
  <c r="J25" i="5"/>
  <c r="K25" i="5"/>
  <c r="C26" i="5"/>
  <c r="L47" i="5"/>
  <c r="N47" i="5" s="1"/>
  <c r="L48" i="5" l="1"/>
  <c r="N48" i="5" s="1"/>
  <c r="E72" i="5"/>
  <c r="F72" i="5" s="1"/>
  <c r="H72" i="5"/>
  <c r="J72" i="5"/>
  <c r="K72" i="5"/>
  <c r="E49" i="5"/>
  <c r="F49" i="5" s="1"/>
  <c r="H49" i="5"/>
  <c r="J49" i="5"/>
  <c r="K49" i="5"/>
  <c r="E26" i="5"/>
  <c r="F26" i="5" s="1"/>
  <c r="H26" i="5"/>
  <c r="J26" i="5"/>
  <c r="K26" i="5"/>
  <c r="L71" i="5"/>
  <c r="N71" i="5" s="1"/>
  <c r="L25" i="5"/>
  <c r="N25" i="5" s="1"/>
  <c r="L26" i="5" l="1"/>
  <c r="L72" i="5"/>
  <c r="L49" i="5"/>
  <c r="B27" i="5" l="1"/>
  <c r="B28" i="5" s="1"/>
  <c r="B29" i="5" s="1"/>
  <c r="B31" i="5" s="1"/>
  <c r="B32" i="5" s="1"/>
  <c r="N26" i="5"/>
  <c r="B73" i="5"/>
  <c r="B74" i="5" s="1"/>
  <c r="B75" i="5" s="1"/>
  <c r="B77" i="5" s="1"/>
  <c r="B78" i="5" s="1"/>
  <c r="N72" i="5"/>
  <c r="B50" i="5"/>
  <c r="B51" i="5" s="1"/>
  <c r="B52" i="5" s="1"/>
  <c r="B54" i="5" s="1"/>
  <c r="B55" i="5" s="1"/>
  <c r="N49" i="5"/>
</calcChain>
</file>

<file path=xl/sharedStrings.xml><?xml version="1.0" encoding="utf-8"?>
<sst xmlns="http://schemas.openxmlformats.org/spreadsheetml/2006/main" count="322" uniqueCount="243">
  <si>
    <t>万事达卡（MA）巴菲特框架估值</t>
  </si>
  <si>
    <t>研究日 2026-10-29｜收盘价 $610.31｜最新财报：2026 Q2（2026-06-30）</t>
  </si>
  <si>
    <t>市值按 0.8830B 股计算；净负债 = 债务 + 融资租赁 − 现金及有价证券。数据边界见报告第 1 节。</t>
  </si>
  <si>
    <t>一句话结论</t>
  </si>
  <si>
    <t>极好的生意，网络效应与规模优势清晰；现价略低于基准价值，估值合理，但安全边际不足。结论：观察，等更大折扣。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</si>
  <si>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</si>
  <si>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</si>
  <si>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</si>
  <si>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</si>
  <si>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</si>
  <si>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</si>
  <si>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</si>
  <si>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</si>
  <si>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</si>
  <si>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</si>
  <si>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</si>
  <si>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</si>
  <si>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</si>
  <si>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</si>
  <si>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</si>
  <si>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</si>
  <si>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</si>
  <si>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</si>
  <si>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</si>
  <si>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(1−20%)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</si>
  <si>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</si>
  <si>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</si>
  <si>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</si>
  <si>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</si>
  <si>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</si>
  <si>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稀释口径；GAAP；TTM 至 2026-06-30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</si>
  <si>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</si>
  <si>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</si>
  <si>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</si>
  <si>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</si>
  <si>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</si>
  <si>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</si>
  <si>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</si>
  <si>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</si>
  <si>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</si>
  <si>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</si>
  <si>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</si>
  <si>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</si>
  <si>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</si>
  <si>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</si>
  <si>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</si>
  <si>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</si>
  <si>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</si>
  <si>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</si>
  <si>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</si>
  <si>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</si>
  <si>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</si>
  <si>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</si>
  <si>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</si>
  <si>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</si>
  <si>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</si>
  <si>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</si>
  <si>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</si>
  <si>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</si>
  <si>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</si>
  <si>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$666，现价 $610.31；现价低于基准 8.4%。</t>
  </si>
  <si>
    <t>• 悲观 $333；基准 $666；乐观 $919；概率加权约 $617（30%/50%/20%）。</t>
  </si>
  <si>
    <t>• 反推：现价隐含未来 10 年收入 CAGR 约 7.6%，基准情景约 8.4%。</t>
  </si>
  <si>
    <t>• 若要求 20% 安全边际，观察价约 $533（基准价值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</si>
  <si>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</si>
  <si>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</si>
  <si>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万事达卡五年财务与现金流（十亿美元，除每股数据）</t>
  </si>
  <si>
    <t>来源：公司 10-K/10-Q；TTM = 最近四个季度。</t>
  </si>
  <si>
    <t>2021</t>
  </si>
  <si>
    <t>2022</t>
  </si>
  <si>
    <t>2023</t>
  </si>
  <si>
    <t>2024</t>
  </si>
  <si>
    <t>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</si>
  <si>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</si>
  <si>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</si>
  <si>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</si>
  <si>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</si>
  <si>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</si>
  <si>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</si>
  <si>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</si>
  <si>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</si>
  <si>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</si>
  <si>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</si>
  <si>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</si>
  <si>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</si>
  <si>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</si>
  <si>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</si>
  <si>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</si>
  <si>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</si>
  <si>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</si>
  <si>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</si>
  <si>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</si>
  <si>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</si>
  <si>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2021–2025 收入从 18.9B 增至 32.8B，CAGR 约 14.8%；TTM 35.1B，增速约 7%。</t>
  </si>
  <si>
    <t>• EPS 从 8.76 增至 18.18，CAGR 约 20%；其中约 3–4 个百分点来自回购（股数 1.00B→0.883B）。</t>
  </si>
  <si>
    <t>• TTM 经营利润率 58.3%，净利率 46.3%；支付网络与 VAS 的增量利润率极高。</t>
  </si>
  <si>
    <t>• TTM FCF 16.6B，capex 1.46B（含 capitalized software），占收入 4.2%；FCF/NOPAT 约 101%。</t>
  </si>
  <si>
    <t>• 净负债 13.0B；分红 3.04 美元/年，派息率约 17%，多余现金主要用于回购。</t>
  </si>
  <si>
    <t>万事达卡：分部与关键运营数据</t>
  </si>
  <si>
    <t>单位：十亿美元，另有注明除外；同比为公开披露口径。</t>
  </si>
  <si>
    <t>2026 Q2 收入拆分</t>
  </si>
  <si>
    <t>单位：十亿美元；季度截至 2026-06-30。</t>
  </si>
  <si>
    <t>收入类别</t>
  </si>
  <si>
    <t>Q2 2026</t>
  </si>
  <si>
    <t>Q2 2025</t>
  </si>
  <si>
    <t>同比</t>
  </si>
  <si>
    <t>Payment network</t>
  </si>
  <si>
    <t>国内与跨境交易额增长</t>
  </si>
  <si>
    <t>Value-added services &amp; solutions</t>
  </si>
  <si>
    <t>安全、咨询、营销服务</t>
  </si>
  <si>
    <t>Total net revenue</t>
  </si>
  <si>
    <t>固定汇率 +12%</t>
  </si>
  <si>
    <t>2026 Q2 关键运营驱动</t>
  </si>
  <si>
    <t>同比增速，按本地货币口径。</t>
  </si>
  <si>
    <t>指标</t>
  </si>
  <si>
    <t>增速</t>
  </si>
  <si>
    <t>含义</t>
  </si>
  <si>
    <t>Gross dollar volume</t>
  </si>
  <si>
    <t>总交易金额 2.9 万亿美元</t>
  </si>
  <si>
    <t>Cross-border volume</t>
  </si>
  <si>
    <t>跨境旅行与电商</t>
  </si>
  <si>
    <t>Switched transactions</t>
  </si>
  <si>
    <t>交易笔数</t>
  </si>
  <si>
    <t>Value-added services revenue</t>
  </si>
  <si>
    <t>第二增长曲线</t>
  </si>
  <si>
    <t>Payment network revenue</t>
  </si>
  <si>
    <t>核心网络</t>
  </si>
  <si>
    <t>解读</t>
  </si>
  <si>
    <t>• Q2 2026 支付网络收入 5.45B（+10%），VAS 收入 3.83B（+20%），合计 9.28B（+14%）。</t>
  </si>
  <si>
    <t>• GDV +8%、跨境 +12%、切换交易 +9%；VAS 增速最快，是“支付之上的软件”故事。</t>
  </si>
  <si>
    <t>• 支付网络经营利润率约 60%，VAS 约 40%；VAS 占比提升会小幅稀释整体利润率，但拉高增长。</t>
  </si>
  <si>
    <t>• 客户激励与返点持续上升，净收入增速（+14%）低于毛收入增速；需跟踪返点率。</t>
  </si>
  <si>
    <t>• non-GAAP EPS 21.00 美元（2026E）；股本 0.883B，过去五年减少约 12%，回购是 EPS 的第二引擎。</t>
  </si>
  <si>
    <t>• 监管：欧盟 interchange 上限、美国 CCCA、印度路由规则；任何一项落地都会压低速增长。</t>
  </si>
  <si>
    <t>MA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</si>
  <si>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</si>
  <si>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</si>
  <si>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</si>
  <si>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</si>
  <si>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</si>
  <si>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</si>
  <si>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</si>
  <si>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</si>
  <si>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</si>
  <si>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</si>
  <si>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</si>
  <si>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</si>
  <si>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</si>
  <si>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</si>
  <si>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</si>
  <si>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</si>
  <si>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</si>
  <si>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</si>
  <si>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</si>
  <si>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</si>
  <si>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16.37B，D&amp;A 1.21B、SBC 0.65B、capex 1.46B；FCFF 16.59B。</t>
  </si>
  <si>
    <t>• Capex 包含 PP&amp;E 与 capitalized software；若只算 PP&amp;E，capex/收入约 2%，但软件资本化是真实投入。</t>
  </si>
  <si>
    <t>• 营运资金及其他 -0.18B，结算周期稳定；FCF/NOPAT 约 101%。</t>
  </si>
  <si>
    <t>• 回购 4–5B/年，分红 2.7B/年；自由现金流足以同时覆盖两者。</t>
  </si>
  <si>
    <t>三情景 FCFF DCF（未来 12 个月起算，10 年明确预测）</t>
  </si>
  <si>
    <t>单位：十亿美元，除每股数据；第 1 年约为未来四个季度；终值用永续增长。</t>
  </si>
  <si>
    <t>数据边界为 2026 Q2；Q3 财报尚未进入 SEC 文件。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</si>
  <si>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</si>
  <si>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</si>
  <si>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</si>
  <si>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</si>
  <si>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</si>
  <si>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</si>
  <si>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24.643 + 0.000 − 11.609 = 13.034；股权投资仅用于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</si>
  <si>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</si>
  <si>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</si>
  <si>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</si>
  <si>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</si>
  <si>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</si>
  <si>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</si>
  <si>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</si>
  <si>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</si>
  <si>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</si>
  <si>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</si>
  <si>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</si>
  <si>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</si>
  <si>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</si>
  <si>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</si>
  <si>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</si>
  <si>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</si>
  <si>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</si>
  <si>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</si>
  <si>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</si>
  <si>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</si>
  <si>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59%；终值 FCF 22.1B；终值收入 56B</t>
  </si>
  <si>
    <t>基准情景</t>
  </si>
  <si>
    <t>TV 占比 70%；终值 FCF 36.5B；终值收入 79B</t>
  </si>
  <si>
    <t>乐观情景</t>
  </si>
  <si>
    <t>TV 占比 74%；终值 FCF 42.9B；终值收入 90B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</si>
  <si>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</si>
  <si>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</si>
  <si>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</si>
  <si>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</si>
  <si>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</si>
  <si>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$610.31</t>
  </si>
  <si>
    <t>基准情景 10 年 CAGR</t>
  </si>
  <si>
    <t>交叉检查：DCF、P/E、EV/EBIT</t>
  </si>
  <si>
    <t>方法</t>
  </si>
  <si>
    <t>相对现价</t>
  </si>
  <si>
    <t>读数</t>
  </si>
  <si>
    <t>DCF 基准</t>
  </si>
  <si>
    <t>$666</t>
  </si>
  <si>
    <t>现价低 8%</t>
  </si>
  <si>
    <t>合理偏低</t>
  </si>
  <si>
    <t>30x FY2027E EPS 21.0</t>
  </si>
  <si>
    <t>$630</t>
  </si>
  <si>
    <t>现价低 3%</t>
  </si>
  <si>
    <t>与 DCF 接近</t>
  </si>
  <si>
    <t>EV/EBIT 27.0x vs V 27.5x</t>
  </si>
  <si>
    <t>略低</t>
  </si>
  <si>
    <t>相对便宜</t>
  </si>
  <si>
    <t>FCF 收益率 3.08%</t>
  </si>
  <si>
    <t>高于 V</t>
  </si>
  <si>
    <t>现金流更好</t>
  </si>
  <si>
    <t>DCF 666 美元、P/E 630 美元；现价 610 美元有 3–8% 折价，仍不够 20% 安全边际。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</si>
  <si>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</si>
  <si>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</si>
  <si>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</si>
  <si>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</si>
  <si>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</si>
  <si>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</si>
  <si>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Q2 8-K</t>
  </si>
  <si>
    <t>SEC EDGAR</t>
  </si>
  <si>
    <t>2026-07-30</t>
  </si>
  <si>
    <t>Accession 0001141391-26-000081；ma06302026-exx991xearnings.htm</t>
  </si>
  <si>
    <t>2026 Q2 10-Q</t>
  </si>
  <si>
    <t>Accession 0001141391-26-000083；ma-20260630.htm</t>
  </si>
  <si>
    <t>FY2025 10-K / companyfacts</t>
  </si>
  <si>
    <t>2026-02</t>
  </si>
  <si>
    <t>CIK 0001141391</t>
  </si>
  <si>
    <t>股价</t>
  </si>
  <si>
    <t>CNBC quote API</t>
  </si>
  <si>
    <t>2026-10-28</t>
  </si>
  <si>
    <t>收盘 610.31 美元，+0.08%</t>
  </si>
  <si>
    <t>数据边界</t>
  </si>
  <si>
    <t>公司披露</t>
  </si>
  <si>
    <t>Q3 2026 尚未进入 SEC 文件；使用 Q2 TTM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</si>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</sst>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0"/>
    <numFmt numFmtId="178" formatCode="#,##0.0"/>
    <numFmt numFmtId="179" formatCode="0.0&quot;x&quot;"/>
    <numFmt numFmtId="180" formatCode="0.0%"/>
    <numFmt numFmtId="181" formatCode="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MA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2D-4C7B-BFF2-1B26BF69FCBD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2D-4C7B-BFF2-1B26BF69FCBD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2D-4C7B-BFF2-1B26BF69FCBD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F2D-4C7B-BFF2-1B26BF69FC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332.94555419393191</c:v>
                </c:pt>
                <c:pt idx="1">
                  <c:v>666.30711430225301</c:v>
                </c:pt>
                <c:pt idx="2">
                  <c:v>918.96008760808343</c:v>
                </c:pt>
                <c:pt idx="3">
                  <c:v>610.30999999999995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2D-4C7B-BFF2-1B26BF69FC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18.035468639999998</c:v>
                </c:pt>
                <c:pt idx="1">
                  <c:v>20.368291675199998</c:v>
                </c:pt>
                <c:pt idx="2">
                  <c:v>22.597027659360009</c:v>
                </c:pt>
                <c:pt idx="3">
                  <c:v>24.839938578840005</c:v>
                </c:pt>
                <c:pt idx="4">
                  <c:v>26.95133335804141</c:v>
                </c:pt>
                <c:pt idx="5">
                  <c:v>29.107440026684724</c:v>
                </c:pt>
                <c:pt idx="6">
                  <c:v>31.0269990979182</c:v>
                </c:pt>
                <c:pt idx="7">
                  <c:v>33.198889034772471</c:v>
                </c:pt>
                <c:pt idx="8">
                  <c:v>34.891961889581886</c:v>
                </c:pt>
                <c:pt idx="9">
                  <c:v>36.495721979431728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9F-49D2-BA17-C8828C539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.6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0" t="s">
        <v>4</v>
      </c>
      <c r="B6" s="28"/>
      <c r="C6" s="28"/>
      <c r="D6" s="28"/>
      <c r="E6" s="28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610.30999999999995</v>
      </c>
      <c r="C10" s="8" t="s">
        <v>10</v>
      </c>
    </row>
    <row r="11" spans="1:13" ht="22.95" customHeight="1">
      <c r="A11" s="6" t="s">
        <v>11</v>
      </c>
      <c r="B11" s="9">
        <v>0.88300000000000001</v>
      </c>
      <c r="C11" s="8" t="s">
        <v>12</v>
      </c>
    </row>
    <row r="12" spans="1:13" ht="22.95" customHeight="1">
      <c r="A12" s="6" t="s">
        <v>13</v>
      </c>
      <c r="B12" s="10">
        <f>B10*B11</f>
        <v>538.90373</v>
      </c>
      <c r="C12" s="8" t="s">
        <v>14</v>
      </c>
    </row>
    <row r="13" spans="1:13" ht="22.95" customHeight="1">
      <c r="A13" s="6" t="s">
        <v>15</v>
      </c>
      <c r="B13" s="11">
        <v>13.034000000000001</v>
      </c>
      <c r="C13" s="8" t="s">
        <v>16</v>
      </c>
    </row>
    <row r="14" spans="1:13" ht="22.95" customHeight="1">
      <c r="A14" s="6" t="s">
        <v>17</v>
      </c>
      <c r="B14" s="10">
        <f>B12+B13</f>
        <v>551.93772999999999</v>
      </c>
      <c r="C14" s="8" t="s">
        <v>18</v>
      </c>
    </row>
    <row r="15" spans="1:13" ht="22.95" customHeight="1">
      <c r="A15" s="6" t="s">
        <v>19</v>
      </c>
      <c r="B15" s="11">
        <v>35.082999999999998</v>
      </c>
      <c r="C15" s="8" t="s">
        <v>20</v>
      </c>
    </row>
    <row r="16" spans="1:13" ht="22.95" customHeight="1">
      <c r="A16" s="6" t="s">
        <v>21</v>
      </c>
      <c r="B16" s="11">
        <v>20.465</v>
      </c>
      <c r="C16" s="8" t="s">
        <v>22</v>
      </c>
    </row>
    <row r="17" spans="1:5" ht="22.95" customHeight="1">
      <c r="A17" s="6" t="s">
        <v>23</v>
      </c>
      <c r="B17" s="11">
        <v>16.372</v>
      </c>
      <c r="C17" s="8" t="s">
        <v>24</v>
      </c>
    </row>
    <row r="18" spans="1:5" ht="22.95" customHeight="1">
      <c r="A18" s="6" t="s">
        <v>25</v>
      </c>
      <c r="B18" s="11">
        <v>16.594000000000001</v>
      </c>
      <c r="C18" s="8" t="s">
        <v>26</v>
      </c>
    </row>
    <row r="19" spans="1:5" ht="22.95" customHeight="1">
      <c r="A19" s="6" t="s">
        <v>27</v>
      </c>
      <c r="B19" s="11">
        <v>39.299999999999997</v>
      </c>
      <c r="C19" s="8" t="s">
        <v>28</v>
      </c>
    </row>
    <row r="20" spans="1:5" ht="22.95" customHeight="1">
      <c r="A20" s="6" t="s">
        <v>29</v>
      </c>
      <c r="B20" s="12">
        <v>18.18</v>
      </c>
      <c r="C20" s="8" t="s">
        <v>30</v>
      </c>
    </row>
    <row r="21" spans="1:5" ht="22.95" customHeight="1">
      <c r="A21" s="6" t="s">
        <v>31</v>
      </c>
      <c r="B21" s="12">
        <v>21</v>
      </c>
      <c r="C21" s="8" t="s">
        <v>32</v>
      </c>
    </row>
    <row r="22" spans="1:5" ht="22.95" customHeight="1">
      <c r="A22" s="6" t="s">
        <v>33</v>
      </c>
      <c r="B22" s="13">
        <f>B14/B16</f>
        <v>26.969837771805523</v>
      </c>
      <c r="C22" s="8" t="s">
        <v>34</v>
      </c>
    </row>
    <row r="23" spans="1:5" ht="22.95" customHeight="1">
      <c r="A23" s="6" t="s">
        <v>35</v>
      </c>
      <c r="B23" s="13">
        <f>B10/B20</f>
        <v>33.570407040704069</v>
      </c>
      <c r="C23" s="8" t="s">
        <v>36</v>
      </c>
    </row>
    <row r="24" spans="1:5" ht="22.95" customHeight="1">
      <c r="A24" s="6" t="s">
        <v>37</v>
      </c>
      <c r="B24" s="13">
        <f>B10/B21</f>
        <v>29.062380952380948</v>
      </c>
      <c r="C24" s="8" t="s">
        <v>38</v>
      </c>
    </row>
    <row r="25" spans="1:5" ht="22.95" customHeight="1">
      <c r="A25" s="6" t="s">
        <v>39</v>
      </c>
      <c r="B25" s="14">
        <f>B18/B12</f>
        <v>3.0792141668791198E-2</v>
      </c>
      <c r="C25" s="8" t="s">
        <v>40</v>
      </c>
    </row>
    <row r="26" spans="1:5" ht="22.95" customHeight="1">
      <c r="A26" s="6" t="s">
        <v>41</v>
      </c>
      <c r="B26" s="13">
        <f>B14/B18</f>
        <v>33.2612829938532</v>
      </c>
      <c r="C26" s="8" t="s">
        <v>42</v>
      </c>
    </row>
    <row r="27" spans="1:5" ht="22.95" customHeight="1">
      <c r="A27" s="6" t="s">
        <v>43</v>
      </c>
      <c r="B27" s="15">
        <v>4.1672604965367843E-2</v>
      </c>
      <c r="C27" s="8" t="s">
        <v>44</v>
      </c>
    </row>
    <row r="28" spans="1:5" ht="22.95" customHeight="1">
      <c r="A28" s="6" t="s">
        <v>45</v>
      </c>
      <c r="B28" s="16">
        <f>B18/B17</f>
        <v>1.0135597361348645</v>
      </c>
      <c r="C28" s="8" t="s">
        <v>46</v>
      </c>
    </row>
    <row r="29" spans="1:5" ht="22.95" customHeight="1">
      <c r="A29" s="6" t="s">
        <v>47</v>
      </c>
      <c r="B29" s="17">
        <v>4.9810751912962269E-3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332.94555419393191</v>
      </c>
      <c r="C33" s="15">
        <f>B33/$B$10-1</f>
        <v>-0.45446485524744484</v>
      </c>
      <c r="D33" s="15">
        <f>1-$B$10/B33</f>
        <v>-0.83306247016144463</v>
      </c>
      <c r="E33" s="17">
        <v>5.6899999999999999E-2</v>
      </c>
    </row>
    <row r="34" spans="1:5">
      <c r="A34" s="18" t="s">
        <v>55</v>
      </c>
      <c r="B34" s="19">
        <v>666.30711430225301</v>
      </c>
      <c r="C34" s="15">
        <f>B34/$B$10-1</f>
        <v>9.1751920011556631E-2</v>
      </c>
      <c r="D34" s="15">
        <f>1-$B$10/B34</f>
        <v>8.4040997162235676E-2</v>
      </c>
      <c r="E34" s="17">
        <v>7.7700000000000005E-2</v>
      </c>
    </row>
    <row r="35" spans="1:5">
      <c r="A35" s="6" t="s">
        <v>56</v>
      </c>
      <c r="B35" s="7">
        <v>918.96008760808343</v>
      </c>
      <c r="C35" s="15">
        <f>B35/$B$10-1</f>
        <v>0.50572674150527352</v>
      </c>
      <c r="D35" s="15">
        <f>1-$B$10/B35</f>
        <v>0.335868871532227</v>
      </c>
      <c r="E35" s="17">
        <v>8.5999999999999993E-2</v>
      </c>
    </row>
    <row r="36" spans="1:5">
      <c r="A36" s="20" t="s">
        <v>57</v>
      </c>
      <c r="B36" s="21">
        <v>610.30999999999995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9" t="s">
        <v>60</v>
      </c>
      <c r="B39" s="28"/>
      <c r="C39" s="28"/>
      <c r="D39" s="28"/>
      <c r="E39" s="28"/>
    </row>
    <row r="40" spans="1:5" ht="28.05" customHeight="1">
      <c r="A40" s="29" t="s">
        <v>61</v>
      </c>
      <c r="B40" s="28"/>
      <c r="C40" s="28"/>
      <c r="D40" s="28"/>
      <c r="E40" s="28"/>
    </row>
    <row r="41" spans="1:5" ht="28.05" customHeight="1">
      <c r="A41" s="29" t="s">
        <v>62</v>
      </c>
      <c r="B41" s="28"/>
      <c r="C41" s="28"/>
      <c r="D41" s="28"/>
      <c r="E41" s="28"/>
    </row>
    <row r="42" spans="1:5" ht="28.05" customHeight="1">
      <c r="A42" s="29" t="s">
        <v>63</v>
      </c>
      <c r="B42" s="28"/>
      <c r="C42" s="28"/>
      <c r="D42" s="28"/>
      <c r="E42" s="28"/>
    </row>
    <row r="43" spans="1:5" ht="28.05" customHeight="1">
      <c r="A43" s="29" t="s">
        <v>64</v>
      </c>
      <c r="B43" s="28"/>
      <c r="C43" s="28"/>
      <c r="D43" s="28"/>
      <c r="E43" s="28"/>
    </row>
    <row r="44" spans="1:5" ht="28.05" customHeight="1">
      <c r="A44" s="29" t="s">
        <v>65</v>
      </c>
      <c r="B44" s="28"/>
      <c r="C44" s="28"/>
      <c r="D44" s="28"/>
      <c r="E44" s="28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7" t="s">
        <v>67</v>
      </c>
      <c r="B2" s="28"/>
      <c r="C2" s="28"/>
      <c r="D2" s="28"/>
      <c r="E2" s="28"/>
      <c r="F2" s="28"/>
      <c r="G2" s="28"/>
      <c r="H2" s="28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44</v>
      </c>
      <c r="H4" s="5" t="s">
        <v>8</v>
      </c>
    </row>
    <row r="5" spans="1:8">
      <c r="A5" s="6" t="s">
        <v>73</v>
      </c>
      <c r="B5" s="11">
        <v>18.884</v>
      </c>
      <c r="C5" s="11">
        <v>22.236999999999998</v>
      </c>
      <c r="D5" s="11">
        <v>25.097999999999999</v>
      </c>
      <c r="E5" s="11">
        <v>28.167000000000002</v>
      </c>
      <c r="F5" s="11">
        <v>32.790999999999997</v>
      </c>
      <c r="G5" s="11">
        <v>35.082999999999998</v>
      </c>
      <c r="H5" s="8" t="s">
        <v>74</v>
      </c>
    </row>
    <row r="6" spans="1:8">
      <c r="A6" s="6" t="s">
        <v>75</v>
      </c>
      <c r="B6" s="11">
        <v>10.269</v>
      </c>
      <c r="C6" s="11">
        <v>12.263999999999999</v>
      </c>
      <c r="D6" s="11">
        <v>14.007999999999999</v>
      </c>
      <c r="E6" s="11">
        <v>15.582000000000001</v>
      </c>
      <c r="F6" s="11">
        <v>18.896999999999998</v>
      </c>
      <c r="G6" s="11">
        <v>20.465</v>
      </c>
      <c r="H6" s="8" t="s">
        <v>76</v>
      </c>
    </row>
    <row r="7" spans="1:8">
      <c r="A7" s="6" t="s">
        <v>77</v>
      </c>
      <c r="B7" s="11">
        <v>8.6869999999999994</v>
      </c>
      <c r="C7" s="11">
        <v>9.93</v>
      </c>
      <c r="D7" s="11">
        <v>11.195</v>
      </c>
      <c r="E7" s="11">
        <v>12.874000000000001</v>
      </c>
      <c r="F7" s="11">
        <v>14.968</v>
      </c>
      <c r="G7" s="11">
        <v>16.257000000000001</v>
      </c>
      <c r="H7" s="8" t="s">
        <v>76</v>
      </c>
    </row>
    <row r="8" spans="1:8">
      <c r="A8" s="6" t="s">
        <v>78</v>
      </c>
      <c r="B8" s="11">
        <v>9.4629999999999992</v>
      </c>
      <c r="C8" s="11">
        <v>11.195</v>
      </c>
      <c r="D8" s="11">
        <v>11.98</v>
      </c>
      <c r="E8" s="11">
        <v>14.78</v>
      </c>
      <c r="F8" s="11">
        <v>17.648</v>
      </c>
      <c r="G8" s="11">
        <v>18.056000000000001</v>
      </c>
      <c r="H8" s="8" t="s">
        <v>79</v>
      </c>
    </row>
    <row r="9" spans="1:8">
      <c r="A9" s="6" t="s">
        <v>80</v>
      </c>
      <c r="B9" s="11">
        <v>0.86899999999999999</v>
      </c>
      <c r="C9" s="11">
        <v>1.097</v>
      </c>
      <c r="D9" s="11">
        <v>1.0880000000000001</v>
      </c>
      <c r="E9" s="11">
        <v>1.194</v>
      </c>
      <c r="F9" s="11">
        <v>1.2150000000000001</v>
      </c>
      <c r="G9" s="11">
        <v>1.462</v>
      </c>
      <c r="H9" s="8" t="s">
        <v>81</v>
      </c>
    </row>
    <row r="10" spans="1:8">
      <c r="A10" s="6" t="s">
        <v>82</v>
      </c>
      <c r="B10" s="11">
        <v>8.5939999999999994</v>
      </c>
      <c r="C10" s="11">
        <v>10.098000000000001</v>
      </c>
      <c r="D10" s="11">
        <v>10.891999999999999</v>
      </c>
      <c r="E10" s="11">
        <v>13.586</v>
      </c>
      <c r="F10" s="11">
        <v>16.433</v>
      </c>
      <c r="G10" s="11">
        <v>16.594000000000001</v>
      </c>
      <c r="H10" s="8" t="s">
        <v>83</v>
      </c>
    </row>
    <row r="11" spans="1:8">
      <c r="A11" s="6" t="s">
        <v>84</v>
      </c>
      <c r="B11" s="12">
        <v>8.76</v>
      </c>
      <c r="C11" s="12">
        <v>10.220000000000001</v>
      </c>
      <c r="D11" s="12">
        <v>11.83</v>
      </c>
      <c r="E11" s="12">
        <v>13.89</v>
      </c>
      <c r="F11" s="12">
        <v>16.52</v>
      </c>
      <c r="G11" s="12">
        <v>18.18</v>
      </c>
      <c r="H11" s="8" t="s">
        <v>85</v>
      </c>
    </row>
    <row r="12" spans="1:8">
      <c r="A12" s="6" t="s">
        <v>86</v>
      </c>
      <c r="B12" s="23">
        <v>1</v>
      </c>
      <c r="C12" s="23">
        <v>0.99</v>
      </c>
      <c r="D12" s="23">
        <v>0.96</v>
      </c>
      <c r="E12" s="23">
        <v>0.94</v>
      </c>
      <c r="F12" s="23">
        <v>0.90600000000000003</v>
      </c>
      <c r="G12" s="23">
        <v>0.88300000000000001</v>
      </c>
      <c r="H12" s="8" t="s">
        <v>87</v>
      </c>
    </row>
    <row r="14" spans="1:8">
      <c r="A14" s="6" t="s">
        <v>88</v>
      </c>
      <c r="C14" s="15">
        <f>C5/B5-1</f>
        <v>0.17755772082185972</v>
      </c>
      <c r="D14" s="15">
        <f>D5/C5-1</f>
        <v>0.1286594414714215</v>
      </c>
      <c r="E14" s="15">
        <f>E5/D5-1</f>
        <v>0.12228065981353109</v>
      </c>
      <c r="F14" s="15">
        <f>F5/E5-1</f>
        <v>0.16416373770724579</v>
      </c>
      <c r="G14" s="15">
        <f>G5/F5-1</f>
        <v>6.9897227897898873E-2</v>
      </c>
    </row>
    <row r="15" spans="1:8">
      <c r="A15" s="6" t="s">
        <v>89</v>
      </c>
      <c r="B15" s="15">
        <f t="shared" ref="B15:G15" si="0">B6/B5</f>
        <v>0.54379368777801318</v>
      </c>
      <c r="C15" s="15">
        <f t="shared" si="0"/>
        <v>0.55151324369294419</v>
      </c>
      <c r="D15" s="15">
        <f t="shared" si="0"/>
        <v>0.5581321220814407</v>
      </c>
      <c r="E15" s="15">
        <f t="shared" si="0"/>
        <v>0.55320055383959954</v>
      </c>
      <c r="F15" s="15">
        <f t="shared" si="0"/>
        <v>0.5762861760849014</v>
      </c>
      <c r="G15" s="15">
        <f t="shared" si="0"/>
        <v>0.58333095801385293</v>
      </c>
    </row>
    <row r="16" spans="1:8">
      <c r="A16" s="6" t="s">
        <v>90</v>
      </c>
      <c r="B16" s="15">
        <f t="shared" ref="B16:G16" si="1">B7/B5</f>
        <v>0.46001906375767843</v>
      </c>
      <c r="C16" s="15">
        <f t="shared" si="1"/>
        <v>0.44655304222691911</v>
      </c>
      <c r="D16" s="15">
        <f t="shared" si="1"/>
        <v>0.44605147820543473</v>
      </c>
      <c r="E16" s="15">
        <f t="shared" si="1"/>
        <v>0.45705967976710332</v>
      </c>
      <c r="F16" s="15">
        <f t="shared" si="1"/>
        <v>0.45646671342746492</v>
      </c>
      <c r="G16" s="15">
        <f t="shared" si="1"/>
        <v>0.46338682552803356</v>
      </c>
    </row>
    <row r="17" spans="1:8">
      <c r="A17" s="6" t="s">
        <v>91</v>
      </c>
      <c r="B17" s="15">
        <f t="shared" ref="B17:G17" si="2">B10/B5</f>
        <v>0.45509425969074346</v>
      </c>
      <c r="C17" s="15">
        <f t="shared" si="2"/>
        <v>0.4541080181679184</v>
      </c>
      <c r="D17" s="15">
        <f t="shared" si="2"/>
        <v>0.43397880309187981</v>
      </c>
      <c r="E17" s="15">
        <f t="shared" si="2"/>
        <v>0.48233748713032981</v>
      </c>
      <c r="F17" s="15">
        <f t="shared" si="2"/>
        <v>0.50114360647738709</v>
      </c>
      <c r="G17" s="15">
        <f t="shared" si="2"/>
        <v>0.47299261750705474</v>
      </c>
    </row>
    <row r="18" spans="1:8">
      <c r="A18" s="6" t="s">
        <v>43</v>
      </c>
      <c r="B18" s="15">
        <f t="shared" ref="B18:G18" si="3">B9/B5</f>
        <v>4.6017792840499894E-2</v>
      </c>
      <c r="C18" s="15">
        <f t="shared" si="3"/>
        <v>4.9332194090929538E-2</v>
      </c>
      <c r="D18" s="15">
        <f t="shared" si="3"/>
        <v>4.3350067734480843E-2</v>
      </c>
      <c r="E18" s="15">
        <f t="shared" si="3"/>
        <v>4.2390030887208434E-2</v>
      </c>
      <c r="F18" s="15">
        <f t="shared" si="3"/>
        <v>3.7052849867341656E-2</v>
      </c>
      <c r="G18" s="15">
        <f t="shared" si="3"/>
        <v>4.1672604965367843E-2</v>
      </c>
    </row>
    <row r="19" spans="1:8">
      <c r="A19" s="6" t="s">
        <v>45</v>
      </c>
      <c r="B19" s="15">
        <f t="shared" ref="B19:G19" si="4">B10/(B6*(1-0.2))</f>
        <v>1.0461096504041287</v>
      </c>
      <c r="C19" s="15">
        <f t="shared" si="4"/>
        <v>1.0292318982387476</v>
      </c>
      <c r="D19" s="15">
        <f t="shared" si="4"/>
        <v>0.97194460308395192</v>
      </c>
      <c r="E19" s="15">
        <f t="shared" si="4"/>
        <v>1.0898793479656013</v>
      </c>
      <c r="F19" s="15">
        <f t="shared" si="4"/>
        <v>1.0870111657935122</v>
      </c>
      <c r="G19" s="15">
        <f t="shared" si="4"/>
        <v>1.0135597361348645</v>
      </c>
    </row>
    <row r="21" spans="1:8" ht="16.2">
      <c r="A21" s="3" t="s">
        <v>92</v>
      </c>
      <c r="B21" s="4"/>
      <c r="C21" s="4"/>
      <c r="D21" s="4"/>
      <c r="E21" s="4"/>
      <c r="F21" s="4"/>
      <c r="G21" s="4"/>
      <c r="H21" s="4"/>
    </row>
    <row r="22" spans="1:8" ht="30" customHeight="1">
      <c r="A22" s="29" t="s">
        <v>93</v>
      </c>
      <c r="B22" s="28"/>
      <c r="C22" s="28"/>
      <c r="D22" s="28"/>
      <c r="E22" s="28"/>
      <c r="F22" s="28"/>
      <c r="G22" s="28"/>
      <c r="H22" s="28"/>
    </row>
    <row r="23" spans="1:8" ht="30" customHeight="1">
      <c r="A23" s="29" t="s">
        <v>94</v>
      </c>
      <c r="B23" s="28"/>
      <c r="C23" s="28"/>
      <c r="D23" s="28"/>
      <c r="E23" s="28"/>
      <c r="F23" s="28"/>
      <c r="G23" s="28"/>
      <c r="H23" s="28"/>
    </row>
    <row r="24" spans="1:8" ht="30" customHeight="1">
      <c r="A24" s="29" t="s">
        <v>95</v>
      </c>
      <c r="B24" s="28"/>
      <c r="C24" s="28"/>
      <c r="D24" s="28"/>
      <c r="E24" s="28"/>
      <c r="F24" s="28"/>
      <c r="G24" s="28"/>
      <c r="H24" s="28"/>
    </row>
    <row r="25" spans="1:8" ht="30" customHeight="1">
      <c r="A25" s="29" t="s">
        <v>96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29" t="s">
        <v>97</v>
      </c>
      <c r="B26" s="28"/>
      <c r="C26" s="28"/>
      <c r="D26" s="28"/>
      <c r="E26" s="28"/>
      <c r="F26" s="28"/>
      <c r="G26" s="28"/>
      <c r="H26" s="28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98</v>
      </c>
    </row>
    <row r="2" spans="1:6" ht="15.6">
      <c r="A2" s="27" t="s">
        <v>99</v>
      </c>
      <c r="B2" s="28"/>
      <c r="C2" s="28"/>
      <c r="D2" s="28"/>
      <c r="E2" s="28"/>
      <c r="F2" s="28"/>
    </row>
    <row r="4" spans="1:6" ht="16.2">
      <c r="A4" s="3" t="s">
        <v>100</v>
      </c>
      <c r="B4" s="4"/>
      <c r="C4" s="4"/>
      <c r="D4" s="4"/>
      <c r="E4" s="4"/>
      <c r="F4" s="4"/>
    </row>
    <row r="5" spans="1:6" ht="15.6">
      <c r="A5" s="2" t="s">
        <v>101</v>
      </c>
    </row>
    <row r="6" spans="1:6">
      <c r="A6" s="5" t="s">
        <v>102</v>
      </c>
      <c r="B6" s="5" t="s">
        <v>103</v>
      </c>
      <c r="C6" s="5" t="s">
        <v>104</v>
      </c>
      <c r="D6" s="5" t="s">
        <v>105</v>
      </c>
      <c r="E6" s="5" t="s">
        <v>8</v>
      </c>
    </row>
    <row r="7" spans="1:6">
      <c r="A7" s="6" t="s">
        <v>106</v>
      </c>
      <c r="B7" s="11">
        <v>5.4509999999999996</v>
      </c>
      <c r="C7" s="11">
        <v>4.9450000000000003</v>
      </c>
      <c r="D7" s="15">
        <v>0.1</v>
      </c>
      <c r="E7" s="6" t="s">
        <v>107</v>
      </c>
    </row>
    <row r="8" spans="1:6">
      <c r="A8" s="6" t="s">
        <v>108</v>
      </c>
      <c r="B8" s="11">
        <v>3.8260000000000001</v>
      </c>
      <c r="C8" s="11">
        <v>3.1880000000000002</v>
      </c>
      <c r="D8" s="15">
        <v>0.2</v>
      </c>
      <c r="E8" s="6" t="s">
        <v>109</v>
      </c>
    </row>
    <row r="9" spans="1:6">
      <c r="A9" s="18" t="s">
        <v>110</v>
      </c>
      <c r="B9" s="11">
        <v>9.2769999999999992</v>
      </c>
      <c r="C9" s="11">
        <v>8.1329999999999991</v>
      </c>
      <c r="D9" s="15">
        <v>0.14000000000000001</v>
      </c>
      <c r="E9" s="6" t="s">
        <v>111</v>
      </c>
    </row>
    <row r="12" spans="1:6" ht="16.2">
      <c r="A12" s="3" t="s">
        <v>112</v>
      </c>
      <c r="B12" s="4"/>
      <c r="C12" s="4"/>
      <c r="D12" s="4"/>
      <c r="E12" s="4"/>
      <c r="F12" s="4"/>
    </row>
    <row r="13" spans="1:6" ht="15.6">
      <c r="A13" s="2" t="s">
        <v>113</v>
      </c>
    </row>
    <row r="14" spans="1:6">
      <c r="A14" s="5" t="s">
        <v>114</v>
      </c>
      <c r="B14" s="5" t="s">
        <v>115</v>
      </c>
      <c r="C14" s="5" t="s">
        <v>116</v>
      </c>
      <c r="D14" s="5"/>
      <c r="E14" s="5"/>
    </row>
    <row r="15" spans="1:6">
      <c r="A15" s="6" t="s">
        <v>117</v>
      </c>
      <c r="B15" s="15">
        <v>0.08</v>
      </c>
      <c r="C15" s="6" t="s">
        <v>118</v>
      </c>
      <c r="D15" s="6"/>
      <c r="E15" s="6"/>
    </row>
    <row r="16" spans="1:6">
      <c r="A16" s="6" t="s">
        <v>119</v>
      </c>
      <c r="B16" s="15">
        <v>0.12</v>
      </c>
      <c r="C16" s="6" t="s">
        <v>120</v>
      </c>
      <c r="D16" s="6"/>
      <c r="E16" s="6"/>
    </row>
    <row r="17" spans="1:6">
      <c r="A17" s="6" t="s">
        <v>121</v>
      </c>
      <c r="B17" s="15">
        <v>0.09</v>
      </c>
      <c r="C17" s="6" t="s">
        <v>122</v>
      </c>
      <c r="D17" s="6"/>
      <c r="E17" s="6"/>
    </row>
    <row r="18" spans="1:6">
      <c r="A18" s="6" t="s">
        <v>123</v>
      </c>
      <c r="B18" s="15">
        <v>0.2</v>
      </c>
      <c r="C18" s="6" t="s">
        <v>124</v>
      </c>
      <c r="D18" s="6"/>
      <c r="E18" s="6"/>
    </row>
    <row r="19" spans="1:6">
      <c r="A19" s="6" t="s">
        <v>125</v>
      </c>
      <c r="B19" s="15">
        <v>0.1</v>
      </c>
      <c r="C19" s="6" t="s">
        <v>126</v>
      </c>
      <c r="D19" s="6"/>
      <c r="E19" s="6"/>
    </row>
    <row r="22" spans="1:6" ht="16.2">
      <c r="A22" s="3" t="s">
        <v>127</v>
      </c>
      <c r="B22" s="4"/>
      <c r="C22" s="4"/>
      <c r="D22" s="4"/>
      <c r="E22" s="4"/>
      <c r="F22" s="4"/>
    </row>
    <row r="23" spans="1:6" ht="30" customHeight="1">
      <c r="A23" s="29" t="s">
        <v>128</v>
      </c>
      <c r="B23" s="28"/>
      <c r="C23" s="28"/>
      <c r="D23" s="28"/>
      <c r="E23" s="28"/>
      <c r="F23" s="28"/>
    </row>
    <row r="24" spans="1:6" ht="30" customHeight="1">
      <c r="A24" s="29" t="s">
        <v>129</v>
      </c>
      <c r="B24" s="28"/>
      <c r="C24" s="28"/>
      <c r="D24" s="28"/>
      <c r="E24" s="28"/>
      <c r="F24" s="28"/>
    </row>
    <row r="25" spans="1:6" ht="30" customHeight="1">
      <c r="A25" s="29" t="s">
        <v>130</v>
      </c>
      <c r="B25" s="28"/>
      <c r="C25" s="28"/>
      <c r="D25" s="28"/>
      <c r="E25" s="28"/>
      <c r="F25" s="28"/>
    </row>
    <row r="26" spans="1:6" ht="30" customHeight="1">
      <c r="A26" s="29" t="s">
        <v>131</v>
      </c>
      <c r="B26" s="28"/>
      <c r="C26" s="28"/>
      <c r="D26" s="28"/>
      <c r="E26" s="28"/>
      <c r="F26" s="28"/>
    </row>
    <row r="27" spans="1:6" ht="30" customHeight="1">
      <c r="A27" s="29" t="s">
        <v>132</v>
      </c>
      <c r="B27" s="28"/>
      <c r="C27" s="28"/>
      <c r="D27" s="28"/>
      <c r="E27" s="28"/>
      <c r="F27" s="28"/>
    </row>
    <row r="28" spans="1:6" ht="30" customHeight="1">
      <c r="A28" s="29" t="s">
        <v>133</v>
      </c>
      <c r="B28" s="28"/>
      <c r="C28" s="28"/>
      <c r="D28" s="28"/>
      <c r="E28" s="28"/>
      <c r="F28" s="28"/>
    </row>
  </sheetData>
  <mergeCells count="7">
    <mergeCell ref="A24:F24"/>
    <mergeCell ref="A2:F2"/>
    <mergeCell ref="A28:F28"/>
    <mergeCell ref="A23:F23"/>
    <mergeCell ref="A27:F27"/>
    <mergeCell ref="A26:F26"/>
    <mergeCell ref="A25:F25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134</v>
      </c>
    </row>
    <row r="2" spans="1:3" ht="15.6">
      <c r="A2" s="27" t="s">
        <v>135</v>
      </c>
      <c r="B2" s="28"/>
      <c r="C2" s="28"/>
    </row>
    <row r="4" spans="1:3">
      <c r="A4" s="5" t="s">
        <v>6</v>
      </c>
      <c r="B4" s="5" t="s">
        <v>7</v>
      </c>
      <c r="C4" s="5" t="s">
        <v>136</v>
      </c>
    </row>
    <row r="5" spans="1:3">
      <c r="A5" s="6" t="s">
        <v>137</v>
      </c>
      <c r="B5" s="11">
        <v>20.465</v>
      </c>
      <c r="C5" s="8" t="s">
        <v>44</v>
      </c>
    </row>
    <row r="6" spans="1:3">
      <c r="A6" s="6" t="s">
        <v>138</v>
      </c>
      <c r="B6" s="15">
        <v>0.2</v>
      </c>
      <c r="C6" s="8" t="s">
        <v>139</v>
      </c>
    </row>
    <row r="7" spans="1:3">
      <c r="A7" s="6" t="s">
        <v>140</v>
      </c>
      <c r="B7" s="10">
        <f>B5*(1-B6)</f>
        <v>16.372</v>
      </c>
      <c r="C7" s="8" t="s">
        <v>141</v>
      </c>
    </row>
    <row r="8" spans="1:3">
      <c r="A8" s="6" t="s">
        <v>142</v>
      </c>
      <c r="B8" s="11">
        <v>1.21</v>
      </c>
      <c r="C8" s="8" t="s">
        <v>44</v>
      </c>
    </row>
    <row r="9" spans="1:3">
      <c r="A9" s="6" t="s">
        <v>143</v>
      </c>
      <c r="B9" s="11">
        <v>0.65</v>
      </c>
      <c r="C9" s="8" t="s">
        <v>144</v>
      </c>
    </row>
    <row r="10" spans="1:3">
      <c r="A10" s="6" t="s">
        <v>145</v>
      </c>
      <c r="B10" s="11">
        <v>1.462</v>
      </c>
      <c r="C10" s="8" t="s">
        <v>44</v>
      </c>
    </row>
    <row r="11" spans="1:3">
      <c r="A11" s="6" t="s">
        <v>146</v>
      </c>
      <c r="B11" s="11">
        <v>-0.17599999999999999</v>
      </c>
      <c r="C11" s="8" t="s">
        <v>147</v>
      </c>
    </row>
    <row r="12" spans="1:3">
      <c r="A12" s="18" t="s">
        <v>148</v>
      </c>
      <c r="B12" s="10">
        <f>B7+B8+B9-B10+B11</f>
        <v>16.594000000000001</v>
      </c>
      <c r="C12" s="8" t="s">
        <v>149</v>
      </c>
    </row>
    <row r="13" spans="1:3">
      <c r="A13" s="6" t="s">
        <v>150</v>
      </c>
      <c r="B13" s="11">
        <v>18.056000000000001</v>
      </c>
      <c r="C13" s="8" t="s">
        <v>44</v>
      </c>
    </row>
    <row r="14" spans="1:3">
      <c r="A14" s="6" t="s">
        <v>145</v>
      </c>
      <c r="B14" s="11">
        <v>1.462</v>
      </c>
      <c r="C14" s="8" t="s">
        <v>44</v>
      </c>
    </row>
    <row r="15" spans="1:3">
      <c r="A15" s="18" t="s">
        <v>26</v>
      </c>
      <c r="B15" s="10">
        <f>B13-B14</f>
        <v>16.594000000000001</v>
      </c>
      <c r="C15" s="8" t="s">
        <v>151</v>
      </c>
    </row>
    <row r="16" spans="1:3">
      <c r="A16" s="6" t="s">
        <v>45</v>
      </c>
      <c r="B16" s="16">
        <f>B12/B7</f>
        <v>1.0135597361348645</v>
      </c>
      <c r="C16" s="8" t="s">
        <v>152</v>
      </c>
    </row>
    <row r="17" spans="1:3">
      <c r="A17" s="6" t="s">
        <v>43</v>
      </c>
      <c r="B17" s="16">
        <f>B10/35.083</f>
        <v>4.1672604965367843E-2</v>
      </c>
      <c r="C17" s="8" t="s">
        <v>44</v>
      </c>
    </row>
    <row r="18" spans="1:3">
      <c r="A18" s="6" t="s">
        <v>153</v>
      </c>
      <c r="B18" s="13">
        <f>B10/B8</f>
        <v>1.2082644628099173</v>
      </c>
      <c r="C18" s="8" t="s">
        <v>154</v>
      </c>
    </row>
    <row r="20" spans="1:3" ht="16.2">
      <c r="A20" s="3" t="s">
        <v>127</v>
      </c>
      <c r="B20" s="4"/>
      <c r="C20" s="4"/>
    </row>
    <row r="21" spans="1:3" ht="34.049999999999997" customHeight="1">
      <c r="A21" s="29" t="s">
        <v>155</v>
      </c>
      <c r="B21" s="28"/>
      <c r="C21" s="28"/>
    </row>
    <row r="22" spans="1:3" ht="34.049999999999997" customHeight="1">
      <c r="A22" s="29" t="s">
        <v>156</v>
      </c>
      <c r="B22" s="28"/>
      <c r="C22" s="28"/>
    </row>
    <row r="23" spans="1:3" ht="34.049999999999997" customHeight="1">
      <c r="A23" s="29" t="s">
        <v>157</v>
      </c>
      <c r="B23" s="28"/>
      <c r="C23" s="28"/>
    </row>
    <row r="24" spans="1:3" ht="34.049999999999997" customHeight="1">
      <c r="A24" s="29" t="s">
        <v>158</v>
      </c>
      <c r="B24" s="28"/>
      <c r="C24" s="28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159</v>
      </c>
    </row>
    <row r="2" spans="1:14" ht="15.6">
      <c r="A2" s="27" t="s">
        <v>160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.6">
      <c r="A3" s="27" t="s">
        <v>161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6.2">
      <c r="A4" s="3" t="s">
        <v>162</v>
      </c>
      <c r="B4" s="4"/>
      <c r="C4" s="4"/>
      <c r="D4" s="4"/>
      <c r="E4" s="4"/>
    </row>
    <row r="5" spans="1:14">
      <c r="A5" s="6" t="s">
        <v>163</v>
      </c>
      <c r="B5" s="11">
        <v>35.082999999999998</v>
      </c>
    </row>
    <row r="6" spans="1:14">
      <c r="A6" s="6" t="s">
        <v>164</v>
      </c>
      <c r="B6" s="15">
        <v>0.2</v>
      </c>
    </row>
    <row r="7" spans="1:14">
      <c r="A7" s="6" t="s">
        <v>165</v>
      </c>
      <c r="B7" s="15">
        <v>0</v>
      </c>
    </row>
    <row r="8" spans="1:14">
      <c r="A8" s="6" t="s">
        <v>15</v>
      </c>
      <c r="B8" s="11">
        <v>13.034000000000001</v>
      </c>
    </row>
    <row r="9" spans="1:14">
      <c r="A9" s="6" t="s">
        <v>166</v>
      </c>
      <c r="B9" s="11">
        <v>0</v>
      </c>
    </row>
    <row r="10" spans="1:14">
      <c r="A10" s="6" t="s">
        <v>167</v>
      </c>
      <c r="B10" s="9">
        <v>0.88300000000000001</v>
      </c>
    </row>
    <row r="11" spans="1:14" ht="15">
      <c r="A11" s="31" t="s">
        <v>168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3" spans="1:14" ht="16.2">
      <c r="A13" s="3" t="s">
        <v>169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170</v>
      </c>
      <c r="B14" s="15">
        <v>8.2000000000000003E-2</v>
      </c>
      <c r="C14" s="6" t="s">
        <v>171</v>
      </c>
      <c r="D14" s="15">
        <v>2.5000000000000001E-2</v>
      </c>
    </row>
    <row r="16" spans="1:14">
      <c r="A16" s="5" t="s">
        <v>172</v>
      </c>
      <c r="B16" s="5" t="s">
        <v>88</v>
      </c>
      <c r="C16" s="5" t="s">
        <v>73</v>
      </c>
      <c r="D16" s="5" t="s">
        <v>173</v>
      </c>
      <c r="E16" s="5" t="s">
        <v>174</v>
      </c>
      <c r="F16" s="5" t="s">
        <v>140</v>
      </c>
      <c r="G16" s="5" t="s">
        <v>175</v>
      </c>
      <c r="H16" s="5" t="s">
        <v>176</v>
      </c>
      <c r="I16" s="5" t="s">
        <v>177</v>
      </c>
      <c r="J16" s="5" t="s">
        <v>178</v>
      </c>
      <c r="K16" s="5" t="s">
        <v>179</v>
      </c>
      <c r="L16" s="5" t="s">
        <v>180</v>
      </c>
      <c r="M16" s="5" t="s">
        <v>181</v>
      </c>
      <c r="N16" s="5" t="s">
        <v>182</v>
      </c>
    </row>
    <row r="17" spans="1:14">
      <c r="A17" s="24">
        <v>1</v>
      </c>
      <c r="B17" s="15">
        <v>0.08</v>
      </c>
      <c r="C17" s="11">
        <f>$B$5*(1+B17)</f>
        <v>37.88964</v>
      </c>
      <c r="D17" s="15">
        <v>0.56999999999999995</v>
      </c>
      <c r="E17" s="11">
        <f t="shared" ref="E17:E26" si="0">C17*D17</f>
        <v>21.597094799999997</v>
      </c>
      <c r="F17" s="11">
        <f t="shared" ref="F17:F26" si="1">E17*(1-$B$6)</f>
        <v>17.277675839999997</v>
      </c>
      <c r="G17" s="15">
        <v>2.5000000000000001E-2</v>
      </c>
      <c r="H17" s="11">
        <f t="shared" ref="H17:H26" si="2">C17*G17</f>
        <v>0.947241</v>
      </c>
      <c r="I17" s="15">
        <v>4.8000000000000001E-2</v>
      </c>
      <c r="J17" s="11">
        <f t="shared" ref="J17:J26" si="3">C17*I17</f>
        <v>1.8187027200000001</v>
      </c>
      <c r="K17" s="11">
        <f>(C17-$B$5)*$B$7</f>
        <v>0</v>
      </c>
      <c r="L17" s="11">
        <f t="shared" ref="L17:L26" si="4">F17+H17-J17-K17</f>
        <v>16.406214119999998</v>
      </c>
      <c r="M17" s="23">
        <f>1/(1+$B$14)^1</f>
        <v>0.92421441774491675</v>
      </c>
      <c r="N17" s="11">
        <f t="shared" ref="N17:N26" si="5">L17*M17</f>
        <v>15.16285963031423</v>
      </c>
    </row>
    <row r="18" spans="1:14">
      <c r="A18" s="24">
        <v>2</v>
      </c>
      <c r="B18" s="15">
        <v>7.0000000000000007E-2</v>
      </c>
      <c r="C18" s="11">
        <f t="shared" ref="C18:C26" si="6">C17*(1+B18)</f>
        <v>40.541914800000001</v>
      </c>
      <c r="D18" s="15">
        <v>0.56000000000000005</v>
      </c>
      <c r="E18" s="11">
        <f t="shared" si="0"/>
        <v>22.703472288000004</v>
      </c>
      <c r="F18" s="11">
        <f t="shared" si="1"/>
        <v>18.162777830400003</v>
      </c>
      <c r="G18" s="15">
        <v>2.5000000000000001E-2</v>
      </c>
      <c r="H18" s="11">
        <f t="shared" si="2"/>
        <v>1.01354787</v>
      </c>
      <c r="I18" s="15">
        <v>4.8000000000000001E-2</v>
      </c>
      <c r="J18" s="11">
        <f t="shared" si="3"/>
        <v>1.9460119104</v>
      </c>
      <c r="K18" s="11">
        <f t="shared" ref="K18:K26" si="7">(C18-C17)*$B$7</f>
        <v>0</v>
      </c>
      <c r="L18" s="11">
        <f t="shared" si="4"/>
        <v>17.230313790000004</v>
      </c>
      <c r="M18" s="23">
        <f>1/(1+$B$14)^2</f>
        <v>0.85417228996757555</v>
      </c>
      <c r="N18" s="11">
        <f t="shared" si="5"/>
        <v>14.7176565868642</v>
      </c>
    </row>
    <row r="19" spans="1:14">
      <c r="A19" s="24">
        <v>3</v>
      </c>
      <c r="B19" s="15">
        <v>0.06</v>
      </c>
      <c r="C19" s="11">
        <f t="shared" si="6"/>
        <v>42.974429688000001</v>
      </c>
      <c r="D19" s="15">
        <v>0.55000000000000004</v>
      </c>
      <c r="E19" s="11">
        <f t="shared" si="0"/>
        <v>23.635936328400003</v>
      </c>
      <c r="F19" s="11">
        <f t="shared" si="1"/>
        <v>18.908749062720002</v>
      </c>
      <c r="G19" s="15">
        <v>2.5000000000000001E-2</v>
      </c>
      <c r="H19" s="11">
        <f t="shared" si="2"/>
        <v>1.0743607422000001</v>
      </c>
      <c r="I19" s="15">
        <v>4.8000000000000001E-2</v>
      </c>
      <c r="J19" s="11">
        <f t="shared" si="3"/>
        <v>2.0627726250239999</v>
      </c>
      <c r="K19" s="11">
        <f t="shared" si="7"/>
        <v>0</v>
      </c>
      <c r="L19" s="11">
        <f t="shared" si="4"/>
        <v>17.920337179896002</v>
      </c>
      <c r="M19" s="23">
        <f>1/(1+$B$14)^3</f>
        <v>0.78943834562622495</v>
      </c>
      <c r="N19" s="11">
        <f t="shared" si="5"/>
        <v>14.14700133636123</v>
      </c>
    </row>
    <row r="20" spans="1:14">
      <c r="A20" s="24">
        <v>4</v>
      </c>
      <c r="B20" s="15">
        <v>0.05</v>
      </c>
      <c r="C20" s="11">
        <f t="shared" si="6"/>
        <v>45.1231511724</v>
      </c>
      <c r="D20" s="15">
        <v>0.54</v>
      </c>
      <c r="E20" s="11">
        <f t="shared" si="0"/>
        <v>24.366501633096</v>
      </c>
      <c r="F20" s="11">
        <f t="shared" si="1"/>
        <v>19.493201306476802</v>
      </c>
      <c r="G20" s="15">
        <v>2.5000000000000001E-2</v>
      </c>
      <c r="H20" s="11">
        <f t="shared" si="2"/>
        <v>1.12807877931</v>
      </c>
      <c r="I20" s="15">
        <v>4.8000000000000001E-2</v>
      </c>
      <c r="J20" s="11">
        <f t="shared" si="3"/>
        <v>2.1659112562752001</v>
      </c>
      <c r="K20" s="11">
        <f t="shared" si="7"/>
        <v>0</v>
      </c>
      <c r="L20" s="11">
        <f t="shared" si="4"/>
        <v>18.455368829511599</v>
      </c>
      <c r="M20" s="23">
        <f>1/(1+$B$14)^4</f>
        <v>0.72961030094845203</v>
      </c>
      <c r="N20" s="11">
        <f t="shared" si="5"/>
        <v>13.465227205814639</v>
      </c>
    </row>
    <row r="21" spans="1:14">
      <c r="A21" s="24">
        <v>5</v>
      </c>
      <c r="B21" s="15">
        <v>4.4999999999999998E-2</v>
      </c>
      <c r="C21" s="11">
        <f t="shared" si="6"/>
        <v>47.153692975157995</v>
      </c>
      <c r="D21" s="15">
        <v>0.54</v>
      </c>
      <c r="E21" s="11">
        <f t="shared" si="0"/>
        <v>25.462994206585318</v>
      </c>
      <c r="F21" s="11">
        <f t="shared" si="1"/>
        <v>20.370395365268255</v>
      </c>
      <c r="G21" s="15">
        <v>2.5000000000000001E-2</v>
      </c>
      <c r="H21" s="11">
        <f t="shared" si="2"/>
        <v>1.1788423243789499</v>
      </c>
      <c r="I21" s="15">
        <v>4.8000000000000001E-2</v>
      </c>
      <c r="J21" s="11">
        <f t="shared" si="3"/>
        <v>2.2633772628075839</v>
      </c>
      <c r="K21" s="11">
        <f t="shared" si="7"/>
        <v>0</v>
      </c>
      <c r="L21" s="11">
        <f t="shared" si="4"/>
        <v>19.285860426839623</v>
      </c>
      <c r="M21" s="23">
        <f>1/(1+$B$14)^5</f>
        <v>0.67431635947176705</v>
      </c>
      <c r="N21" s="11">
        <f t="shared" si="5"/>
        <v>13.004771192307114</v>
      </c>
    </row>
    <row r="22" spans="1:14">
      <c r="A22" s="24">
        <v>6</v>
      </c>
      <c r="B22" s="15">
        <v>0.04</v>
      </c>
      <c r="C22" s="11">
        <f t="shared" si="6"/>
        <v>49.039840694164319</v>
      </c>
      <c r="D22" s="15">
        <v>0.53</v>
      </c>
      <c r="E22" s="11">
        <f t="shared" si="0"/>
        <v>25.991115567907091</v>
      </c>
      <c r="F22" s="11">
        <f t="shared" si="1"/>
        <v>20.792892454325674</v>
      </c>
      <c r="G22" s="15">
        <v>2.5000000000000001E-2</v>
      </c>
      <c r="H22" s="11">
        <f t="shared" si="2"/>
        <v>1.225996017354108</v>
      </c>
      <c r="I22" s="15">
        <v>4.8000000000000001E-2</v>
      </c>
      <c r="J22" s="11">
        <f t="shared" si="3"/>
        <v>2.3539123533198874</v>
      </c>
      <c r="K22" s="11">
        <f t="shared" si="7"/>
        <v>0</v>
      </c>
      <c r="L22" s="11">
        <f t="shared" si="4"/>
        <v>19.664976118359895</v>
      </c>
      <c r="M22" s="23">
        <f>1/(1+$B$14)^6</f>
        <v>0.62321290154507114</v>
      </c>
      <c r="N22" s="11">
        <f t="shared" si="5"/>
        <v>12.255466825537601</v>
      </c>
    </row>
    <row r="23" spans="1:14">
      <c r="A23" s="24">
        <v>7</v>
      </c>
      <c r="B23" s="15">
        <v>0.04</v>
      </c>
      <c r="C23" s="11">
        <f t="shared" si="6"/>
        <v>51.001434321930894</v>
      </c>
      <c r="D23" s="15">
        <v>0.53</v>
      </c>
      <c r="E23" s="11">
        <f t="shared" si="0"/>
        <v>27.030760190623376</v>
      </c>
      <c r="F23" s="11">
        <f t="shared" si="1"/>
        <v>21.624608152498702</v>
      </c>
      <c r="G23" s="15">
        <v>2.5000000000000001E-2</v>
      </c>
      <c r="H23" s="11">
        <f t="shared" si="2"/>
        <v>1.2750358580482724</v>
      </c>
      <c r="I23" s="15">
        <v>4.8000000000000001E-2</v>
      </c>
      <c r="J23" s="11">
        <f t="shared" si="3"/>
        <v>2.4480688474526828</v>
      </c>
      <c r="K23" s="11">
        <f t="shared" si="7"/>
        <v>0</v>
      </c>
      <c r="L23" s="11">
        <f t="shared" si="4"/>
        <v>20.451575163094294</v>
      </c>
      <c r="M23" s="23">
        <f>1/(1+$B$14)^7</f>
        <v>0.57598234893259814</v>
      </c>
      <c r="N23" s="11">
        <f t="shared" si="5"/>
        <v>11.779746301810635</v>
      </c>
    </row>
    <row r="24" spans="1:14">
      <c r="A24" s="24">
        <v>8</v>
      </c>
      <c r="B24" s="15">
        <v>3.5000000000000003E-2</v>
      </c>
      <c r="C24" s="11">
        <f t="shared" si="6"/>
        <v>52.786484523198475</v>
      </c>
      <c r="D24" s="15">
        <v>0.52</v>
      </c>
      <c r="E24" s="11">
        <f t="shared" si="0"/>
        <v>27.448971952063207</v>
      </c>
      <c r="F24" s="11">
        <f t="shared" si="1"/>
        <v>21.959177561650566</v>
      </c>
      <c r="G24" s="15">
        <v>2.5000000000000001E-2</v>
      </c>
      <c r="H24" s="11">
        <f t="shared" si="2"/>
        <v>1.319662113079962</v>
      </c>
      <c r="I24" s="15">
        <v>4.8000000000000001E-2</v>
      </c>
      <c r="J24" s="11">
        <f t="shared" si="3"/>
        <v>2.533751257113527</v>
      </c>
      <c r="K24" s="11">
        <f t="shared" si="7"/>
        <v>0</v>
      </c>
      <c r="L24" s="11">
        <f t="shared" si="4"/>
        <v>20.745088417617001</v>
      </c>
      <c r="M24" s="23">
        <f>1/(1+$B$14)^8</f>
        <v>0.53233119125009065</v>
      </c>
      <c r="N24" s="11">
        <f t="shared" si="5"/>
        <v>11.043257629938516</v>
      </c>
    </row>
    <row r="25" spans="1:14">
      <c r="A25" s="24">
        <v>9</v>
      </c>
      <c r="B25" s="15">
        <v>3.5000000000000003E-2</v>
      </c>
      <c r="C25" s="11">
        <f t="shared" si="6"/>
        <v>54.63401148151042</v>
      </c>
      <c r="D25" s="15">
        <v>0.52</v>
      </c>
      <c r="E25" s="11">
        <f t="shared" si="0"/>
        <v>28.409685970385418</v>
      </c>
      <c r="F25" s="11">
        <f t="shared" si="1"/>
        <v>22.727748776308335</v>
      </c>
      <c r="G25" s="15">
        <v>2.5000000000000001E-2</v>
      </c>
      <c r="H25" s="11">
        <f t="shared" si="2"/>
        <v>1.3658502870377607</v>
      </c>
      <c r="I25" s="15">
        <v>4.8000000000000001E-2</v>
      </c>
      <c r="J25" s="11">
        <f t="shared" si="3"/>
        <v>2.6224325511125004</v>
      </c>
      <c r="K25" s="11">
        <f t="shared" si="7"/>
        <v>0</v>
      </c>
      <c r="L25" s="11">
        <f t="shared" si="4"/>
        <v>21.471166512233598</v>
      </c>
      <c r="M25" s="23">
        <f>1/(1+$B$14)^9</f>
        <v>0.49198816196866046</v>
      </c>
      <c r="N25" s="11">
        <f t="shared" si="5"/>
        <v>10.563559747676862</v>
      </c>
    </row>
    <row r="26" spans="1:14">
      <c r="A26" s="24">
        <v>10</v>
      </c>
      <c r="B26" s="15">
        <v>0.03</v>
      </c>
      <c r="C26" s="11">
        <f t="shared" si="6"/>
        <v>56.273031825955734</v>
      </c>
      <c r="D26" s="15">
        <v>0.52</v>
      </c>
      <c r="E26" s="11">
        <f t="shared" si="0"/>
        <v>29.261976549496982</v>
      </c>
      <c r="F26" s="11">
        <f t="shared" si="1"/>
        <v>23.409581239597586</v>
      </c>
      <c r="G26" s="15">
        <v>2.5000000000000001E-2</v>
      </c>
      <c r="H26" s="11">
        <f t="shared" si="2"/>
        <v>1.4068257956488934</v>
      </c>
      <c r="I26" s="15">
        <v>4.8000000000000001E-2</v>
      </c>
      <c r="J26" s="11">
        <f t="shared" si="3"/>
        <v>2.7011055276458751</v>
      </c>
      <c r="K26" s="11">
        <f t="shared" si="7"/>
        <v>0</v>
      </c>
      <c r="L26" s="11">
        <f t="shared" si="4"/>
        <v>22.115301507600602</v>
      </c>
      <c r="M26" s="23">
        <f>1/(1+$B$14)^10</f>
        <v>0.45470255265125731</v>
      </c>
      <c r="N26" s="11">
        <f t="shared" si="5"/>
        <v>10.055884048158193</v>
      </c>
    </row>
    <row r="27" spans="1:14">
      <c r="A27" s="18" t="s">
        <v>183</v>
      </c>
      <c r="B27" s="11">
        <f>L26*(1+$D$14)/($B$14-$D$14)</f>
        <v>397.68743939106344</v>
      </c>
    </row>
    <row r="28" spans="1:14">
      <c r="A28" s="6" t="s">
        <v>184</v>
      </c>
      <c r="B28" s="11">
        <f>B27/(1+$B$14)^10</f>
        <v>180.82949384845872</v>
      </c>
    </row>
    <row r="29" spans="1:14">
      <c r="A29" s="18" t="s">
        <v>185</v>
      </c>
      <c r="B29" s="11">
        <f>SUM(N17:N26)+B28</f>
        <v>307.02492435324194</v>
      </c>
    </row>
    <row r="30" spans="1:14">
      <c r="A30" s="6" t="s">
        <v>186</v>
      </c>
      <c r="B30" s="11">
        <f>$B$8</f>
        <v>13.034000000000001</v>
      </c>
    </row>
    <row r="31" spans="1:14">
      <c r="A31" s="18" t="s">
        <v>187</v>
      </c>
      <c r="B31" s="11">
        <f>B29-B30</f>
        <v>293.99092435324195</v>
      </c>
    </row>
    <row r="32" spans="1:14">
      <c r="A32" s="18" t="s">
        <v>188</v>
      </c>
      <c r="B32" s="7">
        <f>B31/$B$10</f>
        <v>332.94555419393197</v>
      </c>
      <c r="C32" s="6" t="s">
        <v>189</v>
      </c>
    </row>
    <row r="36" spans="1:14" ht="16.2">
      <c r="A36" s="3" t="s">
        <v>190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170</v>
      </c>
      <c r="B37" s="15">
        <v>7.3999999999999996E-2</v>
      </c>
      <c r="C37" s="6" t="s">
        <v>171</v>
      </c>
      <c r="D37" s="15">
        <v>0.03</v>
      </c>
    </row>
    <row r="39" spans="1:14">
      <c r="A39" s="5" t="s">
        <v>172</v>
      </c>
      <c r="B39" s="5" t="s">
        <v>88</v>
      </c>
      <c r="C39" s="5" t="s">
        <v>73</v>
      </c>
      <c r="D39" s="5" t="s">
        <v>173</v>
      </c>
      <c r="E39" s="5" t="s">
        <v>174</v>
      </c>
      <c r="F39" s="5" t="s">
        <v>140</v>
      </c>
      <c r="G39" s="5" t="s">
        <v>175</v>
      </c>
      <c r="H39" s="5" t="s">
        <v>176</v>
      </c>
      <c r="I39" s="5" t="s">
        <v>177</v>
      </c>
      <c r="J39" s="5" t="s">
        <v>178</v>
      </c>
      <c r="K39" s="5" t="s">
        <v>179</v>
      </c>
      <c r="L39" s="5" t="s">
        <v>180</v>
      </c>
      <c r="M39" s="5" t="s">
        <v>181</v>
      </c>
      <c r="N39" s="5" t="s">
        <v>182</v>
      </c>
    </row>
    <row r="40" spans="1:14">
      <c r="A40" s="24">
        <v>1</v>
      </c>
      <c r="B40" s="15">
        <v>0.12</v>
      </c>
      <c r="C40" s="11">
        <f>$B$5*(1+B40)</f>
        <v>39.292960000000001</v>
      </c>
      <c r="D40" s="15">
        <v>0.59499999999999997</v>
      </c>
      <c r="E40" s="11">
        <f t="shared" ref="E40:E49" si="8">C40*D40</f>
        <v>23.3793112</v>
      </c>
      <c r="F40" s="11">
        <f t="shared" ref="F40:F49" si="9">E40*(1-$B$6)</f>
        <v>18.703448959999999</v>
      </c>
      <c r="G40" s="15">
        <v>2.5000000000000001E-2</v>
      </c>
      <c r="H40" s="11">
        <f t="shared" ref="H40:H49" si="10">C40*G40</f>
        <v>0.98232400000000009</v>
      </c>
      <c r="I40" s="15">
        <v>4.2000000000000003E-2</v>
      </c>
      <c r="J40" s="11">
        <f t="shared" ref="J40:J49" si="11">C40*I40</f>
        <v>1.65030432</v>
      </c>
      <c r="K40" s="11">
        <f>(C40-$B$5)*$B$7</f>
        <v>0</v>
      </c>
      <c r="L40" s="11">
        <f t="shared" ref="L40:L49" si="12">F40+H40-J40-K40</f>
        <v>18.035468639999998</v>
      </c>
      <c r="M40" s="23">
        <f>1/(1+$B$37)^1</f>
        <v>0.93109869646182486</v>
      </c>
      <c r="N40" s="11">
        <f t="shared" ref="N40:N49" si="13">L40*M40</f>
        <v>16.79280134078212</v>
      </c>
    </row>
    <row r="41" spans="1:14">
      <c r="A41" s="24">
        <v>2</v>
      </c>
      <c r="B41" s="15">
        <v>0.11</v>
      </c>
      <c r="C41" s="11">
        <f t="shared" ref="C41:C49" si="14">C40*(1+B41)</f>
        <v>43.615185600000004</v>
      </c>
      <c r="D41" s="15">
        <v>0.60499999999999998</v>
      </c>
      <c r="E41" s="11">
        <f t="shared" si="8"/>
        <v>26.387187288</v>
      </c>
      <c r="F41" s="11">
        <f t="shared" si="9"/>
        <v>21.109749830400002</v>
      </c>
      <c r="G41" s="15">
        <v>2.5000000000000001E-2</v>
      </c>
      <c r="H41" s="11">
        <f t="shared" si="10"/>
        <v>1.0903796400000001</v>
      </c>
      <c r="I41" s="15">
        <v>4.2000000000000003E-2</v>
      </c>
      <c r="J41" s="11">
        <f t="shared" si="11"/>
        <v>1.8318377952000002</v>
      </c>
      <c r="K41" s="11">
        <f t="shared" ref="K41:K49" si="15">(C41-C40)*$B$7</f>
        <v>0</v>
      </c>
      <c r="L41" s="11">
        <f t="shared" si="12"/>
        <v>20.368291675199998</v>
      </c>
      <c r="M41" s="23">
        <f>1/(1+$B$37)^2</f>
        <v>0.86694478255290952</v>
      </c>
      <c r="N41" s="11">
        <f t="shared" si="13"/>
        <v>17.658184197330499</v>
      </c>
    </row>
    <row r="42" spans="1:14">
      <c r="A42" s="24">
        <v>3</v>
      </c>
      <c r="B42" s="15">
        <v>0.1</v>
      </c>
      <c r="C42" s="11">
        <f t="shared" si="14"/>
        <v>47.976704160000011</v>
      </c>
      <c r="D42" s="15">
        <v>0.61</v>
      </c>
      <c r="E42" s="11">
        <f t="shared" si="8"/>
        <v>29.265789537600007</v>
      </c>
      <c r="F42" s="11">
        <f t="shared" si="9"/>
        <v>23.412631630080007</v>
      </c>
      <c r="G42" s="15">
        <v>2.5000000000000001E-2</v>
      </c>
      <c r="H42" s="11">
        <f t="shared" si="10"/>
        <v>1.1994176040000004</v>
      </c>
      <c r="I42" s="15">
        <v>4.2000000000000003E-2</v>
      </c>
      <c r="J42" s="11">
        <f t="shared" si="11"/>
        <v>2.0150215747200004</v>
      </c>
      <c r="K42" s="11">
        <f t="shared" si="15"/>
        <v>0</v>
      </c>
      <c r="L42" s="11">
        <f t="shared" si="12"/>
        <v>22.597027659360009</v>
      </c>
      <c r="M42" s="23">
        <f>1/(1+$B$37)^3</f>
        <v>0.80721115693939438</v>
      </c>
      <c r="N42" s="11">
        <f t="shared" si="13"/>
        <v>18.240572840303489</v>
      </c>
    </row>
    <row r="43" spans="1:14">
      <c r="A43" s="24">
        <v>4</v>
      </c>
      <c r="B43" s="15">
        <v>0.09</v>
      </c>
      <c r="C43" s="11">
        <f t="shared" si="14"/>
        <v>52.294607534400015</v>
      </c>
      <c r="D43" s="15">
        <v>0.61499999999999999</v>
      </c>
      <c r="E43" s="11">
        <f t="shared" si="8"/>
        <v>32.161183633656009</v>
      </c>
      <c r="F43" s="11">
        <f t="shared" si="9"/>
        <v>25.728946906924808</v>
      </c>
      <c r="G43" s="15">
        <v>2.5000000000000001E-2</v>
      </c>
      <c r="H43" s="11">
        <f t="shared" si="10"/>
        <v>1.3073651883600004</v>
      </c>
      <c r="I43" s="15">
        <v>4.2000000000000003E-2</v>
      </c>
      <c r="J43" s="11">
        <f t="shared" si="11"/>
        <v>2.1963735164448006</v>
      </c>
      <c r="K43" s="11">
        <f t="shared" si="15"/>
        <v>0</v>
      </c>
      <c r="L43" s="11">
        <f t="shared" si="12"/>
        <v>24.839938578840005</v>
      </c>
      <c r="M43" s="23">
        <f>1/(1+$B$37)^4</f>
        <v>0.75159325599571147</v>
      </c>
      <c r="N43" s="11">
        <f t="shared" si="13"/>
        <v>18.669530315203847</v>
      </c>
    </row>
    <row r="44" spans="1:14">
      <c r="A44" s="24">
        <v>5</v>
      </c>
      <c r="B44" s="15">
        <v>8.5000000000000006E-2</v>
      </c>
      <c r="C44" s="11">
        <f t="shared" si="14"/>
        <v>56.739649174824017</v>
      </c>
      <c r="D44" s="15">
        <v>0.61499999999999999</v>
      </c>
      <c r="E44" s="11">
        <f t="shared" si="8"/>
        <v>34.894884242516767</v>
      </c>
      <c r="F44" s="11">
        <f t="shared" si="9"/>
        <v>27.915907394013416</v>
      </c>
      <c r="G44" s="15">
        <v>2.5000000000000001E-2</v>
      </c>
      <c r="H44" s="11">
        <f t="shared" si="10"/>
        <v>1.4184912293706005</v>
      </c>
      <c r="I44" s="15">
        <v>4.2000000000000003E-2</v>
      </c>
      <c r="J44" s="11">
        <f t="shared" si="11"/>
        <v>2.383065265342609</v>
      </c>
      <c r="K44" s="11">
        <f t="shared" si="15"/>
        <v>0</v>
      </c>
      <c r="L44" s="11">
        <f t="shared" si="12"/>
        <v>26.95133335804141</v>
      </c>
      <c r="M44" s="23">
        <f>1/(1+$B$37)^5</f>
        <v>0.69980750092710564</v>
      </c>
      <c r="N44" s="11">
        <f t="shared" si="13"/>
        <v>18.860745243944297</v>
      </c>
    </row>
    <row r="45" spans="1:14">
      <c r="A45" s="24">
        <v>6</v>
      </c>
      <c r="B45" s="15">
        <v>0.08</v>
      </c>
      <c r="C45" s="11">
        <f t="shared" si="14"/>
        <v>61.278821108809943</v>
      </c>
      <c r="D45" s="15">
        <v>0.61499999999999999</v>
      </c>
      <c r="E45" s="11">
        <f t="shared" si="8"/>
        <v>37.686474981918117</v>
      </c>
      <c r="F45" s="11">
        <f t="shared" si="9"/>
        <v>30.149179985534495</v>
      </c>
      <c r="G45" s="15">
        <v>2.5000000000000001E-2</v>
      </c>
      <c r="H45" s="11">
        <f t="shared" si="10"/>
        <v>1.5319705277202487</v>
      </c>
      <c r="I45" s="15">
        <v>4.2000000000000003E-2</v>
      </c>
      <c r="J45" s="11">
        <f t="shared" si="11"/>
        <v>2.5737104865700178</v>
      </c>
      <c r="K45" s="11">
        <f t="shared" si="15"/>
        <v>0</v>
      </c>
      <c r="L45" s="11">
        <f t="shared" si="12"/>
        <v>29.107440026684724</v>
      </c>
      <c r="M45" s="23">
        <f>1/(1+$B$37)^6</f>
        <v>0.65158985188743546</v>
      </c>
      <c r="N45" s="11">
        <f t="shared" si="13"/>
        <v>18.966112535809909</v>
      </c>
    </row>
    <row r="46" spans="1:14">
      <c r="A46" s="24">
        <v>7</v>
      </c>
      <c r="B46" s="15">
        <v>7.4999999999999997E-2</v>
      </c>
      <c r="C46" s="11">
        <f t="shared" si="14"/>
        <v>65.874732691970692</v>
      </c>
      <c r="D46" s="15">
        <v>0.61</v>
      </c>
      <c r="E46" s="11">
        <f t="shared" si="8"/>
        <v>40.183586942102124</v>
      </c>
      <c r="F46" s="11">
        <f t="shared" si="9"/>
        <v>32.146869553681704</v>
      </c>
      <c r="G46" s="15">
        <v>2.5000000000000001E-2</v>
      </c>
      <c r="H46" s="11">
        <f t="shared" si="10"/>
        <v>1.6468683172992673</v>
      </c>
      <c r="I46" s="15">
        <v>4.2000000000000003E-2</v>
      </c>
      <c r="J46" s="11">
        <f t="shared" si="11"/>
        <v>2.7667387730627691</v>
      </c>
      <c r="K46" s="11">
        <f t="shared" si="15"/>
        <v>0</v>
      </c>
      <c r="L46" s="11">
        <f t="shared" si="12"/>
        <v>31.0269990979182</v>
      </c>
      <c r="M46" s="23">
        <f>1/(1+$B$37)^7</f>
        <v>0.60669446172014474</v>
      </c>
      <c r="N46" s="11">
        <f t="shared" si="13"/>
        <v>18.8239085165029</v>
      </c>
    </row>
    <row r="47" spans="1:14">
      <c r="A47" s="24">
        <v>8</v>
      </c>
      <c r="B47" s="15">
        <v>7.0000000000000007E-2</v>
      </c>
      <c r="C47" s="11">
        <f t="shared" si="14"/>
        <v>70.485963980408641</v>
      </c>
      <c r="D47" s="15">
        <v>0.61</v>
      </c>
      <c r="E47" s="11">
        <f t="shared" si="8"/>
        <v>42.996438028049269</v>
      </c>
      <c r="F47" s="11">
        <f t="shared" si="9"/>
        <v>34.397150422439417</v>
      </c>
      <c r="G47" s="15">
        <v>2.5000000000000001E-2</v>
      </c>
      <c r="H47" s="11">
        <f t="shared" si="10"/>
        <v>1.762149099510216</v>
      </c>
      <c r="I47" s="15">
        <v>4.2000000000000003E-2</v>
      </c>
      <c r="J47" s="11">
        <f t="shared" si="11"/>
        <v>2.960410487177163</v>
      </c>
      <c r="K47" s="11">
        <f t="shared" si="15"/>
        <v>0</v>
      </c>
      <c r="L47" s="11">
        <f t="shared" si="12"/>
        <v>33.198889034772471</v>
      </c>
      <c r="M47" s="23">
        <f>1/(1+$B$37)^8</f>
        <v>0.56489242245823512</v>
      </c>
      <c r="N47" s="11">
        <f t="shared" si="13"/>
        <v>18.753800849774759</v>
      </c>
    </row>
    <row r="48" spans="1:14">
      <c r="A48" s="24">
        <v>9</v>
      </c>
      <c r="B48" s="15">
        <v>0.06</v>
      </c>
      <c r="C48" s="11">
        <f t="shared" si="14"/>
        <v>74.715121819233161</v>
      </c>
      <c r="D48" s="15">
        <v>0.60499999999999998</v>
      </c>
      <c r="E48" s="11">
        <f t="shared" si="8"/>
        <v>45.202648700636061</v>
      </c>
      <c r="F48" s="11">
        <f t="shared" si="9"/>
        <v>36.162118960508849</v>
      </c>
      <c r="G48" s="15">
        <v>2.5000000000000001E-2</v>
      </c>
      <c r="H48" s="11">
        <f t="shared" si="10"/>
        <v>1.867878045480829</v>
      </c>
      <c r="I48" s="15">
        <v>4.2000000000000003E-2</v>
      </c>
      <c r="J48" s="11">
        <f t="shared" si="11"/>
        <v>3.1380351164077931</v>
      </c>
      <c r="K48" s="11">
        <f t="shared" si="15"/>
        <v>0</v>
      </c>
      <c r="L48" s="11">
        <f t="shared" si="12"/>
        <v>34.891961889581886</v>
      </c>
      <c r="M48" s="23">
        <f>1/(1+$B$37)^9</f>
        <v>0.5259705981920253</v>
      </c>
      <c r="N48" s="11">
        <f t="shared" si="13"/>
        <v>18.352146067156735</v>
      </c>
    </row>
    <row r="49" spans="1:14">
      <c r="A49" s="24">
        <v>10</v>
      </c>
      <c r="B49" s="15">
        <v>5.5E-2</v>
      </c>
      <c r="C49" s="11">
        <f t="shared" si="14"/>
        <v>78.824453519290984</v>
      </c>
      <c r="D49" s="15">
        <v>0.6</v>
      </c>
      <c r="E49" s="11">
        <f t="shared" si="8"/>
        <v>47.294672111574592</v>
      </c>
      <c r="F49" s="11">
        <f t="shared" si="9"/>
        <v>37.835737689259673</v>
      </c>
      <c r="G49" s="15">
        <v>2.5000000000000001E-2</v>
      </c>
      <c r="H49" s="11">
        <f t="shared" si="10"/>
        <v>1.9706113379822747</v>
      </c>
      <c r="I49" s="15">
        <v>4.2000000000000003E-2</v>
      </c>
      <c r="J49" s="11">
        <f t="shared" si="11"/>
        <v>3.3106270478102213</v>
      </c>
      <c r="K49" s="11">
        <f t="shared" si="15"/>
        <v>0</v>
      </c>
      <c r="L49" s="11">
        <f t="shared" si="12"/>
        <v>36.495721979431728</v>
      </c>
      <c r="M49" s="23">
        <f>1/(1+$B$37)^10</f>
        <v>0.48973053835384101</v>
      </c>
      <c r="N49" s="11">
        <f t="shared" si="13"/>
        <v>17.87306957259921</v>
      </c>
    </row>
    <row r="50" spans="1:14">
      <c r="A50" s="18" t="s">
        <v>183</v>
      </c>
      <c r="B50" s="11">
        <f>L49*(1+$D$37)/($B$37-$D$37)</f>
        <v>854.33167360942457</v>
      </c>
    </row>
    <row r="51" spans="1:14">
      <c r="A51" s="6" t="s">
        <v>184</v>
      </c>
      <c r="B51" s="11">
        <f>B50/(1+$B$37)^10</f>
        <v>418.3923104494815</v>
      </c>
    </row>
    <row r="52" spans="1:14">
      <c r="A52" s="18" t="s">
        <v>185</v>
      </c>
      <c r="B52" s="11">
        <f>SUM(N40:N49)+B51</f>
        <v>601.38318192888926</v>
      </c>
    </row>
    <row r="53" spans="1:14">
      <c r="A53" s="6" t="s">
        <v>186</v>
      </c>
      <c r="B53" s="11">
        <f>$B$8</f>
        <v>13.034000000000001</v>
      </c>
    </row>
    <row r="54" spans="1:14">
      <c r="A54" s="18" t="s">
        <v>187</v>
      </c>
      <c r="B54" s="11">
        <f>B52-B53</f>
        <v>588.34918192888927</v>
      </c>
    </row>
    <row r="55" spans="1:14">
      <c r="A55" s="18" t="s">
        <v>188</v>
      </c>
      <c r="B55" s="7">
        <f>B54/$B$10</f>
        <v>666.3071143022529</v>
      </c>
      <c r="C55" s="6" t="s">
        <v>191</v>
      </c>
    </row>
    <row r="59" spans="1:14" ht="16.2">
      <c r="A59" s="3" t="s">
        <v>192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170</v>
      </c>
      <c r="B60" s="15">
        <v>6.9000000000000006E-2</v>
      </c>
      <c r="C60" s="6" t="s">
        <v>171</v>
      </c>
      <c r="D60" s="15">
        <v>3.2000000000000001E-2</v>
      </c>
    </row>
    <row r="62" spans="1:14">
      <c r="A62" s="5" t="s">
        <v>172</v>
      </c>
      <c r="B62" s="5" t="s">
        <v>88</v>
      </c>
      <c r="C62" s="5" t="s">
        <v>73</v>
      </c>
      <c r="D62" s="5" t="s">
        <v>173</v>
      </c>
      <c r="E62" s="5" t="s">
        <v>174</v>
      </c>
      <c r="F62" s="5" t="s">
        <v>140</v>
      </c>
      <c r="G62" s="5" t="s">
        <v>175</v>
      </c>
      <c r="H62" s="5" t="s">
        <v>176</v>
      </c>
      <c r="I62" s="5" t="s">
        <v>177</v>
      </c>
      <c r="J62" s="5" t="s">
        <v>178</v>
      </c>
      <c r="K62" s="5" t="s">
        <v>179</v>
      </c>
      <c r="L62" s="5" t="s">
        <v>180</v>
      </c>
      <c r="M62" s="5" t="s">
        <v>181</v>
      </c>
      <c r="N62" s="5" t="s">
        <v>182</v>
      </c>
    </row>
    <row r="63" spans="1:14">
      <c r="A63" s="24">
        <v>1</v>
      </c>
      <c r="B63" s="15">
        <v>0.14000000000000001</v>
      </c>
      <c r="C63" s="11">
        <f>$B$5*(1+B63)</f>
        <v>39.994620000000005</v>
      </c>
      <c r="D63" s="15">
        <v>0.61</v>
      </c>
      <c r="E63" s="11">
        <f t="shared" ref="E63:E72" si="16">C63*D63</f>
        <v>24.396718200000002</v>
      </c>
      <c r="F63" s="11">
        <f t="shared" ref="F63:F72" si="17">E63*(1-$B$6)</f>
        <v>19.517374560000004</v>
      </c>
      <c r="G63" s="15">
        <v>2.5000000000000001E-2</v>
      </c>
      <c r="H63" s="11">
        <f t="shared" ref="H63:H72" si="18">C63*G63</f>
        <v>0.99986550000000018</v>
      </c>
      <c r="I63" s="15">
        <v>0.04</v>
      </c>
      <c r="J63" s="11">
        <f t="shared" ref="J63:J72" si="19">C63*I63</f>
        <v>1.5997848000000001</v>
      </c>
      <c r="K63" s="11">
        <f>(C63-$B$5)*$B$7</f>
        <v>0</v>
      </c>
      <c r="L63" s="11">
        <f t="shared" ref="L63:L72" si="20">F63+H63-J63-K63</f>
        <v>18.917455260000004</v>
      </c>
      <c r="M63" s="23">
        <f>1/(1+$B$60)^1</f>
        <v>0.93545369504209541</v>
      </c>
      <c r="N63" s="11">
        <f t="shared" ref="N63:N72" si="21">L63*M63</f>
        <v>17.696403423760529</v>
      </c>
    </row>
    <row r="64" spans="1:14">
      <c r="A64" s="24">
        <v>2</v>
      </c>
      <c r="B64" s="15">
        <v>0.13</v>
      </c>
      <c r="C64" s="11">
        <f t="shared" ref="C64:C72" si="22">C63*(1+B64)</f>
        <v>45.193920599999998</v>
      </c>
      <c r="D64" s="15">
        <v>0.62</v>
      </c>
      <c r="E64" s="11">
        <f t="shared" si="16"/>
        <v>28.020230771999998</v>
      </c>
      <c r="F64" s="11">
        <f t="shared" si="17"/>
        <v>22.416184617599999</v>
      </c>
      <c r="G64" s="15">
        <v>2.5000000000000001E-2</v>
      </c>
      <c r="H64" s="11">
        <f t="shared" si="18"/>
        <v>1.1298480150000001</v>
      </c>
      <c r="I64" s="15">
        <v>0.04</v>
      </c>
      <c r="J64" s="11">
        <f t="shared" si="19"/>
        <v>1.8077568239999999</v>
      </c>
      <c r="K64" s="11">
        <f t="shared" ref="K64:K72" si="23">(C64-C63)*$B$7</f>
        <v>0</v>
      </c>
      <c r="L64" s="11">
        <f t="shared" si="20"/>
        <v>21.738275808600001</v>
      </c>
      <c r="M64" s="23">
        <f>1/(1+$B$60)^2</f>
        <v>0.87507361556790975</v>
      </c>
      <c r="N64" s="11">
        <f t="shared" si="21"/>
        <v>19.022591608044031</v>
      </c>
    </row>
    <row r="65" spans="1:14">
      <c r="A65" s="24">
        <v>3</v>
      </c>
      <c r="B65" s="15">
        <v>0.12</v>
      </c>
      <c r="C65" s="11">
        <f t="shared" si="22"/>
        <v>50.617191072000004</v>
      </c>
      <c r="D65" s="15">
        <v>0.625</v>
      </c>
      <c r="E65" s="11">
        <f t="shared" si="16"/>
        <v>31.635744420000002</v>
      </c>
      <c r="F65" s="11">
        <f t="shared" si="17"/>
        <v>25.308595536000002</v>
      </c>
      <c r="G65" s="15">
        <v>2.5000000000000001E-2</v>
      </c>
      <c r="H65" s="11">
        <f t="shared" si="18"/>
        <v>1.2654297768000002</v>
      </c>
      <c r="I65" s="15">
        <v>0.04</v>
      </c>
      <c r="J65" s="11">
        <f t="shared" si="19"/>
        <v>2.02468764288</v>
      </c>
      <c r="K65" s="11">
        <f t="shared" si="23"/>
        <v>0</v>
      </c>
      <c r="L65" s="11">
        <f t="shared" si="20"/>
        <v>24.549337669920003</v>
      </c>
      <c r="M65" s="23">
        <f>1/(1+$B$60)^3</f>
        <v>0.81859084711684726</v>
      </c>
      <c r="N65" s="11">
        <f t="shared" si="21"/>
        <v>20.095863119377345</v>
      </c>
    </row>
    <row r="66" spans="1:14">
      <c r="A66" s="24">
        <v>4</v>
      </c>
      <c r="B66" s="15">
        <v>0.11</v>
      </c>
      <c r="C66" s="11">
        <f t="shared" si="22"/>
        <v>56.185082089920009</v>
      </c>
      <c r="D66" s="15">
        <v>0.63</v>
      </c>
      <c r="E66" s="11">
        <f t="shared" si="16"/>
        <v>35.396601716649606</v>
      </c>
      <c r="F66" s="11">
        <f t="shared" si="17"/>
        <v>28.317281373319688</v>
      </c>
      <c r="G66" s="15">
        <v>2.5000000000000001E-2</v>
      </c>
      <c r="H66" s="11">
        <f t="shared" si="18"/>
        <v>1.4046270522480002</v>
      </c>
      <c r="I66" s="15">
        <v>0.04</v>
      </c>
      <c r="J66" s="11">
        <f t="shared" si="19"/>
        <v>2.2474032835968005</v>
      </c>
      <c r="K66" s="11">
        <f t="shared" si="23"/>
        <v>0</v>
      </c>
      <c r="L66" s="11">
        <f t="shared" si="20"/>
        <v>27.474505141970887</v>
      </c>
      <c r="M66" s="23">
        <f>1/(1+$B$60)^4</f>
        <v>0.76575383266309383</v>
      </c>
      <c r="N66" s="11">
        <f t="shared" si="21"/>
        <v>21.038707612986087</v>
      </c>
    </row>
    <row r="67" spans="1:14">
      <c r="A67" s="24">
        <v>5</v>
      </c>
      <c r="B67" s="15">
        <v>0.1</v>
      </c>
      <c r="C67" s="11">
        <f t="shared" si="22"/>
        <v>61.803590298912013</v>
      </c>
      <c r="D67" s="15">
        <v>0.63</v>
      </c>
      <c r="E67" s="11">
        <f t="shared" si="16"/>
        <v>38.936261888314569</v>
      </c>
      <c r="F67" s="11">
        <f t="shared" si="17"/>
        <v>31.149009510651656</v>
      </c>
      <c r="G67" s="15">
        <v>2.5000000000000001E-2</v>
      </c>
      <c r="H67" s="11">
        <f t="shared" si="18"/>
        <v>1.5450897574728004</v>
      </c>
      <c r="I67" s="15">
        <v>0.04</v>
      </c>
      <c r="J67" s="11">
        <f t="shared" si="19"/>
        <v>2.4721436119564806</v>
      </c>
      <c r="K67" s="11">
        <f t="shared" si="23"/>
        <v>0</v>
      </c>
      <c r="L67" s="11">
        <f t="shared" si="20"/>
        <v>30.221955656167975</v>
      </c>
      <c r="M67" s="23">
        <f>1/(1+$B$60)^5</f>
        <v>0.71632725225733762</v>
      </c>
      <c r="N67" s="11">
        <f t="shared" si="21"/>
        <v>21.648810453025909</v>
      </c>
    </row>
    <row r="68" spans="1:14">
      <c r="A68" s="24">
        <v>6</v>
      </c>
      <c r="B68" s="15">
        <v>0.09</v>
      </c>
      <c r="C68" s="11">
        <f t="shared" si="22"/>
        <v>67.365913425814099</v>
      </c>
      <c r="D68" s="15">
        <v>0.63</v>
      </c>
      <c r="E68" s="11">
        <f t="shared" si="16"/>
        <v>42.440525458262883</v>
      </c>
      <c r="F68" s="11">
        <f t="shared" si="17"/>
        <v>33.952420366610305</v>
      </c>
      <c r="G68" s="15">
        <v>2.5000000000000001E-2</v>
      </c>
      <c r="H68" s="11">
        <f t="shared" si="18"/>
        <v>1.6841478356453525</v>
      </c>
      <c r="I68" s="15">
        <v>0.04</v>
      </c>
      <c r="J68" s="11">
        <f t="shared" si="19"/>
        <v>2.6946365370325642</v>
      </c>
      <c r="K68" s="11">
        <f t="shared" si="23"/>
        <v>0</v>
      </c>
      <c r="L68" s="11">
        <f t="shared" si="20"/>
        <v>32.941931665223095</v>
      </c>
      <c r="M68" s="23">
        <f>1/(1+$B$60)^6</f>
        <v>0.67009097498347769</v>
      </c>
      <c r="N68" s="11">
        <f t="shared" si="21"/>
        <v>22.07409110738844</v>
      </c>
    </row>
    <row r="69" spans="1:14">
      <c r="A69" s="24">
        <v>7</v>
      </c>
      <c r="B69" s="15">
        <v>8.5000000000000006E-2</v>
      </c>
      <c r="C69" s="11">
        <f t="shared" si="22"/>
        <v>73.092016067008302</v>
      </c>
      <c r="D69" s="15">
        <v>0.625</v>
      </c>
      <c r="E69" s="11">
        <f t="shared" si="16"/>
        <v>45.682510041880192</v>
      </c>
      <c r="F69" s="11">
        <f t="shared" si="17"/>
        <v>36.546008033504158</v>
      </c>
      <c r="G69" s="15">
        <v>2.5000000000000001E-2</v>
      </c>
      <c r="H69" s="11">
        <f t="shared" si="18"/>
        <v>1.8273004016752077</v>
      </c>
      <c r="I69" s="15">
        <v>0.04</v>
      </c>
      <c r="J69" s="11">
        <f t="shared" si="19"/>
        <v>2.9236806426803321</v>
      </c>
      <c r="K69" s="11">
        <f t="shared" si="23"/>
        <v>0</v>
      </c>
      <c r="L69" s="11">
        <f t="shared" si="20"/>
        <v>35.449627792499037</v>
      </c>
      <c r="M69" s="23">
        <f>1/(1+$B$60)^7</f>
        <v>0.62683907856265442</v>
      </c>
      <c r="N69" s="11">
        <f t="shared" si="21"/>
        <v>22.221212020839161</v>
      </c>
    </row>
    <row r="70" spans="1:14">
      <c r="A70" s="24">
        <v>8</v>
      </c>
      <c r="B70" s="15">
        <v>0.08</v>
      </c>
      <c r="C70" s="11">
        <f t="shared" si="22"/>
        <v>78.939377352368965</v>
      </c>
      <c r="D70" s="15">
        <v>0.62</v>
      </c>
      <c r="E70" s="11">
        <f t="shared" si="16"/>
        <v>48.942413958468755</v>
      </c>
      <c r="F70" s="11">
        <f t="shared" si="17"/>
        <v>39.15393116677501</v>
      </c>
      <c r="G70" s="15">
        <v>2.5000000000000001E-2</v>
      </c>
      <c r="H70" s="11">
        <f t="shared" si="18"/>
        <v>1.9734844338092241</v>
      </c>
      <c r="I70" s="15">
        <v>0.04</v>
      </c>
      <c r="J70" s="11">
        <f t="shared" si="19"/>
        <v>3.1575750940947587</v>
      </c>
      <c r="K70" s="11">
        <f t="shared" si="23"/>
        <v>0</v>
      </c>
      <c r="L70" s="11">
        <f t="shared" si="20"/>
        <v>37.969840506489476</v>
      </c>
      <c r="M70" s="23">
        <f>1/(1+$B$60)^8</f>
        <v>0.58637893223821758</v>
      </c>
      <c r="N70" s="11">
        <f t="shared" si="21"/>
        <v>22.264714533450721</v>
      </c>
    </row>
    <row r="71" spans="1:14">
      <c r="A71" s="24">
        <v>9</v>
      </c>
      <c r="B71" s="15">
        <v>7.0000000000000007E-2</v>
      </c>
      <c r="C71" s="11">
        <f t="shared" si="22"/>
        <v>84.4651337670348</v>
      </c>
      <c r="D71" s="15">
        <v>0.62</v>
      </c>
      <c r="E71" s="11">
        <f t="shared" si="16"/>
        <v>52.368382935561577</v>
      </c>
      <c r="F71" s="11">
        <f t="shared" si="17"/>
        <v>41.894706348449262</v>
      </c>
      <c r="G71" s="15">
        <v>2.5000000000000001E-2</v>
      </c>
      <c r="H71" s="11">
        <f t="shared" si="18"/>
        <v>2.1116283441758701</v>
      </c>
      <c r="I71" s="15">
        <v>0.04</v>
      </c>
      <c r="J71" s="11">
        <f t="shared" si="19"/>
        <v>3.3786053506813922</v>
      </c>
      <c r="K71" s="11">
        <f t="shared" si="23"/>
        <v>0</v>
      </c>
      <c r="L71" s="11">
        <f t="shared" si="20"/>
        <v>40.627729341943741</v>
      </c>
      <c r="M71" s="23">
        <f>1/(1+$B$60)^9</f>
        <v>0.54853033885707914</v>
      </c>
      <c r="N71" s="11">
        <f t="shared" si="21"/>
        <v>22.285542142930097</v>
      </c>
    </row>
    <row r="72" spans="1:14">
      <c r="A72" s="24">
        <v>10</v>
      </c>
      <c r="B72" s="15">
        <v>6.5000000000000002E-2</v>
      </c>
      <c r="C72" s="11">
        <f t="shared" si="22"/>
        <v>89.955367461892052</v>
      </c>
      <c r="D72" s="15">
        <v>0.61499999999999999</v>
      </c>
      <c r="E72" s="11">
        <f t="shared" si="16"/>
        <v>55.322550989063615</v>
      </c>
      <c r="F72" s="11">
        <f t="shared" si="17"/>
        <v>44.258040791250892</v>
      </c>
      <c r="G72" s="15">
        <v>2.5000000000000001E-2</v>
      </c>
      <c r="H72" s="11">
        <f t="shared" si="18"/>
        <v>2.2488841865473015</v>
      </c>
      <c r="I72" s="15">
        <v>0.04</v>
      </c>
      <c r="J72" s="11">
        <f t="shared" si="19"/>
        <v>3.5982146984756822</v>
      </c>
      <c r="K72" s="11">
        <f t="shared" si="23"/>
        <v>0</v>
      </c>
      <c r="L72" s="11">
        <f t="shared" si="20"/>
        <v>42.908710279322513</v>
      </c>
      <c r="M72" s="23">
        <f>1/(1+$B$60)^10</f>
        <v>0.51312473232654743</v>
      </c>
      <c r="N72" s="11">
        <f t="shared" si="21"/>
        <v>22.01752047655474</v>
      </c>
    </row>
    <row r="73" spans="1:14">
      <c r="A73" s="18" t="s">
        <v>183</v>
      </c>
      <c r="B73" s="11">
        <f>L72*(1+$D$60)/($B$60-$D$60)</f>
        <v>1196.8051083313737</v>
      </c>
    </row>
    <row r="74" spans="1:14">
      <c r="A74" s="6" t="s">
        <v>184</v>
      </c>
      <c r="B74" s="11">
        <f>B73/(1+$B$60)^10</f>
        <v>614.11030085958066</v>
      </c>
    </row>
    <row r="75" spans="1:14">
      <c r="A75" s="18" t="s">
        <v>185</v>
      </c>
      <c r="B75" s="11">
        <f>SUM(N63:N72)+B74</f>
        <v>824.47575735793771</v>
      </c>
    </row>
    <row r="76" spans="1:14">
      <c r="A76" s="6" t="s">
        <v>186</v>
      </c>
      <c r="B76" s="11">
        <f>$B$8</f>
        <v>13.034000000000001</v>
      </c>
    </row>
    <row r="77" spans="1:14">
      <c r="A77" s="18" t="s">
        <v>187</v>
      </c>
      <c r="B77" s="11">
        <f>B75-B76</f>
        <v>811.44175735793772</v>
      </c>
    </row>
    <row r="78" spans="1:14">
      <c r="A78" s="18" t="s">
        <v>188</v>
      </c>
      <c r="B78" s="7">
        <f>B77/$B$10</f>
        <v>918.96008760808343</v>
      </c>
      <c r="C78" s="6" t="s">
        <v>193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194</v>
      </c>
    </row>
    <row r="2" spans="1:7" ht="15.6">
      <c r="A2" s="27" t="s">
        <v>195</v>
      </c>
      <c r="B2" s="28"/>
      <c r="C2" s="28"/>
      <c r="D2" s="28"/>
      <c r="E2" s="28"/>
      <c r="F2" s="28"/>
      <c r="G2" s="28"/>
    </row>
    <row r="4" spans="1:7">
      <c r="A4" s="5" t="s">
        <v>170</v>
      </c>
      <c r="B4" s="5" t="s">
        <v>188</v>
      </c>
    </row>
    <row r="5" spans="1:7">
      <c r="A5" s="15">
        <v>5.8000000000000003E-2</v>
      </c>
      <c r="B5" s="25">
        <v>1076</v>
      </c>
    </row>
    <row r="6" spans="1:7">
      <c r="A6" s="15">
        <v>6.0999999999999999E-2</v>
      </c>
      <c r="B6" s="25">
        <v>967</v>
      </c>
    </row>
    <row r="7" spans="1:7">
      <c r="A7" s="15">
        <v>6.4000000000000001E-2</v>
      </c>
      <c r="B7" s="25">
        <v>877</v>
      </c>
    </row>
    <row r="8" spans="1:7">
      <c r="A8" s="15">
        <v>6.9000000000000006E-2</v>
      </c>
      <c r="B8" s="25">
        <v>758</v>
      </c>
    </row>
    <row r="9" spans="1:7">
      <c r="A9" s="15">
        <v>7.3999999999999996E-2</v>
      </c>
      <c r="B9" s="25">
        <v>666</v>
      </c>
    </row>
    <row r="10" spans="1:7">
      <c r="A10" s="15">
        <v>7.9000000000000001E-2</v>
      </c>
      <c r="B10" s="25">
        <v>593</v>
      </c>
    </row>
    <row r="11" spans="1:7">
      <c r="A11" s="15">
        <v>8.4000000000000005E-2</v>
      </c>
      <c r="B11" s="25">
        <v>534</v>
      </c>
    </row>
    <row r="12" spans="1:7">
      <c r="A12" s="15">
        <v>8.8999999999999996E-2</v>
      </c>
      <c r="B12" s="25">
        <v>485</v>
      </c>
    </row>
    <row r="14" spans="1:7">
      <c r="A14" s="5" t="s">
        <v>196</v>
      </c>
      <c r="B14" s="5" t="s">
        <v>188</v>
      </c>
    </row>
    <row r="15" spans="1:7">
      <c r="A15" s="15">
        <v>1.2E-2</v>
      </c>
      <c r="B15" s="25">
        <v>698</v>
      </c>
    </row>
    <row r="16" spans="1:7">
      <c r="A16" s="15">
        <v>2.1999999999999999E-2</v>
      </c>
      <c r="B16" s="25">
        <v>688</v>
      </c>
    </row>
    <row r="17" spans="1:3">
      <c r="A17" s="15">
        <v>3.2000000000000001E-2</v>
      </c>
      <c r="B17" s="25">
        <v>677</v>
      </c>
    </row>
    <row r="18" spans="1:3">
      <c r="A18" s="15">
        <v>4.2000000000000003E-2</v>
      </c>
      <c r="B18" s="25">
        <v>666</v>
      </c>
    </row>
    <row r="19" spans="1:3">
      <c r="A19" s="15">
        <v>5.1999999999999998E-2</v>
      </c>
      <c r="B19" s="25">
        <v>656</v>
      </c>
    </row>
    <row r="20" spans="1:3">
      <c r="A20" s="15">
        <v>6.2E-2</v>
      </c>
      <c r="B20" s="25">
        <v>645</v>
      </c>
    </row>
    <row r="23" spans="1:3">
      <c r="A23" s="5" t="s">
        <v>197</v>
      </c>
      <c r="B23" s="5" t="s">
        <v>188</v>
      </c>
    </row>
    <row r="24" spans="1:3">
      <c r="A24" s="15">
        <v>0.54</v>
      </c>
      <c r="B24" s="25">
        <v>615</v>
      </c>
    </row>
    <row r="25" spans="1:3">
      <c r="A25" s="15">
        <v>0.56000000000000005</v>
      </c>
      <c r="B25" s="25">
        <v>632</v>
      </c>
    </row>
    <row r="26" spans="1:3">
      <c r="A26" s="15">
        <v>0.57999999999999996</v>
      </c>
      <c r="B26" s="25">
        <v>649</v>
      </c>
    </row>
    <row r="27" spans="1:3">
      <c r="A27" s="15">
        <v>0.6</v>
      </c>
      <c r="B27" s="25">
        <v>666</v>
      </c>
    </row>
    <row r="28" spans="1:3">
      <c r="A28" s="15">
        <v>0.62</v>
      </c>
      <c r="B28" s="25">
        <v>683</v>
      </c>
    </row>
    <row r="29" spans="1:3">
      <c r="A29" s="15">
        <v>0.64</v>
      </c>
      <c r="B29" s="25">
        <v>700</v>
      </c>
    </row>
    <row r="30" spans="1:3">
      <c r="A30" s="15">
        <v>0.66</v>
      </c>
      <c r="B30" s="25">
        <v>718</v>
      </c>
    </row>
    <row r="32" spans="1:3" ht="16.2">
      <c r="A32" s="3" t="s">
        <v>198</v>
      </c>
      <c r="B32" s="4"/>
      <c r="C32" s="4"/>
    </row>
    <row r="33" spans="1:7">
      <c r="A33" s="6" t="s">
        <v>199</v>
      </c>
      <c r="B33" s="15">
        <v>7.558994996934415E-2</v>
      </c>
    </row>
    <row r="34" spans="1:7">
      <c r="A34" s="6" t="s">
        <v>200</v>
      </c>
      <c r="B34" s="15">
        <v>8.4317393932608731E-2</v>
      </c>
    </row>
    <row r="36" spans="1:7" ht="16.2">
      <c r="A36" s="3" t="s">
        <v>201</v>
      </c>
      <c r="B36" s="4"/>
      <c r="C36" s="4"/>
      <c r="D36" s="4"/>
      <c r="E36" s="4"/>
      <c r="F36" s="4"/>
      <c r="G36" s="4"/>
    </row>
    <row r="37" spans="1:7">
      <c r="A37" s="5" t="s">
        <v>202</v>
      </c>
      <c r="B37" s="5" t="s">
        <v>188</v>
      </c>
      <c r="C37" s="5" t="s">
        <v>203</v>
      </c>
      <c r="D37" s="5" t="s">
        <v>204</v>
      </c>
    </row>
    <row r="38" spans="1:7">
      <c r="A38" s="6" t="s">
        <v>205</v>
      </c>
      <c r="B38" s="26" t="s">
        <v>206</v>
      </c>
      <c r="C38" s="26" t="s">
        <v>207</v>
      </c>
      <c r="D38" s="26" t="s">
        <v>208</v>
      </c>
    </row>
    <row r="39" spans="1:7">
      <c r="A39" s="6" t="s">
        <v>209</v>
      </c>
      <c r="B39" s="26" t="s">
        <v>210</v>
      </c>
      <c r="C39" s="26" t="s">
        <v>211</v>
      </c>
      <c r="D39" s="26" t="s">
        <v>212</v>
      </c>
    </row>
    <row r="40" spans="1:7">
      <c r="A40" s="6" t="s">
        <v>213</v>
      </c>
      <c r="B40" s="26" t="s">
        <v>58</v>
      </c>
      <c r="C40" s="26" t="s">
        <v>214</v>
      </c>
      <c r="D40" s="26" t="s">
        <v>215</v>
      </c>
    </row>
    <row r="41" spans="1:7">
      <c r="A41" s="6" t="s">
        <v>216</v>
      </c>
      <c r="B41" s="26" t="s">
        <v>58</v>
      </c>
      <c r="C41" s="26" t="s">
        <v>217</v>
      </c>
      <c r="D41" s="26" t="s">
        <v>218</v>
      </c>
    </row>
    <row r="42" spans="1:7" ht="40.049999999999997" customHeight="1">
      <c r="A42" s="32" t="s">
        <v>219</v>
      </c>
      <c r="B42" s="28"/>
      <c r="C42" s="28"/>
      <c r="D42" s="28"/>
      <c r="E42" s="28"/>
      <c r="F42" s="28"/>
      <c r="G42" s="28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220</v>
      </c>
    </row>
    <row r="2" spans="1:4" ht="15.6">
      <c r="A2" s="27" t="s">
        <v>221</v>
      </c>
      <c r="B2" s="28"/>
      <c r="C2" s="28"/>
      <c r="D2" s="28"/>
    </row>
    <row r="4" spans="1:4">
      <c r="A4" s="5" t="s">
        <v>222</v>
      </c>
      <c r="B4" s="5" t="s">
        <v>223</v>
      </c>
      <c r="C4" s="5" t="s">
        <v>224</v>
      </c>
      <c r="D4" s="5" t="s">
        <v>225</v>
      </c>
    </row>
    <row r="5" spans="1:4">
      <c r="A5" s="6" t="s">
        <v>226</v>
      </c>
      <c r="B5" s="6" t="s">
        <v>227</v>
      </c>
      <c r="C5" s="22" t="s">
        <v>228</v>
      </c>
      <c r="D5" s="8" t="s">
        <v>229</v>
      </c>
    </row>
    <row r="6" spans="1:4">
      <c r="A6" s="6" t="s">
        <v>230</v>
      </c>
      <c r="B6" s="6" t="s">
        <v>227</v>
      </c>
      <c r="C6" s="22" t="s">
        <v>228</v>
      </c>
      <c r="D6" s="8" t="s">
        <v>231</v>
      </c>
    </row>
    <row r="7" spans="1:4">
      <c r="A7" s="6" t="s">
        <v>232</v>
      </c>
      <c r="B7" s="6" t="s">
        <v>227</v>
      </c>
      <c r="C7" s="22" t="s">
        <v>233</v>
      </c>
      <c r="D7" s="8" t="s">
        <v>234</v>
      </c>
    </row>
    <row r="8" spans="1:4">
      <c r="A8" s="6" t="s">
        <v>235</v>
      </c>
      <c r="B8" s="6" t="s">
        <v>236</v>
      </c>
      <c r="C8" s="22" t="s">
        <v>237</v>
      </c>
      <c r="D8" s="8" t="s">
        <v>238</v>
      </c>
    </row>
    <row r="9" spans="1:4">
      <c r="A9" s="6" t="s">
        <v>239</v>
      </c>
      <c r="B9" s="6" t="s">
        <v>240</v>
      </c>
      <c r="C9" s="22" t="s">
        <v>237</v>
      </c>
      <c r="D9" s="8" t="s">
        <v>241</v>
      </c>
    </row>
    <row r="12" spans="1:4" ht="15">
      <c r="A12" s="31" t="s">
        <v>242</v>
      </c>
      <c r="B12" s="28"/>
      <c r="C12" s="28"/>
      <c r="D12" s="28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2026-10-29T09:03:28Z</dcterms:created>
  <dcterms:modified xsi:type="dcterms:W3CDTF">2026-10-29T10:34:31Z</dcterms:modified>
</cp:coreProperties>
</file>