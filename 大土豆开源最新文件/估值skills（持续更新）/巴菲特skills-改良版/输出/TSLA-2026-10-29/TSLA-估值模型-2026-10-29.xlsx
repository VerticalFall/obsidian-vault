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cuments\Obsidian Vault\大土豆开源最新文件\估值skills（持续更新）\巴菲特skills-改良版\输出\TSLA-2026-10-29\"/>
    </mc:Choice>
  </mc:AlternateContent>
  <xr:revisionPtr revIDLastSave="0" documentId="13_ncr:1_{5F2F2B12-5AB1-4688-A2D9-13849FEAC2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结论" sheetId="1" r:id="rId1"/>
    <sheet name="历史财务" sheetId="2" r:id="rId2"/>
    <sheet name="分部" sheetId="3" r:id="rId3"/>
    <sheet name="FCFF桥" sheetId="4" r:id="rId4"/>
    <sheet name="DCF" sheetId="5" r:id="rId5"/>
    <sheet name="敏感性" sheetId="6" r:id="rId6"/>
    <sheet name="来源" sheetId="7" r:id="rId7"/>
  </sheets>
  <definedNames>
    <definedName name="_xlnm.Print_Area" localSheetId="4">DCF!$A$1:$N$78</definedName>
    <definedName name="_xlnm.Print_Area" localSheetId="3">FCFF桥!$A$1:$C$27</definedName>
    <definedName name="_xlnm.Print_Area" localSheetId="2">分部!$A$1:$F$30</definedName>
    <definedName name="_xlnm.Print_Area" localSheetId="0">结论!$A$1:$M$45</definedName>
    <definedName name="_xlnm.Print_Area" localSheetId="6">来源!$A$1:$D$14</definedName>
    <definedName name="_xlnm.Print_Area" localSheetId="1">历史财务!$A$1:$H$27</definedName>
    <definedName name="_xlnm.Print_Area" localSheetId="5">敏感性!$A$1:$G$43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5" l="1"/>
  <c r="M72" i="5"/>
  <c r="M71" i="5"/>
  <c r="M70" i="5"/>
  <c r="M69" i="5"/>
  <c r="M68" i="5"/>
  <c r="M67" i="5"/>
  <c r="M66" i="5"/>
  <c r="M65" i="5"/>
  <c r="M64" i="5"/>
  <c r="M63" i="5"/>
  <c r="C63" i="5"/>
  <c r="B53" i="5"/>
  <c r="M49" i="5"/>
  <c r="M48" i="5"/>
  <c r="M47" i="5"/>
  <c r="M46" i="5"/>
  <c r="M45" i="5"/>
  <c r="M44" i="5"/>
  <c r="M43" i="5"/>
  <c r="M42" i="5"/>
  <c r="M41" i="5"/>
  <c r="M40" i="5"/>
  <c r="C40" i="5"/>
  <c r="B30" i="5"/>
  <c r="M26" i="5"/>
  <c r="M25" i="5"/>
  <c r="M24" i="5"/>
  <c r="M23" i="5"/>
  <c r="M22" i="5"/>
  <c r="M21" i="5"/>
  <c r="M20" i="5"/>
  <c r="M19" i="5"/>
  <c r="M18" i="5"/>
  <c r="M17" i="5"/>
  <c r="C17" i="5"/>
  <c r="B18" i="4"/>
  <c r="B17" i="4"/>
  <c r="B15" i="4"/>
  <c r="B7" i="4"/>
  <c r="B12" i="4" s="1"/>
  <c r="B16" i="4" s="1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D35" i="1"/>
  <c r="C35" i="1"/>
  <c r="D34" i="1"/>
  <c r="C34" i="1"/>
  <c r="D33" i="1"/>
  <c r="C33" i="1"/>
  <c r="B28" i="1"/>
  <c r="B24" i="1"/>
  <c r="B23" i="1"/>
  <c r="B12" i="1"/>
  <c r="J63" i="5" l="1"/>
  <c r="H63" i="5"/>
  <c r="C64" i="5"/>
  <c r="K63" i="5"/>
  <c r="E63" i="5"/>
  <c r="F63" i="5" s="1"/>
  <c r="C41" i="5"/>
  <c r="J40" i="5"/>
  <c r="E40" i="5"/>
  <c r="F40" i="5" s="1"/>
  <c r="H40" i="5"/>
  <c r="K40" i="5"/>
  <c r="K17" i="5"/>
  <c r="H17" i="5"/>
  <c r="E17" i="5"/>
  <c r="F17" i="5" s="1"/>
  <c r="C18" i="5"/>
  <c r="J17" i="5"/>
  <c r="B25" i="1"/>
  <c r="B14" i="1"/>
  <c r="J64" i="5" l="1"/>
  <c r="C65" i="5"/>
  <c r="E64" i="5"/>
  <c r="F64" i="5" s="1"/>
  <c r="H64" i="5"/>
  <c r="K64" i="5"/>
  <c r="C42" i="5"/>
  <c r="H41" i="5"/>
  <c r="E41" i="5"/>
  <c r="F41" i="5" s="1"/>
  <c r="J41" i="5"/>
  <c r="K41" i="5"/>
  <c r="E18" i="5"/>
  <c r="F18" i="5" s="1"/>
  <c r="H18" i="5"/>
  <c r="J18" i="5"/>
  <c r="K18" i="5"/>
  <c r="C19" i="5"/>
  <c r="B26" i="1"/>
  <c r="B22" i="1"/>
  <c r="L40" i="5"/>
  <c r="N40" i="5" s="1"/>
  <c r="L63" i="5"/>
  <c r="N63" i="5" s="1"/>
  <c r="L17" i="5"/>
  <c r="N17" i="5" s="1"/>
  <c r="L64" i="5" l="1"/>
  <c r="N64" i="5" s="1"/>
  <c r="E65" i="5"/>
  <c r="F65" i="5" s="1"/>
  <c r="H65" i="5"/>
  <c r="J65" i="5"/>
  <c r="K65" i="5"/>
  <c r="C66" i="5"/>
  <c r="E42" i="5"/>
  <c r="F42" i="5" s="1"/>
  <c r="J42" i="5"/>
  <c r="C43" i="5"/>
  <c r="H42" i="5"/>
  <c r="K42" i="5"/>
  <c r="E19" i="5"/>
  <c r="F19" i="5" s="1"/>
  <c r="H19" i="5"/>
  <c r="J19" i="5"/>
  <c r="K19" i="5"/>
  <c r="C20" i="5"/>
  <c r="L41" i="5"/>
  <c r="N41" i="5" s="1"/>
  <c r="L18" i="5"/>
  <c r="N18" i="5" s="1"/>
  <c r="L19" i="5" l="1"/>
  <c r="N19" i="5" s="1"/>
  <c r="E66" i="5"/>
  <c r="F66" i="5" s="1"/>
  <c r="H66" i="5"/>
  <c r="J66" i="5"/>
  <c r="K66" i="5"/>
  <c r="C67" i="5"/>
  <c r="K43" i="5"/>
  <c r="C44" i="5"/>
  <c r="H43" i="5"/>
  <c r="E43" i="5"/>
  <c r="F43" i="5" s="1"/>
  <c r="J43" i="5"/>
  <c r="E20" i="5"/>
  <c r="F20" i="5" s="1"/>
  <c r="H20" i="5"/>
  <c r="J20" i="5"/>
  <c r="K20" i="5"/>
  <c r="C21" i="5"/>
  <c r="L65" i="5"/>
  <c r="N65" i="5" s="1"/>
  <c r="L42" i="5"/>
  <c r="N42" i="5" s="1"/>
  <c r="E67" i="5" l="1"/>
  <c r="F67" i="5" s="1"/>
  <c r="H67" i="5"/>
  <c r="J67" i="5"/>
  <c r="K67" i="5"/>
  <c r="C68" i="5"/>
  <c r="K44" i="5"/>
  <c r="J44" i="5"/>
  <c r="E44" i="5"/>
  <c r="F44" i="5" s="1"/>
  <c r="H44" i="5"/>
  <c r="C45" i="5"/>
  <c r="H21" i="5"/>
  <c r="K21" i="5"/>
  <c r="C22" i="5"/>
  <c r="E21" i="5"/>
  <c r="F21" i="5" s="1"/>
  <c r="L21" i="5" s="1"/>
  <c r="N21" i="5" s="1"/>
  <c r="J21" i="5"/>
  <c r="L66" i="5"/>
  <c r="N66" i="5" s="1"/>
  <c r="L43" i="5"/>
  <c r="N43" i="5" s="1"/>
  <c r="L20" i="5"/>
  <c r="N20" i="5" s="1"/>
  <c r="L44" i="5" l="1"/>
  <c r="N44" i="5" s="1"/>
  <c r="E68" i="5"/>
  <c r="F68" i="5" s="1"/>
  <c r="H68" i="5"/>
  <c r="J68" i="5"/>
  <c r="K68" i="5"/>
  <c r="C69" i="5"/>
  <c r="K45" i="5"/>
  <c r="C46" i="5"/>
  <c r="J45" i="5"/>
  <c r="E45" i="5"/>
  <c r="F45" i="5" s="1"/>
  <c r="L45" i="5" s="1"/>
  <c r="N45" i="5" s="1"/>
  <c r="H45" i="5"/>
  <c r="E22" i="5"/>
  <c r="F22" i="5" s="1"/>
  <c r="H22" i="5"/>
  <c r="J22" i="5"/>
  <c r="K22" i="5"/>
  <c r="C23" i="5"/>
  <c r="L67" i="5"/>
  <c r="N67" i="5" s="1"/>
  <c r="L68" i="5" l="1"/>
  <c r="N68" i="5" s="1"/>
  <c r="E69" i="5"/>
  <c r="F69" i="5" s="1"/>
  <c r="H69" i="5"/>
  <c r="J69" i="5"/>
  <c r="K69" i="5"/>
  <c r="C70" i="5"/>
  <c r="E46" i="5"/>
  <c r="F46" i="5" s="1"/>
  <c r="H46" i="5"/>
  <c r="K46" i="5"/>
  <c r="C47" i="5"/>
  <c r="J46" i="5"/>
  <c r="E23" i="5"/>
  <c r="F23" i="5" s="1"/>
  <c r="H23" i="5"/>
  <c r="J23" i="5"/>
  <c r="K23" i="5"/>
  <c r="C24" i="5"/>
  <c r="L22" i="5"/>
  <c r="N22" i="5" s="1"/>
  <c r="L23" i="5" l="1"/>
  <c r="N23" i="5" s="1"/>
  <c r="E70" i="5"/>
  <c r="F70" i="5" s="1"/>
  <c r="H70" i="5"/>
  <c r="J70" i="5"/>
  <c r="K70" i="5"/>
  <c r="C71" i="5"/>
  <c r="J47" i="5"/>
  <c r="C48" i="5"/>
  <c r="E47" i="5"/>
  <c r="F47" i="5" s="1"/>
  <c r="L47" i="5" s="1"/>
  <c r="N47" i="5" s="1"/>
  <c r="H47" i="5"/>
  <c r="K47" i="5"/>
  <c r="E24" i="5"/>
  <c r="F24" i="5" s="1"/>
  <c r="H24" i="5"/>
  <c r="J24" i="5"/>
  <c r="K24" i="5"/>
  <c r="C25" i="5"/>
  <c r="L69" i="5"/>
  <c r="N69" i="5" s="1"/>
  <c r="L46" i="5"/>
  <c r="N46" i="5" s="1"/>
  <c r="E71" i="5" l="1"/>
  <c r="F71" i="5" s="1"/>
  <c r="H71" i="5"/>
  <c r="J71" i="5"/>
  <c r="K71" i="5"/>
  <c r="C72" i="5"/>
  <c r="C49" i="5"/>
  <c r="K48" i="5"/>
  <c r="E48" i="5"/>
  <c r="F48" i="5" s="1"/>
  <c r="H48" i="5"/>
  <c r="J48" i="5"/>
  <c r="E25" i="5"/>
  <c r="F25" i="5" s="1"/>
  <c r="H25" i="5"/>
  <c r="J25" i="5"/>
  <c r="K25" i="5"/>
  <c r="C26" i="5"/>
  <c r="L70" i="5"/>
  <c r="N70" i="5" s="1"/>
  <c r="L24" i="5"/>
  <c r="N24" i="5" s="1"/>
  <c r="L48" i="5" l="1"/>
  <c r="N48" i="5" s="1"/>
  <c r="E72" i="5"/>
  <c r="F72" i="5" s="1"/>
  <c r="H72" i="5"/>
  <c r="J72" i="5"/>
  <c r="K72" i="5"/>
  <c r="J49" i="5"/>
  <c r="H49" i="5"/>
  <c r="K49" i="5"/>
  <c r="E49" i="5"/>
  <c r="F49" i="5" s="1"/>
  <c r="E26" i="5"/>
  <c r="F26" i="5" s="1"/>
  <c r="H26" i="5"/>
  <c r="J26" i="5"/>
  <c r="K26" i="5"/>
  <c r="L25" i="5"/>
  <c r="N25" i="5" s="1"/>
  <c r="L71" i="5"/>
  <c r="N71" i="5" s="1"/>
  <c r="L26" i="5" l="1"/>
  <c r="N26" i="5" s="1"/>
  <c r="B29" i="5" s="1"/>
  <c r="B31" i="5" s="1"/>
  <c r="B32" i="5" s="1"/>
  <c r="B27" i="5"/>
  <c r="B28" i="5" s="1"/>
  <c r="L49" i="5"/>
  <c r="L72" i="5"/>
  <c r="N49" i="5" l="1"/>
  <c r="B50" i="5"/>
  <c r="B51" i="5" s="1"/>
  <c r="B52" i="5" s="1"/>
  <c r="B54" i="5" s="1"/>
  <c r="B55" i="5" s="1"/>
  <c r="B73" i="5"/>
  <c r="B74" i="5" s="1"/>
  <c r="N72" i="5"/>
  <c r="B75" i="5" l="1"/>
  <c r="B77" i="5" s="1"/>
  <c r="B78" i="5" s="1"/>
</calcChain>
</file>

<file path=xl/sharedStrings.xml><?xml version="1.0" encoding="utf-8"?>
<sst xmlns="http://schemas.openxmlformats.org/spreadsheetml/2006/main" count="319" uniqueCount="236">
  <si>
    <t>特斯拉（TSLA）巴菲特框架估值</t>
  </si>
  <si>
    <t>研究日 2026-10-29｜收盘价 $404.22｜最新财报：2026 Q3（2026-09-30）</t>
  </si>
  <si>
    <t>市值按 3.953B 股计算；净负债 = 债务 + 融资租赁 − 现金及有价证券。数据边界见报告第 1 节。</t>
  </si>
  <si>
    <t>一句话结论</t>
  </si>
  <si>
    <t>生意质量一般，价格却把 Robotaxi 与 Optimus 的成功当成基准情形。核心汽车业务撑不起当前市值，估值是期权定价。结论：昂贵，没有安全边际。</t>
  </si>
  <si>
    <t>关键数据（十亿美元 / 倍 / 百分比）</t>
  </si>
  <si>
    <t>项目</t>
  </si>
  <si>
    <t>数值</t>
  </si>
  <si>
    <t>备注</t>
  </si>
  <si>
    <t>收盘价（美元）</t>
  </si>
  <si>
    <t>2026-10-28 收盘</t>
  </si>
  <si>
    <t>期末股数（十亿股）</t>
  </si>
  <si>
    <t>最新 10-Q/10-K 封面</t>
  </si>
  <si>
    <t>市值（十亿美元）</t>
  </si>
  <si>
    <t>价格 × 股数</t>
  </si>
  <si>
    <t>净负债（含融资租赁）</t>
  </si>
  <si>
    <t>正数为净负债，负数为净现金</t>
  </si>
  <si>
    <t>企业价值（十亿美元）</t>
  </si>
  <si>
    <t>市值 + 净负债</t>
  </si>
  <si>
    <t>TTM 收入</t>
  </si>
  <si>
    <t>最近四个季度</t>
  </si>
  <si>
    <t>TTM 经营利润</t>
  </si>
  <si>
    <t>剔除利息与投资收益</t>
  </si>
  <si>
    <t>TTM NOPAT</t>
  </si>
  <si>
    <t>经营利润 × (1−20%)</t>
  </si>
  <si>
    <t>TTM 自由现金流</t>
  </si>
  <si>
    <t>CFO − 现金 capex</t>
  </si>
  <si>
    <t>NTM 收入（DCF 第 1 年）</t>
  </si>
  <si>
    <t>按基准情景第 1 年增速</t>
  </si>
  <si>
    <t>TTM EPS（美元）</t>
  </si>
  <si>
    <t>稀释口径；GAAP</t>
  </si>
  <si>
    <t>2026E EPS（美元）</t>
  </si>
  <si>
    <t>本文估计/一致预期，见报告</t>
  </si>
  <si>
    <t>EV / TTM EBIT</t>
  </si>
  <si>
    <t>企业价值 / 经营利润</t>
  </si>
  <si>
    <t>P/E TTM</t>
  </si>
  <si>
    <t>价格 / TTM EPS</t>
  </si>
  <si>
    <t>P/E 前瞻</t>
  </si>
  <si>
    <t>价格 / 前瞻 EPS</t>
  </si>
  <si>
    <t>FCF 收益率</t>
  </si>
  <si>
    <t>TTM FCF / 市值</t>
  </si>
  <si>
    <t>EV / TTM FCF</t>
  </si>
  <si>
    <t>企业价值 / TTM FCF</t>
  </si>
  <si>
    <t>Capex / 收入</t>
  </si>
  <si>
    <t>TTM</t>
  </si>
  <si>
    <t>FCF / NOPAT</t>
  </si>
  <si>
    <t>现金转化率；&gt;100% 说明营运资金贡献</t>
  </si>
  <si>
    <t>股息率</t>
  </si>
  <si>
    <t>年化股息 / 价格</t>
  </si>
  <si>
    <t>情景</t>
  </si>
  <si>
    <t>每股价值（美元）</t>
  </si>
  <si>
    <t>较现价</t>
  </si>
  <si>
    <t>安全边际（1−价/值）</t>
  </si>
  <si>
    <t>IRR（核心 DCF）</t>
  </si>
  <si>
    <t>悲观</t>
  </si>
  <si>
    <t>基准</t>
  </si>
  <si>
    <t>乐观</t>
  </si>
  <si>
    <t>现价</t>
  </si>
  <si>
    <t>—</t>
  </si>
  <si>
    <t>注：每股价值为“核心 DCF + Robotaxi/Optimus 期权”的 SOTP；IRR 列仅为核心 DCF，不含期权。</t>
  </si>
  <si>
    <t>结论与观察条件</t>
  </si>
  <si>
    <t>• 核心汽车/能源 DCF 基准仅 $63；加上 Robotaxi/Optimus 期权，基准约 $163。</t>
  </si>
  <si>
    <t>• 悲观 $45；基准 $163；乐观 $546；概率加权约 $229。</t>
  </si>
  <si>
    <t>• 现价 $404 是基准的 2.5 倍，处于基准与乐观之间，隐含期权成功概率很高。</t>
  </si>
  <si>
    <t>• 若要求 20% 安全边际，观察价约 $130；但这仍是期权定价，不是传统价值锚。</t>
  </si>
  <si>
    <t>• 结论是“昂贵”，不是个性化卖出指令；若 Robotaxi 商业化超预期，需重做假设。</t>
  </si>
  <si>
    <t>• 这不是投资建议；所有假设与数据边界见报告。</t>
  </si>
  <si>
    <t>特斯拉五年财务与现金流（十亿美元，除每股数据）</t>
  </si>
  <si>
    <t>来源：公司 10-K/10-Q；TTM = 最近四个季度。</t>
  </si>
  <si>
    <t>FY2021</t>
  </si>
  <si>
    <t>FY2022</t>
  </si>
  <si>
    <t>FY2023</t>
  </si>
  <si>
    <t>FY2024</t>
  </si>
  <si>
    <t>FY2025</t>
  </si>
  <si>
    <t>收入</t>
  </si>
  <si>
    <t>年度 / TTM</t>
  </si>
  <si>
    <t>经营利润</t>
  </si>
  <si>
    <t>GAAP</t>
  </si>
  <si>
    <t>净利润</t>
  </si>
  <si>
    <t>经营现金流</t>
  </si>
  <si>
    <t>CFO</t>
  </si>
  <si>
    <t>资本开支（现金）</t>
  </si>
  <si>
    <t>现金 capex</t>
  </si>
  <si>
    <t>自由现金流</t>
  </si>
  <si>
    <t>CFO − capex</t>
  </si>
  <si>
    <t>稀释 EPS（美元）</t>
  </si>
  <si>
    <t>稀释</t>
  </si>
  <si>
    <t>稀释股数（十亿）</t>
  </si>
  <si>
    <t>加权平均</t>
  </si>
  <si>
    <t>收入增速</t>
  </si>
  <si>
    <t>经营利润率</t>
  </si>
  <si>
    <t>净利率</t>
  </si>
  <si>
    <t>FCF 利润率</t>
  </si>
  <si>
    <t>关键读数</t>
  </si>
  <si>
    <t>• FY2021–FY2025 收入 CAGR 约 15%；但 2024/2025 收入连续停滞，经营利润从 13.7B 降至 4.4B。</t>
  </si>
  <si>
    <t>• TTM 收入 103.6B，经营利润仅 3.5B（3.3% 利润率），净利 3.2B。</t>
  </si>
  <si>
    <t>• TTM capex 15.4B，超过经营利润 4.4 倍；FCF 仅 3.3B。</t>
  </si>
  <si>
    <t>• 汽车毛利率承压，能源储能是亮点但体量小（Q3 收入 2.9B）。</t>
  </si>
  <si>
    <t>• 当前市值对应约 450x EV/EBIT、499x P/E；估值几乎完全来自未落地的期权。</t>
  </si>
  <si>
    <t>特斯拉：分部与关键运营数据</t>
  </si>
  <si>
    <t>单位：十亿美元，另有注明除外；同比为公开披露口径。</t>
  </si>
  <si>
    <t>Q3 2026 分部</t>
  </si>
  <si>
    <t>单位：十亿美元；季度截至 2026-09-30。</t>
  </si>
  <si>
    <t>分部</t>
  </si>
  <si>
    <t>同比</t>
  </si>
  <si>
    <t>毛利</t>
  </si>
  <si>
    <t>毛利率</t>
  </si>
  <si>
    <t>Automotive &amp; services</t>
  </si>
  <si>
    <t>汽车 20.560；服务 4.605</t>
  </si>
  <si>
    <t>Energy generation &amp; storage</t>
  </si>
  <si>
    <t>储能部署 13.7GWh</t>
  </si>
  <si>
    <t>Total</t>
  </si>
  <si>
    <t>经营利润 0.718B；净利 0.787B</t>
  </si>
  <si>
    <t>Q3 2026 运营与现金指标</t>
  </si>
  <si>
    <t>单位见备注；同比为公开披露口径。</t>
  </si>
  <si>
    <t>指标</t>
  </si>
  <si>
    <t>交付量（辆）</t>
  </si>
  <si>
    <t>同比 -2%</t>
  </si>
  <si>
    <t>储能部署（GWh）</t>
  </si>
  <si>
    <t>历史高位</t>
  </si>
  <si>
    <t>FSD 订阅（百万）</t>
  </si>
  <si>
    <t>含买断与订阅</t>
  </si>
  <si>
    <t>调整后 EBITDA</t>
  </si>
  <si>
    <t>十亿美元</t>
  </si>
  <si>
    <t>资本开支</t>
  </si>
  <si>
    <t>十亿美元；Q3</t>
  </si>
  <si>
    <t>解读</t>
  </si>
  <si>
    <t>• 汽车与服务 Q3 收入 25.2B、毛利率 18.0%；能源 2.9B、毛利率 33.1%。</t>
  </si>
  <si>
    <t>• Q3 交付 486,532 辆，同比 -2%；FSD 订阅 1.74M；储能 13.7GWh。</t>
  </si>
  <si>
    <t>• 经营利润 0.718B，经营利润率 2.6%；净利 0.787B 含监管积分等。</t>
  </si>
  <si>
    <t>• 资本开支 4.7B/季，全年约 15B；自由现金流 1.5B/季。</t>
  </si>
  <si>
    <t>• Robotaxi 2026-09-03 在 Austin 用 Cybercab 开始载客；累计无人驾驶里程环比 8 倍，但基数极小。</t>
  </si>
  <si>
    <t>• 2025 CEO 薪酬方案附带 423.7M 未归属股份，潜在摊薄约 10.7%。</t>
  </si>
  <si>
    <t>TSLA TTM FCFF 桥：从经营利润到自由现金流</t>
  </si>
  <si>
    <t>单位：十亿美元；TTM = 最近四个季度；经营利润已扣除 SBC。</t>
  </si>
  <si>
    <t>说明</t>
  </si>
  <si>
    <t>经营利润（EBIT）</t>
  </si>
  <si>
    <t>有效税率</t>
  </si>
  <si>
    <t>正常化假设</t>
  </si>
  <si>
    <t>NOPAT</t>
  </si>
  <si>
    <t>EBIT × (1−税率)</t>
  </si>
  <si>
    <t>+ 折旧摊销</t>
  </si>
  <si>
    <t>+ 股权激励（SBC）</t>
  </si>
  <si>
    <t>非现金，但会稀释</t>
  </si>
  <si>
    <t>− 资本开支（现金）</t>
  </si>
  <si>
    <t>+ 营运资金及其他</t>
  </si>
  <si>
    <t>应收账款、存货、预收款等</t>
  </si>
  <si>
    <t>自由现金流（FCFF 口径）</t>
  </si>
  <si>
    <t>与报告 FCF 对齐</t>
  </si>
  <si>
    <t>报告 CFO</t>
  </si>
  <si>
    <t>与公司 FCF 差 0.1B（汇率/其他）</t>
  </si>
  <si>
    <t>现金转化率</t>
  </si>
  <si>
    <t>Capex / D&amp;A</t>
  </si>
  <si>
    <t>资本开支是折旧的倍数</t>
  </si>
  <si>
    <t>• TTM NOPAT 仅 2.8B，capex 15.4B，资本开支是 NOPAT 的 5.6 倍。</t>
  </si>
  <si>
    <t>• D&amp;A 6.7B，capex 15.4B；差额 8.7B，未来折旧压力大。</t>
  </si>
  <si>
    <t>• 营运资金及其他 +4.9B，主要来自应付款和预收款；FCF 3.3B 的质量一般。</t>
  </si>
  <si>
    <t>• 汽车业务经营利润率仅 2.6%；能源储能是唯一高毛利业务，但体量太小。</t>
  </si>
  <si>
    <t>三情景 FCFF DCF（未来 12 个月起算，10 年明确预测）</t>
  </si>
  <si>
    <t>单位：十亿美元，除每股数据；第 1 年约为未来四个季度；终值用永续增长。</t>
  </si>
  <si>
    <t>注意：本表仅为核心汽车/能源业务，不含 Robotaxi/Optimus 期权； headline 估值见“结论”表。</t>
  </si>
  <si>
    <t>全局输入</t>
  </si>
  <si>
    <t>起始收入（TTM）</t>
  </si>
  <si>
    <t>税率</t>
  </si>
  <si>
    <t>营运资金/增量收入</t>
  </si>
  <si>
    <t>股权投资（非经营）</t>
  </si>
  <si>
    <t>股数（十亿）</t>
  </si>
  <si>
    <t>注：净负债 = 9.523 + 0.000 − 45.447 = -35.924；股权投资仅用于 SOTP，DCF/IRR 不计入。</t>
  </si>
  <si>
    <t>悲观情景</t>
  </si>
  <si>
    <t>WACC</t>
  </si>
  <si>
    <t>终值增长 g</t>
  </si>
  <si>
    <t>Year</t>
  </si>
  <si>
    <t>EBIT 利润率</t>
  </si>
  <si>
    <t>EBIT</t>
  </si>
  <si>
    <t>D&amp;A %</t>
  </si>
  <si>
    <t>D&amp;A</t>
  </si>
  <si>
    <t>Capex %</t>
  </si>
  <si>
    <t>Capex</t>
  </si>
  <si>
    <t>ΔNWC</t>
  </si>
  <si>
    <t>FCFF</t>
  </si>
  <si>
    <t>折现因子</t>
  </si>
  <si>
    <t>PV</t>
  </si>
  <si>
    <t>终值</t>
  </si>
  <si>
    <t>PV 终值</t>
  </si>
  <si>
    <t>EV</t>
  </si>
  <si>
    <t>− 净负债</t>
  </si>
  <si>
    <t>股权价值</t>
  </si>
  <si>
    <t>每股价值</t>
  </si>
  <si>
    <t>TV 占比 70%；终值 FCF 4B；终值收入 125B</t>
  </si>
  <si>
    <t>基准情景</t>
  </si>
  <si>
    <t>TV 占比 71%；终值 FCF 23B；终值收入 217B</t>
  </si>
  <si>
    <t>乐观情景</t>
  </si>
  <si>
    <t>TV 占比 76%；终值 FCF 64B；终值收入 345B</t>
  </si>
  <si>
    <t>估值敏感性：WACC、终值 capex、终值利润率</t>
  </si>
  <si>
    <t>基准情景；每股价值（美元）；由 Python 独立计算。</t>
  </si>
  <si>
    <t>终值 Capex / 收入</t>
  </si>
  <si>
    <t>终值 EBIT 利润率</t>
  </si>
  <si>
    <t>反推：现价隐含的 10 年收入 CAGR</t>
  </si>
  <si>
    <t>现价 $404.22</t>
  </si>
  <si>
    <t>基准情景 10 年 CAGR</t>
  </si>
  <si>
    <t>SOTP：核心业务 + 期权价值（每股美元）</t>
  </si>
  <si>
    <t>组件</t>
  </si>
  <si>
    <t>核心汽车/能源 DCF</t>
  </si>
  <si>
    <t>Robotaxi 期权</t>
  </si>
  <si>
    <t>Optimus 期权</t>
  </si>
  <si>
    <t>合计</t>
  </si>
  <si>
    <t>核心 DCF 见 DCF 表；Robotaxi/Optimus 为概率加权后的主观期权价值，假设见报告第 5 节。</t>
  </si>
  <si>
    <t>数据来源与日期</t>
  </si>
  <si>
    <t>研究截止 2026-10-29；所有链接为 SEC EDGAR 或公司 IR。</t>
  </si>
  <si>
    <t>数据</t>
  </si>
  <si>
    <t>来源</t>
  </si>
  <si>
    <t>日期</t>
  </si>
  <si>
    <t>链接/备注</t>
  </si>
  <si>
    <t>2026 Q3 业绩</t>
  </si>
  <si>
    <t>SEC 8-K Exhibit 99.1</t>
  </si>
  <si>
    <t>2026-10-21</t>
  </si>
  <si>
    <t>https://www.sec.gov/Archives/edgar/data/1318605/000162828026066738/exhibit9914.htm</t>
  </si>
  <si>
    <t>2026 Q3 10-Q</t>
  </si>
  <si>
    <t>SEC EDGAR, Tesla, Inc.</t>
  </si>
  <si>
    <t>2026-10-22</t>
  </si>
  <si>
    <t>https://www.sec.gov/Archives/edgar/data/1318605/000162828026066775/tsla-20260930.htm</t>
  </si>
  <si>
    <t>2025 10-K</t>
  </si>
  <si>
    <t>2026-01-29</t>
  </si>
  <si>
    <t>https://www.sec.gov/Archives/edgar/data/1318605/000162828026003952/tsla-20251231.htm</t>
  </si>
  <si>
    <t>价格/市值</t>
  </si>
  <si>
    <t>Yahoo Finance / StockAnalysis</t>
  </si>
  <si>
    <t>2026-10-28</t>
  </si>
  <si>
    <t>收盘 404.22；市值约 1,598B</t>
  </si>
  <si>
    <t>2025 CEO 薪酬方案</t>
  </si>
  <si>
    <t>SEC 8-K / DEF 14A</t>
  </si>
  <si>
    <t>2025-11 至 2026-10</t>
  </si>
  <si>
    <t>423.7M 未归属股份的潜在摊薄</t>
  </si>
  <si>
    <t>10Y 美债</t>
  </si>
  <si>
    <t>YCharts / CNBC</t>
  </si>
  <si>
    <t>5.03%</t>
  </si>
  <si>
    <t>免责声明：本模型为公开信息研究与教学用途，不构成投资建议，也不构成任何个性化买卖指令。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</si>
</sst>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\$#,##0.00"/>
    <numFmt numFmtId="177" formatCode="0.000"/>
    <numFmt numFmtId="178" formatCode="#,##0.0"/>
    <numFmt numFmtId="179" formatCode="0.0&quot;x&quot;"/>
    <numFmt numFmtId="180" formatCode="0.0%"/>
    <numFmt numFmtId="181" formatCode="\$#,##0"/>
  </numFmts>
  <fonts count="12">
    <font>
      <sz val="11"/>
      <color theme="1"/>
      <name val="宋体"/>
      <family val="2"/>
      <scheme val="minor"/>
    </font>
    <font>
      <b/>
      <sz val="16"/>
      <color rgb="FF1F2933"/>
      <name val="Microsoft YaHei"/>
      <family val="2"/>
      <charset val="134"/>
    </font>
    <font>
      <sz val="10"/>
      <color rgb="FF5B6770"/>
      <name val="Microsoft YaHei"/>
      <family val="2"/>
      <charset val="134"/>
    </font>
    <font>
      <b/>
      <sz val="11"/>
      <color rgb="FF1F2933"/>
      <name val="Microsoft YaHei"/>
      <family val="2"/>
      <charset val="134"/>
    </font>
    <font>
      <b/>
      <sz val="11"/>
      <color rgb="FFB23A2E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sz val="9"/>
      <color rgb="FF1F2933"/>
      <name val="Microsoft YaHei"/>
      <family val="2"/>
      <charset val="134"/>
    </font>
    <font>
      <b/>
      <sz val="9"/>
      <color rgb="FF1F2933"/>
      <name val="Microsoft YaHei"/>
      <family val="2"/>
      <charset val="134"/>
    </font>
    <font>
      <b/>
      <sz val="9"/>
      <color rgb="FFB23A2E"/>
      <name val="Microsoft YaHei"/>
      <family val="2"/>
      <charset val="134"/>
    </font>
    <font>
      <sz val="9"/>
      <color rgb="FF5B6770"/>
      <name val="Microsoft YaHei"/>
      <family val="2"/>
      <charset val="134"/>
    </font>
    <font>
      <sz val="10"/>
      <color rgb="FF1F2933"/>
      <name val="Microsoft YaHei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2D5"/>
      </patternFill>
    </fill>
    <fill>
      <patternFill patternType="solid">
        <fgColor rgb="FF1F2933"/>
      </patternFill>
    </fill>
  </fills>
  <borders count="2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177" fontId="6" fillId="0" borderId="1" xfId="0" applyNumberFormat="1" applyFont="1" applyBorder="1" applyAlignment="1">
      <alignment horizontal="right" vertical="center"/>
    </xf>
    <xf numFmtId="178" fontId="7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179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80" fontId="6" fillId="0" borderId="1" xfId="0" applyNumberFormat="1" applyFont="1" applyBorder="1" applyAlignment="1">
      <alignment horizontal="right" vertical="center"/>
    </xf>
    <xf numFmtId="180" fontId="7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right" vertical="center"/>
    </xf>
    <xf numFmtId="181" fontId="6" fillId="0" borderId="1" xfId="0" applyNumberFormat="1" applyFont="1" applyBorder="1" applyAlignment="1">
      <alignment horizontal="right" vertical="center"/>
    </xf>
    <xf numFmtId="0" fontId="2" fillId="0" borderId="0" xfId="0" applyFont="1"/>
    <xf numFmtId="0" fontId="0" fillId="0" borderId="0" xfId="0"/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9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TSLA </a:t>
            </a:r>
            <a:r>
              <a:rPr lang="zh-CN" altLang="en-US"/>
              <a:t>三情景每股价值 </a:t>
            </a:r>
            <a:r>
              <a:rPr lang="en-US"/>
              <a:t>vs </a:t>
            </a:r>
            <a:r>
              <a:rPr lang="zh-CN" altLang="en-US"/>
              <a:t>现价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结论!$B$32</c:f>
              <c:strCache>
                <c:ptCount val="1"/>
                <c:pt idx="0">
                  <c:v>每股价值（美元）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B2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743-463D-AD95-3BDE099BE1C5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743-463D-AD95-3BDE099BE1C5}"/>
              </c:ext>
            </c:extLst>
          </c:dPt>
          <c:dPt>
            <c:idx val="2"/>
            <c:invertIfNegative val="1"/>
            <c:bubble3D val="0"/>
            <c:spPr>
              <a:solidFill>
                <a:srgbClr val="2F6B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743-463D-AD95-3BDE099BE1C5}"/>
              </c:ext>
            </c:extLst>
          </c:dPt>
          <c:dPt>
            <c:idx val="3"/>
            <c:invertIfNegative val="1"/>
            <c:bubble3D val="0"/>
            <c:spPr>
              <a:solidFill>
                <a:srgbClr val="1A73E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743-463D-AD95-3BDE099BE1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结论!$A$33:$A$36</c:f>
              <c:strCache>
                <c:ptCount val="4"/>
                <c:pt idx="0">
                  <c:v>悲观</c:v>
                </c:pt>
                <c:pt idx="1">
                  <c:v>基准</c:v>
                </c:pt>
                <c:pt idx="2">
                  <c:v>乐观</c:v>
                </c:pt>
                <c:pt idx="3">
                  <c:v>现价</c:v>
                </c:pt>
              </c:strCache>
            </c:strRef>
          </c:cat>
          <c:val>
            <c:numRef>
              <c:f>结论!$B$33:$B$36</c:f>
              <c:numCache>
                <c:formatCode>\$#,##0.00</c:formatCode>
                <c:ptCount val="4"/>
                <c:pt idx="0">
                  <c:v>45</c:v>
                </c:pt>
                <c:pt idx="1">
                  <c:v>163</c:v>
                </c:pt>
                <c:pt idx="2">
                  <c:v>546</c:v>
                </c:pt>
                <c:pt idx="3">
                  <c:v>404.22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743-463D-AD95-3BDE099BE1C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美元</a:t>
                </a:r>
                <a:r>
                  <a:rPr lang="en-US" altLang="zh-CN"/>
                  <a:t>/</a:t>
                </a:r>
                <a:r>
                  <a:rPr lang="zh-CN" altLang="en-US"/>
                  <a:t>股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基准情景 FCFF 路径（十亿美元）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DCF!$L$39</c:f>
              <c:strCache>
                <c:ptCount val="1"/>
                <c:pt idx="0">
                  <c:v>FCFF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DCF!$A$40:$A$49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DCF!$L$40:$L$49</c:f>
              <c:numCache>
                <c:formatCode>#,##0.0</c:formatCode>
                <c:ptCount val="10"/>
                <c:pt idx="0">
                  <c:v>0.9528439999999998</c:v>
                </c:pt>
                <c:pt idx="1">
                  <c:v>2.6062354800000005</c:v>
                </c:pt>
                <c:pt idx="2">
                  <c:v>4.6263476160000012</c:v>
                </c:pt>
                <c:pt idx="3">
                  <c:v>7.0244198244000033</c:v>
                </c:pt>
                <c:pt idx="4">
                  <c:v>9.7933134808080009</c:v>
                </c:pt>
                <c:pt idx="5">
                  <c:v>13.761258006355204</c:v>
                </c:pt>
                <c:pt idx="6">
                  <c:v>16.257238633055071</c:v>
                </c:pt>
                <c:pt idx="7">
                  <c:v>20.845789906230365</c:v>
                </c:pt>
                <c:pt idx="8">
                  <c:v>21.925585320768644</c:v>
                </c:pt>
                <c:pt idx="9">
                  <c:v>22.842365007979751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7E0-44EF-9B9B-B081E8193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FCFF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</xdr:row>
      <xdr:rowOff>0</xdr:rowOff>
    </xdr:from>
    <xdr:ext cx="52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12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4"/>
  <sheetViews>
    <sheetView showGridLines="0" tabSelected="1" workbookViewId="0"/>
  </sheetViews>
  <sheetFormatPr defaultRowHeight="14.4"/>
  <cols>
    <col min="1" max="1" width="30" customWidth="1"/>
    <col min="2" max="2" width="17" customWidth="1"/>
    <col min="3" max="3" width="26" customWidth="1"/>
    <col min="4" max="4" width="22" customWidth="1"/>
    <col min="5" max="5" width="14" customWidth="1"/>
  </cols>
  <sheetData>
    <row r="1" spans="1:13" ht="23.4">
      <c r="A1" s="1" t="s">
        <v>0</v>
      </c>
    </row>
    <row r="2" spans="1:13" ht="15.6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15.6">
      <c r="A3" s="25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5" spans="1:13" ht="16.2">
      <c r="A5" s="3" t="s">
        <v>3</v>
      </c>
      <c r="B5" s="4"/>
      <c r="C5" s="4"/>
      <c r="D5" s="4"/>
      <c r="E5" s="4"/>
    </row>
    <row r="6" spans="1:13" ht="54" customHeight="1">
      <c r="A6" s="29" t="s">
        <v>4</v>
      </c>
      <c r="B6" s="26"/>
      <c r="C6" s="26"/>
      <c r="D6" s="26"/>
      <c r="E6" s="26"/>
    </row>
    <row r="8" spans="1:13" ht="16.2">
      <c r="A8" s="3" t="s">
        <v>5</v>
      </c>
      <c r="B8" s="4"/>
      <c r="C8" s="4"/>
      <c r="D8" s="4"/>
      <c r="E8" s="4"/>
    </row>
    <row r="9" spans="1:13">
      <c r="A9" s="5" t="s">
        <v>6</v>
      </c>
      <c r="B9" s="5" t="s">
        <v>7</v>
      </c>
      <c r="C9" s="5" t="s">
        <v>8</v>
      </c>
    </row>
    <row r="10" spans="1:13">
      <c r="A10" s="6" t="s">
        <v>9</v>
      </c>
      <c r="B10" s="7">
        <v>404.22</v>
      </c>
      <c r="C10" s="8" t="s">
        <v>10</v>
      </c>
    </row>
    <row r="11" spans="1:13">
      <c r="A11" s="6" t="s">
        <v>11</v>
      </c>
      <c r="B11" s="9">
        <v>3.9529999999999998</v>
      </c>
      <c r="C11" s="8" t="s">
        <v>12</v>
      </c>
    </row>
    <row r="12" spans="1:13">
      <c r="A12" s="6" t="s">
        <v>13</v>
      </c>
      <c r="B12" s="10">
        <f>B10*B11</f>
        <v>1597.88166</v>
      </c>
      <c r="C12" s="8" t="s">
        <v>14</v>
      </c>
    </row>
    <row r="13" spans="1:13">
      <c r="A13" s="6" t="s">
        <v>15</v>
      </c>
      <c r="B13" s="11">
        <v>-35.923999999999999</v>
      </c>
      <c r="C13" s="8" t="s">
        <v>16</v>
      </c>
    </row>
    <row r="14" spans="1:13">
      <c r="A14" s="6" t="s">
        <v>17</v>
      </c>
      <c r="B14" s="10">
        <f>B12+B13</f>
        <v>1561.95766</v>
      </c>
      <c r="C14" s="8" t="s">
        <v>18</v>
      </c>
    </row>
    <row r="15" spans="1:13">
      <c r="A15" s="6" t="s">
        <v>19</v>
      </c>
      <c r="B15" s="11">
        <v>103.57</v>
      </c>
      <c r="C15" s="8" t="s">
        <v>20</v>
      </c>
    </row>
    <row r="16" spans="1:13">
      <c r="A16" s="6" t="s">
        <v>21</v>
      </c>
      <c r="B16" s="11">
        <v>3.4660000000000002</v>
      </c>
      <c r="C16" s="8" t="s">
        <v>22</v>
      </c>
    </row>
    <row r="17" spans="1:5">
      <c r="A17" s="6" t="s">
        <v>23</v>
      </c>
      <c r="B17" s="11">
        <v>2.7730000000000001</v>
      </c>
      <c r="C17" s="8" t="s">
        <v>24</v>
      </c>
    </row>
    <row r="18" spans="1:5">
      <c r="A18" s="6" t="s">
        <v>25</v>
      </c>
      <c r="B18" s="11">
        <v>3.3029999999999999</v>
      </c>
      <c r="C18" s="8" t="s">
        <v>26</v>
      </c>
    </row>
    <row r="19" spans="1:5">
      <c r="A19" s="6" t="s">
        <v>27</v>
      </c>
      <c r="B19" s="11">
        <v>111.9</v>
      </c>
      <c r="C19" s="8" t="s">
        <v>28</v>
      </c>
    </row>
    <row r="20" spans="1:5">
      <c r="A20" s="6" t="s">
        <v>29</v>
      </c>
      <c r="B20" s="12">
        <v>0.81</v>
      </c>
      <c r="C20" s="8" t="s">
        <v>30</v>
      </c>
    </row>
    <row r="21" spans="1:5">
      <c r="A21" s="6" t="s">
        <v>31</v>
      </c>
      <c r="B21" s="12">
        <v>1</v>
      </c>
      <c r="C21" s="8" t="s">
        <v>32</v>
      </c>
    </row>
    <row r="22" spans="1:5">
      <c r="A22" s="6" t="s">
        <v>33</v>
      </c>
      <c r="B22" s="13">
        <f>B14/B16</f>
        <v>450.65137334102712</v>
      </c>
      <c r="C22" s="8" t="s">
        <v>34</v>
      </c>
    </row>
    <row r="23" spans="1:5">
      <c r="A23" s="6" t="s">
        <v>35</v>
      </c>
      <c r="B23" s="13">
        <f>B10/B20</f>
        <v>499.03703703703701</v>
      </c>
      <c r="C23" s="8" t="s">
        <v>36</v>
      </c>
    </row>
    <row r="24" spans="1:5">
      <c r="A24" s="6" t="s">
        <v>37</v>
      </c>
      <c r="B24" s="13">
        <f>B10/B21</f>
        <v>404.22</v>
      </c>
      <c r="C24" s="8" t="s">
        <v>38</v>
      </c>
    </row>
    <row r="25" spans="1:5">
      <c r="A25" s="6" t="s">
        <v>39</v>
      </c>
      <c r="B25" s="14">
        <f>B18/B12</f>
        <v>2.0671117784780133E-3</v>
      </c>
      <c r="C25" s="8" t="s">
        <v>40</v>
      </c>
    </row>
    <row r="26" spans="1:5">
      <c r="A26" s="6" t="s">
        <v>41</v>
      </c>
      <c r="B26" s="13">
        <f>B14/B18</f>
        <v>472.89060248259159</v>
      </c>
      <c r="C26" s="8" t="s">
        <v>42</v>
      </c>
    </row>
    <row r="27" spans="1:5">
      <c r="A27" s="6" t="s">
        <v>43</v>
      </c>
      <c r="B27" s="15">
        <v>0.14875929323163081</v>
      </c>
      <c r="C27" s="8" t="s">
        <v>44</v>
      </c>
    </row>
    <row r="28" spans="1:5" ht="26.4">
      <c r="A28" s="6" t="s">
        <v>45</v>
      </c>
      <c r="B28" s="16">
        <f>B18/B17</f>
        <v>1.1911287414352685</v>
      </c>
      <c r="C28" s="8" t="s">
        <v>46</v>
      </c>
    </row>
    <row r="29" spans="1:5">
      <c r="A29" s="6" t="s">
        <v>47</v>
      </c>
      <c r="B29" s="17">
        <v>0</v>
      </c>
      <c r="C29" s="8" t="s">
        <v>48</v>
      </c>
    </row>
    <row r="32" spans="1:5">
      <c r="A32" s="5" t="s">
        <v>49</v>
      </c>
      <c r="B32" s="5" t="s">
        <v>50</v>
      </c>
      <c r="C32" s="5" t="s">
        <v>51</v>
      </c>
      <c r="D32" s="5" t="s">
        <v>52</v>
      </c>
      <c r="E32" s="5" t="s">
        <v>53</v>
      </c>
    </row>
    <row r="33" spans="1:5">
      <c r="A33" s="6" t="s">
        <v>54</v>
      </c>
      <c r="B33" s="7">
        <v>45</v>
      </c>
      <c r="C33" s="15">
        <f>B33/$B$10-1</f>
        <v>-0.88867448419177675</v>
      </c>
      <c r="D33" s="15">
        <f>1-$B$10/B33</f>
        <v>-7.9826666666666668</v>
      </c>
      <c r="E33" s="17">
        <v>3.1800000000000002E-2</v>
      </c>
    </row>
    <row r="34" spans="1:5">
      <c r="A34" s="18" t="s">
        <v>55</v>
      </c>
      <c r="B34" s="19">
        <v>163</v>
      </c>
      <c r="C34" s="15">
        <f>B34/$B$10-1</f>
        <v>-0.59675424273910249</v>
      </c>
      <c r="D34" s="15">
        <f>1-$B$10/B34</f>
        <v>-1.4798773006134973</v>
      </c>
      <c r="E34" s="17">
        <v>4.99E-2</v>
      </c>
    </row>
    <row r="35" spans="1:5">
      <c r="A35" s="6" t="s">
        <v>56</v>
      </c>
      <c r="B35" s="7">
        <v>546</v>
      </c>
      <c r="C35" s="15">
        <f>B35/$B$10-1</f>
        <v>0.35074959180644205</v>
      </c>
      <c r="D35" s="15">
        <f>1-$B$10/B35</f>
        <v>0.25967032967032966</v>
      </c>
      <c r="E35" s="17">
        <v>6.59E-2</v>
      </c>
    </row>
    <row r="36" spans="1:5">
      <c r="A36" s="20" t="s">
        <v>57</v>
      </c>
      <c r="B36" s="21">
        <v>404.22</v>
      </c>
      <c r="C36" s="15">
        <v>0</v>
      </c>
      <c r="D36" s="15">
        <v>0</v>
      </c>
      <c r="E36" s="22" t="s">
        <v>58</v>
      </c>
    </row>
    <row r="37" spans="1:5" ht="28.05" customHeight="1">
      <c r="A37" s="27" t="s">
        <v>59</v>
      </c>
      <c r="B37" s="26"/>
      <c r="C37" s="26"/>
      <c r="D37" s="26"/>
      <c r="E37" s="26"/>
    </row>
    <row r="38" spans="1:5" ht="16.2">
      <c r="A38" s="3" t="s">
        <v>60</v>
      </c>
      <c r="B38" s="4"/>
      <c r="C38" s="4"/>
      <c r="D38" s="4"/>
      <c r="E38" s="4"/>
    </row>
    <row r="39" spans="1:5" ht="28.05" customHeight="1">
      <c r="A39" s="28" t="s">
        <v>61</v>
      </c>
      <c r="B39" s="26"/>
      <c r="C39" s="26"/>
      <c r="D39" s="26"/>
      <c r="E39" s="26"/>
    </row>
    <row r="40" spans="1:5" ht="28.05" customHeight="1">
      <c r="A40" s="28" t="s">
        <v>62</v>
      </c>
      <c r="B40" s="26"/>
      <c r="C40" s="26"/>
      <c r="D40" s="26"/>
      <c r="E40" s="26"/>
    </row>
    <row r="41" spans="1:5" ht="28.05" customHeight="1">
      <c r="A41" s="28" t="s">
        <v>63</v>
      </c>
      <c r="B41" s="26"/>
      <c r="C41" s="26"/>
      <c r="D41" s="26"/>
      <c r="E41" s="26"/>
    </row>
    <row r="42" spans="1:5" ht="28.05" customHeight="1">
      <c r="A42" s="28" t="s">
        <v>64</v>
      </c>
      <c r="B42" s="26"/>
      <c r="C42" s="26"/>
      <c r="D42" s="26"/>
      <c r="E42" s="26"/>
    </row>
    <row r="43" spans="1:5" ht="28.05" customHeight="1">
      <c r="A43" s="28" t="s">
        <v>65</v>
      </c>
      <c r="B43" s="26"/>
      <c r="C43" s="26"/>
      <c r="D43" s="26"/>
      <c r="E43" s="26"/>
    </row>
    <row r="44" spans="1:5" ht="28.05" customHeight="1">
      <c r="A44" s="28" t="s">
        <v>66</v>
      </c>
      <c r="B44" s="26"/>
      <c r="C44" s="26"/>
      <c r="D44" s="26"/>
      <c r="E44" s="26"/>
    </row>
  </sheetData>
  <mergeCells count="10">
    <mergeCell ref="A3:M3"/>
    <mergeCell ref="A37:E37"/>
    <mergeCell ref="A44:E44"/>
    <mergeCell ref="A6:E6"/>
    <mergeCell ref="A2:M2"/>
    <mergeCell ref="A39:E39"/>
    <mergeCell ref="A43:E43"/>
    <mergeCell ref="A42:E42"/>
    <mergeCell ref="A41:E41"/>
    <mergeCell ref="A40:E40"/>
  </mergeCells>
  <phoneticPr fontId="11" type="noConversion"/>
  <pageMargins left="0.25" right="0.25" top="0.35" bottom="0.35" header="0.15" footer="0.1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"/>
  <sheetViews>
    <sheetView showGridLines="0" workbookViewId="0"/>
  </sheetViews>
  <sheetFormatPr defaultRowHeight="14.4"/>
  <cols>
    <col min="1" max="1" width="28" customWidth="1"/>
    <col min="2" max="6" width="11" customWidth="1"/>
    <col min="7" max="7" width="12" customWidth="1"/>
    <col min="8" max="8" width="34" customWidth="1"/>
  </cols>
  <sheetData>
    <row r="1" spans="1:8" ht="23.4">
      <c r="A1" s="1" t="s">
        <v>67</v>
      </c>
    </row>
    <row r="2" spans="1:8" ht="15.6">
      <c r="A2" s="25" t="s">
        <v>68</v>
      </c>
      <c r="B2" s="26"/>
      <c r="C2" s="26"/>
      <c r="D2" s="26"/>
      <c r="E2" s="26"/>
      <c r="F2" s="26"/>
      <c r="G2" s="26"/>
      <c r="H2" s="26"/>
    </row>
    <row r="4" spans="1:8">
      <c r="A4" s="5" t="s">
        <v>6</v>
      </c>
      <c r="B4" s="5" t="s">
        <v>69</v>
      </c>
      <c r="C4" s="5" t="s">
        <v>70</v>
      </c>
      <c r="D4" s="5" t="s">
        <v>71</v>
      </c>
      <c r="E4" s="5" t="s">
        <v>72</v>
      </c>
      <c r="F4" s="5" t="s">
        <v>73</v>
      </c>
      <c r="G4" s="5" t="s">
        <v>44</v>
      </c>
      <c r="H4" s="5" t="s">
        <v>8</v>
      </c>
    </row>
    <row r="5" spans="1:8">
      <c r="A5" s="6" t="s">
        <v>74</v>
      </c>
      <c r="B5" s="11">
        <v>53.823</v>
      </c>
      <c r="C5" s="11">
        <v>81.462000000000003</v>
      </c>
      <c r="D5" s="11">
        <v>96.772999999999996</v>
      </c>
      <c r="E5" s="11">
        <v>97.69</v>
      </c>
      <c r="F5" s="11">
        <v>94.826999999999998</v>
      </c>
      <c r="G5" s="11">
        <v>103.57</v>
      </c>
      <c r="H5" s="8" t="s">
        <v>75</v>
      </c>
    </row>
    <row r="6" spans="1:8">
      <c r="A6" s="6" t="s">
        <v>76</v>
      </c>
      <c r="B6" s="11">
        <v>6.5229999999999997</v>
      </c>
      <c r="C6" s="11">
        <v>13.656000000000001</v>
      </c>
      <c r="D6" s="11">
        <v>8.891</v>
      </c>
      <c r="E6" s="11">
        <v>7.0759999999999996</v>
      </c>
      <c r="F6" s="11">
        <v>4.3550000000000004</v>
      </c>
      <c r="G6" s="11">
        <v>3.4660000000000002</v>
      </c>
      <c r="H6" s="8" t="s">
        <v>77</v>
      </c>
    </row>
    <row r="7" spans="1:8">
      <c r="A7" s="6" t="s">
        <v>78</v>
      </c>
      <c r="B7" s="11">
        <v>5.5190000000000001</v>
      </c>
      <c r="C7" s="11">
        <v>12.555999999999999</v>
      </c>
      <c r="D7" s="11">
        <v>14.997</v>
      </c>
      <c r="E7" s="11">
        <v>7.0910000000000002</v>
      </c>
      <c r="F7" s="11">
        <v>3.794</v>
      </c>
      <c r="G7" s="11">
        <v>3.218</v>
      </c>
      <c r="H7" s="8" t="s">
        <v>77</v>
      </c>
    </row>
    <row r="8" spans="1:8">
      <c r="A8" s="6" t="s">
        <v>79</v>
      </c>
      <c r="B8" s="11">
        <v>11.497</v>
      </c>
      <c r="C8" s="11">
        <v>14.724</v>
      </c>
      <c r="D8" s="11">
        <v>13.256</v>
      </c>
      <c r="E8" s="11">
        <v>14.923</v>
      </c>
      <c r="F8" s="11">
        <v>14.747</v>
      </c>
      <c r="G8" s="11">
        <v>18.71</v>
      </c>
      <c r="H8" s="8" t="s">
        <v>80</v>
      </c>
    </row>
    <row r="9" spans="1:8">
      <c r="A9" s="6" t="s">
        <v>81</v>
      </c>
      <c r="B9" s="11">
        <v>6.4820000000000002</v>
      </c>
      <c r="C9" s="11">
        <v>7.1580000000000004</v>
      </c>
      <c r="D9" s="11">
        <v>8.8989999999999991</v>
      </c>
      <c r="E9" s="11">
        <v>11.342000000000001</v>
      </c>
      <c r="F9" s="11">
        <v>8.5269999999999992</v>
      </c>
      <c r="G9" s="11">
        <v>15.407</v>
      </c>
      <c r="H9" s="8" t="s">
        <v>82</v>
      </c>
    </row>
    <row r="10" spans="1:8">
      <c r="A10" s="6" t="s">
        <v>83</v>
      </c>
      <c r="B10" s="11">
        <v>5.0149999999999997</v>
      </c>
      <c r="C10" s="11">
        <v>7.5659999999999998</v>
      </c>
      <c r="D10" s="11">
        <v>4.3570000000000002</v>
      </c>
      <c r="E10" s="11">
        <v>3.581</v>
      </c>
      <c r="F10" s="11">
        <v>6.22</v>
      </c>
      <c r="G10" s="11">
        <v>3.3029999999999999</v>
      </c>
      <c r="H10" s="8" t="s">
        <v>84</v>
      </c>
    </row>
    <row r="11" spans="1:8">
      <c r="A11" s="6" t="s">
        <v>85</v>
      </c>
      <c r="B11" s="12">
        <v>1.63</v>
      </c>
      <c r="C11" s="12">
        <v>4.07</v>
      </c>
      <c r="D11" s="12">
        <v>4.7300000000000004</v>
      </c>
      <c r="E11" s="12">
        <v>2.42</v>
      </c>
      <c r="F11" s="12">
        <v>1.08</v>
      </c>
      <c r="G11" s="12">
        <v>0.81</v>
      </c>
      <c r="H11" s="8" t="s">
        <v>86</v>
      </c>
    </row>
    <row r="12" spans="1:8">
      <c r="A12" s="6" t="s">
        <v>87</v>
      </c>
      <c r="B12" s="9">
        <v>3.39</v>
      </c>
      <c r="C12" s="9">
        <v>3.48</v>
      </c>
      <c r="D12" s="9">
        <v>3.48</v>
      </c>
      <c r="E12" s="9">
        <v>3.5</v>
      </c>
      <c r="F12" s="9">
        <v>3.52</v>
      </c>
      <c r="G12" s="9">
        <v>3.95</v>
      </c>
      <c r="H12" s="8" t="s">
        <v>88</v>
      </c>
    </row>
    <row r="14" spans="1:8">
      <c r="A14" s="6" t="s">
        <v>89</v>
      </c>
      <c r="C14" s="15">
        <f>C5/B5-1</f>
        <v>0.51351652639206291</v>
      </c>
      <c r="D14" s="15">
        <f>D5/C5-1</f>
        <v>0.18795266504627905</v>
      </c>
      <c r="E14" s="15">
        <f>E5/D5-1</f>
        <v>9.4757835346637176E-3</v>
      </c>
      <c r="F14" s="15">
        <f>F5/E5-1</f>
        <v>-2.9306991503736279E-2</v>
      </c>
      <c r="G14" s="15">
        <f>G5/F5-1</f>
        <v>9.2199479051324973E-2</v>
      </c>
    </row>
    <row r="15" spans="1:8">
      <c r="A15" s="6" t="s">
        <v>90</v>
      </c>
      <c r="B15" s="15">
        <f t="shared" ref="B15:G15" si="0">B6/B5</f>
        <v>0.12119354179440016</v>
      </c>
      <c r="C15" s="15">
        <f t="shared" si="0"/>
        <v>0.16763644398615304</v>
      </c>
      <c r="D15" s="15">
        <f t="shared" si="0"/>
        <v>9.1874799789197409E-2</v>
      </c>
      <c r="E15" s="15">
        <f t="shared" si="0"/>
        <v>7.2433207083631893E-2</v>
      </c>
      <c r="F15" s="15">
        <f t="shared" si="0"/>
        <v>4.5925738450019515E-2</v>
      </c>
      <c r="G15" s="15">
        <f t="shared" si="0"/>
        <v>3.3465289176402437E-2</v>
      </c>
    </row>
    <row r="16" spans="1:8">
      <c r="A16" s="6" t="s">
        <v>91</v>
      </c>
      <c r="B16" s="15">
        <f t="shared" ref="B16:G16" si="1">B7/B5</f>
        <v>0.10253980640246735</v>
      </c>
      <c r="C16" s="15">
        <f t="shared" si="1"/>
        <v>0.15413321548697551</v>
      </c>
      <c r="D16" s="15">
        <f t="shared" si="1"/>
        <v>0.15497091130790613</v>
      </c>
      <c r="E16" s="15">
        <f t="shared" si="1"/>
        <v>7.258675401781145E-2</v>
      </c>
      <c r="F16" s="15">
        <f t="shared" si="1"/>
        <v>4.000970187815707E-2</v>
      </c>
      <c r="G16" s="15">
        <f t="shared" si="1"/>
        <v>3.1070773389977796E-2</v>
      </c>
    </row>
    <row r="17" spans="1:8">
      <c r="A17" s="6" t="s">
        <v>92</v>
      </c>
      <c r="B17" s="15">
        <f t="shared" ref="B17:G17" si="2">B10/B5</f>
        <v>9.3175779871058836E-2</v>
      </c>
      <c r="C17" s="15">
        <f t="shared" si="2"/>
        <v>9.2877660749797447E-2</v>
      </c>
      <c r="D17" s="15">
        <f t="shared" si="2"/>
        <v>4.5022888615626262E-2</v>
      </c>
      <c r="E17" s="15">
        <f t="shared" si="2"/>
        <v>3.665677141979732E-2</v>
      </c>
      <c r="F17" s="15">
        <f t="shared" si="2"/>
        <v>6.5593132757547953E-2</v>
      </c>
      <c r="G17" s="15">
        <f t="shared" si="2"/>
        <v>3.1891474365163659E-2</v>
      </c>
    </row>
    <row r="18" spans="1:8">
      <c r="A18" s="6" t="s">
        <v>43</v>
      </c>
      <c r="B18" s="15">
        <f t="shared" ref="B18:G18" si="3">B9/B5</f>
        <v>0.12043178566783717</v>
      </c>
      <c r="C18" s="15">
        <f t="shared" si="3"/>
        <v>8.7869190542829781E-2</v>
      </c>
      <c r="D18" s="15">
        <f t="shared" si="3"/>
        <v>9.1957467475432195E-2</v>
      </c>
      <c r="E18" s="15">
        <f t="shared" si="3"/>
        <v>0.11610195516429522</v>
      </c>
      <c r="F18" s="15">
        <f t="shared" si="3"/>
        <v>8.9921646788361953E-2</v>
      </c>
      <c r="G18" s="15">
        <f t="shared" si="3"/>
        <v>0.14875929323163078</v>
      </c>
    </row>
    <row r="19" spans="1:8">
      <c r="A19" s="6" t="s">
        <v>45</v>
      </c>
      <c r="B19" s="15">
        <f t="shared" ref="B19:G19" si="4">B10/(B6*(1-0.2))</f>
        <v>0.96102253564310891</v>
      </c>
      <c r="C19" s="15">
        <f t="shared" si="4"/>
        <v>0.6925527240773286</v>
      </c>
      <c r="D19" s="15">
        <f t="shared" si="4"/>
        <v>0.61255764255989209</v>
      </c>
      <c r="E19" s="15">
        <f t="shared" si="4"/>
        <v>0.63259609949123796</v>
      </c>
      <c r="F19" s="15">
        <f t="shared" si="4"/>
        <v>1.7853042479908148</v>
      </c>
      <c r="G19" s="15">
        <f t="shared" si="4"/>
        <v>1.191214656664743</v>
      </c>
    </row>
    <row r="21" spans="1:8" ht="16.2">
      <c r="A21" s="3" t="s">
        <v>93</v>
      </c>
      <c r="B21" s="4"/>
      <c r="C21" s="4"/>
      <c r="D21" s="4"/>
      <c r="E21" s="4"/>
      <c r="F21" s="4"/>
      <c r="G21" s="4"/>
      <c r="H21" s="4"/>
    </row>
    <row r="22" spans="1:8" ht="30" customHeight="1">
      <c r="A22" s="28" t="s">
        <v>94</v>
      </c>
      <c r="B22" s="26"/>
      <c r="C22" s="26"/>
      <c r="D22" s="26"/>
      <c r="E22" s="26"/>
      <c r="F22" s="26"/>
      <c r="G22" s="26"/>
      <c r="H22" s="26"/>
    </row>
    <row r="23" spans="1:8" ht="30" customHeight="1">
      <c r="A23" s="28" t="s">
        <v>95</v>
      </c>
      <c r="B23" s="26"/>
      <c r="C23" s="26"/>
      <c r="D23" s="26"/>
      <c r="E23" s="26"/>
      <c r="F23" s="26"/>
      <c r="G23" s="26"/>
      <c r="H23" s="26"/>
    </row>
    <row r="24" spans="1:8" ht="30" customHeight="1">
      <c r="A24" s="28" t="s">
        <v>96</v>
      </c>
      <c r="B24" s="26"/>
      <c r="C24" s="26"/>
      <c r="D24" s="26"/>
      <c r="E24" s="26"/>
      <c r="F24" s="26"/>
      <c r="G24" s="26"/>
      <c r="H24" s="26"/>
    </row>
    <row r="25" spans="1:8" ht="30" customHeight="1">
      <c r="A25" s="28" t="s">
        <v>97</v>
      </c>
      <c r="B25" s="26"/>
      <c r="C25" s="26"/>
      <c r="D25" s="26"/>
      <c r="E25" s="26"/>
      <c r="F25" s="26"/>
      <c r="G25" s="26"/>
      <c r="H25" s="26"/>
    </row>
    <row r="26" spans="1:8" ht="30" customHeight="1">
      <c r="A26" s="28" t="s">
        <v>98</v>
      </c>
      <c r="B26" s="26"/>
      <c r="C26" s="26"/>
      <c r="D26" s="26"/>
      <c r="E26" s="26"/>
      <c r="F26" s="26"/>
      <c r="G26" s="26"/>
      <c r="H26" s="26"/>
    </row>
  </sheetData>
  <mergeCells count="6">
    <mergeCell ref="A26:H26"/>
    <mergeCell ref="A25:H25"/>
    <mergeCell ref="A24:H24"/>
    <mergeCell ref="A2:H2"/>
    <mergeCell ref="A23:H23"/>
    <mergeCell ref="A22:H22"/>
  </mergeCells>
  <phoneticPr fontId="11" type="noConversion"/>
  <pageMargins left="0.25" right="0.25" top="0.35" bottom="0.35" header="0.15" footer="0.1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9"/>
  <sheetViews>
    <sheetView showGridLines="0" workbookViewId="0"/>
  </sheetViews>
  <sheetFormatPr defaultRowHeight="14.4"/>
  <cols>
    <col min="1" max="1" width="30" customWidth="1"/>
    <col min="2" max="5" width="14" customWidth="1"/>
    <col min="6" max="6" width="38" customWidth="1"/>
  </cols>
  <sheetData>
    <row r="1" spans="1:6" ht="23.4">
      <c r="A1" s="1" t="s">
        <v>99</v>
      </c>
    </row>
    <row r="2" spans="1:6" ht="15.6">
      <c r="A2" s="25" t="s">
        <v>100</v>
      </c>
      <c r="B2" s="26"/>
      <c r="C2" s="26"/>
      <c r="D2" s="26"/>
      <c r="E2" s="26"/>
      <c r="F2" s="26"/>
    </row>
    <row r="4" spans="1:6" ht="16.2">
      <c r="A4" s="3" t="s">
        <v>101</v>
      </c>
      <c r="B4" s="4"/>
      <c r="C4" s="4"/>
      <c r="D4" s="4"/>
      <c r="E4" s="4"/>
      <c r="F4" s="4"/>
    </row>
    <row r="5" spans="1:6" ht="15.6">
      <c r="A5" s="2" t="s">
        <v>102</v>
      </c>
    </row>
    <row r="6" spans="1:6">
      <c r="A6" s="5" t="s">
        <v>103</v>
      </c>
      <c r="B6" s="5" t="s">
        <v>74</v>
      </c>
      <c r="C6" s="5" t="s">
        <v>104</v>
      </c>
      <c r="D6" s="5" t="s">
        <v>105</v>
      </c>
      <c r="E6" s="5" t="s">
        <v>106</v>
      </c>
      <c r="F6" s="5" t="s">
        <v>8</v>
      </c>
    </row>
    <row r="7" spans="1:6">
      <c r="A7" s="6" t="s">
        <v>107</v>
      </c>
      <c r="B7" s="11">
        <v>25.164999999999999</v>
      </c>
      <c r="C7" s="15">
        <v>0.02</v>
      </c>
      <c r="D7" s="11">
        <v>4.54</v>
      </c>
      <c r="E7" s="15">
        <v>0.18</v>
      </c>
      <c r="F7" s="6" t="s">
        <v>108</v>
      </c>
    </row>
    <row r="8" spans="1:6">
      <c r="A8" s="6" t="s">
        <v>109</v>
      </c>
      <c r="B8" s="11">
        <v>2.8809999999999998</v>
      </c>
      <c r="C8" s="15">
        <v>-0.16</v>
      </c>
      <c r="D8" s="11">
        <v>0.95399999999999996</v>
      </c>
      <c r="E8" s="15">
        <v>0.33100000000000002</v>
      </c>
      <c r="F8" s="6" t="s">
        <v>110</v>
      </c>
    </row>
    <row r="9" spans="1:6">
      <c r="A9" s="18" t="s">
        <v>111</v>
      </c>
      <c r="B9" s="11">
        <v>28.045999999999999</v>
      </c>
      <c r="C9" s="15">
        <v>-2E-3</v>
      </c>
      <c r="D9" s="11">
        <v>5.4939999999999998</v>
      </c>
      <c r="E9" s="15">
        <v>0.19600000000000001</v>
      </c>
      <c r="F9" s="6" t="s">
        <v>112</v>
      </c>
    </row>
    <row r="12" spans="1:6" ht="16.2">
      <c r="A12" s="3" t="s">
        <v>113</v>
      </c>
      <c r="B12" s="4"/>
      <c r="C12" s="4"/>
      <c r="D12" s="4"/>
      <c r="E12" s="4"/>
      <c r="F12" s="4"/>
    </row>
    <row r="13" spans="1:6" ht="15.6">
      <c r="A13" s="2" t="s">
        <v>114</v>
      </c>
    </row>
    <row r="14" spans="1:6">
      <c r="A14" s="5" t="s">
        <v>115</v>
      </c>
      <c r="B14" s="5" t="s">
        <v>7</v>
      </c>
      <c r="C14" s="5" t="s">
        <v>104</v>
      </c>
      <c r="D14" s="5" t="s">
        <v>8</v>
      </c>
    </row>
    <row r="15" spans="1:6">
      <c r="A15" s="6" t="s">
        <v>116</v>
      </c>
      <c r="B15" s="11">
        <v>486532</v>
      </c>
      <c r="C15" s="15">
        <v>-0.02</v>
      </c>
      <c r="D15" s="6" t="s">
        <v>117</v>
      </c>
    </row>
    <row r="16" spans="1:6">
      <c r="A16" s="6" t="s">
        <v>118</v>
      </c>
      <c r="B16" s="11">
        <v>13.7</v>
      </c>
      <c r="C16" s="15"/>
      <c r="D16" s="6" t="s">
        <v>119</v>
      </c>
    </row>
    <row r="17" spans="1:6">
      <c r="A17" s="6" t="s">
        <v>120</v>
      </c>
      <c r="B17" s="11">
        <v>1.74</v>
      </c>
      <c r="C17" s="15"/>
      <c r="D17" s="6" t="s">
        <v>121</v>
      </c>
    </row>
    <row r="18" spans="1:6">
      <c r="A18" s="6" t="s">
        <v>122</v>
      </c>
      <c r="B18" s="11">
        <v>3.9</v>
      </c>
      <c r="C18" s="15"/>
      <c r="D18" s="6" t="s">
        <v>123</v>
      </c>
    </row>
    <row r="19" spans="1:6">
      <c r="A19" s="6" t="s">
        <v>124</v>
      </c>
      <c r="B19" s="11">
        <v>4.7320000000000002</v>
      </c>
      <c r="C19" s="15"/>
      <c r="D19" s="6" t="s">
        <v>125</v>
      </c>
    </row>
    <row r="20" spans="1:6">
      <c r="A20" s="6" t="s">
        <v>83</v>
      </c>
      <c r="B20" s="11">
        <v>1.5309999999999999</v>
      </c>
      <c r="C20" s="15"/>
      <c r="D20" s="6" t="s">
        <v>125</v>
      </c>
    </row>
    <row r="23" spans="1:6" ht="16.2">
      <c r="A23" s="3" t="s">
        <v>126</v>
      </c>
      <c r="B23" s="4"/>
      <c r="C23" s="4"/>
      <c r="D23" s="4"/>
      <c r="E23" s="4"/>
      <c r="F23" s="4"/>
    </row>
    <row r="24" spans="1:6" ht="30" customHeight="1">
      <c r="A24" s="28" t="s">
        <v>127</v>
      </c>
      <c r="B24" s="26"/>
      <c r="C24" s="26"/>
      <c r="D24" s="26"/>
      <c r="E24" s="26"/>
      <c r="F24" s="26"/>
    </row>
    <row r="25" spans="1:6" ht="30" customHeight="1">
      <c r="A25" s="28" t="s">
        <v>128</v>
      </c>
      <c r="B25" s="26"/>
      <c r="C25" s="26"/>
      <c r="D25" s="26"/>
      <c r="E25" s="26"/>
      <c r="F25" s="26"/>
    </row>
    <row r="26" spans="1:6" ht="30" customHeight="1">
      <c r="A26" s="28" t="s">
        <v>129</v>
      </c>
      <c r="B26" s="26"/>
      <c r="C26" s="26"/>
      <c r="D26" s="26"/>
      <c r="E26" s="26"/>
      <c r="F26" s="26"/>
    </row>
    <row r="27" spans="1:6" ht="30" customHeight="1">
      <c r="A27" s="28" t="s">
        <v>130</v>
      </c>
      <c r="B27" s="26"/>
      <c r="C27" s="26"/>
      <c r="D27" s="26"/>
      <c r="E27" s="26"/>
      <c r="F27" s="26"/>
    </row>
    <row r="28" spans="1:6" ht="30" customHeight="1">
      <c r="A28" s="28" t="s">
        <v>131</v>
      </c>
      <c r="B28" s="26"/>
      <c r="C28" s="26"/>
      <c r="D28" s="26"/>
      <c r="E28" s="26"/>
      <c r="F28" s="26"/>
    </row>
    <row r="29" spans="1:6" ht="30" customHeight="1">
      <c r="A29" s="28" t="s">
        <v>132</v>
      </c>
      <c r="B29" s="26"/>
      <c r="C29" s="26"/>
      <c r="D29" s="26"/>
      <c r="E29" s="26"/>
      <c r="F29" s="26"/>
    </row>
  </sheetData>
  <mergeCells count="7">
    <mergeCell ref="A29:F29"/>
    <mergeCell ref="A25:F25"/>
    <mergeCell ref="A24:F24"/>
    <mergeCell ref="A2:F2"/>
    <mergeCell ref="A28:F28"/>
    <mergeCell ref="A27:F27"/>
    <mergeCell ref="A26:F26"/>
  </mergeCells>
  <phoneticPr fontId="11" type="noConversion"/>
  <pageMargins left="0.25" right="0.25" top="0.35" bottom="0.35" header="0.15" footer="0.1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4"/>
  <sheetViews>
    <sheetView showGridLines="0" workbookViewId="0"/>
  </sheetViews>
  <sheetFormatPr defaultRowHeight="14.4"/>
  <cols>
    <col min="1" max="1" width="34" customWidth="1"/>
    <col min="2" max="2" width="18" customWidth="1"/>
    <col min="3" max="3" width="52" customWidth="1"/>
  </cols>
  <sheetData>
    <row r="1" spans="1:3" ht="23.4">
      <c r="A1" s="1" t="s">
        <v>133</v>
      </c>
    </row>
    <row r="2" spans="1:3" ht="15.6">
      <c r="A2" s="25" t="s">
        <v>134</v>
      </c>
      <c r="B2" s="26"/>
      <c r="C2" s="26"/>
    </row>
    <row r="4" spans="1:3">
      <c r="A4" s="5" t="s">
        <v>6</v>
      </c>
      <c r="B4" s="5" t="s">
        <v>7</v>
      </c>
      <c r="C4" s="5" t="s">
        <v>135</v>
      </c>
    </row>
    <row r="5" spans="1:3">
      <c r="A5" s="6" t="s">
        <v>136</v>
      </c>
      <c r="B5" s="11">
        <v>3.4660000000000002</v>
      </c>
      <c r="C5" s="8" t="s">
        <v>44</v>
      </c>
    </row>
    <row r="6" spans="1:3">
      <c r="A6" s="6" t="s">
        <v>137</v>
      </c>
      <c r="B6" s="15">
        <v>0.2</v>
      </c>
      <c r="C6" s="8" t="s">
        <v>138</v>
      </c>
    </row>
    <row r="7" spans="1:3">
      <c r="A7" s="6" t="s">
        <v>139</v>
      </c>
      <c r="B7" s="10">
        <f>B5*(1-B6)</f>
        <v>2.7728000000000002</v>
      </c>
      <c r="C7" s="8" t="s">
        <v>140</v>
      </c>
    </row>
    <row r="8" spans="1:3">
      <c r="A8" s="6" t="s">
        <v>141</v>
      </c>
      <c r="B8" s="11">
        <v>6.7039999999999997</v>
      </c>
      <c r="C8" s="8" t="s">
        <v>44</v>
      </c>
    </row>
    <row r="9" spans="1:3">
      <c r="A9" s="6" t="s">
        <v>142</v>
      </c>
      <c r="B9" s="11">
        <v>4.3</v>
      </c>
      <c r="C9" s="8" t="s">
        <v>143</v>
      </c>
    </row>
    <row r="10" spans="1:3">
      <c r="A10" s="6" t="s">
        <v>144</v>
      </c>
      <c r="B10" s="11">
        <v>15.407</v>
      </c>
      <c r="C10" s="8" t="s">
        <v>44</v>
      </c>
    </row>
    <row r="11" spans="1:3">
      <c r="A11" s="6" t="s">
        <v>145</v>
      </c>
      <c r="B11" s="11">
        <v>4.9329999999999998</v>
      </c>
      <c r="C11" s="8" t="s">
        <v>146</v>
      </c>
    </row>
    <row r="12" spans="1:3">
      <c r="A12" s="18" t="s">
        <v>147</v>
      </c>
      <c r="B12" s="10">
        <f>B7+B8+B9-B10+B11</f>
        <v>3.3028000000000013</v>
      </c>
      <c r="C12" s="8" t="s">
        <v>148</v>
      </c>
    </row>
    <row r="13" spans="1:3">
      <c r="A13" s="6" t="s">
        <v>149</v>
      </c>
      <c r="B13" s="11">
        <v>18.71</v>
      </c>
      <c r="C13" s="8" t="s">
        <v>44</v>
      </c>
    </row>
    <row r="14" spans="1:3">
      <c r="A14" s="6" t="s">
        <v>144</v>
      </c>
      <c r="B14" s="11">
        <v>15.407</v>
      </c>
      <c r="C14" s="8" t="s">
        <v>44</v>
      </c>
    </row>
    <row r="15" spans="1:3">
      <c r="A15" s="18" t="s">
        <v>26</v>
      </c>
      <c r="B15" s="10">
        <f>B13-B14</f>
        <v>3.3030000000000008</v>
      </c>
      <c r="C15" s="8" t="s">
        <v>150</v>
      </c>
    </row>
    <row r="16" spans="1:3">
      <c r="A16" s="6" t="s">
        <v>45</v>
      </c>
      <c r="B16" s="16">
        <f>B12/B7</f>
        <v>1.1911425274091176</v>
      </c>
      <c r="C16" s="8" t="s">
        <v>151</v>
      </c>
    </row>
    <row r="17" spans="1:3">
      <c r="A17" s="6" t="s">
        <v>43</v>
      </c>
      <c r="B17" s="16">
        <f>B10/103.57</f>
        <v>0.14875929323163078</v>
      </c>
      <c r="C17" s="8" t="s">
        <v>44</v>
      </c>
    </row>
    <row r="18" spans="1:3">
      <c r="A18" s="6" t="s">
        <v>152</v>
      </c>
      <c r="B18" s="13">
        <f>B10/B8</f>
        <v>2.2981801909307875</v>
      </c>
      <c r="C18" s="8" t="s">
        <v>153</v>
      </c>
    </row>
    <row r="20" spans="1:3" ht="16.2">
      <c r="A20" s="3" t="s">
        <v>126</v>
      </c>
      <c r="B20" s="4"/>
      <c r="C20" s="4"/>
    </row>
    <row r="21" spans="1:3" ht="31.95" customHeight="1">
      <c r="A21" s="28" t="s">
        <v>154</v>
      </c>
      <c r="B21" s="26"/>
      <c r="C21" s="26"/>
    </row>
    <row r="22" spans="1:3" ht="31.95" customHeight="1">
      <c r="A22" s="28" t="s">
        <v>155</v>
      </c>
      <c r="B22" s="26"/>
      <c r="C22" s="26"/>
    </row>
    <row r="23" spans="1:3" ht="31.95" customHeight="1">
      <c r="A23" s="28" t="s">
        <v>156</v>
      </c>
      <c r="B23" s="26"/>
      <c r="C23" s="26"/>
    </row>
    <row r="24" spans="1:3" ht="31.95" customHeight="1">
      <c r="A24" s="28" t="s">
        <v>157</v>
      </c>
      <c r="B24" s="26"/>
      <c r="C24" s="26"/>
    </row>
  </sheetData>
  <mergeCells count="5">
    <mergeCell ref="A23:C23"/>
    <mergeCell ref="A22:C22"/>
    <mergeCell ref="A21:C21"/>
    <mergeCell ref="A24:C24"/>
    <mergeCell ref="A2:C2"/>
  </mergeCells>
  <phoneticPr fontId="11" type="noConversion"/>
  <pageMargins left="0.25" right="0.25" top="0.35" bottom="0.35" header="0.15" footer="0.1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78"/>
  <sheetViews>
    <sheetView showGridLines="0" workbookViewId="0"/>
  </sheetViews>
  <sheetFormatPr defaultRowHeight="14.4"/>
  <cols>
    <col min="1" max="1" width="20" customWidth="1"/>
    <col min="2" max="2" width="10" customWidth="1"/>
    <col min="3" max="3" width="11" customWidth="1"/>
    <col min="4" max="4" width="10" customWidth="1"/>
    <col min="5" max="6" width="11" customWidth="1"/>
    <col min="7" max="7" width="10" customWidth="1"/>
    <col min="8" max="8" width="9" customWidth="1"/>
    <col min="9" max="9" width="10" customWidth="1"/>
    <col min="10" max="10" width="9" customWidth="1"/>
    <col min="11" max="12" width="10" customWidth="1"/>
    <col min="13" max="13" width="9" customWidth="1"/>
    <col min="14" max="14" width="10" customWidth="1"/>
  </cols>
  <sheetData>
    <row r="1" spans="1:14" ht="23.4">
      <c r="A1" s="1" t="s">
        <v>158</v>
      </c>
    </row>
    <row r="2" spans="1:14" ht="15.6">
      <c r="A2" s="25" t="s">
        <v>159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15.6">
      <c r="A3" s="25" t="s">
        <v>160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ht="16.2">
      <c r="A4" s="3" t="s">
        <v>161</v>
      </c>
      <c r="B4" s="4"/>
      <c r="C4" s="4"/>
      <c r="D4" s="4"/>
      <c r="E4" s="4"/>
    </row>
    <row r="5" spans="1:14">
      <c r="A5" s="6" t="s">
        <v>162</v>
      </c>
      <c r="B5" s="11">
        <v>103.57</v>
      </c>
    </row>
    <row r="6" spans="1:14">
      <c r="A6" s="6" t="s">
        <v>163</v>
      </c>
      <c r="B6" s="15">
        <v>0.2</v>
      </c>
    </row>
    <row r="7" spans="1:14">
      <c r="A7" s="6" t="s">
        <v>164</v>
      </c>
      <c r="B7" s="15">
        <v>0.02</v>
      </c>
    </row>
    <row r="8" spans="1:14">
      <c r="A8" s="6" t="s">
        <v>15</v>
      </c>
      <c r="B8" s="11">
        <v>-35.923999999999999</v>
      </c>
    </row>
    <row r="9" spans="1:14">
      <c r="A9" s="6" t="s">
        <v>165</v>
      </c>
      <c r="B9" s="11">
        <v>0</v>
      </c>
    </row>
    <row r="10" spans="1:14">
      <c r="A10" s="6" t="s">
        <v>166</v>
      </c>
      <c r="B10" s="9">
        <v>3.9529999999999998</v>
      </c>
    </row>
    <row r="11" spans="1:14" ht="15">
      <c r="A11" s="30" t="s">
        <v>167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</row>
    <row r="13" spans="1:14" ht="16.2">
      <c r="A13" s="3" t="s">
        <v>168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6" t="s">
        <v>169</v>
      </c>
      <c r="B14" s="15">
        <v>0.11</v>
      </c>
      <c r="C14" s="6" t="s">
        <v>170</v>
      </c>
      <c r="D14" s="15">
        <v>0.03</v>
      </c>
    </row>
    <row r="16" spans="1:14">
      <c r="A16" s="5" t="s">
        <v>171</v>
      </c>
      <c r="B16" s="5" t="s">
        <v>89</v>
      </c>
      <c r="C16" s="5" t="s">
        <v>74</v>
      </c>
      <c r="D16" s="5" t="s">
        <v>172</v>
      </c>
      <c r="E16" s="5" t="s">
        <v>173</v>
      </c>
      <c r="F16" s="5" t="s">
        <v>139</v>
      </c>
      <c r="G16" s="5" t="s">
        <v>174</v>
      </c>
      <c r="H16" s="5" t="s">
        <v>175</v>
      </c>
      <c r="I16" s="5" t="s">
        <v>176</v>
      </c>
      <c r="J16" s="5" t="s">
        <v>177</v>
      </c>
      <c r="K16" s="5" t="s">
        <v>178</v>
      </c>
      <c r="L16" s="5" t="s">
        <v>179</v>
      </c>
      <c r="M16" s="5" t="s">
        <v>180</v>
      </c>
      <c r="N16" s="5" t="s">
        <v>181</v>
      </c>
    </row>
    <row r="17" spans="1:14">
      <c r="A17" s="23">
        <v>1</v>
      </c>
      <c r="B17" s="15">
        <v>0</v>
      </c>
      <c r="C17" s="11">
        <f>$B$5*(1+B17)</f>
        <v>103.57</v>
      </c>
      <c r="D17" s="15">
        <v>0.04</v>
      </c>
      <c r="E17" s="11">
        <f t="shared" ref="E17:E26" si="0">C17*D17</f>
        <v>4.1427999999999994</v>
      </c>
      <c r="F17" s="11">
        <f t="shared" ref="F17:F26" si="1">E17*(1-$B$6)</f>
        <v>3.3142399999999999</v>
      </c>
      <c r="G17" s="15">
        <v>7.0000000000000007E-2</v>
      </c>
      <c r="H17" s="11">
        <f t="shared" ref="H17:H26" si="2">C17*G17</f>
        <v>7.2499000000000002</v>
      </c>
      <c r="I17" s="15">
        <v>0.11</v>
      </c>
      <c r="J17" s="11">
        <f t="shared" ref="J17:J26" si="3">C17*I17</f>
        <v>11.3927</v>
      </c>
      <c r="K17" s="11">
        <f>(C17-$B$5)*$B$7</f>
        <v>0</v>
      </c>
      <c r="L17" s="11">
        <f t="shared" ref="L17:L26" si="4">F17+H17-J17-K17</f>
        <v>-0.82855999999999952</v>
      </c>
      <c r="M17" s="9">
        <f>1/(1+$B$14)^1</f>
        <v>0.9009009009009008</v>
      </c>
      <c r="N17" s="11">
        <f t="shared" ref="N17:N26" si="5">L17*M17</f>
        <v>-0.74645045045044989</v>
      </c>
    </row>
    <row r="18" spans="1:14">
      <c r="A18" s="23">
        <v>2</v>
      </c>
      <c r="B18" s="15">
        <v>0.02</v>
      </c>
      <c r="C18" s="11">
        <f t="shared" ref="C18:C26" si="6">C17*(1+B18)</f>
        <v>105.64139999999999</v>
      </c>
      <c r="D18" s="15">
        <v>0.04</v>
      </c>
      <c r="E18" s="11">
        <f t="shared" si="0"/>
        <v>4.2256559999999999</v>
      </c>
      <c r="F18" s="11">
        <f t="shared" si="1"/>
        <v>3.3805247999999999</v>
      </c>
      <c r="G18" s="15">
        <v>7.4999999999999997E-2</v>
      </c>
      <c r="H18" s="11">
        <f t="shared" si="2"/>
        <v>7.9231049999999987</v>
      </c>
      <c r="I18" s="15">
        <v>0.11</v>
      </c>
      <c r="J18" s="11">
        <f t="shared" si="3"/>
        <v>11.620553999999998</v>
      </c>
      <c r="K18" s="11">
        <f t="shared" ref="K18:K26" si="7">(C18-C17)*$B$7</f>
        <v>4.1427999999999944E-2</v>
      </c>
      <c r="L18" s="11">
        <f t="shared" si="4"/>
        <v>-0.35835219999999895</v>
      </c>
      <c r="M18" s="9">
        <f>1/(1+$B$14)^2</f>
        <v>0.8116224332440547</v>
      </c>
      <c r="N18" s="11">
        <f t="shared" si="5"/>
        <v>-0.29084668452235929</v>
      </c>
    </row>
    <row r="19" spans="1:14">
      <c r="A19" s="23">
        <v>3</v>
      </c>
      <c r="B19" s="15">
        <v>0.03</v>
      </c>
      <c r="C19" s="11">
        <f t="shared" si="6"/>
        <v>108.81064199999999</v>
      </c>
      <c r="D19" s="15">
        <v>0.04</v>
      </c>
      <c r="E19" s="11">
        <f t="shared" si="0"/>
        <v>4.3524256799999996</v>
      </c>
      <c r="F19" s="11">
        <f t="shared" si="1"/>
        <v>3.481940544</v>
      </c>
      <c r="G19" s="15">
        <v>0.08</v>
      </c>
      <c r="H19" s="11">
        <f t="shared" si="2"/>
        <v>8.7048513599999993</v>
      </c>
      <c r="I19" s="15">
        <v>0.11</v>
      </c>
      <c r="J19" s="11">
        <f t="shared" si="3"/>
        <v>11.969170619999998</v>
      </c>
      <c r="K19" s="11">
        <f t="shared" si="7"/>
        <v>6.3384839999999942E-2</v>
      </c>
      <c r="L19" s="11">
        <f t="shared" si="4"/>
        <v>0.15423644400000164</v>
      </c>
      <c r="M19" s="9">
        <f>1/(1+$B$14)^3</f>
        <v>0.73119138130095018</v>
      </c>
      <c r="N19" s="11">
        <f t="shared" si="5"/>
        <v>0.11277635853530785</v>
      </c>
    </row>
    <row r="20" spans="1:14">
      <c r="A20" s="23">
        <v>4</v>
      </c>
      <c r="B20" s="15">
        <v>0.03</v>
      </c>
      <c r="C20" s="11">
        <f t="shared" si="6"/>
        <v>112.07496125999999</v>
      </c>
      <c r="D20" s="15">
        <v>0.04</v>
      </c>
      <c r="E20" s="11">
        <f t="shared" si="0"/>
        <v>4.4829984504000002</v>
      </c>
      <c r="F20" s="11">
        <f t="shared" si="1"/>
        <v>3.5863987603200003</v>
      </c>
      <c r="G20" s="15">
        <v>8.5000000000000006E-2</v>
      </c>
      <c r="H20" s="11">
        <f t="shared" si="2"/>
        <v>9.5263717071000009</v>
      </c>
      <c r="I20" s="15">
        <v>0.11</v>
      </c>
      <c r="J20" s="11">
        <f t="shared" si="3"/>
        <v>12.3282457386</v>
      </c>
      <c r="K20" s="11">
        <f t="shared" si="7"/>
        <v>6.5286385200000158E-2</v>
      </c>
      <c r="L20" s="11">
        <f t="shared" si="4"/>
        <v>0.71923834362000083</v>
      </c>
      <c r="M20" s="9">
        <f>1/(1+$B$14)^4</f>
        <v>0.65873097414500015</v>
      </c>
      <c r="N20" s="11">
        <f t="shared" si="5"/>
        <v>0.47378457473523949</v>
      </c>
    </row>
    <row r="21" spans="1:14">
      <c r="A21" s="23">
        <v>5</v>
      </c>
      <c r="B21" s="15">
        <v>0.03</v>
      </c>
      <c r="C21" s="11">
        <f t="shared" si="6"/>
        <v>115.4372100978</v>
      </c>
      <c r="D21" s="15">
        <v>0.04</v>
      </c>
      <c r="E21" s="11">
        <f t="shared" si="0"/>
        <v>4.6174884039120005</v>
      </c>
      <c r="F21" s="11">
        <f t="shared" si="1"/>
        <v>3.6939907231296005</v>
      </c>
      <c r="G21" s="15">
        <v>0.09</v>
      </c>
      <c r="H21" s="11">
        <f t="shared" si="2"/>
        <v>10.389348908802001</v>
      </c>
      <c r="I21" s="15">
        <v>0.11</v>
      </c>
      <c r="J21" s="11">
        <f t="shared" si="3"/>
        <v>12.698093110758</v>
      </c>
      <c r="K21" s="11">
        <f t="shared" si="7"/>
        <v>6.7244976756000205E-2</v>
      </c>
      <c r="L21" s="11">
        <f t="shared" si="4"/>
        <v>1.3180015444176005</v>
      </c>
      <c r="M21" s="9">
        <f>1/(1+$B$14)^5</f>
        <v>0.5934513280585586</v>
      </c>
      <c r="N21" s="11">
        <f t="shared" si="5"/>
        <v>0.78216976691785634</v>
      </c>
    </row>
    <row r="22" spans="1:14">
      <c r="A22" s="23">
        <v>6</v>
      </c>
      <c r="B22" s="15">
        <v>0.02</v>
      </c>
      <c r="C22" s="11">
        <f t="shared" si="6"/>
        <v>117.74595429975601</v>
      </c>
      <c r="D22" s="15">
        <v>0.04</v>
      </c>
      <c r="E22" s="11">
        <f t="shared" si="0"/>
        <v>4.7098381719902402</v>
      </c>
      <c r="F22" s="11">
        <f t="shared" si="1"/>
        <v>3.7678705375921924</v>
      </c>
      <c r="G22" s="15">
        <v>0.09</v>
      </c>
      <c r="H22" s="11">
        <f t="shared" si="2"/>
        <v>10.597135886978041</v>
      </c>
      <c r="I22" s="15">
        <v>0.1</v>
      </c>
      <c r="J22" s="11">
        <f t="shared" si="3"/>
        <v>11.774595429975601</v>
      </c>
      <c r="K22" s="11">
        <f t="shared" si="7"/>
        <v>4.6174884039120061E-2</v>
      </c>
      <c r="L22" s="11">
        <f t="shared" si="4"/>
        <v>2.5442361105555111</v>
      </c>
      <c r="M22" s="9">
        <f>1/(1+$B$14)^6</f>
        <v>0.53464083608879154</v>
      </c>
      <c r="N22" s="11">
        <f t="shared" si="5"/>
        <v>1.3602525213546934</v>
      </c>
    </row>
    <row r="23" spans="1:14">
      <c r="A23" s="23">
        <v>7</v>
      </c>
      <c r="B23" s="15">
        <v>0.02</v>
      </c>
      <c r="C23" s="11">
        <f t="shared" si="6"/>
        <v>120.10087338575113</v>
      </c>
      <c r="D23" s="15">
        <v>0.04</v>
      </c>
      <c r="E23" s="11">
        <f t="shared" si="0"/>
        <v>4.8040349354300451</v>
      </c>
      <c r="F23" s="11">
        <f t="shared" si="1"/>
        <v>3.8432279483440364</v>
      </c>
      <c r="G23" s="15">
        <v>0.09</v>
      </c>
      <c r="H23" s="11">
        <f t="shared" si="2"/>
        <v>10.809078604717602</v>
      </c>
      <c r="I23" s="15">
        <v>0.1</v>
      </c>
      <c r="J23" s="11">
        <f t="shared" si="3"/>
        <v>12.010087338575113</v>
      </c>
      <c r="K23" s="11">
        <f t="shared" si="7"/>
        <v>4.7098381719902424E-2</v>
      </c>
      <c r="L23" s="11">
        <f t="shared" si="4"/>
        <v>2.5951208327666229</v>
      </c>
      <c r="M23" s="9">
        <f>1/(1+$B$14)^7</f>
        <v>0.48165841089080319</v>
      </c>
      <c r="N23" s="11">
        <f t="shared" si="5"/>
        <v>1.2499617763799893</v>
      </c>
    </row>
    <row r="24" spans="1:14">
      <c r="A24" s="23">
        <v>8</v>
      </c>
      <c r="B24" s="15">
        <v>0.02</v>
      </c>
      <c r="C24" s="11">
        <f t="shared" si="6"/>
        <v>122.50289085346616</v>
      </c>
      <c r="D24" s="15">
        <v>0.05</v>
      </c>
      <c r="E24" s="11">
        <f t="shared" si="0"/>
        <v>6.1251445426733078</v>
      </c>
      <c r="F24" s="11">
        <f t="shared" si="1"/>
        <v>4.9001156341386469</v>
      </c>
      <c r="G24" s="15">
        <v>0.09</v>
      </c>
      <c r="H24" s="11">
        <f t="shared" si="2"/>
        <v>11.025260176811953</v>
      </c>
      <c r="I24" s="15">
        <v>0.1</v>
      </c>
      <c r="J24" s="11">
        <f t="shared" si="3"/>
        <v>12.250289085346616</v>
      </c>
      <c r="K24" s="11">
        <f t="shared" si="7"/>
        <v>4.8040349354300529E-2</v>
      </c>
      <c r="L24" s="11">
        <f t="shared" si="4"/>
        <v>3.6270463762496838</v>
      </c>
      <c r="M24" s="9">
        <f>1/(1+$B$14)^8</f>
        <v>0.43392649629802077</v>
      </c>
      <c r="N24" s="11">
        <f t="shared" si="5"/>
        <v>1.5738715259564582</v>
      </c>
    </row>
    <row r="25" spans="1:14">
      <c r="A25" s="23">
        <v>9</v>
      </c>
      <c r="B25" s="15">
        <v>0.01</v>
      </c>
      <c r="C25" s="11">
        <f t="shared" si="6"/>
        <v>123.72791976200082</v>
      </c>
      <c r="D25" s="15">
        <v>0.05</v>
      </c>
      <c r="E25" s="11">
        <f t="shared" si="0"/>
        <v>6.1863959881000419</v>
      </c>
      <c r="F25" s="11">
        <f t="shared" si="1"/>
        <v>4.9491167904800335</v>
      </c>
      <c r="G25" s="15">
        <v>0.09</v>
      </c>
      <c r="H25" s="11">
        <f t="shared" si="2"/>
        <v>11.135512778580074</v>
      </c>
      <c r="I25" s="15">
        <v>0.1</v>
      </c>
      <c r="J25" s="11">
        <f t="shared" si="3"/>
        <v>12.372791976200084</v>
      </c>
      <c r="K25" s="11">
        <f t="shared" si="7"/>
        <v>2.4500578170693361E-2</v>
      </c>
      <c r="L25" s="11">
        <f t="shared" si="4"/>
        <v>3.6873370146893283</v>
      </c>
      <c r="M25" s="9">
        <f>1/(1+$B$14)^9</f>
        <v>0.39092477143965831</v>
      </c>
      <c r="N25" s="11">
        <f t="shared" si="5"/>
        <v>1.4414713796884178</v>
      </c>
    </row>
    <row r="26" spans="1:14">
      <c r="A26" s="23">
        <v>10</v>
      </c>
      <c r="B26" s="15">
        <v>0.01</v>
      </c>
      <c r="C26" s="11">
        <f t="shared" si="6"/>
        <v>124.96519895962084</v>
      </c>
      <c r="D26" s="15">
        <v>0.05</v>
      </c>
      <c r="E26" s="11">
        <f t="shared" si="0"/>
        <v>6.2482599479810421</v>
      </c>
      <c r="F26" s="11">
        <f t="shared" si="1"/>
        <v>4.9986079583848344</v>
      </c>
      <c r="G26" s="15">
        <v>0.09</v>
      </c>
      <c r="H26" s="11">
        <f t="shared" si="2"/>
        <v>11.246867906365875</v>
      </c>
      <c r="I26" s="15">
        <v>0.1</v>
      </c>
      <c r="J26" s="11">
        <f t="shared" si="3"/>
        <v>12.496519895962084</v>
      </c>
      <c r="K26" s="11">
        <f t="shared" si="7"/>
        <v>2.474558395240024E-2</v>
      </c>
      <c r="L26" s="11">
        <f t="shared" si="4"/>
        <v>3.7242103848362245</v>
      </c>
      <c r="M26" s="9">
        <f>1/(1+$B$14)^10</f>
        <v>0.3521844787744669</v>
      </c>
      <c r="N26" s="11">
        <f t="shared" si="5"/>
        <v>1.3116090932300024</v>
      </c>
    </row>
    <row r="27" spans="1:14">
      <c r="A27" s="18" t="s">
        <v>182</v>
      </c>
      <c r="B27" s="11">
        <f>L26*(1+$D$14)/($B$14-$D$14)</f>
        <v>47.949208704766392</v>
      </c>
    </row>
    <row r="28" spans="1:14">
      <c r="A28" s="6" t="s">
        <v>183</v>
      </c>
      <c r="B28" s="11">
        <f>B27/(1+$B$14)^10</f>
        <v>16.886967075336283</v>
      </c>
    </row>
    <row r="29" spans="1:14">
      <c r="A29" s="18" t="s">
        <v>184</v>
      </c>
      <c r="B29" s="11">
        <f>SUM(N17:N26)+B28</f>
        <v>24.155566937161439</v>
      </c>
    </row>
    <row r="30" spans="1:14">
      <c r="A30" s="6" t="s">
        <v>185</v>
      </c>
      <c r="B30" s="11">
        <f>$B$8</f>
        <v>-35.923999999999999</v>
      </c>
    </row>
    <row r="31" spans="1:14">
      <c r="A31" s="18" t="s">
        <v>186</v>
      </c>
      <c r="B31" s="11">
        <f>B29-B30</f>
        <v>60.079566937161438</v>
      </c>
    </row>
    <row r="32" spans="1:14">
      <c r="A32" s="18" t="s">
        <v>187</v>
      </c>
      <c r="B32" s="7">
        <f>B31/$B$10</f>
        <v>15.198473801457485</v>
      </c>
      <c r="C32" s="6" t="s">
        <v>188</v>
      </c>
    </row>
    <row r="36" spans="1:14" ht="16.2">
      <c r="A36" s="3" t="s">
        <v>189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6" t="s">
        <v>169</v>
      </c>
      <c r="B37" s="15">
        <v>0.1</v>
      </c>
      <c r="C37" s="6" t="s">
        <v>170</v>
      </c>
      <c r="D37" s="15">
        <v>0.04</v>
      </c>
    </row>
    <row r="39" spans="1:14">
      <c r="A39" s="5" t="s">
        <v>171</v>
      </c>
      <c r="B39" s="5" t="s">
        <v>89</v>
      </c>
      <c r="C39" s="5" t="s">
        <v>74</v>
      </c>
      <c r="D39" s="5" t="s">
        <v>172</v>
      </c>
      <c r="E39" s="5" t="s">
        <v>173</v>
      </c>
      <c r="F39" s="5" t="s">
        <v>139</v>
      </c>
      <c r="G39" s="5" t="s">
        <v>174</v>
      </c>
      <c r="H39" s="5" t="s">
        <v>175</v>
      </c>
      <c r="I39" s="5" t="s">
        <v>176</v>
      </c>
      <c r="J39" s="5" t="s">
        <v>177</v>
      </c>
      <c r="K39" s="5" t="s">
        <v>178</v>
      </c>
      <c r="L39" s="5" t="s">
        <v>179</v>
      </c>
      <c r="M39" s="5" t="s">
        <v>180</v>
      </c>
      <c r="N39" s="5" t="s">
        <v>181</v>
      </c>
    </row>
    <row r="40" spans="1:14">
      <c r="A40" s="23">
        <v>1</v>
      </c>
      <c r="B40" s="15">
        <v>0.08</v>
      </c>
      <c r="C40" s="11">
        <f>$B$5*(1+B40)</f>
        <v>111.8556</v>
      </c>
      <c r="D40" s="15">
        <v>0.05</v>
      </c>
      <c r="E40" s="11">
        <f t="shared" ref="E40:E49" si="8">C40*D40</f>
        <v>5.5927800000000003</v>
      </c>
      <c r="F40" s="11">
        <f t="shared" ref="F40:F49" si="9">E40*(1-$B$6)</f>
        <v>4.4742240000000004</v>
      </c>
      <c r="G40" s="15">
        <v>7.0000000000000007E-2</v>
      </c>
      <c r="H40" s="11">
        <f t="shared" ref="H40:H49" si="10">C40*G40</f>
        <v>7.8298920000000001</v>
      </c>
      <c r="I40" s="15">
        <v>0.1</v>
      </c>
      <c r="J40" s="11">
        <f t="shared" ref="J40:J49" si="11">C40*I40</f>
        <v>11.185560000000001</v>
      </c>
      <c r="K40" s="11">
        <f>(C40-$B$5)*$B$7</f>
        <v>0.16571200000000005</v>
      </c>
      <c r="L40" s="11">
        <f t="shared" ref="L40:L49" si="12">F40+H40-J40-K40</f>
        <v>0.9528439999999998</v>
      </c>
      <c r="M40" s="9">
        <f>1/(1+$B$37)^1</f>
        <v>0.90909090909090906</v>
      </c>
      <c r="N40" s="11">
        <f t="shared" ref="N40:N49" si="13">L40*M40</f>
        <v>0.86622181818181798</v>
      </c>
    </row>
    <row r="41" spans="1:14">
      <c r="A41" s="23">
        <v>2</v>
      </c>
      <c r="B41" s="15">
        <v>0.1</v>
      </c>
      <c r="C41" s="11">
        <f t="shared" ref="C41:C49" si="14">C40*(1+B41)</f>
        <v>123.04116</v>
      </c>
      <c r="D41" s="15">
        <v>0.06</v>
      </c>
      <c r="E41" s="11">
        <f t="shared" si="8"/>
        <v>7.3824696000000003</v>
      </c>
      <c r="F41" s="11">
        <f t="shared" si="9"/>
        <v>5.9059756800000009</v>
      </c>
      <c r="G41" s="15">
        <v>7.4999999999999997E-2</v>
      </c>
      <c r="H41" s="11">
        <f t="shared" si="10"/>
        <v>9.2280870000000004</v>
      </c>
      <c r="I41" s="15">
        <v>0.1</v>
      </c>
      <c r="J41" s="11">
        <f t="shared" si="11"/>
        <v>12.304116</v>
      </c>
      <c r="K41" s="11">
        <f t="shared" ref="K41:K49" si="15">(C41-C40)*$B$7</f>
        <v>0.22371120000000019</v>
      </c>
      <c r="L41" s="11">
        <f t="shared" si="12"/>
        <v>2.6062354800000005</v>
      </c>
      <c r="M41" s="9">
        <f>1/(1+$B$37)^2</f>
        <v>0.82644628099173545</v>
      </c>
      <c r="N41" s="11">
        <f t="shared" si="13"/>
        <v>2.1539136198347109</v>
      </c>
    </row>
    <row r="42" spans="1:14">
      <c r="A42" s="23">
        <v>3</v>
      </c>
      <c r="B42" s="15">
        <v>0.1</v>
      </c>
      <c r="C42" s="11">
        <f t="shared" si="14"/>
        <v>135.34527600000001</v>
      </c>
      <c r="D42" s="15">
        <v>7.0000000000000007E-2</v>
      </c>
      <c r="E42" s="11">
        <f t="shared" si="8"/>
        <v>9.4741693200000014</v>
      </c>
      <c r="F42" s="11">
        <f t="shared" si="9"/>
        <v>7.5793354560000017</v>
      </c>
      <c r="G42" s="15">
        <v>0.08</v>
      </c>
      <c r="H42" s="11">
        <f t="shared" si="10"/>
        <v>10.827622080000001</v>
      </c>
      <c r="I42" s="15">
        <v>0.1</v>
      </c>
      <c r="J42" s="11">
        <f t="shared" si="11"/>
        <v>13.534527600000002</v>
      </c>
      <c r="K42" s="11">
        <f t="shared" si="15"/>
        <v>0.24608232000000016</v>
      </c>
      <c r="L42" s="11">
        <f t="shared" si="12"/>
        <v>4.6263476160000012</v>
      </c>
      <c r="M42" s="9">
        <f>1/(1+$B$37)^3</f>
        <v>0.75131480090157754</v>
      </c>
      <c r="N42" s="11">
        <f t="shared" si="13"/>
        <v>3.4758434380165286</v>
      </c>
    </row>
    <row r="43" spans="1:14">
      <c r="A43" s="23">
        <v>4</v>
      </c>
      <c r="B43" s="15">
        <v>0.1</v>
      </c>
      <c r="C43" s="11">
        <f t="shared" si="14"/>
        <v>148.87980360000003</v>
      </c>
      <c r="D43" s="15">
        <v>0.08</v>
      </c>
      <c r="E43" s="11">
        <f t="shared" si="8"/>
        <v>11.910384288000003</v>
      </c>
      <c r="F43" s="11">
        <f t="shared" si="9"/>
        <v>9.5283074304000035</v>
      </c>
      <c r="G43" s="15">
        <v>8.5000000000000006E-2</v>
      </c>
      <c r="H43" s="11">
        <f t="shared" si="10"/>
        <v>12.654783306000004</v>
      </c>
      <c r="I43" s="15">
        <v>0.1</v>
      </c>
      <c r="J43" s="11">
        <f t="shared" si="11"/>
        <v>14.887980360000004</v>
      </c>
      <c r="K43" s="11">
        <f t="shared" si="15"/>
        <v>0.27069055200000036</v>
      </c>
      <c r="L43" s="11">
        <f t="shared" si="12"/>
        <v>7.0244198244000033</v>
      </c>
      <c r="M43" s="9">
        <f>1/(1+$B$37)^4</f>
        <v>0.68301345536507052</v>
      </c>
      <c r="N43" s="11">
        <f t="shared" si="13"/>
        <v>4.7977732561983482</v>
      </c>
    </row>
    <row r="44" spans="1:14">
      <c r="A44" s="23">
        <v>5</v>
      </c>
      <c r="B44" s="15">
        <v>0.09</v>
      </c>
      <c r="C44" s="11">
        <f t="shared" si="14"/>
        <v>162.27898592400004</v>
      </c>
      <c r="D44" s="15">
        <v>0.09</v>
      </c>
      <c r="E44" s="11">
        <f t="shared" si="8"/>
        <v>14.605108733160003</v>
      </c>
      <c r="F44" s="11">
        <f t="shared" si="9"/>
        <v>11.684086986528003</v>
      </c>
      <c r="G44" s="15">
        <v>0.09</v>
      </c>
      <c r="H44" s="11">
        <f t="shared" si="10"/>
        <v>14.605108733160003</v>
      </c>
      <c r="I44" s="15">
        <v>0.1</v>
      </c>
      <c r="J44" s="11">
        <f t="shared" si="11"/>
        <v>16.227898592400006</v>
      </c>
      <c r="K44" s="11">
        <f t="shared" si="15"/>
        <v>0.26798364648000017</v>
      </c>
      <c r="L44" s="11">
        <f t="shared" si="12"/>
        <v>9.7933134808080009</v>
      </c>
      <c r="M44" s="9">
        <f>1/(1+$B$37)^5</f>
        <v>0.62092132305915493</v>
      </c>
      <c r="N44" s="11">
        <f t="shared" si="13"/>
        <v>6.0808771636363614</v>
      </c>
    </row>
    <row r="45" spans="1:14">
      <c r="A45" s="23">
        <v>6</v>
      </c>
      <c r="B45" s="15">
        <v>0.08</v>
      </c>
      <c r="C45" s="11">
        <f t="shared" si="14"/>
        <v>175.26130479792005</v>
      </c>
      <c r="D45" s="15">
        <v>0.1</v>
      </c>
      <c r="E45" s="11">
        <f t="shared" si="8"/>
        <v>17.526130479792005</v>
      </c>
      <c r="F45" s="11">
        <f t="shared" si="9"/>
        <v>14.020904383833605</v>
      </c>
      <c r="G45" s="15">
        <v>0.09</v>
      </c>
      <c r="H45" s="11">
        <f t="shared" si="10"/>
        <v>15.773517431812804</v>
      </c>
      <c r="I45" s="15">
        <v>0.09</v>
      </c>
      <c r="J45" s="11">
        <f t="shared" si="11"/>
        <v>15.773517431812804</v>
      </c>
      <c r="K45" s="11">
        <f t="shared" si="15"/>
        <v>0.25964637747840014</v>
      </c>
      <c r="L45" s="11">
        <f t="shared" si="12"/>
        <v>13.761258006355204</v>
      </c>
      <c r="M45" s="9">
        <f>1/(1+$B$37)^6</f>
        <v>0.56447393005377722</v>
      </c>
      <c r="N45" s="11">
        <f t="shared" si="13"/>
        <v>7.7678713893313294</v>
      </c>
    </row>
    <row r="46" spans="1:14">
      <c r="A46" s="23">
        <v>7</v>
      </c>
      <c r="B46" s="15">
        <v>7.0000000000000007E-2</v>
      </c>
      <c r="C46" s="11">
        <f t="shared" si="14"/>
        <v>187.52959613377448</v>
      </c>
      <c r="D46" s="15">
        <v>0.11</v>
      </c>
      <c r="E46" s="11">
        <f t="shared" si="8"/>
        <v>20.628255574715194</v>
      </c>
      <c r="F46" s="11">
        <f t="shared" si="9"/>
        <v>16.502604459772154</v>
      </c>
      <c r="G46" s="15">
        <v>0.09</v>
      </c>
      <c r="H46" s="11">
        <f t="shared" si="10"/>
        <v>16.877663652039701</v>
      </c>
      <c r="I46" s="15">
        <v>0.09</v>
      </c>
      <c r="J46" s="11">
        <f t="shared" si="11"/>
        <v>16.877663652039701</v>
      </c>
      <c r="K46" s="11">
        <f t="shared" si="15"/>
        <v>0.24536582671708856</v>
      </c>
      <c r="L46" s="11">
        <f t="shared" si="12"/>
        <v>16.257238633055071</v>
      </c>
      <c r="M46" s="9">
        <f>1/(1+$B$37)^7</f>
        <v>0.51315811823070645</v>
      </c>
      <c r="N46" s="11">
        <f t="shared" si="13"/>
        <v>8.3425339845660833</v>
      </c>
    </row>
    <row r="47" spans="1:14">
      <c r="A47" s="23">
        <v>8</v>
      </c>
      <c r="B47" s="15">
        <v>0.06</v>
      </c>
      <c r="C47" s="11">
        <f t="shared" si="14"/>
        <v>198.78137190180095</v>
      </c>
      <c r="D47" s="15">
        <v>0.12</v>
      </c>
      <c r="E47" s="11">
        <f t="shared" si="8"/>
        <v>23.853764628216112</v>
      </c>
      <c r="F47" s="11">
        <f t="shared" si="9"/>
        <v>19.08301170257289</v>
      </c>
      <c r="G47" s="15">
        <v>0.09</v>
      </c>
      <c r="H47" s="11">
        <f t="shared" si="10"/>
        <v>17.890323471162084</v>
      </c>
      <c r="I47" s="15">
        <v>0.08</v>
      </c>
      <c r="J47" s="11">
        <f t="shared" si="11"/>
        <v>15.902509752144077</v>
      </c>
      <c r="K47" s="11">
        <f t="shared" si="15"/>
        <v>0.22503551536052954</v>
      </c>
      <c r="L47" s="11">
        <f t="shared" si="12"/>
        <v>20.845789906230365</v>
      </c>
      <c r="M47" s="9">
        <f>1/(1+$B$37)^8</f>
        <v>0.46650738020973315</v>
      </c>
      <c r="N47" s="11">
        <f t="shared" si="13"/>
        <v>9.724714837558027</v>
      </c>
    </row>
    <row r="48" spans="1:14">
      <c r="A48" s="23">
        <v>9</v>
      </c>
      <c r="B48" s="15">
        <v>0.05</v>
      </c>
      <c r="C48" s="11">
        <f t="shared" si="14"/>
        <v>208.720440496891</v>
      </c>
      <c r="D48" s="15">
        <v>0.12</v>
      </c>
      <c r="E48" s="11">
        <f t="shared" si="8"/>
        <v>25.046452859626918</v>
      </c>
      <c r="F48" s="11">
        <f t="shared" si="9"/>
        <v>20.037162287701534</v>
      </c>
      <c r="G48" s="15">
        <v>0.09</v>
      </c>
      <c r="H48" s="11">
        <f t="shared" si="10"/>
        <v>18.78483964472019</v>
      </c>
      <c r="I48" s="15">
        <v>0.08</v>
      </c>
      <c r="J48" s="11">
        <f t="shared" si="11"/>
        <v>16.697635239751282</v>
      </c>
      <c r="K48" s="11">
        <f t="shared" si="15"/>
        <v>0.19878137190180098</v>
      </c>
      <c r="L48" s="11">
        <f t="shared" si="12"/>
        <v>21.925585320768644</v>
      </c>
      <c r="M48" s="9">
        <f>1/(1+$B$37)^9</f>
        <v>0.42409761837248466</v>
      </c>
      <c r="N48" s="11">
        <f t="shared" si="13"/>
        <v>9.2985885159606916</v>
      </c>
    </row>
    <row r="49" spans="1:14">
      <c r="A49" s="23">
        <v>10</v>
      </c>
      <c r="B49" s="15">
        <v>0.04</v>
      </c>
      <c r="C49" s="11">
        <f t="shared" si="14"/>
        <v>217.06925811676666</v>
      </c>
      <c r="D49" s="15">
        <v>0.12</v>
      </c>
      <c r="E49" s="11">
        <f t="shared" si="8"/>
        <v>26.048310974011997</v>
      </c>
      <c r="F49" s="11">
        <f t="shared" si="9"/>
        <v>20.838648779209599</v>
      </c>
      <c r="G49" s="15">
        <v>0.09</v>
      </c>
      <c r="H49" s="11">
        <f t="shared" si="10"/>
        <v>19.536233230508998</v>
      </c>
      <c r="I49" s="15">
        <v>0.08</v>
      </c>
      <c r="J49" s="11">
        <f t="shared" si="11"/>
        <v>17.365540649341334</v>
      </c>
      <c r="K49" s="11">
        <f t="shared" si="15"/>
        <v>0.16697635239751321</v>
      </c>
      <c r="L49" s="11">
        <f t="shared" si="12"/>
        <v>22.842365007979751</v>
      </c>
      <c r="M49" s="9">
        <f>1/(1+$B$37)^10</f>
        <v>0.38554328942953148</v>
      </c>
      <c r="N49" s="11">
        <f t="shared" si="13"/>
        <v>8.8067205435265397</v>
      </c>
    </row>
    <row r="50" spans="1:14">
      <c r="A50" s="18" t="s">
        <v>182</v>
      </c>
      <c r="B50" s="11">
        <f>L49*(1+$D$37)/($B$37-$D$37)</f>
        <v>395.93432680498233</v>
      </c>
    </row>
    <row r="51" spans="1:14">
      <c r="A51" s="6" t="s">
        <v>183</v>
      </c>
      <c r="B51" s="11">
        <f>B50/(1+$B$37)^10</f>
        <v>152.64982275445999</v>
      </c>
    </row>
    <row r="52" spans="1:14">
      <c r="A52" s="18" t="s">
        <v>184</v>
      </c>
      <c r="B52" s="11">
        <f>SUM(N40:N49)+B51</f>
        <v>213.96488132127041</v>
      </c>
    </row>
    <row r="53" spans="1:14">
      <c r="A53" s="6" t="s">
        <v>185</v>
      </c>
      <c r="B53" s="11">
        <f>$B$8</f>
        <v>-35.923999999999999</v>
      </c>
    </row>
    <row r="54" spans="1:14">
      <c r="A54" s="18" t="s">
        <v>186</v>
      </c>
      <c r="B54" s="11">
        <f>B52-B53</f>
        <v>249.88888132127042</v>
      </c>
    </row>
    <row r="55" spans="1:14">
      <c r="A55" s="18" t="s">
        <v>187</v>
      </c>
      <c r="B55" s="7">
        <f>B54/$B$10</f>
        <v>63.214996539658593</v>
      </c>
      <c r="C55" s="6" t="s">
        <v>190</v>
      </c>
    </row>
    <row r="59" spans="1:14" ht="16.2">
      <c r="A59" s="3" t="s">
        <v>191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6" t="s">
        <v>169</v>
      </c>
      <c r="B60" s="15">
        <v>0.09</v>
      </c>
      <c r="C60" s="6" t="s">
        <v>170</v>
      </c>
      <c r="D60" s="15">
        <v>0.04</v>
      </c>
    </row>
    <row r="62" spans="1:14">
      <c r="A62" s="5" t="s">
        <v>171</v>
      </c>
      <c r="B62" s="5" t="s">
        <v>89</v>
      </c>
      <c r="C62" s="5" t="s">
        <v>74</v>
      </c>
      <c r="D62" s="5" t="s">
        <v>172</v>
      </c>
      <c r="E62" s="5" t="s">
        <v>173</v>
      </c>
      <c r="F62" s="5" t="s">
        <v>139</v>
      </c>
      <c r="G62" s="5" t="s">
        <v>174</v>
      </c>
      <c r="H62" s="5" t="s">
        <v>175</v>
      </c>
      <c r="I62" s="5" t="s">
        <v>176</v>
      </c>
      <c r="J62" s="5" t="s">
        <v>177</v>
      </c>
      <c r="K62" s="5" t="s">
        <v>178</v>
      </c>
      <c r="L62" s="5" t="s">
        <v>179</v>
      </c>
      <c r="M62" s="5" t="s">
        <v>180</v>
      </c>
      <c r="N62" s="5" t="s">
        <v>181</v>
      </c>
    </row>
    <row r="63" spans="1:14">
      <c r="A63" s="23">
        <v>1</v>
      </c>
      <c r="B63" s="15">
        <v>0.15</v>
      </c>
      <c r="C63" s="11">
        <f>$B$5*(1+B63)</f>
        <v>119.10549999999998</v>
      </c>
      <c r="D63" s="15">
        <v>0.06</v>
      </c>
      <c r="E63" s="11">
        <f t="shared" ref="E63:E72" si="16">C63*D63</f>
        <v>7.1463299999999981</v>
      </c>
      <c r="F63" s="11">
        <f t="shared" ref="F63:F72" si="17">E63*(1-$B$6)</f>
        <v>5.7170639999999988</v>
      </c>
      <c r="G63" s="15">
        <v>7.0000000000000007E-2</v>
      </c>
      <c r="H63" s="11">
        <f t="shared" ref="H63:H72" si="18">C63*G63</f>
        <v>8.3373849999999994</v>
      </c>
      <c r="I63" s="15">
        <v>0.11</v>
      </c>
      <c r="J63" s="11">
        <f t="shared" ref="J63:J72" si="19">C63*I63</f>
        <v>13.101604999999998</v>
      </c>
      <c r="K63" s="11">
        <f>(C63-$B$5)*$B$7</f>
        <v>0.31070999999999971</v>
      </c>
      <c r="L63" s="11">
        <f t="shared" ref="L63:L72" si="20">F63+H63-J63-K63</f>
        <v>0.64213400000000098</v>
      </c>
      <c r="M63" s="9">
        <f>1/(1+$B$60)^1</f>
        <v>0.9174311926605504</v>
      </c>
      <c r="N63" s="11">
        <f t="shared" ref="N63:N72" si="21">L63*M63</f>
        <v>0.58911376146789074</v>
      </c>
    </row>
    <row r="64" spans="1:14">
      <c r="A64" s="23">
        <v>2</v>
      </c>
      <c r="B64" s="15">
        <v>0.2</v>
      </c>
      <c r="C64" s="11">
        <f t="shared" ref="C64:C72" si="22">C63*(1+B64)</f>
        <v>142.92659999999998</v>
      </c>
      <c r="D64" s="15">
        <v>0.09</v>
      </c>
      <c r="E64" s="11">
        <f t="shared" si="16"/>
        <v>12.863393999999998</v>
      </c>
      <c r="F64" s="11">
        <f t="shared" si="17"/>
        <v>10.290715199999999</v>
      </c>
      <c r="G64" s="15">
        <v>7.4999999999999997E-2</v>
      </c>
      <c r="H64" s="11">
        <f t="shared" si="18"/>
        <v>10.719494999999998</v>
      </c>
      <c r="I64" s="15">
        <v>0.11</v>
      </c>
      <c r="J64" s="11">
        <f t="shared" si="19"/>
        <v>15.721925999999998</v>
      </c>
      <c r="K64" s="11">
        <f t="shared" ref="K64:K72" si="23">(C64-C63)*$B$7</f>
        <v>0.47642200000000001</v>
      </c>
      <c r="L64" s="11">
        <f t="shared" si="20"/>
        <v>4.8118621999999975</v>
      </c>
      <c r="M64" s="9">
        <f>1/(1+$B$60)^2</f>
        <v>0.84167999326655996</v>
      </c>
      <c r="N64" s="11">
        <f t="shared" si="21"/>
        <v>4.0500481440956122</v>
      </c>
    </row>
    <row r="65" spans="1:14">
      <c r="A65" s="23">
        <v>3</v>
      </c>
      <c r="B65" s="15">
        <v>0.2</v>
      </c>
      <c r="C65" s="11">
        <f t="shared" si="22"/>
        <v>171.51191999999998</v>
      </c>
      <c r="D65" s="15">
        <v>0.12</v>
      </c>
      <c r="E65" s="11">
        <f t="shared" si="16"/>
        <v>20.581430399999995</v>
      </c>
      <c r="F65" s="11">
        <f t="shared" si="17"/>
        <v>16.465144319999997</v>
      </c>
      <c r="G65" s="15">
        <v>0.08</v>
      </c>
      <c r="H65" s="11">
        <f t="shared" si="18"/>
        <v>13.720953599999998</v>
      </c>
      <c r="I65" s="15">
        <v>0.11</v>
      </c>
      <c r="J65" s="11">
        <f t="shared" si="19"/>
        <v>18.866311199999998</v>
      </c>
      <c r="K65" s="11">
        <f t="shared" si="23"/>
        <v>0.57170639999999995</v>
      </c>
      <c r="L65" s="11">
        <f t="shared" si="20"/>
        <v>10.748080319999996</v>
      </c>
      <c r="M65" s="9">
        <f>1/(1+$B$60)^3</f>
        <v>0.77218348006106419</v>
      </c>
      <c r="N65" s="11">
        <f t="shared" si="21"/>
        <v>8.2994900654734334</v>
      </c>
    </row>
    <row r="66" spans="1:14">
      <c r="A66" s="23">
        <v>4</v>
      </c>
      <c r="B66" s="15">
        <v>0.18</v>
      </c>
      <c r="C66" s="11">
        <f t="shared" si="22"/>
        <v>202.38406559999996</v>
      </c>
      <c r="D66" s="15">
        <v>0.15</v>
      </c>
      <c r="E66" s="11">
        <f t="shared" si="16"/>
        <v>30.357609839999991</v>
      </c>
      <c r="F66" s="11">
        <f t="shared" si="17"/>
        <v>24.286087871999996</v>
      </c>
      <c r="G66" s="15">
        <v>8.5000000000000006E-2</v>
      </c>
      <c r="H66" s="11">
        <f t="shared" si="18"/>
        <v>17.202645575999998</v>
      </c>
      <c r="I66" s="15">
        <v>0.11</v>
      </c>
      <c r="J66" s="11">
        <f t="shared" si="19"/>
        <v>22.262247215999995</v>
      </c>
      <c r="K66" s="11">
        <f t="shared" si="23"/>
        <v>0.61744291199999968</v>
      </c>
      <c r="L66" s="11">
        <f t="shared" si="20"/>
        <v>18.609043319999994</v>
      </c>
      <c r="M66" s="9">
        <f>1/(1+$B$60)^4</f>
        <v>0.7084252110651964</v>
      </c>
      <c r="N66" s="11">
        <f t="shared" si="21"/>
        <v>13.183115441692379</v>
      </c>
    </row>
    <row r="67" spans="1:14">
      <c r="A67" s="23">
        <v>5</v>
      </c>
      <c r="B67" s="15">
        <v>0.15</v>
      </c>
      <c r="C67" s="11">
        <f t="shared" si="22"/>
        <v>232.74167543999994</v>
      </c>
      <c r="D67" s="15">
        <v>0.18</v>
      </c>
      <c r="E67" s="11">
        <f t="shared" si="16"/>
        <v>41.893501579199985</v>
      </c>
      <c r="F67" s="11">
        <f t="shared" si="17"/>
        <v>33.514801263359992</v>
      </c>
      <c r="G67" s="15">
        <v>0.09</v>
      </c>
      <c r="H67" s="11">
        <f t="shared" si="18"/>
        <v>20.946750789599992</v>
      </c>
      <c r="I67" s="15">
        <v>0.1</v>
      </c>
      <c r="J67" s="11">
        <f t="shared" si="19"/>
        <v>23.274167543999994</v>
      </c>
      <c r="K67" s="11">
        <f t="shared" si="23"/>
        <v>0.60715219679999965</v>
      </c>
      <c r="L67" s="11">
        <f t="shared" si="20"/>
        <v>30.580232312159993</v>
      </c>
      <c r="M67" s="9">
        <f>1/(1+$B$60)^5</f>
        <v>0.64993138629834524</v>
      </c>
      <c r="N67" s="11">
        <f t="shared" si="21"/>
        <v>19.875052779967596</v>
      </c>
    </row>
    <row r="68" spans="1:14">
      <c r="A68" s="23">
        <v>6</v>
      </c>
      <c r="B68" s="15">
        <v>0.12</v>
      </c>
      <c r="C68" s="11">
        <f t="shared" si="22"/>
        <v>260.67067649279994</v>
      </c>
      <c r="D68" s="15">
        <v>0.2</v>
      </c>
      <c r="E68" s="11">
        <f t="shared" si="16"/>
        <v>52.13413529855999</v>
      </c>
      <c r="F68" s="11">
        <f t="shared" si="17"/>
        <v>41.707308238847993</v>
      </c>
      <c r="G68" s="15">
        <v>0.09</v>
      </c>
      <c r="H68" s="11">
        <f t="shared" si="18"/>
        <v>23.460360884351992</v>
      </c>
      <c r="I68" s="15">
        <v>0.1</v>
      </c>
      <c r="J68" s="11">
        <f t="shared" si="19"/>
        <v>26.067067649279995</v>
      </c>
      <c r="K68" s="11">
        <f t="shared" si="23"/>
        <v>0.55858002105600013</v>
      </c>
      <c r="L68" s="11">
        <f t="shared" si="20"/>
        <v>38.542021452863992</v>
      </c>
      <c r="M68" s="9">
        <f>1/(1+$B$60)^6</f>
        <v>0.5962673268792158</v>
      </c>
      <c r="N68" s="11">
        <f t="shared" si="21"/>
        <v>22.981348104220601</v>
      </c>
    </row>
    <row r="69" spans="1:14">
      <c r="A69" s="23">
        <v>7</v>
      </c>
      <c r="B69" s="15">
        <v>0.1</v>
      </c>
      <c r="C69" s="11">
        <f t="shared" si="22"/>
        <v>286.73774414207998</v>
      </c>
      <c r="D69" s="15">
        <v>0.21</v>
      </c>
      <c r="E69" s="11">
        <f t="shared" si="16"/>
        <v>60.214926269836795</v>
      </c>
      <c r="F69" s="11">
        <f t="shared" si="17"/>
        <v>48.171941015869436</v>
      </c>
      <c r="G69" s="15">
        <v>0.09</v>
      </c>
      <c r="H69" s="11">
        <f t="shared" si="18"/>
        <v>25.806396972787198</v>
      </c>
      <c r="I69" s="15">
        <v>0.09</v>
      </c>
      <c r="J69" s="11">
        <f t="shared" si="19"/>
        <v>25.806396972787198</v>
      </c>
      <c r="K69" s="11">
        <f t="shared" si="23"/>
        <v>0.52134135298560069</v>
      </c>
      <c r="L69" s="11">
        <f t="shared" si="20"/>
        <v>47.650599662883835</v>
      </c>
      <c r="M69" s="9">
        <f>1/(1+$B$60)^7</f>
        <v>0.54703424484331731</v>
      </c>
      <c r="N69" s="11">
        <f t="shared" si="21"/>
        <v>26.06650980291689</v>
      </c>
    </row>
    <row r="70" spans="1:14">
      <c r="A70" s="23">
        <v>8</v>
      </c>
      <c r="B70" s="15">
        <v>0.08</v>
      </c>
      <c r="C70" s="11">
        <f t="shared" si="22"/>
        <v>309.67676367344637</v>
      </c>
      <c r="D70" s="15">
        <v>0.22</v>
      </c>
      <c r="E70" s="11">
        <f t="shared" si="16"/>
        <v>68.128888008158199</v>
      </c>
      <c r="F70" s="11">
        <f t="shared" si="17"/>
        <v>54.503110406526559</v>
      </c>
      <c r="G70" s="15">
        <v>0.09</v>
      </c>
      <c r="H70" s="11">
        <f t="shared" si="18"/>
        <v>27.870908730610171</v>
      </c>
      <c r="I70" s="15">
        <v>0.09</v>
      </c>
      <c r="J70" s="11">
        <f t="shared" si="19"/>
        <v>27.870908730610171</v>
      </c>
      <c r="K70" s="11">
        <f t="shared" si="23"/>
        <v>0.45878039062732795</v>
      </c>
      <c r="L70" s="11">
        <f t="shared" si="20"/>
        <v>54.044330015899234</v>
      </c>
      <c r="M70" s="9">
        <f>1/(1+$B$60)^8</f>
        <v>0.50186627967276809</v>
      </c>
      <c r="N70" s="11">
        <f t="shared" si="21"/>
        <v>27.123026842486659</v>
      </c>
    </row>
    <row r="71" spans="1:14">
      <c r="A71" s="23">
        <v>9</v>
      </c>
      <c r="B71" s="15">
        <v>0.06</v>
      </c>
      <c r="C71" s="11">
        <f t="shared" si="22"/>
        <v>328.25736949385316</v>
      </c>
      <c r="D71" s="15">
        <v>0.22</v>
      </c>
      <c r="E71" s="11">
        <f t="shared" si="16"/>
        <v>72.216621288647701</v>
      </c>
      <c r="F71" s="11">
        <f t="shared" si="17"/>
        <v>57.773297030918165</v>
      </c>
      <c r="G71" s="15">
        <v>0.09</v>
      </c>
      <c r="H71" s="11">
        <f t="shared" si="18"/>
        <v>29.543163254446782</v>
      </c>
      <c r="I71" s="15">
        <v>0.08</v>
      </c>
      <c r="J71" s="11">
        <f t="shared" si="19"/>
        <v>26.260589559508254</v>
      </c>
      <c r="K71" s="11">
        <f t="shared" si="23"/>
        <v>0.3716121164081358</v>
      </c>
      <c r="L71" s="11">
        <f t="shared" si="20"/>
        <v>60.684258609448548</v>
      </c>
      <c r="M71" s="9">
        <f>1/(1+$B$60)^9</f>
        <v>0.46042777951630098</v>
      </c>
      <c r="N71" s="11">
        <f t="shared" si="21"/>
        <v>27.940718443141368</v>
      </c>
    </row>
    <row r="72" spans="1:14">
      <c r="A72" s="23">
        <v>10</v>
      </c>
      <c r="B72" s="15">
        <v>0.05</v>
      </c>
      <c r="C72" s="11">
        <f t="shared" si="22"/>
        <v>344.67023796854585</v>
      </c>
      <c r="D72" s="15">
        <v>0.22</v>
      </c>
      <c r="E72" s="11">
        <f t="shared" si="16"/>
        <v>75.827452353080091</v>
      </c>
      <c r="F72" s="11">
        <f t="shared" si="17"/>
        <v>60.661961882464077</v>
      </c>
      <c r="G72" s="15">
        <v>0.09</v>
      </c>
      <c r="H72" s="11">
        <f t="shared" si="18"/>
        <v>31.020321417169125</v>
      </c>
      <c r="I72" s="15">
        <v>0.08</v>
      </c>
      <c r="J72" s="11">
        <f t="shared" si="19"/>
        <v>27.573619037483667</v>
      </c>
      <c r="K72" s="11">
        <f t="shared" si="23"/>
        <v>0.32825736949385376</v>
      </c>
      <c r="L72" s="11">
        <f t="shared" si="20"/>
        <v>63.780406892655677</v>
      </c>
      <c r="M72" s="9">
        <f>1/(1+$B$60)^10</f>
        <v>0.42241080689568894</v>
      </c>
      <c r="N72" s="11">
        <f t="shared" si="21"/>
        <v>26.941533139662045</v>
      </c>
    </row>
    <row r="73" spans="1:14">
      <c r="A73" s="18" t="s">
        <v>182</v>
      </c>
      <c r="B73" s="11">
        <f>L72*(1+$D$60)/($B$60-$D$60)</f>
        <v>1326.6324633672382</v>
      </c>
    </row>
    <row r="74" spans="1:14">
      <c r="A74" s="6" t="s">
        <v>183</v>
      </c>
      <c r="B74" s="11">
        <f>B73/(1+$B$60)^10</f>
        <v>560.38388930497058</v>
      </c>
    </row>
    <row r="75" spans="1:14">
      <c r="A75" s="18" t="s">
        <v>184</v>
      </c>
      <c r="B75" s="11">
        <f>SUM(N63:N72)+B74</f>
        <v>737.43384583009515</v>
      </c>
    </row>
    <row r="76" spans="1:14">
      <c r="A76" s="6" t="s">
        <v>185</v>
      </c>
      <c r="B76" s="11">
        <f>$B$8</f>
        <v>-35.923999999999999</v>
      </c>
    </row>
    <row r="77" spans="1:14">
      <c r="A77" s="18" t="s">
        <v>186</v>
      </c>
      <c r="B77" s="11">
        <f>B75-B76</f>
        <v>773.35784583009513</v>
      </c>
    </row>
    <row r="78" spans="1:14">
      <c r="A78" s="18" t="s">
        <v>187</v>
      </c>
      <c r="B78" s="7">
        <f>B77/$B$10</f>
        <v>195.63821043007721</v>
      </c>
      <c r="C78" s="6" t="s">
        <v>192</v>
      </c>
    </row>
  </sheetData>
  <mergeCells count="3">
    <mergeCell ref="A3:N3"/>
    <mergeCell ref="A2:N2"/>
    <mergeCell ref="A11:N11"/>
  </mergeCells>
  <phoneticPr fontId="11" type="noConversion"/>
  <pageMargins left="0.25" right="0.25" top="0.35" bottom="0.35" header="0.15" footer="0.15"/>
  <pageSetup paperSize="8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2"/>
  <sheetViews>
    <sheetView showGridLines="0" workbookViewId="0"/>
  </sheetViews>
  <sheetFormatPr defaultRowHeight="14.4"/>
  <cols>
    <col min="1" max="1" width="28" customWidth="1"/>
    <col min="2" max="7" width="14" customWidth="1"/>
  </cols>
  <sheetData>
    <row r="1" spans="1:7" ht="23.4">
      <c r="A1" s="1" t="s">
        <v>193</v>
      </c>
    </row>
    <row r="2" spans="1:7" ht="15.6">
      <c r="A2" s="25" t="s">
        <v>194</v>
      </c>
      <c r="B2" s="26"/>
      <c r="C2" s="26"/>
      <c r="D2" s="26"/>
      <c r="E2" s="26"/>
      <c r="F2" s="26"/>
      <c r="G2" s="26"/>
    </row>
    <row r="4" spans="1:7">
      <c r="A4" s="5" t="s">
        <v>169</v>
      </c>
      <c r="B4" s="5" t="s">
        <v>187</v>
      </c>
    </row>
    <row r="5" spans="1:7">
      <c r="A5" s="15">
        <v>8.4000000000000005E-2</v>
      </c>
      <c r="B5" s="24">
        <v>87</v>
      </c>
    </row>
    <row r="6" spans="1:7">
      <c r="A6" s="15">
        <v>8.6999999999999994E-2</v>
      </c>
      <c r="B6" s="24">
        <v>81</v>
      </c>
    </row>
    <row r="7" spans="1:7">
      <c r="A7" s="15">
        <v>0.09</v>
      </c>
      <c r="B7" s="24">
        <v>76</v>
      </c>
    </row>
    <row r="8" spans="1:7">
      <c r="A8" s="15">
        <v>9.5000000000000001E-2</v>
      </c>
      <c r="B8" s="24">
        <v>69</v>
      </c>
    </row>
    <row r="9" spans="1:7">
      <c r="A9" s="15">
        <v>0.1</v>
      </c>
      <c r="B9" s="24">
        <v>63</v>
      </c>
    </row>
    <row r="10" spans="1:7">
      <c r="A10" s="15">
        <v>0.105</v>
      </c>
      <c r="B10" s="24">
        <v>58</v>
      </c>
    </row>
    <row r="11" spans="1:7">
      <c r="A11" s="15">
        <v>0.11</v>
      </c>
      <c r="B11" s="24">
        <v>54</v>
      </c>
    </row>
    <row r="12" spans="1:7">
      <c r="A12" s="15">
        <v>0.115</v>
      </c>
      <c r="B12" s="24">
        <v>50</v>
      </c>
    </row>
    <row r="14" spans="1:7">
      <c r="A14" s="5" t="s">
        <v>195</v>
      </c>
      <c r="B14" s="5" t="s">
        <v>187</v>
      </c>
    </row>
    <row r="15" spans="1:7">
      <c r="A15" s="15">
        <v>0.05</v>
      </c>
      <c r="B15" s="24">
        <v>75</v>
      </c>
    </row>
    <row r="16" spans="1:7">
      <c r="A16" s="15">
        <v>0.06</v>
      </c>
      <c r="B16" s="24">
        <v>71</v>
      </c>
    </row>
    <row r="17" spans="1:3">
      <c r="A17" s="15">
        <v>7.0000000000000007E-2</v>
      </c>
      <c r="B17" s="24">
        <v>67</v>
      </c>
    </row>
    <row r="18" spans="1:3">
      <c r="A18" s="15">
        <v>0.08</v>
      </c>
      <c r="B18" s="24">
        <v>63</v>
      </c>
    </row>
    <row r="19" spans="1:3">
      <c r="A19" s="15">
        <v>0.09</v>
      </c>
      <c r="B19" s="24">
        <v>59</v>
      </c>
    </row>
    <row r="20" spans="1:3">
      <c r="A20" s="15">
        <v>0.1</v>
      </c>
      <c r="B20" s="24">
        <v>55</v>
      </c>
    </row>
    <row r="23" spans="1:3">
      <c r="A23" s="5" t="s">
        <v>196</v>
      </c>
      <c r="B23" s="5" t="s">
        <v>187</v>
      </c>
    </row>
    <row r="24" spans="1:3">
      <c r="A24" s="15">
        <v>0.06</v>
      </c>
      <c r="B24" s="24">
        <v>45</v>
      </c>
    </row>
    <row r="25" spans="1:3">
      <c r="A25" s="15">
        <v>0.08</v>
      </c>
      <c r="B25" s="24">
        <v>51</v>
      </c>
    </row>
    <row r="26" spans="1:3">
      <c r="A26" s="15">
        <v>0.1</v>
      </c>
      <c r="B26" s="24">
        <v>57</v>
      </c>
    </row>
    <row r="27" spans="1:3">
      <c r="A27" s="15">
        <v>0.12</v>
      </c>
      <c r="B27" s="24">
        <v>63</v>
      </c>
    </row>
    <row r="28" spans="1:3">
      <c r="A28" s="15">
        <v>0.14000000000000001</v>
      </c>
      <c r="B28" s="24">
        <v>69</v>
      </c>
    </row>
    <row r="29" spans="1:3">
      <c r="A29" s="15">
        <v>0.16</v>
      </c>
      <c r="B29" s="24">
        <v>76</v>
      </c>
    </row>
    <row r="30" spans="1:3">
      <c r="A30" s="15">
        <v>0.18</v>
      </c>
      <c r="B30" s="24">
        <v>82</v>
      </c>
    </row>
    <row r="32" spans="1:3" ht="16.2">
      <c r="A32" s="3" t="s">
        <v>197</v>
      </c>
      <c r="B32" s="4"/>
      <c r="C32" s="4"/>
    </row>
    <row r="33" spans="1:7">
      <c r="A33" s="6" t="s">
        <v>198</v>
      </c>
      <c r="B33" s="15">
        <v>0.33783430206985948</v>
      </c>
    </row>
    <row r="34" spans="1:7">
      <c r="A34" s="6" t="s">
        <v>199</v>
      </c>
      <c r="B34" s="15">
        <v>7.6803440679073409E-2</v>
      </c>
    </row>
    <row r="36" spans="1:7" ht="16.2">
      <c r="A36" s="3" t="s">
        <v>200</v>
      </c>
      <c r="B36" s="4"/>
      <c r="C36" s="4"/>
      <c r="D36" s="4"/>
      <c r="E36" s="4"/>
      <c r="F36" s="4"/>
      <c r="G36" s="4"/>
    </row>
    <row r="37" spans="1:7">
      <c r="A37" s="5" t="s">
        <v>201</v>
      </c>
      <c r="B37" s="5" t="s">
        <v>54</v>
      </c>
      <c r="C37" s="5" t="s">
        <v>55</v>
      </c>
      <c r="D37" s="5" t="s">
        <v>56</v>
      </c>
    </row>
    <row r="38" spans="1:7">
      <c r="A38" s="6" t="s">
        <v>202</v>
      </c>
      <c r="B38" s="24">
        <v>15</v>
      </c>
      <c r="C38" s="24">
        <v>63</v>
      </c>
      <c r="D38" s="24">
        <v>196</v>
      </c>
    </row>
    <row r="39" spans="1:7">
      <c r="A39" s="6" t="s">
        <v>203</v>
      </c>
      <c r="B39" s="24">
        <v>30</v>
      </c>
      <c r="C39" s="24">
        <v>80</v>
      </c>
      <c r="D39" s="24">
        <v>250</v>
      </c>
    </row>
    <row r="40" spans="1:7">
      <c r="A40" s="6" t="s">
        <v>204</v>
      </c>
      <c r="B40" s="24">
        <v>0</v>
      </c>
      <c r="C40" s="24">
        <v>20</v>
      </c>
      <c r="D40" s="24">
        <v>100</v>
      </c>
    </row>
    <row r="41" spans="1:7">
      <c r="A41" s="6" t="s">
        <v>205</v>
      </c>
      <c r="B41" s="24">
        <v>45</v>
      </c>
      <c r="C41" s="24">
        <v>163</v>
      </c>
      <c r="D41" s="24">
        <v>546</v>
      </c>
    </row>
    <row r="42" spans="1:7" ht="40.049999999999997" customHeight="1">
      <c r="A42" s="27" t="s">
        <v>206</v>
      </c>
      <c r="B42" s="26"/>
      <c r="C42" s="26"/>
      <c r="D42" s="26"/>
      <c r="E42" s="26"/>
      <c r="F42" s="26"/>
      <c r="G42" s="26"/>
    </row>
  </sheetData>
  <mergeCells count="2">
    <mergeCell ref="A2:G2"/>
    <mergeCell ref="A42:G42"/>
  </mergeCells>
  <phoneticPr fontId="11" type="noConversion"/>
  <pageMargins left="0.25" right="0.25" top="0.35" bottom="0.35" header="0.15" footer="0.15"/>
  <pageSetup paperSize="8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3"/>
  <sheetViews>
    <sheetView showGridLines="0" workbookViewId="0"/>
  </sheetViews>
  <sheetFormatPr defaultRowHeight="14.4"/>
  <cols>
    <col min="1" max="1" width="34" customWidth="1"/>
    <col min="2" max="2" width="50" customWidth="1"/>
    <col min="3" max="3" width="16" customWidth="1"/>
    <col min="4" max="4" width="70" customWidth="1"/>
  </cols>
  <sheetData>
    <row r="1" spans="1:4" ht="23.4">
      <c r="A1" s="1" t="s">
        <v>207</v>
      </c>
    </row>
    <row r="2" spans="1:4" ht="15.6">
      <c r="A2" s="25" t="s">
        <v>208</v>
      </c>
      <c r="B2" s="26"/>
      <c r="C2" s="26"/>
      <c r="D2" s="26"/>
    </row>
    <row r="4" spans="1:4">
      <c r="A4" s="5" t="s">
        <v>209</v>
      </c>
      <c r="B4" s="5" t="s">
        <v>210</v>
      </c>
      <c r="C4" s="5" t="s">
        <v>211</v>
      </c>
      <c r="D4" s="5" t="s">
        <v>212</v>
      </c>
    </row>
    <row r="5" spans="1:4" ht="26.4">
      <c r="A5" s="6" t="s">
        <v>213</v>
      </c>
      <c r="B5" s="6" t="s">
        <v>214</v>
      </c>
      <c r="C5" s="22" t="s">
        <v>215</v>
      </c>
      <c r="D5" s="8" t="s">
        <v>216</v>
      </c>
    </row>
    <row r="6" spans="1:4" ht="26.4">
      <c r="A6" s="6" t="s">
        <v>217</v>
      </c>
      <c r="B6" s="6" t="s">
        <v>218</v>
      </c>
      <c r="C6" s="22" t="s">
        <v>219</v>
      </c>
      <c r="D6" s="8" t="s">
        <v>220</v>
      </c>
    </row>
    <row r="7" spans="1:4" ht="26.4">
      <c r="A7" s="6" t="s">
        <v>221</v>
      </c>
      <c r="B7" s="6" t="s">
        <v>218</v>
      </c>
      <c r="C7" s="22" t="s">
        <v>222</v>
      </c>
      <c r="D7" s="8" t="s">
        <v>223</v>
      </c>
    </row>
    <row r="8" spans="1:4">
      <c r="A8" s="6" t="s">
        <v>224</v>
      </c>
      <c r="B8" s="6" t="s">
        <v>225</v>
      </c>
      <c r="C8" s="22" t="s">
        <v>226</v>
      </c>
      <c r="D8" s="8" t="s">
        <v>227</v>
      </c>
    </row>
    <row r="9" spans="1:4">
      <c r="A9" s="6" t="s">
        <v>228</v>
      </c>
      <c r="B9" s="6" t="s">
        <v>229</v>
      </c>
      <c r="C9" s="22" t="s">
        <v>230</v>
      </c>
      <c r="D9" s="8" t="s">
        <v>231</v>
      </c>
    </row>
    <row r="10" spans="1:4">
      <c r="A10" s="6" t="s">
        <v>232</v>
      </c>
      <c r="B10" s="6" t="s">
        <v>233</v>
      </c>
      <c r="C10" s="22" t="s">
        <v>226</v>
      </c>
      <c r="D10" s="8" t="s">
        <v>234</v>
      </c>
    </row>
    <row r="13" spans="1:4" ht="15">
      <c r="A13" s="30" t="s">
        <v>235</v>
      </c>
      <c r="B13" s="26"/>
      <c r="C13" s="26"/>
      <c r="D13" s="26"/>
    </row>
  </sheetData>
  <mergeCells count="2">
    <mergeCell ref="A13:D13"/>
    <mergeCell ref="A2:D2"/>
  </mergeCells>
  <phoneticPr fontId="11" type="noConversion"/>
  <pageMargins left="0.25" right="0.25" top="0.35" bottom="0.35" header="0.15" footer="0.1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结论</vt:lpstr>
      <vt:lpstr>历史财务</vt:lpstr>
      <vt:lpstr>分部</vt:lpstr>
      <vt:lpstr>FCFF桥</vt:lpstr>
      <vt:lpstr>DCF</vt:lpstr>
      <vt:lpstr>敏感性</vt:lpstr>
      <vt:lpstr>来源</vt:lpstr>
      <vt:lpstr>DCF!Print_Area</vt:lpstr>
      <vt:lpstr>FCFF桥!Print_Area</vt:lpstr>
      <vt:lpstr>分部!Print_Area</vt:lpstr>
      <vt:lpstr>结论!Print_Area</vt:lpstr>
      <vt:lpstr>来源!Print_Area</vt:lpstr>
      <vt:lpstr>历史财务!Print_Area</vt:lpstr>
      <vt:lpstr>敏感性!Print_Area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t4707</cp:lastModifiedBy>
  <dcterms:created xsi:type="dcterms:W3CDTF">2026-10-29T08:15:10Z</dcterms:created>
  <dcterms:modified xsi:type="dcterms:W3CDTF">2026-10-29T10:34:41Z</dcterms:modified>
</cp:coreProperties>
</file>