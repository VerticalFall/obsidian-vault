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er\Documents\Obsidian Vault\大土豆开源最新文件\估值skills（持续更新）\巴菲特skills-改良版\输出\000333.SZ-2026-10-29\"/>
    </mc:Choice>
  </mc:AlternateContent>
  <xr:revisionPtr revIDLastSave="0" documentId="13_ncr:1_{F2385DC4-5324-4484-B85A-A56EA615EE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结论" sheetId="1" r:id="rId1"/>
    <sheet name="历史财务" sheetId="2" r:id="rId2"/>
    <sheet name="分部" sheetId="3" r:id="rId3"/>
    <sheet name="FCFF桥" sheetId="4" r:id="rId4"/>
    <sheet name="DCF" sheetId="5" r:id="rId5"/>
    <sheet name="敏感性" sheetId="6" r:id="rId6"/>
    <sheet name="来源" sheetId="7" r:id="rId7"/>
  </sheets>
  <definedNames>
    <definedName name="_xlnm.Print_Area" localSheetId="4">DCF!$A$1:$N$78</definedName>
    <definedName name="_xlnm.Print_Area" localSheetId="3">FCFF桥!$A$1:$C$25</definedName>
    <definedName name="_xlnm.Print_Area" localSheetId="2">分部!$A$1:$F$20</definedName>
    <definedName name="_xlnm.Print_Area" localSheetId="0">结论!$A$1:$M$47</definedName>
    <definedName name="_xlnm.Print_Area" localSheetId="6">来源!$A$1:$D$13</definedName>
    <definedName name="_xlnm.Print_Area" localSheetId="1">历史财务!$A$1:$H$28</definedName>
    <definedName name="_xlnm.Print_Area" localSheetId="5">敏感性!$A$1:$G$43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7" i="5" l="1"/>
  <c r="B76" i="5"/>
  <c r="M72" i="5"/>
  <c r="M71" i="5"/>
  <c r="M70" i="5"/>
  <c r="M69" i="5"/>
  <c r="M68" i="5"/>
  <c r="M67" i="5"/>
  <c r="M66" i="5"/>
  <c r="M65" i="5"/>
  <c r="M64" i="5"/>
  <c r="M63" i="5"/>
  <c r="C63" i="5"/>
  <c r="B54" i="5"/>
  <c r="B53" i="5"/>
  <c r="M49" i="5"/>
  <c r="M48" i="5"/>
  <c r="M47" i="5"/>
  <c r="M46" i="5"/>
  <c r="M45" i="5"/>
  <c r="M44" i="5"/>
  <c r="M43" i="5"/>
  <c r="M42" i="5"/>
  <c r="M41" i="5"/>
  <c r="M40" i="5"/>
  <c r="C40" i="5"/>
  <c r="B31" i="5"/>
  <c r="B30" i="5"/>
  <c r="M26" i="5"/>
  <c r="M25" i="5"/>
  <c r="M24" i="5"/>
  <c r="M23" i="5"/>
  <c r="M22" i="5"/>
  <c r="M21" i="5"/>
  <c r="M20" i="5"/>
  <c r="M19" i="5"/>
  <c r="M18" i="5"/>
  <c r="M17" i="5"/>
  <c r="H17" i="5"/>
  <c r="C17" i="5"/>
  <c r="B18" i="4"/>
  <c r="B17" i="4"/>
  <c r="B15" i="4"/>
  <c r="B7" i="4"/>
  <c r="B12" i="4" s="1"/>
  <c r="B16" i="4" s="1"/>
  <c r="G19" i="2"/>
  <c r="F19" i="2"/>
  <c r="E19" i="2"/>
  <c r="D19" i="2"/>
  <c r="C19" i="2"/>
  <c r="B19" i="2"/>
  <c r="G18" i="2"/>
  <c r="F18" i="2"/>
  <c r="E18" i="2"/>
  <c r="D18" i="2"/>
  <c r="C18" i="2"/>
  <c r="B18" i="2"/>
  <c r="G17" i="2"/>
  <c r="F17" i="2"/>
  <c r="E17" i="2"/>
  <c r="D17" i="2"/>
  <c r="C17" i="2"/>
  <c r="B17" i="2"/>
  <c r="G16" i="2"/>
  <c r="F16" i="2"/>
  <c r="E16" i="2"/>
  <c r="D16" i="2"/>
  <c r="C16" i="2"/>
  <c r="B16" i="2"/>
  <c r="G15" i="2"/>
  <c r="F15" i="2"/>
  <c r="E15" i="2"/>
  <c r="D15" i="2"/>
  <c r="C15" i="2"/>
  <c r="B15" i="2"/>
  <c r="G14" i="2"/>
  <c r="F14" i="2"/>
  <c r="E14" i="2"/>
  <c r="D14" i="2"/>
  <c r="C14" i="2"/>
  <c r="D35" i="1"/>
  <c r="C35" i="1"/>
  <c r="D34" i="1"/>
  <c r="C34" i="1"/>
  <c r="D33" i="1"/>
  <c r="C33" i="1"/>
  <c r="B28" i="1"/>
  <c r="B24" i="1"/>
  <c r="B23" i="1"/>
  <c r="B12" i="1"/>
  <c r="E17" i="5" l="1"/>
  <c r="F17" i="5" s="1"/>
  <c r="C18" i="5"/>
  <c r="K17" i="5"/>
  <c r="J17" i="5"/>
  <c r="L17" i="5" s="1"/>
  <c r="N17" i="5" s="1"/>
  <c r="C64" i="5"/>
  <c r="K63" i="5"/>
  <c r="J63" i="5"/>
  <c r="H63" i="5"/>
  <c r="E63" i="5"/>
  <c r="F63" i="5" s="1"/>
  <c r="C41" i="5"/>
  <c r="K40" i="5"/>
  <c r="J40" i="5"/>
  <c r="H40" i="5"/>
  <c r="E40" i="5"/>
  <c r="F40" i="5" s="1"/>
  <c r="L40" i="5" s="1"/>
  <c r="N40" i="5" s="1"/>
  <c r="B25" i="1"/>
  <c r="B14" i="1"/>
  <c r="C19" i="5" l="1"/>
  <c r="K18" i="5"/>
  <c r="J18" i="5"/>
  <c r="H18" i="5"/>
  <c r="E18" i="5"/>
  <c r="F18" i="5" s="1"/>
  <c r="L18" i="5" s="1"/>
  <c r="N18" i="5" s="1"/>
  <c r="E64" i="5"/>
  <c r="F64" i="5" s="1"/>
  <c r="L64" i="5" s="1"/>
  <c r="N64" i="5" s="1"/>
  <c r="H64" i="5"/>
  <c r="J64" i="5"/>
  <c r="K64" i="5"/>
  <c r="C65" i="5"/>
  <c r="E41" i="5"/>
  <c r="F41" i="5" s="1"/>
  <c r="H41" i="5"/>
  <c r="J41" i="5"/>
  <c r="K41" i="5"/>
  <c r="C42" i="5"/>
  <c r="B22" i="1"/>
  <c r="B26" i="1"/>
  <c r="L63" i="5"/>
  <c r="N63" i="5" s="1"/>
  <c r="L41" i="5" l="1"/>
  <c r="N41" i="5" s="1"/>
  <c r="E19" i="5"/>
  <c r="F19" i="5" s="1"/>
  <c r="H19" i="5"/>
  <c r="J19" i="5"/>
  <c r="K19" i="5"/>
  <c r="C20" i="5"/>
  <c r="E65" i="5"/>
  <c r="F65" i="5" s="1"/>
  <c r="H65" i="5"/>
  <c r="J65" i="5"/>
  <c r="K65" i="5"/>
  <c r="C66" i="5"/>
  <c r="E42" i="5"/>
  <c r="F42" i="5" s="1"/>
  <c r="J42" i="5"/>
  <c r="C43" i="5"/>
  <c r="H42" i="5"/>
  <c r="K42" i="5"/>
  <c r="E20" i="5"/>
  <c r="F20" i="5" s="1"/>
  <c r="H20" i="5"/>
  <c r="J20" i="5"/>
  <c r="K20" i="5"/>
  <c r="C21" i="5"/>
  <c r="L19" i="5"/>
  <c r="N19" i="5" s="1"/>
  <c r="E66" i="5" l="1"/>
  <c r="F66" i="5" s="1"/>
  <c r="H66" i="5"/>
  <c r="J66" i="5"/>
  <c r="K66" i="5"/>
  <c r="C67" i="5"/>
  <c r="E43" i="5"/>
  <c r="F43" i="5" s="1"/>
  <c r="H43" i="5"/>
  <c r="J43" i="5"/>
  <c r="K43" i="5"/>
  <c r="C44" i="5"/>
  <c r="J21" i="5"/>
  <c r="E21" i="5"/>
  <c r="F21" i="5" s="1"/>
  <c r="H21" i="5"/>
  <c r="K21" i="5"/>
  <c r="C22" i="5"/>
  <c r="L65" i="5"/>
  <c r="N65" i="5" s="1"/>
  <c r="L42" i="5"/>
  <c r="N42" i="5" s="1"/>
  <c r="L20" i="5"/>
  <c r="N20" i="5" s="1"/>
  <c r="E67" i="5" l="1"/>
  <c r="F67" i="5" s="1"/>
  <c r="H67" i="5"/>
  <c r="J67" i="5"/>
  <c r="K67" i="5"/>
  <c r="C68" i="5"/>
  <c r="E44" i="5"/>
  <c r="F44" i="5" s="1"/>
  <c r="H44" i="5"/>
  <c r="J44" i="5"/>
  <c r="K44" i="5"/>
  <c r="C45" i="5"/>
  <c r="J22" i="5"/>
  <c r="K22" i="5"/>
  <c r="E22" i="5"/>
  <c r="F22" i="5" s="1"/>
  <c r="H22" i="5"/>
  <c r="C23" i="5"/>
  <c r="L43" i="5"/>
  <c r="N43" i="5" s="1"/>
  <c r="L21" i="5"/>
  <c r="N21" i="5" s="1"/>
  <c r="L66" i="5"/>
  <c r="N66" i="5" s="1"/>
  <c r="L44" i="5" l="1"/>
  <c r="N44" i="5" s="1"/>
  <c r="E68" i="5"/>
  <c r="F68" i="5" s="1"/>
  <c r="L68" i="5" s="1"/>
  <c r="N68" i="5" s="1"/>
  <c r="H68" i="5"/>
  <c r="J68" i="5"/>
  <c r="K68" i="5"/>
  <c r="C69" i="5"/>
  <c r="E45" i="5"/>
  <c r="F45" i="5" s="1"/>
  <c r="H45" i="5"/>
  <c r="J45" i="5"/>
  <c r="K45" i="5"/>
  <c r="C46" i="5"/>
  <c r="E23" i="5"/>
  <c r="F23" i="5" s="1"/>
  <c r="H23" i="5"/>
  <c r="J23" i="5"/>
  <c r="K23" i="5"/>
  <c r="C24" i="5"/>
  <c r="L22" i="5"/>
  <c r="N22" i="5" s="1"/>
  <c r="L67" i="5"/>
  <c r="N67" i="5" s="1"/>
  <c r="E69" i="5" l="1"/>
  <c r="F69" i="5" s="1"/>
  <c r="H69" i="5"/>
  <c r="J69" i="5"/>
  <c r="K69" i="5"/>
  <c r="C70" i="5"/>
  <c r="E46" i="5"/>
  <c r="F46" i="5" s="1"/>
  <c r="H46" i="5"/>
  <c r="J46" i="5"/>
  <c r="K46" i="5"/>
  <c r="C47" i="5"/>
  <c r="J24" i="5"/>
  <c r="C25" i="5"/>
  <c r="E24" i="5"/>
  <c r="F24" i="5" s="1"/>
  <c r="H24" i="5"/>
  <c r="K24" i="5"/>
  <c r="L23" i="5"/>
  <c r="N23" i="5" s="1"/>
  <c r="L45" i="5"/>
  <c r="N45" i="5" s="1"/>
  <c r="L46" i="5" l="1"/>
  <c r="N46" i="5" s="1"/>
  <c r="E70" i="5"/>
  <c r="F70" i="5" s="1"/>
  <c r="H70" i="5"/>
  <c r="J70" i="5"/>
  <c r="K70" i="5"/>
  <c r="C71" i="5"/>
  <c r="E47" i="5"/>
  <c r="F47" i="5" s="1"/>
  <c r="H47" i="5"/>
  <c r="J47" i="5"/>
  <c r="K47" i="5"/>
  <c r="C48" i="5"/>
  <c r="J25" i="5"/>
  <c r="E25" i="5"/>
  <c r="F25" i="5" s="1"/>
  <c r="H25" i="5"/>
  <c r="K25" i="5"/>
  <c r="C26" i="5"/>
  <c r="L69" i="5"/>
  <c r="N69" i="5" s="1"/>
  <c r="L24" i="5"/>
  <c r="N24" i="5" s="1"/>
  <c r="E71" i="5" l="1"/>
  <c r="F71" i="5" s="1"/>
  <c r="H71" i="5"/>
  <c r="J71" i="5"/>
  <c r="K71" i="5"/>
  <c r="C72" i="5"/>
  <c r="E48" i="5"/>
  <c r="F48" i="5" s="1"/>
  <c r="H48" i="5"/>
  <c r="J48" i="5"/>
  <c r="K48" i="5"/>
  <c r="C49" i="5"/>
  <c r="J26" i="5"/>
  <c r="E26" i="5"/>
  <c r="F26" i="5" s="1"/>
  <c r="H26" i="5"/>
  <c r="K26" i="5"/>
  <c r="L47" i="5"/>
  <c r="N47" i="5" s="1"/>
  <c r="L25" i="5"/>
  <c r="N25" i="5" s="1"/>
  <c r="L70" i="5"/>
  <c r="N70" i="5" s="1"/>
  <c r="L26" i="5" l="1"/>
  <c r="E72" i="5"/>
  <c r="F72" i="5" s="1"/>
  <c r="H72" i="5"/>
  <c r="J72" i="5"/>
  <c r="K72" i="5"/>
  <c r="J49" i="5"/>
  <c r="K49" i="5"/>
  <c r="E49" i="5"/>
  <c r="F49" i="5" s="1"/>
  <c r="H49" i="5"/>
  <c r="B27" i="5"/>
  <c r="B28" i="5" s="1"/>
  <c r="B29" i="5" s="1"/>
  <c r="B32" i="5" s="1"/>
  <c r="B33" i="5" s="1"/>
  <c r="N26" i="5"/>
  <c r="L48" i="5"/>
  <c r="N48" i="5" s="1"/>
  <c r="L71" i="5"/>
  <c r="N71" i="5" s="1"/>
  <c r="L49" i="5" l="1"/>
  <c r="L72" i="5"/>
  <c r="B50" i="5" l="1"/>
  <c r="B51" i="5" s="1"/>
  <c r="N49" i="5"/>
  <c r="B73" i="5"/>
  <c r="B74" i="5" s="1"/>
  <c r="B75" i="5" s="1"/>
  <c r="B78" i="5" s="1"/>
  <c r="B79" i="5" s="1"/>
  <c r="N72" i="5"/>
  <c r="B52" i="5" l="1"/>
  <c r="B55" i="5" s="1"/>
  <c r="B56" i="5" s="1"/>
</calcChain>
</file>

<file path=xl/sharedStrings.xml><?xml version="1.0" encoding="utf-8"?>
<sst xmlns="http://schemas.openxmlformats.org/spreadsheetml/2006/main" count="315" uniqueCount="228">
  <si>
    <t>美的集团（000333.SZ）巴菲特框架估值</t>
  </si>
  <si>
    <t>研究日 2026-10-29｜收盘价 ¥87.48｜最新财报：2026 中报（2026-08-29）</t>
  </si>
  <si>
    <t>市值按 76.3031 亿股计算；净负债 = 债务 + 融资租赁 − 现金；数据边界见报告第 1 节。</t>
  </si>
  <si>
    <t>一句话结论</t>
  </si>
  <si>
    <t>便宜：基准 112 元，现价 87.5 元；股息率 4.9%。</t>
  </si>
  <si>
    <t>关键数据（亿元 / 倍 / 百分比）</t>
  </si>
  <si>
    <t>项目</t>
  </si>
  <si>
    <t>数值</t>
  </si>
  <si>
    <t>备注</t>
  </si>
  <si>
    <t>收盘价（元）</t>
  </si>
  <si>
    <t>2026-10-29 收盘 87.48 元</t>
  </si>
  <si>
    <t>总股本（亿股）</t>
  </si>
  <si>
    <t>最新总股本</t>
  </si>
  <si>
    <t>市值（亿元）</t>
  </si>
  <si>
    <t>价格 × 股数</t>
  </si>
  <si>
    <t>净负债（亿元）</t>
  </si>
  <si>
    <t>负数 = 净现金</t>
  </si>
  <si>
    <t>企业价值（亿元）</t>
  </si>
  <si>
    <t>市值 + 净负债</t>
  </si>
  <si>
    <t>TTM 收入</t>
  </si>
  <si>
    <t>最近四个季度/半年年化</t>
  </si>
  <si>
    <t>TTM 经营利润</t>
  </si>
  <si>
    <t>剔除利息与投资收益</t>
  </si>
  <si>
    <t>TTM NOPAT</t>
  </si>
  <si>
    <t>经营利润 × (1−20%)</t>
  </si>
  <si>
    <t>TTM 自由现金流</t>
  </si>
  <si>
    <t>CFO − 现金 capex</t>
  </si>
  <si>
    <t>DCF 起始收入（2026E）</t>
  </si>
  <si>
    <t>基准情景第 1 年起点</t>
  </si>
  <si>
    <t>TTM EPS（元）</t>
  </si>
  <si>
    <t>最近四个季度</t>
  </si>
  <si>
    <t>2026E EPS（元）</t>
  </si>
  <si>
    <t>本文估计/一致预期</t>
  </si>
  <si>
    <t>EV / TTM EBIT</t>
  </si>
  <si>
    <t>企业价值 / 经营利润</t>
  </si>
  <si>
    <t>P/E TTM</t>
  </si>
  <si>
    <t>价格 / TTM EPS</t>
  </si>
  <si>
    <t>P/E 前瞻</t>
  </si>
  <si>
    <t>价格 / 前瞻 EPS</t>
  </si>
  <si>
    <t>FCF 收益率</t>
  </si>
  <si>
    <t>TTM FCF / 市值</t>
  </si>
  <si>
    <t>EV / TTM FCF</t>
  </si>
  <si>
    <t>企业价值 / TTM FCF</t>
  </si>
  <si>
    <t>Capex / 收入</t>
  </si>
  <si>
    <t>TTM</t>
  </si>
  <si>
    <t>FCF / NOPAT</t>
  </si>
  <si>
    <t>现金转化率；&gt;100% 说明营运资金贡献</t>
  </si>
  <si>
    <t>股息率</t>
  </si>
  <si>
    <t>年化股息 / 价格</t>
  </si>
  <si>
    <t>情景</t>
  </si>
  <si>
    <t>每股价值（元）</t>
  </si>
  <si>
    <t>较现价</t>
  </si>
  <si>
    <t>安全边际（1−价/值）</t>
  </si>
  <si>
    <t>10 年 IRR</t>
  </si>
  <si>
    <t>悲观</t>
  </si>
  <si>
    <t>基准</t>
  </si>
  <si>
    <t>乐观</t>
  </si>
  <si>
    <t>现价</t>
  </si>
  <si>
    <t>—</t>
  </si>
  <si>
    <t>结论与观察条件</t>
  </si>
  <si>
    <t>• 基准价值 ¥112，现价 ¥87.48；现价低于基准 22.1%。</t>
  </si>
  <si>
    <t>• 悲观 ¥68；基准 ¥112；乐观 ¥158；概率加权约 ¥108（30%/50%/20%）。</t>
  </si>
  <si>
    <t>• 反推：现价隐含未来 10 年收入 CAGR 约 0.7%，基准情景约 4.3%。</t>
  </si>
  <si>
    <t>• 若要求 20% 安全边际，观察价约 ¥90（基准价值 × 0.8）。</t>
  </si>
  <si>
    <t>• 结论是“观察/不追高”，不是个性化买卖指令；估值对增速、利润率和 WACC 高度敏感。</t>
  </si>
  <si>
    <t>• 这不是投资建议；所有假设与数据边界见报告。</t>
  </si>
  <si>
    <t>美的集团五年财务与现金流（亿元，除每股数据）</t>
  </si>
  <si>
    <t>来源：公司年报/中报；2026H1 为半年数据，不与年度直接比较。</t>
  </si>
  <si>
    <t>2021</t>
  </si>
  <si>
    <t>2022</t>
  </si>
  <si>
    <t>2023</t>
  </si>
  <si>
    <t>2024</t>
  </si>
  <si>
    <t>2025</t>
  </si>
  <si>
    <t>2026H1</t>
  </si>
  <si>
    <t>收入</t>
  </si>
  <si>
    <t>年度 / 半年报</t>
  </si>
  <si>
    <t>经营利润</t>
  </si>
  <si>
    <t>净利润</t>
  </si>
  <si>
    <t>经营现金流</t>
  </si>
  <si>
    <t>资本开支</t>
  </si>
  <si>
    <t>自由现金流</t>
  </si>
  <si>
    <t>EPS（元）</t>
  </si>
  <si>
    <t>股本（亿股）</t>
  </si>
  <si>
    <t>收入增速</t>
  </si>
  <si>
    <t>经营利润率</t>
  </si>
  <si>
    <t>净利率</t>
  </si>
  <si>
    <t>FCF 利润率</t>
  </si>
  <si>
    <t>关键读数</t>
  </si>
  <si>
    <t>• 2021–2025 年收入 CAGR 7.5%、净利润 CAGR 11.4%；2026H1 收入 +3.5%、归母净利 +1.7%，扣非 -25.3%（汇兑与原材料）。</t>
  </si>
  <si>
    <t>• 毛利率 25.3%、净利率 10.2%；ROE 11.3%（半年），全年约 22%，在家电行业中偏高。</t>
  </si>
  <si>
    <t>• 经营现金流 533.5 亿，高于净利 439.5 亿；FCF 422 亿，现金转化良好。</t>
  </si>
  <si>
    <t>• 海外收入 1,131 亿、+5.5%，占比 43.5%；智能家居海外 OBM 占比超过 50%，较 2025 年 45% 继续提升。</t>
  </si>
  <si>
    <t>• ToB 合计 666.7 亿、+3.3%，低于 2025 年 +17.5%；楼宇 +10.8%、机器人 +10.3%，工业技术 -12.7% 拖累。</t>
  </si>
  <si>
    <t>• 净现金 455 亿；2025 年分红 4.30 元/股（含中期），股息率 4.9%，分红率约 74%。</t>
  </si>
  <si>
    <t>美的集团：分部与关键运营数据</t>
  </si>
  <si>
    <t>单位：亿元，另有注明除外；同比为公开披露口径。</t>
  </si>
  <si>
    <t>2026H1 业务结构</t>
  </si>
  <si>
    <t>单位：亿元；同比为 2026H1 对 2025H1。</t>
  </si>
  <si>
    <t>板块</t>
  </si>
  <si>
    <t>同比</t>
  </si>
  <si>
    <t>占比</t>
  </si>
  <si>
    <t>智能家居（C 端）</t>
  </si>
  <si>
    <t>国内守份额；海外 OBM 过半</t>
  </si>
  <si>
    <t>楼宇科技</t>
  </si>
  <si>
    <t>中央空调份额 &gt;22%；液冷突破</t>
  </si>
  <si>
    <t>机器人与自动化</t>
  </si>
  <si>
    <t>库卡国内份额 9.7%，行业第二</t>
  </si>
  <si>
    <t>工业技术</t>
  </si>
  <si>
    <t>家电零部件拖累</t>
  </si>
  <si>
    <t>其他业务/ToB</t>
  </si>
  <si>
    <t>新能源、医疗、其他板块</t>
  </si>
  <si>
    <t>合计</t>
  </si>
  <si>
    <t>归母净利 264.5 亿，+1.7%</t>
  </si>
  <si>
    <t>海外收入</t>
  </si>
  <si>
    <t>占比 43.5%</t>
  </si>
  <si>
    <t>解读</t>
  </si>
  <si>
    <t>000333.SZ TTM FCFF 桥：从经营利润到自由现金流</t>
  </si>
  <si>
    <t>单位：亿元；TTM = 最近四个季度；经营利润已扣除 SBC。</t>
  </si>
  <si>
    <t>说明</t>
  </si>
  <si>
    <t>经营利润（EBIT）</t>
  </si>
  <si>
    <t>有效税率</t>
  </si>
  <si>
    <t>正常化假设</t>
  </si>
  <si>
    <t>NOPAT</t>
  </si>
  <si>
    <t>EBIT × (1−税率)</t>
  </si>
  <si>
    <t>+ 折旧摊销</t>
  </si>
  <si>
    <t>+ 股权激励（SBC）</t>
  </si>
  <si>
    <t>非现金，但会稀释</t>
  </si>
  <si>
    <t>− 资本开支（现金）</t>
  </si>
  <si>
    <t>+ 营运资金及其他</t>
  </si>
  <si>
    <t>应收账款、存货、预收款等</t>
  </si>
  <si>
    <t>自由现金流（FCFF 口径）</t>
  </si>
  <si>
    <t>与报告 FCF 对齐</t>
  </si>
  <si>
    <t>报告 CFO</t>
  </si>
  <si>
    <t>与 FCFF 差 -111.4 亿（四舍五入）</t>
  </si>
  <si>
    <t>现金转化率</t>
  </si>
  <si>
    <t>Capex / D&amp;A</t>
  </si>
  <si>
    <t>资本开支是折旧的倍数</t>
  </si>
  <si>
    <t>• 2026H1 经营现金流 375.5 亿，高于净利 264.5 亿；2025 年全年 CFO 533.5 亿、FCF 422 亿。</t>
  </si>
  <si>
    <t>• 资本开支 111 亿（2025 年），占收入 2.4%；D&amp;A 93 亿，capex/D&amp;A 约 1.2x。</t>
  </si>
  <si>
    <t>• 营运资金及其他 +109 亿，主要来自应付账款与合同负债；FCF/NOPAT 约 79%。</t>
  </si>
  <si>
    <t>• 净现金 455 亿（现金 906 + 理财 312 − 债务 764），为估值提供缓冲。</t>
  </si>
  <si>
    <t>三情景 FCFF DCF（2026E 起算，10 年明确预测）</t>
  </si>
  <si>
    <t>单位：亿元，除每股数据；终值用永续增长；股权价值 = EV − 净负债 + 非经营投资。</t>
  </si>
  <si>
    <t>起始收入 2026E 4,755 亿元；净现金及理财 455 亿元；DCF 不含 ToB 期权。</t>
  </si>
  <si>
    <t>全局输入</t>
  </si>
  <si>
    <t>起始收入（2026E）</t>
  </si>
  <si>
    <t>税率</t>
  </si>
  <si>
    <t>营运资金/增量收入</t>
  </si>
  <si>
    <t>净负债（含融资租赁）</t>
  </si>
  <si>
    <t>非经营投资/理财</t>
  </si>
  <si>
    <t>股数（亿股）</t>
  </si>
  <si>
    <t>注：净负债 = 763.70 + 0.00 − 906.43 = -142.73 亿元；非经营投资/理财 312.30 亿元单独加回，避免与 FCFF 重复。</t>
  </si>
  <si>
    <t>悲观情景</t>
  </si>
  <si>
    <t>WACC</t>
  </si>
  <si>
    <t>终值增长 g</t>
  </si>
  <si>
    <t>Year</t>
  </si>
  <si>
    <t>EBIT 利润率</t>
  </si>
  <si>
    <t>EBIT</t>
  </si>
  <si>
    <t>D&amp;A %</t>
  </si>
  <si>
    <t>D&amp;A</t>
  </si>
  <si>
    <t>Capex %</t>
  </si>
  <si>
    <t>Capex</t>
  </si>
  <si>
    <t>ΔNWC</t>
  </si>
  <si>
    <t>FCFF</t>
  </si>
  <si>
    <t>折现因子</t>
  </si>
  <si>
    <t>PV</t>
  </si>
  <si>
    <t>终值</t>
  </si>
  <si>
    <t>PV 终值</t>
  </si>
  <si>
    <t>EV</t>
  </si>
  <si>
    <t>− 净负债</t>
  </si>
  <si>
    <t>+ 非经营投资</t>
  </si>
  <si>
    <t>股权价值</t>
  </si>
  <si>
    <t>每股价值</t>
  </si>
  <si>
    <t>TV 占比 51%；终值 FCF 405.5 亿；终值收入 5656 亿</t>
  </si>
  <si>
    <t>基准情景</t>
  </si>
  <si>
    <t>TV 占比 60%；终值 FCF 589.8 亿；终值收入 7105 亿</t>
  </si>
  <si>
    <t>乐观情景</t>
  </si>
  <si>
    <t>TV 占比 67%；终值 FCF 724.8 亿；终值收入 7964 亿</t>
  </si>
  <si>
    <t>估值敏感性：WACC、终值 capex、终值利润率</t>
  </si>
  <si>
    <t>基准情景；每股价值（元）；由 Python 独立计算。</t>
  </si>
  <si>
    <t>终值 Capex / 收入</t>
  </si>
  <si>
    <t>终值 EBIT 利润率</t>
  </si>
  <si>
    <t>反推：现价隐含的 10 年收入 CAGR</t>
  </si>
  <si>
    <t>现价 ¥87.48</t>
  </si>
  <si>
    <t>基准情景 10 年 CAGR</t>
  </si>
  <si>
    <t>交叉检查：DCF、倍数、现金回报</t>
  </si>
  <si>
    <t>方法</t>
  </si>
  <si>
    <t>相对现价</t>
  </si>
  <si>
    <t>读数</t>
  </si>
  <si>
    <t>DCF 基准（2026E 起算）</t>
  </si>
  <si>
    <t>¥112</t>
  </si>
  <si>
    <t>现价低 22%</t>
  </si>
  <si>
    <t>便宜</t>
  </si>
  <si>
    <t>P/E TTM 15.0x vs 全球家电 13–16x</t>
  </si>
  <si>
    <t>合理</t>
  </si>
  <si>
    <t>增长与分红兼顾</t>
  </si>
  <si>
    <t>EV/EBIT 11.6x</t>
  </si>
  <si>
    <t>低于消费制造</t>
  </si>
  <si>
    <t>ToB 拖累</t>
  </si>
  <si>
    <t>FCF 收益率 7.5%；股息率 4.9%</t>
  </si>
  <si>
    <t>有吸引力</t>
  </si>
  <si>
    <t>净现金 455 亿</t>
  </si>
  <si>
    <t>DCF 112 元，现价 87.5 元，折价 22%；股息率 4.9% 与净现金提供缓冲。</t>
  </si>
  <si>
    <t>数据来源与日期</t>
  </si>
  <si>
    <t>研究截止 2026-10-29；财务数据来自公司公告与交易所。</t>
  </si>
  <si>
    <t>数据</t>
  </si>
  <si>
    <t>来源</t>
  </si>
  <si>
    <t>日期</t>
  </si>
  <si>
    <t>链接/备注</t>
  </si>
  <si>
    <t>2026 年半年度报告</t>
  </si>
  <si>
    <t>深交所 / 美的集团</t>
  </si>
  <si>
    <t>2026-08-29</t>
  </si>
  <si>
    <t>营收 2,610.5 亿、归母净利 264.5 亿；海外 +5.5%</t>
  </si>
  <si>
    <t>2026 中报点评</t>
  </si>
  <si>
    <t>开源证券 / 国信证券</t>
  </si>
  <si>
    <t>2026-08-30</t>
  </si>
  <si>
    <t>ToB +3.3%；楼宇 +10.8%、机器人 +10.3%、工业技术 -12.7%</t>
  </si>
  <si>
    <t>2025 年年度报告</t>
  </si>
  <si>
    <t>2026-03</t>
  </si>
  <si>
    <t>FY2025 营收 4,585.0 亿、归母净利 439.5 亿</t>
  </si>
  <si>
    <t>股价与估值</t>
  </si>
  <si>
    <t>东方财富行情</t>
  </si>
  <si>
    <t>2026-10-29</t>
  </si>
  <si>
    <t>收盘 87.48 元；PE TTM 15.04x、PB 3.15x</t>
  </si>
  <si>
    <t>中国 10 年期国债</t>
  </si>
  <si>
    <t>中国货币网</t>
  </si>
  <si>
    <t>1.61%</t>
  </si>
  <si>
    <t>免责声明：本模型为公开信息研究与教学用途，不构成投资建议，也不构成任何个性化买卖指令。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</si>
</sst>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\¥#,##0.00"/>
    <numFmt numFmtId="177" formatCode="0.000"/>
    <numFmt numFmtId="178" formatCode="#,##0.0"/>
    <numFmt numFmtId="179" formatCode="0.0&quot;x&quot;"/>
    <numFmt numFmtId="180" formatCode="0.0%"/>
  </numFmts>
  <fonts count="12">
    <font>
      <sz val="11"/>
      <color theme="1"/>
      <name val="宋体"/>
      <family val="2"/>
      <scheme val="minor"/>
    </font>
    <font>
      <b/>
      <sz val="16"/>
      <color rgb="FF1F2933"/>
      <name val="Microsoft YaHei"/>
    </font>
    <font>
      <sz val="10"/>
      <color rgb="FF5B6770"/>
      <name val="Microsoft YaHei"/>
    </font>
    <font>
      <b/>
      <sz val="11"/>
      <color rgb="FF1F2933"/>
      <name val="Microsoft YaHei"/>
    </font>
    <font>
      <b/>
      <sz val="11"/>
      <color rgb="FFB23A2E"/>
      <name val="Microsoft YaHei"/>
    </font>
    <font>
      <b/>
      <sz val="9"/>
      <color rgb="FFFFFFFF"/>
      <name val="Microsoft YaHei"/>
    </font>
    <font>
      <sz val="9"/>
      <color rgb="FF1F2933"/>
      <name val="Microsoft YaHei"/>
    </font>
    <font>
      <b/>
      <sz val="9"/>
      <color rgb="FF1F2933"/>
      <name val="Microsoft YaHei"/>
    </font>
    <font>
      <b/>
      <sz val="9"/>
      <color rgb="FFB23A2E"/>
      <name val="Microsoft YaHei"/>
    </font>
    <font>
      <sz val="10"/>
      <color rgb="FF1F2933"/>
      <name val="Microsoft YaHei"/>
    </font>
    <font>
      <sz val="9"/>
      <color rgb="FF5B6770"/>
      <name val="Microsoft YaHei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2D5"/>
      </patternFill>
    </fill>
    <fill>
      <patternFill patternType="solid">
        <fgColor rgb="FF1F2933"/>
      </patternFill>
    </fill>
  </fills>
  <borders count="2">
    <border>
      <left/>
      <right/>
      <top/>
      <bottom/>
      <diagonal/>
    </border>
    <border>
      <left style="thin">
        <color rgb="FFD8D2C4"/>
      </left>
      <right style="thin">
        <color rgb="FFD8D2C4"/>
      </right>
      <top style="thin">
        <color rgb="FFD8D2C4"/>
      </top>
      <bottom style="thin">
        <color rgb="FFD8D2C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2" borderId="1" xfId="0" applyFill="1" applyBorder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76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177" fontId="6" fillId="0" borderId="1" xfId="0" applyNumberFormat="1" applyFont="1" applyBorder="1" applyAlignment="1">
      <alignment horizontal="right" vertical="center"/>
    </xf>
    <xf numFmtId="3" fontId="7" fillId="0" borderId="1" xfId="0" applyNumberFormat="1" applyFont="1" applyBorder="1" applyAlignment="1">
      <alignment horizontal="right" vertical="center"/>
    </xf>
    <xf numFmtId="178" fontId="6" fillId="0" borderId="1" xfId="0" applyNumberFormat="1" applyFont="1" applyBorder="1" applyAlignment="1">
      <alignment horizontal="right" vertical="center"/>
    </xf>
    <xf numFmtId="2" fontId="6" fillId="0" borderId="1" xfId="0" applyNumberFormat="1" applyFont="1" applyBorder="1" applyAlignment="1">
      <alignment horizontal="right" vertical="center"/>
    </xf>
    <xf numFmtId="179" fontId="7" fillId="0" borderId="1" xfId="0" applyNumberFormat="1" applyFont="1" applyBorder="1" applyAlignment="1">
      <alignment horizontal="right" vertical="center"/>
    </xf>
    <xf numFmtId="10" fontId="7" fillId="0" borderId="1" xfId="0" applyNumberFormat="1" applyFont="1" applyBorder="1" applyAlignment="1">
      <alignment horizontal="right" vertical="center"/>
    </xf>
    <xf numFmtId="180" fontId="6" fillId="0" borderId="1" xfId="0" applyNumberFormat="1" applyFont="1" applyBorder="1" applyAlignment="1">
      <alignment horizontal="right" vertical="center"/>
    </xf>
    <xf numFmtId="180" fontId="7" fillId="0" borderId="1" xfId="0" applyNumberFormat="1" applyFont="1" applyBorder="1" applyAlignment="1">
      <alignment horizontal="right" vertical="center"/>
    </xf>
    <xf numFmtId="10" fontId="6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176" fontId="8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right" vertical="center"/>
    </xf>
    <xf numFmtId="1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9" fillId="0" borderId="0" xfId="0" applyFont="1" applyAlignment="1">
      <alignment vertical="center" wrapText="1"/>
    </xf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 wrapText="1"/>
    </xf>
    <xf numFmtId="0" fontId="10" fillId="0" borderId="0" xfId="0" applyFont="1"/>
    <xf numFmtId="0" fontId="10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t>000333.SZ 三情景每股价值 vs 现价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结论!$B$32</c:f>
              <c:strCache>
                <c:ptCount val="1"/>
                <c:pt idx="0">
                  <c:v>每股价值（元）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B23A2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467-41AC-9DA2-FC667E841407}"/>
              </c:ext>
            </c:extLst>
          </c:dPt>
          <c:dPt>
            <c:idx val="1"/>
            <c:invertIfNegative val="1"/>
            <c:bubble3D val="0"/>
            <c:spPr>
              <a:solidFill>
                <a:srgbClr val="C9A2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467-41AC-9DA2-FC667E841407}"/>
              </c:ext>
            </c:extLst>
          </c:dPt>
          <c:dPt>
            <c:idx val="2"/>
            <c:invertIfNegative val="1"/>
            <c:bubble3D val="0"/>
            <c:spPr>
              <a:solidFill>
                <a:srgbClr val="2F6B4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467-41AC-9DA2-FC667E841407}"/>
              </c:ext>
            </c:extLst>
          </c:dPt>
          <c:dPt>
            <c:idx val="3"/>
            <c:invertIfNegative val="1"/>
            <c:bubble3D val="0"/>
            <c:spPr>
              <a:solidFill>
                <a:srgbClr val="1A73E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467-41AC-9DA2-FC667E84140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FFFFFF"/>
                    </a:solidFill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结论!$A$33:$A$36</c:f>
              <c:strCache>
                <c:ptCount val="4"/>
                <c:pt idx="0">
                  <c:v>悲观</c:v>
                </c:pt>
                <c:pt idx="1">
                  <c:v>基准</c:v>
                </c:pt>
                <c:pt idx="2">
                  <c:v>乐观</c:v>
                </c:pt>
                <c:pt idx="3">
                  <c:v>现价</c:v>
                </c:pt>
              </c:strCache>
            </c:strRef>
          </c:cat>
          <c:val>
            <c:numRef>
              <c:f>结论!$B$33:$B$36</c:f>
              <c:numCache>
                <c:formatCode>\¥#,##0.00</c:formatCode>
                <c:ptCount val="4"/>
                <c:pt idx="0">
                  <c:v>68.043326093361969</c:v>
                </c:pt>
                <c:pt idx="1">
                  <c:v>112.2401546795264</c:v>
                </c:pt>
                <c:pt idx="2">
                  <c:v>158.14298470544</c:v>
                </c:pt>
                <c:pt idx="3">
                  <c:v>87.48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467-41AC-9DA2-FC667E84140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元/股</a:t>
                </a:r>
              </a:p>
            </c:rich>
          </c:tx>
          <c:overlay val="1"/>
        </c:title>
        <c:numFmt formatCode="\¥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基准情景 FCFF 路径（亿元）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DCF!$L$39</c:f>
              <c:strCache>
                <c:ptCount val="1"/>
                <c:pt idx="0">
                  <c:v>FCFF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DCF!$A$40:$A$49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DCF!$L$40:$L$49</c:f>
              <c:numCache>
                <c:formatCode>#,##0.0</c:formatCode>
                <c:ptCount val="10"/>
                <c:pt idx="0">
                  <c:v>412.63890000000004</c:v>
                </c:pt>
                <c:pt idx="1">
                  <c:v>433.27084500000001</c:v>
                </c:pt>
                <c:pt idx="2">
                  <c:v>454.93438725000004</c:v>
                </c:pt>
                <c:pt idx="3">
                  <c:v>475.93067342625</c:v>
                </c:pt>
                <c:pt idx="4">
                  <c:v>497.34755373043129</c:v>
                </c:pt>
                <c:pt idx="5">
                  <c:v>517.81667684808599</c:v>
                </c:pt>
                <c:pt idx="6">
                  <c:v>536.54136644978632</c:v>
                </c:pt>
                <c:pt idx="7">
                  <c:v>555.32031427552874</c:v>
                </c:pt>
                <c:pt idx="8">
                  <c:v>572.62695410748972</c:v>
                </c:pt>
                <c:pt idx="9">
                  <c:v>589.80576273071438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07-44B5-8A36-D034A4E53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Year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FCFF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8</xdr:row>
      <xdr:rowOff>0</xdr:rowOff>
    </xdr:from>
    <xdr:ext cx="522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12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4"/>
  <sheetViews>
    <sheetView showGridLines="0" tabSelected="1" workbookViewId="0"/>
  </sheetViews>
  <sheetFormatPr defaultRowHeight="14.4"/>
  <cols>
    <col min="1" max="1" width="30" customWidth="1"/>
    <col min="2" max="2" width="18" customWidth="1"/>
    <col min="3" max="3" width="40" customWidth="1"/>
    <col min="4" max="4" width="18" customWidth="1"/>
    <col min="5" max="5" width="14" customWidth="1"/>
  </cols>
  <sheetData>
    <row r="1" spans="1:13" ht="23.4">
      <c r="A1" s="1" t="s">
        <v>0</v>
      </c>
    </row>
    <row r="2" spans="1:13" ht="15.6">
      <c r="A2" s="28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ht="15.6">
      <c r="A3" s="28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5" spans="1:13" ht="16.2">
      <c r="A5" s="3" t="s">
        <v>3</v>
      </c>
      <c r="B5" s="4"/>
      <c r="C5" s="4"/>
      <c r="D5" s="4"/>
      <c r="E5" s="4"/>
    </row>
    <row r="6" spans="1:13" ht="54" customHeight="1">
      <c r="A6" s="29" t="s">
        <v>4</v>
      </c>
      <c r="B6" s="27"/>
      <c r="C6" s="27"/>
      <c r="D6" s="27"/>
      <c r="E6" s="27"/>
    </row>
    <row r="8" spans="1:13" ht="16.2">
      <c r="A8" s="3" t="s">
        <v>5</v>
      </c>
      <c r="B8" s="4"/>
      <c r="C8" s="4"/>
      <c r="D8" s="4"/>
      <c r="E8" s="4"/>
    </row>
    <row r="9" spans="1:13">
      <c r="A9" s="5" t="s">
        <v>6</v>
      </c>
      <c r="B9" s="5" t="s">
        <v>7</v>
      </c>
      <c r="C9" s="5" t="s">
        <v>8</v>
      </c>
    </row>
    <row r="10" spans="1:13" ht="22.05" customHeight="1">
      <c r="A10" s="6" t="s">
        <v>9</v>
      </c>
      <c r="B10" s="7">
        <v>87.48</v>
      </c>
      <c r="C10" s="8" t="s">
        <v>10</v>
      </c>
    </row>
    <row r="11" spans="1:13" ht="22.05" customHeight="1">
      <c r="A11" s="6" t="s">
        <v>11</v>
      </c>
      <c r="B11" s="9">
        <v>76.303100000000001</v>
      </c>
      <c r="C11" s="8" t="s">
        <v>12</v>
      </c>
    </row>
    <row r="12" spans="1:13" ht="22.05" customHeight="1">
      <c r="A12" s="6" t="s">
        <v>13</v>
      </c>
      <c r="B12" s="10">
        <f>B10*B11</f>
        <v>6674.9951880000008</v>
      </c>
      <c r="C12" s="8" t="s">
        <v>14</v>
      </c>
    </row>
    <row r="13" spans="1:13" ht="22.05" customHeight="1">
      <c r="A13" s="6" t="s">
        <v>15</v>
      </c>
      <c r="B13" s="11">
        <v>-142.72999999999999</v>
      </c>
      <c r="C13" s="8" t="s">
        <v>16</v>
      </c>
    </row>
    <row r="14" spans="1:13" ht="22.05" customHeight="1">
      <c r="A14" s="6" t="s">
        <v>17</v>
      </c>
      <c r="B14" s="10">
        <f>B12+B13</f>
        <v>6532.2651880000012</v>
      </c>
      <c r="C14" s="8" t="s">
        <v>18</v>
      </c>
    </row>
    <row r="15" spans="1:13" ht="22.05" customHeight="1">
      <c r="A15" s="6" t="s">
        <v>19</v>
      </c>
      <c r="B15" s="11">
        <v>4672.2</v>
      </c>
      <c r="C15" s="8" t="s">
        <v>20</v>
      </c>
    </row>
    <row r="16" spans="1:13" ht="22.05" customHeight="1">
      <c r="A16" s="6" t="s">
        <v>21</v>
      </c>
      <c r="B16" s="11">
        <v>534.1</v>
      </c>
      <c r="C16" s="8" t="s">
        <v>22</v>
      </c>
    </row>
    <row r="17" spans="1:5" ht="22.05" customHeight="1">
      <c r="A17" s="6" t="s">
        <v>23</v>
      </c>
      <c r="B17" s="11">
        <v>427.28</v>
      </c>
      <c r="C17" s="8" t="s">
        <v>24</v>
      </c>
    </row>
    <row r="18" spans="1:5" ht="22.05" customHeight="1">
      <c r="A18" s="6" t="s">
        <v>25</v>
      </c>
      <c r="B18" s="11">
        <v>500</v>
      </c>
      <c r="C18" s="8" t="s">
        <v>26</v>
      </c>
    </row>
    <row r="19" spans="1:5" ht="22.05" customHeight="1">
      <c r="A19" s="6" t="s">
        <v>27</v>
      </c>
      <c r="B19" s="11">
        <v>4755</v>
      </c>
      <c r="C19" s="8" t="s">
        <v>28</v>
      </c>
    </row>
    <row r="20" spans="1:5" ht="22.05" customHeight="1">
      <c r="A20" s="6" t="s">
        <v>29</v>
      </c>
      <c r="B20" s="12">
        <v>5.82</v>
      </c>
      <c r="C20" s="8" t="s">
        <v>30</v>
      </c>
    </row>
    <row r="21" spans="1:5" ht="22.05" customHeight="1">
      <c r="A21" s="6" t="s">
        <v>31</v>
      </c>
      <c r="B21" s="12">
        <v>5.9</v>
      </c>
      <c r="C21" s="8" t="s">
        <v>32</v>
      </c>
    </row>
    <row r="22" spans="1:5" ht="22.05" customHeight="1">
      <c r="A22" s="6" t="s">
        <v>33</v>
      </c>
      <c r="B22" s="13">
        <f>B14/B16</f>
        <v>12.230416004493541</v>
      </c>
      <c r="C22" s="8" t="s">
        <v>34</v>
      </c>
    </row>
    <row r="23" spans="1:5" ht="22.05" customHeight="1">
      <c r="A23" s="6" t="s">
        <v>35</v>
      </c>
      <c r="B23" s="13">
        <f>B10/B20</f>
        <v>15.030927835051546</v>
      </c>
      <c r="C23" s="8" t="s">
        <v>36</v>
      </c>
    </row>
    <row r="24" spans="1:5" ht="22.05" customHeight="1">
      <c r="A24" s="6" t="s">
        <v>37</v>
      </c>
      <c r="B24" s="13">
        <f>B10/B21</f>
        <v>14.827118644067797</v>
      </c>
      <c r="C24" s="8" t="s">
        <v>38</v>
      </c>
    </row>
    <row r="25" spans="1:5" ht="22.05" customHeight="1">
      <c r="A25" s="6" t="s">
        <v>39</v>
      </c>
      <c r="B25" s="14">
        <f>B18/B12</f>
        <v>7.4906421041153262E-2</v>
      </c>
      <c r="C25" s="8" t="s">
        <v>40</v>
      </c>
    </row>
    <row r="26" spans="1:5" ht="22.05" customHeight="1">
      <c r="A26" s="6" t="s">
        <v>41</v>
      </c>
      <c r="B26" s="13">
        <f>B14/B18</f>
        <v>13.064530376000002</v>
      </c>
      <c r="C26" s="8" t="s">
        <v>42</v>
      </c>
    </row>
    <row r="27" spans="1:5" ht="22.05" customHeight="1">
      <c r="A27" s="6" t="s">
        <v>43</v>
      </c>
      <c r="B27" s="15">
        <v>2.384315739908395E-2</v>
      </c>
      <c r="C27" s="8" t="s">
        <v>44</v>
      </c>
    </row>
    <row r="28" spans="1:5" ht="22.05" customHeight="1">
      <c r="A28" s="6" t="s">
        <v>45</v>
      </c>
      <c r="B28" s="16">
        <f>B18/B17</f>
        <v>1.1701928477813144</v>
      </c>
      <c r="C28" s="8" t="s">
        <v>46</v>
      </c>
    </row>
    <row r="29" spans="1:5" ht="22.05" customHeight="1">
      <c r="A29" s="6" t="s">
        <v>47</v>
      </c>
      <c r="B29" s="17">
        <v>4.91540923639689E-2</v>
      </c>
      <c r="C29" s="8" t="s">
        <v>48</v>
      </c>
    </row>
    <row r="32" spans="1:5">
      <c r="A32" s="5" t="s">
        <v>49</v>
      </c>
      <c r="B32" s="5" t="s">
        <v>50</v>
      </c>
      <c r="C32" s="5" t="s">
        <v>51</v>
      </c>
      <c r="D32" s="5" t="s">
        <v>52</v>
      </c>
      <c r="E32" s="5" t="s">
        <v>53</v>
      </c>
    </row>
    <row r="33" spans="1:5">
      <c r="A33" s="6" t="s">
        <v>54</v>
      </c>
      <c r="B33" s="7">
        <v>68.043326093361969</v>
      </c>
      <c r="C33" s="15">
        <f>B33/$B$10-1</f>
        <v>-0.22218420103610004</v>
      </c>
      <c r="D33" s="15">
        <f>1-$B$10/B33</f>
        <v>-0.28565143743809718</v>
      </c>
      <c r="E33" s="17">
        <v>7.8100000000000003E-2</v>
      </c>
    </row>
    <row r="34" spans="1:5">
      <c r="A34" s="18" t="s">
        <v>55</v>
      </c>
      <c r="B34" s="19">
        <v>112.2401546795264</v>
      </c>
      <c r="C34" s="15">
        <f>B34/$B$10-1</f>
        <v>0.28303789071246443</v>
      </c>
      <c r="D34" s="15">
        <f>1-$B$10/B34</f>
        <v>0.22059979113734118</v>
      </c>
      <c r="E34" s="17">
        <v>0.10150000000000001</v>
      </c>
    </row>
    <row r="35" spans="1:5">
      <c r="A35" s="6" t="s">
        <v>56</v>
      </c>
      <c r="B35" s="7">
        <v>158.14298470544</v>
      </c>
      <c r="C35" s="15">
        <f>B35/$B$10-1</f>
        <v>0.80776159928486502</v>
      </c>
      <c r="D35" s="15">
        <f>1-$B$10/B35</f>
        <v>0.4468297144957657</v>
      </c>
      <c r="E35" s="17">
        <v>0.11799999999999999</v>
      </c>
    </row>
    <row r="36" spans="1:5">
      <c r="A36" s="20" t="s">
        <v>57</v>
      </c>
      <c r="B36" s="21">
        <v>87.48</v>
      </c>
      <c r="C36" s="15">
        <v>0</v>
      </c>
      <c r="D36" s="15">
        <v>0</v>
      </c>
      <c r="E36" s="22" t="s">
        <v>58</v>
      </c>
    </row>
    <row r="38" spans="1:5" ht="16.2">
      <c r="A38" s="3" t="s">
        <v>59</v>
      </c>
      <c r="B38" s="4"/>
      <c r="C38" s="4"/>
      <c r="D38" s="4"/>
      <c r="E38" s="4"/>
    </row>
    <row r="39" spans="1:5" ht="30" customHeight="1">
      <c r="A39" s="26" t="s">
        <v>60</v>
      </c>
      <c r="B39" s="27"/>
      <c r="C39" s="27"/>
      <c r="D39" s="27"/>
      <c r="E39" s="27"/>
    </row>
    <row r="40" spans="1:5" ht="30" customHeight="1">
      <c r="A40" s="26" t="s">
        <v>61</v>
      </c>
      <c r="B40" s="27"/>
      <c r="C40" s="27"/>
      <c r="D40" s="27"/>
      <c r="E40" s="27"/>
    </row>
    <row r="41" spans="1:5" ht="30" customHeight="1">
      <c r="A41" s="26" t="s">
        <v>62</v>
      </c>
      <c r="B41" s="27"/>
      <c r="C41" s="27"/>
      <c r="D41" s="27"/>
      <c r="E41" s="27"/>
    </row>
    <row r="42" spans="1:5" ht="30" customHeight="1">
      <c r="A42" s="26" t="s">
        <v>63</v>
      </c>
      <c r="B42" s="27"/>
      <c r="C42" s="27"/>
      <c r="D42" s="27"/>
      <c r="E42" s="27"/>
    </row>
    <row r="43" spans="1:5" ht="30" customHeight="1">
      <c r="A43" s="26" t="s">
        <v>64</v>
      </c>
      <c r="B43" s="27"/>
      <c r="C43" s="27"/>
      <c r="D43" s="27"/>
      <c r="E43" s="27"/>
    </row>
    <row r="44" spans="1:5" ht="30" customHeight="1">
      <c r="A44" s="26" t="s">
        <v>65</v>
      </c>
      <c r="B44" s="27"/>
      <c r="C44" s="27"/>
      <c r="D44" s="27"/>
      <c r="E44" s="27"/>
    </row>
  </sheetData>
  <mergeCells count="9">
    <mergeCell ref="A3:M3"/>
    <mergeCell ref="A44:E44"/>
    <mergeCell ref="A6:E6"/>
    <mergeCell ref="A2:M2"/>
    <mergeCell ref="A39:E39"/>
    <mergeCell ref="A43:E43"/>
    <mergeCell ref="A42:E42"/>
    <mergeCell ref="A41:E41"/>
    <mergeCell ref="A40:E40"/>
  </mergeCells>
  <phoneticPr fontId="11" type="noConversion"/>
  <pageMargins left="0.25" right="0.25" top="0.35" bottom="0.35" header="0.15" footer="0.1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7"/>
  <sheetViews>
    <sheetView showGridLines="0" workbookViewId="0"/>
  </sheetViews>
  <sheetFormatPr defaultRowHeight="14.4"/>
  <cols>
    <col min="1" max="1" width="30" customWidth="1"/>
    <col min="2" max="7" width="12" customWidth="1"/>
    <col min="8" max="8" width="34" customWidth="1"/>
  </cols>
  <sheetData>
    <row r="1" spans="1:8" ht="23.4">
      <c r="A1" s="1" t="s">
        <v>66</v>
      </c>
    </row>
    <row r="2" spans="1:8" ht="15.6">
      <c r="A2" s="28" t="s">
        <v>67</v>
      </c>
      <c r="B2" s="27"/>
      <c r="C2" s="27"/>
      <c r="D2" s="27"/>
      <c r="E2" s="27"/>
      <c r="F2" s="27"/>
      <c r="G2" s="27"/>
      <c r="H2" s="27"/>
    </row>
    <row r="4" spans="1:8">
      <c r="A4" s="5" t="s">
        <v>6</v>
      </c>
      <c r="B4" s="5" t="s">
        <v>68</v>
      </c>
      <c r="C4" s="5" t="s">
        <v>69</v>
      </c>
      <c r="D4" s="5" t="s">
        <v>70</v>
      </c>
      <c r="E4" s="5" t="s">
        <v>71</v>
      </c>
      <c r="F4" s="5" t="s">
        <v>72</v>
      </c>
      <c r="G4" s="5" t="s">
        <v>73</v>
      </c>
      <c r="H4" s="5" t="s">
        <v>8</v>
      </c>
    </row>
    <row r="5" spans="1:8">
      <c r="A5" s="6" t="s">
        <v>74</v>
      </c>
      <c r="B5" s="11">
        <v>3433.6</v>
      </c>
      <c r="C5" s="11">
        <v>3457.1</v>
      </c>
      <c r="D5" s="11">
        <v>3737.1</v>
      </c>
      <c r="E5" s="11">
        <v>4090.8</v>
      </c>
      <c r="F5" s="11">
        <v>4585</v>
      </c>
      <c r="G5" s="11">
        <v>2610.5</v>
      </c>
      <c r="H5" s="6" t="s">
        <v>75</v>
      </c>
    </row>
    <row r="6" spans="1:8">
      <c r="A6" s="6" t="s">
        <v>76</v>
      </c>
      <c r="B6" s="11">
        <v>332.8</v>
      </c>
      <c r="C6" s="11">
        <v>347.6</v>
      </c>
      <c r="D6" s="11">
        <v>403.2</v>
      </c>
      <c r="E6" s="11">
        <v>463.9</v>
      </c>
      <c r="F6" s="11">
        <v>529.79999999999995</v>
      </c>
      <c r="G6" s="11">
        <v>316.8</v>
      </c>
      <c r="H6" s="6" t="s">
        <v>75</v>
      </c>
    </row>
    <row r="7" spans="1:8">
      <c r="A7" s="6" t="s">
        <v>77</v>
      </c>
      <c r="B7" s="11">
        <v>285.7</v>
      </c>
      <c r="C7" s="11">
        <v>295.5</v>
      </c>
      <c r="D7" s="11">
        <v>337.2</v>
      </c>
      <c r="E7" s="11">
        <v>385.4</v>
      </c>
      <c r="F7" s="11">
        <v>439.5</v>
      </c>
      <c r="G7" s="11">
        <v>264.5</v>
      </c>
      <c r="H7" s="6" t="s">
        <v>75</v>
      </c>
    </row>
    <row r="8" spans="1:8">
      <c r="A8" s="6" t="s">
        <v>78</v>
      </c>
      <c r="B8" s="11">
        <v>350.9</v>
      </c>
      <c r="C8" s="11">
        <v>346.6</v>
      </c>
      <c r="D8" s="11">
        <v>579</v>
      </c>
      <c r="E8" s="11">
        <v>605.1</v>
      </c>
      <c r="F8" s="11">
        <v>533.5</v>
      </c>
      <c r="G8" s="11">
        <v>375.5</v>
      </c>
      <c r="H8" s="6" t="s">
        <v>75</v>
      </c>
    </row>
    <row r="9" spans="1:8">
      <c r="A9" s="6" t="s">
        <v>79</v>
      </c>
      <c r="B9" s="11">
        <v>68.3</v>
      </c>
      <c r="C9" s="11">
        <v>73.5</v>
      </c>
      <c r="D9" s="11">
        <v>63.1</v>
      </c>
      <c r="E9" s="11">
        <v>78.400000000000006</v>
      </c>
      <c r="F9" s="11">
        <v>111.4</v>
      </c>
      <c r="G9" s="11">
        <v>26.3</v>
      </c>
      <c r="H9" s="6" t="s">
        <v>75</v>
      </c>
    </row>
    <row r="10" spans="1:8">
      <c r="A10" s="6" t="s">
        <v>80</v>
      </c>
      <c r="B10" s="11">
        <v>282.7</v>
      </c>
      <c r="C10" s="11">
        <v>273.10000000000002</v>
      </c>
      <c r="D10" s="11">
        <v>515.9</v>
      </c>
      <c r="E10" s="11">
        <v>526.70000000000005</v>
      </c>
      <c r="F10" s="11">
        <v>422</v>
      </c>
      <c r="G10" s="11">
        <v>349.2</v>
      </c>
      <c r="H10" s="6" t="s">
        <v>75</v>
      </c>
    </row>
    <row r="11" spans="1:8">
      <c r="A11" s="6" t="s">
        <v>81</v>
      </c>
      <c r="B11" s="12">
        <v>4.17</v>
      </c>
      <c r="C11" s="12">
        <v>4.34</v>
      </c>
      <c r="D11" s="12">
        <v>4.93</v>
      </c>
      <c r="E11" s="12">
        <v>5.44</v>
      </c>
      <c r="F11" s="12">
        <v>5.8</v>
      </c>
      <c r="G11" s="12">
        <v>3.52</v>
      </c>
      <c r="H11" s="6" t="s">
        <v>75</v>
      </c>
    </row>
    <row r="12" spans="1:8">
      <c r="A12" s="6" t="s">
        <v>82</v>
      </c>
      <c r="B12" s="11">
        <v>69</v>
      </c>
      <c r="C12" s="11">
        <v>69</v>
      </c>
      <c r="D12" s="11">
        <v>70</v>
      </c>
      <c r="E12" s="11">
        <v>70</v>
      </c>
      <c r="F12" s="11">
        <v>76.3</v>
      </c>
      <c r="G12" s="11">
        <v>76.3</v>
      </c>
      <c r="H12" s="6" t="s">
        <v>75</v>
      </c>
    </row>
    <row r="14" spans="1:8">
      <c r="A14" s="6" t="s">
        <v>83</v>
      </c>
      <c r="C14" s="15">
        <f>C5/B5-1</f>
        <v>6.8441286113700706E-3</v>
      </c>
      <c r="D14" s="15">
        <f>D5/C5-1</f>
        <v>8.0992739579416329E-2</v>
      </c>
      <c r="E14" s="15">
        <f>E5/D5-1</f>
        <v>9.4645580797944939E-2</v>
      </c>
      <c r="F14" s="15">
        <f>F5/E5-1</f>
        <v>0.12080766598220394</v>
      </c>
      <c r="G14" s="15">
        <f>G5/F5-1</f>
        <v>-0.43064340239912757</v>
      </c>
    </row>
    <row r="15" spans="1:8">
      <c r="A15" s="6" t="s">
        <v>84</v>
      </c>
      <c r="B15" s="15">
        <f t="shared" ref="B15:G15" si="0">B6/B5</f>
        <v>9.6924510717614168E-2</v>
      </c>
      <c r="C15" s="15">
        <f t="shared" si="0"/>
        <v>0.10054670099216106</v>
      </c>
      <c r="D15" s="15">
        <f t="shared" si="0"/>
        <v>0.10789114554065987</v>
      </c>
      <c r="E15" s="15">
        <f t="shared" si="0"/>
        <v>0.11340080179915908</v>
      </c>
      <c r="F15" s="15">
        <f t="shared" si="0"/>
        <v>0.11555070883315158</v>
      </c>
      <c r="G15" s="15">
        <f t="shared" si="0"/>
        <v>0.12135606205707719</v>
      </c>
    </row>
    <row r="16" spans="1:8">
      <c r="A16" s="6" t="s">
        <v>85</v>
      </c>
      <c r="B16" s="15">
        <f t="shared" ref="B16:G16" si="1">B7/B5</f>
        <v>8.3207129543336436E-2</v>
      </c>
      <c r="C16" s="15">
        <f t="shared" si="1"/>
        <v>8.5476266234705389E-2</v>
      </c>
      <c r="D16" s="15">
        <f t="shared" si="1"/>
        <v>9.0230392550373281E-2</v>
      </c>
      <c r="E16" s="15">
        <f t="shared" si="1"/>
        <v>9.4211401192920693E-2</v>
      </c>
      <c r="F16" s="15">
        <f t="shared" si="1"/>
        <v>9.5856052344601969E-2</v>
      </c>
      <c r="G16" s="15">
        <f t="shared" si="1"/>
        <v>0.1013215859030837</v>
      </c>
    </row>
    <row r="17" spans="1:8">
      <c r="A17" s="6" t="s">
        <v>86</v>
      </c>
      <c r="B17" s="15">
        <f t="shared" ref="B17:G17" si="2">B10/B5</f>
        <v>8.2333410997204093E-2</v>
      </c>
      <c r="C17" s="15">
        <f t="shared" si="2"/>
        <v>7.8996847068352097E-2</v>
      </c>
      <c r="D17" s="15">
        <f t="shared" si="2"/>
        <v>0.13804821920740681</v>
      </c>
      <c r="E17" s="15">
        <f t="shared" si="2"/>
        <v>0.12875232228414982</v>
      </c>
      <c r="F17" s="15">
        <f t="shared" si="2"/>
        <v>9.2039258451472192E-2</v>
      </c>
      <c r="G17" s="15">
        <f t="shared" si="2"/>
        <v>0.13376747749473281</v>
      </c>
    </row>
    <row r="18" spans="1:8">
      <c r="A18" s="6" t="s">
        <v>43</v>
      </c>
      <c r="B18" s="15">
        <f t="shared" ref="B18:G18" si="3">B9/B5</f>
        <v>1.989165890027959E-2</v>
      </c>
      <c r="C18" s="15">
        <f t="shared" si="3"/>
        <v>2.1260594139596772E-2</v>
      </c>
      <c r="D18" s="15">
        <f t="shared" si="3"/>
        <v>1.6884750207380055E-2</v>
      </c>
      <c r="E18" s="15">
        <f t="shared" si="3"/>
        <v>1.9164955509924711E-2</v>
      </c>
      <c r="F18" s="15">
        <f t="shared" si="3"/>
        <v>2.4296619411123228E-2</v>
      </c>
      <c r="G18" s="15">
        <f t="shared" si="3"/>
        <v>1.0074698333652557E-2</v>
      </c>
    </row>
    <row r="19" spans="1:8">
      <c r="A19" s="6" t="s">
        <v>45</v>
      </c>
      <c r="B19" s="15">
        <f t="shared" ref="B19:G19" si="4">B10/(B6*(1-0.2))</f>
        <v>1.0618239182692306</v>
      </c>
      <c r="C19" s="15">
        <f t="shared" si="4"/>
        <v>0.98209148446490213</v>
      </c>
      <c r="D19" s="15">
        <f t="shared" si="4"/>
        <v>1.5993923611111109</v>
      </c>
      <c r="E19" s="15">
        <f t="shared" si="4"/>
        <v>1.4192175037723649</v>
      </c>
      <c r="F19" s="15">
        <f t="shared" si="4"/>
        <v>0.99565873914684788</v>
      </c>
      <c r="G19" s="15">
        <f t="shared" si="4"/>
        <v>1.3778409090909089</v>
      </c>
    </row>
    <row r="21" spans="1:8" ht="16.2">
      <c r="A21" s="3" t="s">
        <v>87</v>
      </c>
      <c r="B21" s="4"/>
      <c r="C21" s="4"/>
      <c r="D21" s="4"/>
      <c r="E21" s="4"/>
      <c r="F21" s="4"/>
      <c r="G21" s="4"/>
      <c r="H21" s="4"/>
    </row>
    <row r="22" spans="1:8" ht="30" customHeight="1">
      <c r="A22" s="26" t="s">
        <v>88</v>
      </c>
      <c r="B22" s="27"/>
      <c r="C22" s="27"/>
      <c r="D22" s="27"/>
      <c r="E22" s="27"/>
      <c r="F22" s="27"/>
      <c r="G22" s="27"/>
      <c r="H22" s="27"/>
    </row>
    <row r="23" spans="1:8" ht="30" customHeight="1">
      <c r="A23" s="26" t="s">
        <v>89</v>
      </c>
      <c r="B23" s="27"/>
      <c r="C23" s="27"/>
      <c r="D23" s="27"/>
      <c r="E23" s="27"/>
      <c r="F23" s="27"/>
      <c r="G23" s="27"/>
      <c r="H23" s="27"/>
    </row>
    <row r="24" spans="1:8" ht="30" customHeight="1">
      <c r="A24" s="26" t="s">
        <v>90</v>
      </c>
      <c r="B24" s="27"/>
      <c r="C24" s="27"/>
      <c r="D24" s="27"/>
      <c r="E24" s="27"/>
      <c r="F24" s="27"/>
      <c r="G24" s="27"/>
      <c r="H24" s="27"/>
    </row>
    <row r="25" spans="1:8" ht="30" customHeight="1">
      <c r="A25" s="26" t="s">
        <v>91</v>
      </c>
      <c r="B25" s="27"/>
      <c r="C25" s="27"/>
      <c r="D25" s="27"/>
      <c r="E25" s="27"/>
      <c r="F25" s="27"/>
      <c r="G25" s="27"/>
      <c r="H25" s="27"/>
    </row>
    <row r="26" spans="1:8" ht="30" customHeight="1">
      <c r="A26" s="26" t="s">
        <v>92</v>
      </c>
      <c r="B26" s="27"/>
      <c r="C26" s="27"/>
      <c r="D26" s="27"/>
      <c r="E26" s="27"/>
      <c r="F26" s="27"/>
      <c r="G26" s="27"/>
      <c r="H26" s="27"/>
    </row>
    <row r="27" spans="1:8" ht="30" customHeight="1">
      <c r="A27" s="26" t="s">
        <v>93</v>
      </c>
      <c r="B27" s="27"/>
      <c r="C27" s="27"/>
      <c r="D27" s="27"/>
      <c r="E27" s="27"/>
      <c r="F27" s="27"/>
      <c r="G27" s="27"/>
      <c r="H27" s="27"/>
    </row>
  </sheetData>
  <mergeCells count="7">
    <mergeCell ref="A27:H27"/>
    <mergeCell ref="A22:H22"/>
    <mergeCell ref="A26:H26"/>
    <mergeCell ref="A25:H25"/>
    <mergeCell ref="A24:H24"/>
    <mergeCell ref="A2:H2"/>
    <mergeCell ref="A23:H23"/>
  </mergeCells>
  <phoneticPr fontId="11" type="noConversion"/>
  <pageMargins left="0.25" right="0.25" top="0.35" bottom="0.35" header="0.15" footer="0.1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8"/>
  <sheetViews>
    <sheetView showGridLines="0" workbookViewId="0"/>
  </sheetViews>
  <sheetFormatPr defaultRowHeight="14.4"/>
  <cols>
    <col min="1" max="1" width="32" customWidth="1"/>
    <col min="2" max="3" width="15" customWidth="1"/>
    <col min="4" max="4" width="14" customWidth="1"/>
    <col min="5" max="5" width="44" customWidth="1"/>
    <col min="6" max="6" width="20" customWidth="1"/>
  </cols>
  <sheetData>
    <row r="1" spans="1:6" ht="23.4">
      <c r="A1" s="1" t="s">
        <v>94</v>
      </c>
    </row>
    <row r="2" spans="1:6" ht="15.6">
      <c r="A2" s="28" t="s">
        <v>95</v>
      </c>
      <c r="B2" s="27"/>
      <c r="C2" s="27"/>
      <c r="D2" s="27"/>
      <c r="E2" s="27"/>
      <c r="F2" s="27"/>
    </row>
    <row r="4" spans="1:6" ht="16.2">
      <c r="A4" s="3" t="s">
        <v>96</v>
      </c>
      <c r="B4" s="4"/>
      <c r="C4" s="4"/>
      <c r="D4" s="4"/>
      <c r="E4" s="4"/>
      <c r="F4" s="4"/>
    </row>
    <row r="5" spans="1:6" ht="15.6">
      <c r="A5" s="2" t="s">
        <v>97</v>
      </c>
    </row>
    <row r="6" spans="1:6">
      <c r="A6" s="5" t="s">
        <v>98</v>
      </c>
      <c r="B6" s="5" t="s">
        <v>74</v>
      </c>
      <c r="C6" s="5" t="s">
        <v>99</v>
      </c>
      <c r="D6" s="5" t="s">
        <v>100</v>
      </c>
      <c r="E6" s="5" t="s">
        <v>8</v>
      </c>
    </row>
    <row r="7" spans="1:6">
      <c r="A7" s="6" t="s">
        <v>101</v>
      </c>
      <c r="B7" s="11">
        <v>1743.41</v>
      </c>
      <c r="C7" s="15">
        <v>4.2700000000000002E-2</v>
      </c>
      <c r="D7" s="15">
        <v>0.66800000000000004</v>
      </c>
      <c r="E7" s="6" t="s">
        <v>102</v>
      </c>
    </row>
    <row r="8" spans="1:6">
      <c r="A8" s="6" t="s">
        <v>103</v>
      </c>
      <c r="B8" s="11">
        <v>216.25</v>
      </c>
      <c r="C8" s="15">
        <v>0.1084</v>
      </c>
      <c r="D8" s="15">
        <v>8.3000000000000004E-2</v>
      </c>
      <c r="E8" s="6" t="s">
        <v>104</v>
      </c>
    </row>
    <row r="9" spans="1:6">
      <c r="A9" s="6" t="s">
        <v>105</v>
      </c>
      <c r="B9" s="11">
        <v>166.21</v>
      </c>
      <c r="C9" s="15">
        <v>0.1027</v>
      </c>
      <c r="D9" s="15">
        <v>6.4000000000000001E-2</v>
      </c>
      <c r="E9" s="6" t="s">
        <v>106</v>
      </c>
    </row>
    <row r="10" spans="1:6">
      <c r="A10" s="6" t="s">
        <v>107</v>
      </c>
      <c r="B10" s="11">
        <v>131.38</v>
      </c>
      <c r="C10" s="15">
        <v>-0.12720000000000001</v>
      </c>
      <c r="D10" s="15">
        <v>0.05</v>
      </c>
      <c r="E10" s="6" t="s">
        <v>108</v>
      </c>
    </row>
    <row r="11" spans="1:6">
      <c r="A11" s="6" t="s">
        <v>109</v>
      </c>
      <c r="B11" s="11">
        <v>353.27</v>
      </c>
      <c r="C11" s="15">
        <v>0.05</v>
      </c>
      <c r="D11" s="15">
        <v>0.13500000000000001</v>
      </c>
      <c r="E11" s="6" t="s">
        <v>110</v>
      </c>
    </row>
    <row r="12" spans="1:6">
      <c r="A12" s="6" t="s">
        <v>111</v>
      </c>
      <c r="B12" s="11">
        <v>2610.52</v>
      </c>
      <c r="C12" s="15">
        <v>3.4599999999999999E-2</v>
      </c>
      <c r="D12" s="15">
        <v>1</v>
      </c>
      <c r="E12" s="6" t="s">
        <v>112</v>
      </c>
    </row>
    <row r="13" spans="1:6">
      <c r="A13" s="6" t="s">
        <v>113</v>
      </c>
      <c r="B13" s="11">
        <v>1131.27</v>
      </c>
      <c r="C13" s="15">
        <v>5.5399999999999998E-2</v>
      </c>
      <c r="D13" s="15">
        <v>0.433</v>
      </c>
      <c r="E13" s="6" t="s">
        <v>114</v>
      </c>
    </row>
    <row r="16" spans="1:6" ht="16.2">
      <c r="A16" s="3" t="s">
        <v>115</v>
      </c>
      <c r="B16" s="4"/>
      <c r="C16" s="4"/>
      <c r="D16" s="4"/>
      <c r="E16" s="4"/>
      <c r="F16" s="4"/>
    </row>
    <row r="17" spans="1:6" ht="31.95" customHeight="1">
      <c r="A17" s="26" t="s">
        <v>88</v>
      </c>
      <c r="B17" s="27"/>
      <c r="C17" s="27"/>
      <c r="D17" s="27"/>
      <c r="E17" s="27"/>
      <c r="F17" s="27"/>
    </row>
    <row r="18" spans="1:6" ht="31.95" customHeight="1">
      <c r="A18" s="26" t="s">
        <v>93</v>
      </c>
      <c r="B18" s="27"/>
      <c r="C18" s="27"/>
      <c r="D18" s="27"/>
      <c r="E18" s="27"/>
      <c r="F18" s="27"/>
    </row>
  </sheetData>
  <mergeCells count="3">
    <mergeCell ref="A2:F2"/>
    <mergeCell ref="A17:F17"/>
    <mergeCell ref="A18:F18"/>
  </mergeCells>
  <phoneticPr fontId="11" type="noConversion"/>
  <pageMargins left="0.25" right="0.25" top="0.35" bottom="0.35" header="0.15" footer="0.15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24"/>
  <sheetViews>
    <sheetView showGridLines="0" workbookViewId="0"/>
  </sheetViews>
  <sheetFormatPr defaultRowHeight="14.4"/>
  <cols>
    <col min="1" max="1" width="34" customWidth="1"/>
    <col min="2" max="2" width="18" customWidth="1"/>
    <col min="3" max="3" width="60" customWidth="1"/>
  </cols>
  <sheetData>
    <row r="1" spans="1:3" ht="23.4">
      <c r="A1" s="1" t="s">
        <v>116</v>
      </c>
    </row>
    <row r="2" spans="1:3" ht="15.6">
      <c r="A2" s="28" t="s">
        <v>117</v>
      </c>
      <c r="B2" s="27"/>
      <c r="C2" s="27"/>
    </row>
    <row r="4" spans="1:3">
      <c r="A4" s="5" t="s">
        <v>6</v>
      </c>
      <c r="B4" s="5" t="s">
        <v>7</v>
      </c>
      <c r="C4" s="5" t="s">
        <v>118</v>
      </c>
    </row>
    <row r="5" spans="1:3">
      <c r="A5" s="6" t="s">
        <v>119</v>
      </c>
      <c r="B5" s="11">
        <v>534.1</v>
      </c>
      <c r="C5" s="8" t="s">
        <v>44</v>
      </c>
    </row>
    <row r="6" spans="1:3">
      <c r="A6" s="6" t="s">
        <v>120</v>
      </c>
      <c r="B6" s="15">
        <v>0.2</v>
      </c>
      <c r="C6" s="8" t="s">
        <v>121</v>
      </c>
    </row>
    <row r="7" spans="1:3">
      <c r="A7" s="6" t="s">
        <v>122</v>
      </c>
      <c r="B7" s="23">
        <f>B5*(1-B6)</f>
        <v>427.28000000000003</v>
      </c>
      <c r="C7" s="8" t="s">
        <v>123</v>
      </c>
    </row>
    <row r="8" spans="1:3">
      <c r="A8" s="6" t="s">
        <v>124</v>
      </c>
      <c r="B8" s="11">
        <v>93.4</v>
      </c>
      <c r="C8" s="8" t="s">
        <v>44</v>
      </c>
    </row>
    <row r="9" spans="1:3">
      <c r="A9" s="6" t="s">
        <v>125</v>
      </c>
      <c r="B9" s="11">
        <v>15</v>
      </c>
      <c r="C9" s="8" t="s">
        <v>126</v>
      </c>
    </row>
    <row r="10" spans="1:3">
      <c r="A10" s="6" t="s">
        <v>127</v>
      </c>
      <c r="B10" s="11">
        <v>111.4</v>
      </c>
      <c r="C10" s="8" t="s">
        <v>44</v>
      </c>
    </row>
    <row r="11" spans="1:3">
      <c r="A11" s="6" t="s">
        <v>128</v>
      </c>
      <c r="B11" s="11">
        <v>109.2</v>
      </c>
      <c r="C11" s="8" t="s">
        <v>129</v>
      </c>
    </row>
    <row r="12" spans="1:3">
      <c r="A12" s="18" t="s">
        <v>130</v>
      </c>
      <c r="B12" s="23">
        <f>B7+B8+B9-B10+B11</f>
        <v>533.48000000000013</v>
      </c>
      <c r="C12" s="8" t="s">
        <v>131</v>
      </c>
    </row>
    <row r="13" spans="1:3">
      <c r="A13" s="6" t="s">
        <v>132</v>
      </c>
      <c r="B13" s="11">
        <v>533.5</v>
      </c>
      <c r="C13" s="8" t="s">
        <v>44</v>
      </c>
    </row>
    <row r="14" spans="1:3">
      <c r="A14" s="6" t="s">
        <v>127</v>
      </c>
      <c r="B14" s="11">
        <v>111.4</v>
      </c>
      <c r="C14" s="8" t="s">
        <v>44</v>
      </c>
    </row>
    <row r="15" spans="1:3">
      <c r="A15" s="18" t="s">
        <v>26</v>
      </c>
      <c r="B15" s="23">
        <f>B13-B14</f>
        <v>422.1</v>
      </c>
      <c r="C15" s="8" t="s">
        <v>133</v>
      </c>
    </row>
    <row r="16" spans="1:3">
      <c r="A16" s="6" t="s">
        <v>45</v>
      </c>
      <c r="B16" s="16">
        <f>B12/B7</f>
        <v>1.2485489608687514</v>
      </c>
      <c r="C16" s="8" t="s">
        <v>134</v>
      </c>
    </row>
    <row r="17" spans="1:3">
      <c r="A17" s="6" t="s">
        <v>43</v>
      </c>
      <c r="B17" s="16">
        <f>B10/4672.2</f>
        <v>2.3843157399083947E-2</v>
      </c>
      <c r="C17" s="8" t="s">
        <v>44</v>
      </c>
    </row>
    <row r="18" spans="1:3">
      <c r="A18" s="6" t="s">
        <v>135</v>
      </c>
      <c r="B18" s="13">
        <f>B10/B8</f>
        <v>1.1927194860813704</v>
      </c>
      <c r="C18" s="8" t="s">
        <v>136</v>
      </c>
    </row>
    <row r="20" spans="1:3" ht="16.2">
      <c r="A20" s="3" t="s">
        <v>115</v>
      </c>
      <c r="B20" s="4"/>
      <c r="C20" s="4"/>
    </row>
    <row r="21" spans="1:3" ht="34.049999999999997" customHeight="1">
      <c r="A21" s="26" t="s">
        <v>137</v>
      </c>
      <c r="B21" s="27"/>
      <c r="C21" s="27"/>
    </row>
    <row r="22" spans="1:3" ht="34.049999999999997" customHeight="1">
      <c r="A22" s="26" t="s">
        <v>138</v>
      </c>
      <c r="B22" s="27"/>
      <c r="C22" s="27"/>
    </row>
    <row r="23" spans="1:3" ht="34.049999999999997" customHeight="1">
      <c r="A23" s="26" t="s">
        <v>139</v>
      </c>
      <c r="B23" s="27"/>
      <c r="C23" s="27"/>
    </row>
    <row r="24" spans="1:3" ht="34.049999999999997" customHeight="1">
      <c r="A24" s="26" t="s">
        <v>140</v>
      </c>
      <c r="B24" s="27"/>
      <c r="C24" s="27"/>
    </row>
  </sheetData>
  <mergeCells count="5">
    <mergeCell ref="A23:C23"/>
    <mergeCell ref="A22:C22"/>
    <mergeCell ref="A21:C21"/>
    <mergeCell ref="A24:C24"/>
    <mergeCell ref="A2:C2"/>
  </mergeCells>
  <phoneticPr fontId="11" type="noConversion"/>
  <pageMargins left="0.25" right="0.25" top="0.35" bottom="0.35" header="0.15" footer="0.15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79"/>
  <sheetViews>
    <sheetView showGridLines="0" workbookViewId="0"/>
  </sheetViews>
  <sheetFormatPr defaultRowHeight="14.4"/>
  <cols>
    <col min="1" max="1" width="20" customWidth="1"/>
    <col min="2" max="2" width="10" customWidth="1"/>
    <col min="3" max="3" width="11" customWidth="1"/>
    <col min="4" max="4" width="10" customWidth="1"/>
    <col min="5" max="6" width="11" customWidth="1"/>
    <col min="7" max="7" width="10" customWidth="1"/>
    <col min="8" max="8" width="9" customWidth="1"/>
    <col min="9" max="9" width="10" customWidth="1"/>
    <col min="10" max="10" width="9" customWidth="1"/>
    <col min="11" max="12" width="10" customWidth="1"/>
    <col min="13" max="13" width="9" customWidth="1"/>
    <col min="14" max="14" width="10" customWidth="1"/>
  </cols>
  <sheetData>
    <row r="1" spans="1:14" ht="23.4">
      <c r="A1" s="1" t="s">
        <v>141</v>
      </c>
    </row>
    <row r="2" spans="1:14" ht="15.6">
      <c r="A2" s="28" t="s">
        <v>142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5.6">
      <c r="A3" s="28" t="s">
        <v>143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14" ht="16.2">
      <c r="A4" s="3" t="s">
        <v>144</v>
      </c>
      <c r="B4" s="4"/>
      <c r="C4" s="4"/>
      <c r="D4" s="4"/>
      <c r="E4" s="4"/>
    </row>
    <row r="5" spans="1:14">
      <c r="A5" s="6" t="s">
        <v>145</v>
      </c>
      <c r="B5" s="11">
        <v>4755</v>
      </c>
    </row>
    <row r="6" spans="1:14">
      <c r="A6" s="6" t="s">
        <v>146</v>
      </c>
      <c r="B6" s="15">
        <v>0.2</v>
      </c>
    </row>
    <row r="7" spans="1:14">
      <c r="A7" s="6" t="s">
        <v>147</v>
      </c>
      <c r="B7" s="15">
        <v>0.02</v>
      </c>
    </row>
    <row r="8" spans="1:14">
      <c r="A8" s="6" t="s">
        <v>148</v>
      </c>
      <c r="B8" s="11">
        <v>-142.72999999999999</v>
      </c>
    </row>
    <row r="9" spans="1:14">
      <c r="A9" s="6" t="s">
        <v>149</v>
      </c>
      <c r="B9" s="11">
        <v>312.3</v>
      </c>
    </row>
    <row r="10" spans="1:14">
      <c r="A10" s="6" t="s">
        <v>150</v>
      </c>
      <c r="B10" s="9">
        <v>76.303100000000001</v>
      </c>
    </row>
    <row r="11" spans="1:14" ht="15">
      <c r="A11" s="30" t="s">
        <v>151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</row>
    <row r="13" spans="1:14" ht="16.2">
      <c r="A13" s="3" t="s">
        <v>152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6" t="s">
        <v>153</v>
      </c>
      <c r="B14" s="15">
        <v>9.5000000000000001E-2</v>
      </c>
      <c r="C14" s="6" t="s">
        <v>154</v>
      </c>
      <c r="D14" s="15">
        <v>2.5000000000000001E-2</v>
      </c>
    </row>
    <row r="16" spans="1:14">
      <c r="A16" s="5" t="s">
        <v>155</v>
      </c>
      <c r="B16" s="5" t="s">
        <v>83</v>
      </c>
      <c r="C16" s="5" t="s">
        <v>74</v>
      </c>
      <c r="D16" s="5" t="s">
        <v>156</v>
      </c>
      <c r="E16" s="5" t="s">
        <v>157</v>
      </c>
      <c r="F16" s="5" t="s">
        <v>122</v>
      </c>
      <c r="G16" s="5" t="s">
        <v>158</v>
      </c>
      <c r="H16" s="5" t="s">
        <v>159</v>
      </c>
      <c r="I16" s="5" t="s">
        <v>160</v>
      </c>
      <c r="J16" s="5" t="s">
        <v>161</v>
      </c>
      <c r="K16" s="5" t="s">
        <v>162</v>
      </c>
      <c r="L16" s="5" t="s">
        <v>163</v>
      </c>
      <c r="M16" s="5" t="s">
        <v>164</v>
      </c>
      <c r="N16" s="5" t="s">
        <v>165</v>
      </c>
    </row>
    <row r="17" spans="1:14">
      <c r="A17" s="24">
        <v>1</v>
      </c>
      <c r="B17" s="15">
        <v>0.02</v>
      </c>
      <c r="C17" s="11">
        <f>$B$5*(1+B17)</f>
        <v>4850.1000000000004</v>
      </c>
      <c r="D17" s="15">
        <v>0.1</v>
      </c>
      <c r="E17" s="11">
        <f t="shared" ref="E17:E26" si="0">C17*D17</f>
        <v>485.01000000000005</v>
      </c>
      <c r="F17" s="11">
        <f t="shared" ref="F17:F26" si="1">E17*(1-$B$6)</f>
        <v>388.00800000000004</v>
      </c>
      <c r="G17" s="15">
        <v>2.1999999999999999E-2</v>
      </c>
      <c r="H17" s="11">
        <f t="shared" ref="H17:H26" si="2">C17*G17</f>
        <v>106.7022</v>
      </c>
      <c r="I17" s="15">
        <v>0.03</v>
      </c>
      <c r="J17" s="11">
        <f t="shared" ref="J17:J26" si="3">C17*I17</f>
        <v>145.50300000000001</v>
      </c>
      <c r="K17" s="11">
        <f>(C17-$B$5)*$B$7</f>
        <v>1.9020000000000072</v>
      </c>
      <c r="L17" s="11">
        <f t="shared" ref="L17:L26" si="4">F17+H17-J17-K17</f>
        <v>347.30520000000007</v>
      </c>
      <c r="M17" s="9">
        <f>1/(1+$B$14)^1</f>
        <v>0.91324200913242015</v>
      </c>
      <c r="N17" s="11">
        <f t="shared" ref="N17:N26" si="5">L17*M17</f>
        <v>317.1736986301371</v>
      </c>
    </row>
    <row r="18" spans="1:14">
      <c r="A18" s="24">
        <v>2</v>
      </c>
      <c r="B18" s="15">
        <v>0.02</v>
      </c>
      <c r="C18" s="11">
        <f t="shared" ref="C18:C26" si="6">C17*(1+B18)</f>
        <v>4947.1020000000008</v>
      </c>
      <c r="D18" s="15">
        <v>0.1</v>
      </c>
      <c r="E18" s="11">
        <f t="shared" si="0"/>
        <v>494.7102000000001</v>
      </c>
      <c r="F18" s="11">
        <f t="shared" si="1"/>
        <v>395.76816000000008</v>
      </c>
      <c r="G18" s="15">
        <v>2.1999999999999999E-2</v>
      </c>
      <c r="H18" s="11">
        <f t="shared" si="2"/>
        <v>108.83624400000001</v>
      </c>
      <c r="I18" s="15">
        <v>0.03</v>
      </c>
      <c r="J18" s="11">
        <f t="shared" si="3"/>
        <v>148.41306000000003</v>
      </c>
      <c r="K18" s="11">
        <f t="shared" ref="K18:K26" si="7">(C18-C17)*$B$7</f>
        <v>1.9400400000000082</v>
      </c>
      <c r="L18" s="11">
        <f t="shared" si="4"/>
        <v>354.25130400000006</v>
      </c>
      <c r="M18" s="9">
        <f>1/(1+$B$14)^2</f>
        <v>0.8340109672442193</v>
      </c>
      <c r="N18" s="11">
        <f t="shared" si="5"/>
        <v>295.44947269656603</v>
      </c>
    </row>
    <row r="19" spans="1:14">
      <c r="A19" s="24">
        <v>3</v>
      </c>
      <c r="B19" s="15">
        <v>0.02</v>
      </c>
      <c r="C19" s="11">
        <f t="shared" si="6"/>
        <v>5046.0440400000007</v>
      </c>
      <c r="D19" s="15">
        <v>0.1</v>
      </c>
      <c r="E19" s="11">
        <f t="shared" si="0"/>
        <v>504.6044040000001</v>
      </c>
      <c r="F19" s="11">
        <f t="shared" si="1"/>
        <v>403.68352320000008</v>
      </c>
      <c r="G19" s="15">
        <v>2.1999999999999999E-2</v>
      </c>
      <c r="H19" s="11">
        <f t="shared" si="2"/>
        <v>111.01296888</v>
      </c>
      <c r="I19" s="15">
        <v>0.03</v>
      </c>
      <c r="J19" s="11">
        <f t="shared" si="3"/>
        <v>151.3813212</v>
      </c>
      <c r="K19" s="11">
        <f t="shared" si="7"/>
        <v>1.9788407999999982</v>
      </c>
      <c r="L19" s="11">
        <f t="shared" si="4"/>
        <v>361.3363300800001</v>
      </c>
      <c r="M19" s="9">
        <f>1/(1+$B$14)^3</f>
        <v>0.76165385136458386</v>
      </c>
      <c r="N19" s="11">
        <f t="shared" si="5"/>
        <v>275.21320744337658</v>
      </c>
    </row>
    <row r="20" spans="1:14">
      <c r="A20" s="24">
        <v>4</v>
      </c>
      <c r="B20" s="15">
        <v>0.02</v>
      </c>
      <c r="C20" s="11">
        <f t="shared" si="6"/>
        <v>5146.964920800001</v>
      </c>
      <c r="D20" s="15">
        <v>0.1</v>
      </c>
      <c r="E20" s="11">
        <f t="shared" si="0"/>
        <v>514.6964920800001</v>
      </c>
      <c r="F20" s="11">
        <f t="shared" si="1"/>
        <v>411.75719366400011</v>
      </c>
      <c r="G20" s="15">
        <v>2.1999999999999999E-2</v>
      </c>
      <c r="H20" s="11">
        <f t="shared" si="2"/>
        <v>113.23322825760002</v>
      </c>
      <c r="I20" s="15">
        <v>0.03</v>
      </c>
      <c r="J20" s="11">
        <f t="shared" si="3"/>
        <v>154.40894762400004</v>
      </c>
      <c r="K20" s="11">
        <f t="shared" si="7"/>
        <v>2.018417616000006</v>
      </c>
      <c r="L20" s="11">
        <f t="shared" si="4"/>
        <v>368.56305668160013</v>
      </c>
      <c r="M20" s="9">
        <f>1/(1+$B$14)^4</f>
        <v>0.6955742934836382</v>
      </c>
      <c r="N20" s="11">
        <f t="shared" si="5"/>
        <v>256.36298775547408</v>
      </c>
    </row>
    <row r="21" spans="1:14">
      <c r="A21" s="24">
        <v>5</v>
      </c>
      <c r="B21" s="15">
        <v>0.02</v>
      </c>
      <c r="C21" s="11">
        <f t="shared" si="6"/>
        <v>5249.9042192160014</v>
      </c>
      <c r="D21" s="15">
        <v>0.1</v>
      </c>
      <c r="E21" s="11">
        <f t="shared" si="0"/>
        <v>524.99042192160016</v>
      </c>
      <c r="F21" s="11">
        <f t="shared" si="1"/>
        <v>419.99233753728015</v>
      </c>
      <c r="G21" s="15">
        <v>2.1999999999999999E-2</v>
      </c>
      <c r="H21" s="11">
        <f t="shared" si="2"/>
        <v>115.49789282275202</v>
      </c>
      <c r="I21" s="15">
        <v>0.03</v>
      </c>
      <c r="J21" s="11">
        <f t="shared" si="3"/>
        <v>157.49712657648004</v>
      </c>
      <c r="K21" s="11">
        <f t="shared" si="7"/>
        <v>2.0587859683200076</v>
      </c>
      <c r="L21" s="11">
        <f t="shared" si="4"/>
        <v>375.93431781523219</v>
      </c>
      <c r="M21" s="9">
        <f>1/(1+$B$14)^5</f>
        <v>0.63522766528186136</v>
      </c>
      <c r="N21" s="11">
        <f t="shared" si="5"/>
        <v>238.80387900509922</v>
      </c>
    </row>
    <row r="22" spans="1:14">
      <c r="A22" s="24">
        <v>6</v>
      </c>
      <c r="B22" s="15">
        <v>1.4999999999999999E-2</v>
      </c>
      <c r="C22" s="11">
        <f t="shared" si="6"/>
        <v>5328.6527825042413</v>
      </c>
      <c r="D22" s="15">
        <v>0.1</v>
      </c>
      <c r="E22" s="11">
        <f t="shared" si="0"/>
        <v>532.86527825042413</v>
      </c>
      <c r="F22" s="11">
        <f t="shared" si="1"/>
        <v>426.2922226003393</v>
      </c>
      <c r="G22" s="15">
        <v>2.1999999999999999E-2</v>
      </c>
      <c r="H22" s="11">
        <f t="shared" si="2"/>
        <v>117.2303612150933</v>
      </c>
      <c r="I22" s="15">
        <v>0.03</v>
      </c>
      <c r="J22" s="11">
        <f t="shared" si="3"/>
        <v>159.85958347512724</v>
      </c>
      <c r="K22" s="11">
        <f t="shared" si="7"/>
        <v>1.5749712657647978</v>
      </c>
      <c r="L22" s="11">
        <f t="shared" si="4"/>
        <v>382.0880290745406</v>
      </c>
      <c r="M22" s="9">
        <f>1/(1+$B$14)^6</f>
        <v>0.58011658929850352</v>
      </c>
      <c r="N22" s="11">
        <f t="shared" si="5"/>
        <v>221.65560423850994</v>
      </c>
    </row>
    <row r="23" spans="1:14">
      <c r="A23" s="24">
        <v>7</v>
      </c>
      <c r="B23" s="15">
        <v>1.4999999999999999E-2</v>
      </c>
      <c r="C23" s="11">
        <f t="shared" si="6"/>
        <v>5408.5825742418047</v>
      </c>
      <c r="D23" s="15">
        <v>0.1</v>
      </c>
      <c r="E23" s="11">
        <f t="shared" si="0"/>
        <v>540.85825742418047</v>
      </c>
      <c r="F23" s="11">
        <f t="shared" si="1"/>
        <v>432.68660593934442</v>
      </c>
      <c r="G23" s="15">
        <v>2.1999999999999999E-2</v>
      </c>
      <c r="H23" s="11">
        <f t="shared" si="2"/>
        <v>118.9888166333197</v>
      </c>
      <c r="I23" s="15">
        <v>0.03</v>
      </c>
      <c r="J23" s="11">
        <f t="shared" si="3"/>
        <v>162.25747722725413</v>
      </c>
      <c r="K23" s="11">
        <f t="shared" si="7"/>
        <v>1.5985958347512679</v>
      </c>
      <c r="L23" s="11">
        <f t="shared" si="4"/>
        <v>387.81934951065875</v>
      </c>
      <c r="M23" s="9">
        <f>1/(1+$B$14)^7</f>
        <v>0.52978683954201233</v>
      </c>
      <c r="N23" s="11">
        <f t="shared" si="5"/>
        <v>205.46158749049096</v>
      </c>
    </row>
    <row r="24" spans="1:14">
      <c r="A24" s="24">
        <v>8</v>
      </c>
      <c r="B24" s="15">
        <v>1.4999999999999999E-2</v>
      </c>
      <c r="C24" s="11">
        <f t="shared" si="6"/>
        <v>5489.7113128554311</v>
      </c>
      <c r="D24" s="15">
        <v>0.1</v>
      </c>
      <c r="E24" s="11">
        <f t="shared" si="0"/>
        <v>548.97113128554315</v>
      </c>
      <c r="F24" s="11">
        <f t="shared" si="1"/>
        <v>439.17690502843453</v>
      </c>
      <c r="G24" s="15">
        <v>2.1999999999999999E-2</v>
      </c>
      <c r="H24" s="11">
        <f t="shared" si="2"/>
        <v>120.77364888281947</v>
      </c>
      <c r="I24" s="15">
        <v>0.03</v>
      </c>
      <c r="J24" s="11">
        <f t="shared" si="3"/>
        <v>164.69133938566293</v>
      </c>
      <c r="K24" s="11">
        <f t="shared" si="7"/>
        <v>1.6225747722725283</v>
      </c>
      <c r="L24" s="11">
        <f t="shared" si="4"/>
        <v>393.6366397533186</v>
      </c>
      <c r="M24" s="9">
        <f>1/(1+$B$14)^8</f>
        <v>0.4838235977552624</v>
      </c>
      <c r="N24" s="11">
        <f t="shared" si="5"/>
        <v>190.45069525374277</v>
      </c>
    </row>
    <row r="25" spans="1:14">
      <c r="A25" s="24">
        <v>9</v>
      </c>
      <c r="B25" s="15">
        <v>1.4999999999999999E-2</v>
      </c>
      <c r="C25" s="11">
        <f t="shared" si="6"/>
        <v>5572.0569825482617</v>
      </c>
      <c r="D25" s="15">
        <v>0.1</v>
      </c>
      <c r="E25" s="11">
        <f t="shared" si="0"/>
        <v>557.20569825482619</v>
      </c>
      <c r="F25" s="11">
        <f t="shared" si="1"/>
        <v>445.76455860386096</v>
      </c>
      <c r="G25" s="15">
        <v>2.1999999999999999E-2</v>
      </c>
      <c r="H25" s="11">
        <f t="shared" si="2"/>
        <v>122.58525361606175</v>
      </c>
      <c r="I25" s="15">
        <v>0.03</v>
      </c>
      <c r="J25" s="11">
        <f t="shared" si="3"/>
        <v>167.16170947644784</v>
      </c>
      <c r="K25" s="11">
        <f t="shared" si="7"/>
        <v>1.6469133938566121</v>
      </c>
      <c r="L25" s="11">
        <f t="shared" si="4"/>
        <v>399.54118934961821</v>
      </c>
      <c r="M25" s="9">
        <f>1/(1+$B$14)^9</f>
        <v>0.44184803447969173</v>
      </c>
      <c r="N25" s="11">
        <f t="shared" si="5"/>
        <v>176.53648920780714</v>
      </c>
    </row>
    <row r="26" spans="1:14">
      <c r="A26" s="24">
        <v>10</v>
      </c>
      <c r="B26" s="15">
        <v>1.4999999999999999E-2</v>
      </c>
      <c r="C26" s="11">
        <f t="shared" si="6"/>
        <v>5655.6378372864847</v>
      </c>
      <c r="D26" s="15">
        <v>0.1</v>
      </c>
      <c r="E26" s="11">
        <f t="shared" si="0"/>
        <v>565.56378372864845</v>
      </c>
      <c r="F26" s="11">
        <f t="shared" si="1"/>
        <v>452.45102698291879</v>
      </c>
      <c r="G26" s="15">
        <v>2.1999999999999999E-2</v>
      </c>
      <c r="H26" s="11">
        <f t="shared" si="2"/>
        <v>124.42403242030265</v>
      </c>
      <c r="I26" s="15">
        <v>0.03</v>
      </c>
      <c r="J26" s="11">
        <f t="shared" si="3"/>
        <v>169.66913511859454</v>
      </c>
      <c r="K26" s="11">
        <f t="shared" si="7"/>
        <v>1.6716170947644606</v>
      </c>
      <c r="L26" s="11">
        <f t="shared" si="4"/>
        <v>405.53430718986243</v>
      </c>
      <c r="M26" s="9">
        <f>1/(1+$B$14)^10</f>
        <v>0.40351418673944445</v>
      </c>
      <c r="N26" s="11">
        <f t="shared" si="5"/>
        <v>163.63884616066139</v>
      </c>
    </row>
    <row r="27" spans="1:14">
      <c r="A27" s="18" t="s">
        <v>166</v>
      </c>
      <c r="B27" s="11">
        <f>L26*(1+$D$14)/($B$14-$D$14)</f>
        <v>5938.1809267086992</v>
      </c>
    </row>
    <row r="28" spans="1:14">
      <c r="A28" s="6" t="s">
        <v>167</v>
      </c>
      <c r="B28" s="11">
        <f>B27/(1+$B$14)^10</f>
        <v>2396.1402473525413</v>
      </c>
    </row>
    <row r="29" spans="1:14">
      <c r="A29" s="18" t="s">
        <v>168</v>
      </c>
      <c r="B29" s="11">
        <f>SUM(N17:N26)+B28</f>
        <v>4736.8867152344064</v>
      </c>
    </row>
    <row r="30" spans="1:14">
      <c r="A30" s="6" t="s">
        <v>169</v>
      </c>
      <c r="B30" s="11">
        <f>$B$8</f>
        <v>-142.72999999999999</v>
      </c>
    </row>
    <row r="31" spans="1:14">
      <c r="A31" s="6" t="s">
        <v>170</v>
      </c>
      <c r="B31" s="11">
        <f>$B$9</f>
        <v>312.3</v>
      </c>
    </row>
    <row r="32" spans="1:14">
      <c r="A32" s="18" t="s">
        <v>171</v>
      </c>
      <c r="B32" s="11">
        <f>B29-B30+B31</f>
        <v>5191.9167152344062</v>
      </c>
    </row>
    <row r="33" spans="1:14">
      <c r="A33" s="18" t="s">
        <v>172</v>
      </c>
      <c r="B33" s="7">
        <f>B32/$B$10</f>
        <v>68.043326093361955</v>
      </c>
      <c r="C33" s="6" t="s">
        <v>173</v>
      </c>
    </row>
    <row r="36" spans="1:14" ht="16.2">
      <c r="A36" s="3" t="s">
        <v>174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 s="6" t="s">
        <v>153</v>
      </c>
      <c r="B37" s="15">
        <v>8.5000000000000006E-2</v>
      </c>
      <c r="C37" s="6" t="s">
        <v>154</v>
      </c>
      <c r="D37" s="15">
        <v>0.03</v>
      </c>
    </row>
    <row r="39" spans="1:14">
      <c r="A39" s="5" t="s">
        <v>155</v>
      </c>
      <c r="B39" s="5" t="s">
        <v>83</v>
      </c>
      <c r="C39" s="5" t="s">
        <v>74</v>
      </c>
      <c r="D39" s="5" t="s">
        <v>156</v>
      </c>
      <c r="E39" s="5" t="s">
        <v>157</v>
      </c>
      <c r="F39" s="5" t="s">
        <v>122</v>
      </c>
      <c r="G39" s="5" t="s">
        <v>158</v>
      </c>
      <c r="H39" s="5" t="s">
        <v>159</v>
      </c>
      <c r="I39" s="5" t="s">
        <v>160</v>
      </c>
      <c r="J39" s="5" t="s">
        <v>161</v>
      </c>
      <c r="K39" s="5" t="s">
        <v>162</v>
      </c>
      <c r="L39" s="5" t="s">
        <v>163</v>
      </c>
      <c r="M39" s="5" t="s">
        <v>164</v>
      </c>
      <c r="N39" s="5" t="s">
        <v>165</v>
      </c>
    </row>
    <row r="40" spans="1:14">
      <c r="A40" s="24">
        <v>1</v>
      </c>
      <c r="B40" s="15">
        <v>0.05</v>
      </c>
      <c r="C40" s="11">
        <f>$B$5*(1+B40)</f>
        <v>4992.75</v>
      </c>
      <c r="D40" s="15">
        <v>0.112</v>
      </c>
      <c r="E40" s="11">
        <f t="shared" ref="E40:E49" si="8">C40*D40</f>
        <v>559.18799999999999</v>
      </c>
      <c r="F40" s="11">
        <f t="shared" ref="F40:F49" si="9">E40*(1-$B$6)</f>
        <v>447.35040000000004</v>
      </c>
      <c r="G40" s="15">
        <v>2.1999999999999999E-2</v>
      </c>
      <c r="H40" s="11">
        <f t="shared" ref="H40:H49" si="10">C40*G40</f>
        <v>109.84049999999999</v>
      </c>
      <c r="I40" s="15">
        <v>2.8000000000000001E-2</v>
      </c>
      <c r="J40" s="11">
        <f t="shared" ref="J40:J49" si="11">C40*I40</f>
        <v>139.797</v>
      </c>
      <c r="K40" s="11">
        <f>(C40-$B$5)*$B$7</f>
        <v>4.7549999999999999</v>
      </c>
      <c r="L40" s="11">
        <f t="shared" ref="L40:L49" si="12">F40+H40-J40-K40</f>
        <v>412.63890000000004</v>
      </c>
      <c r="M40" s="9">
        <f>1/(1+$B$37)^1</f>
        <v>0.92165898617511521</v>
      </c>
      <c r="N40" s="11">
        <f t="shared" ref="N40:N49" si="13">L40*M40</f>
        <v>380.31235023041478</v>
      </c>
    </row>
    <row r="41" spans="1:14">
      <c r="A41" s="24">
        <v>2</v>
      </c>
      <c r="B41" s="15">
        <v>0.05</v>
      </c>
      <c r="C41" s="11">
        <f t="shared" ref="C41:C49" si="14">C40*(1+B41)</f>
        <v>5242.3874999999998</v>
      </c>
      <c r="D41" s="15">
        <v>0.112</v>
      </c>
      <c r="E41" s="11">
        <f t="shared" si="8"/>
        <v>587.14739999999995</v>
      </c>
      <c r="F41" s="11">
        <f t="shared" si="9"/>
        <v>469.71791999999999</v>
      </c>
      <c r="G41" s="15">
        <v>2.1999999999999999E-2</v>
      </c>
      <c r="H41" s="11">
        <f t="shared" si="10"/>
        <v>115.33252499999999</v>
      </c>
      <c r="I41" s="15">
        <v>2.8000000000000001E-2</v>
      </c>
      <c r="J41" s="11">
        <f t="shared" si="11"/>
        <v>146.78684999999999</v>
      </c>
      <c r="K41" s="11">
        <f t="shared" ref="K41:K49" si="15">(C41-C40)*$B$7</f>
        <v>4.9927499999999965</v>
      </c>
      <c r="L41" s="11">
        <f t="shared" si="12"/>
        <v>433.27084500000001</v>
      </c>
      <c r="M41" s="9">
        <f>1/(1+$B$37)^2</f>
        <v>0.84945528679734128</v>
      </c>
      <c r="N41" s="11">
        <f t="shared" si="13"/>
        <v>368.04420990040143</v>
      </c>
    </row>
    <row r="42" spans="1:14">
      <c r="A42" s="24">
        <v>3</v>
      </c>
      <c r="B42" s="15">
        <v>0.05</v>
      </c>
      <c r="C42" s="11">
        <f t="shared" si="14"/>
        <v>5504.506875</v>
      </c>
      <c r="D42" s="15">
        <v>0.112</v>
      </c>
      <c r="E42" s="11">
        <f t="shared" si="8"/>
        <v>616.50477000000001</v>
      </c>
      <c r="F42" s="11">
        <f t="shared" si="9"/>
        <v>493.20381600000002</v>
      </c>
      <c r="G42" s="15">
        <v>2.1999999999999999E-2</v>
      </c>
      <c r="H42" s="11">
        <f t="shared" si="10"/>
        <v>121.09915124999999</v>
      </c>
      <c r="I42" s="15">
        <v>2.8000000000000001E-2</v>
      </c>
      <c r="J42" s="11">
        <f t="shared" si="11"/>
        <v>154.1261925</v>
      </c>
      <c r="K42" s="11">
        <f t="shared" si="15"/>
        <v>5.2423875000000049</v>
      </c>
      <c r="L42" s="11">
        <f t="shared" si="12"/>
        <v>454.93438725000004</v>
      </c>
      <c r="M42" s="9">
        <f>1/(1+$B$37)^3</f>
        <v>0.78290809843072917</v>
      </c>
      <c r="N42" s="11">
        <f t="shared" si="13"/>
        <v>356.17181603264652</v>
      </c>
    </row>
    <row r="43" spans="1:14">
      <c r="A43" s="24">
        <v>4</v>
      </c>
      <c r="B43" s="15">
        <v>4.4999999999999998E-2</v>
      </c>
      <c r="C43" s="11">
        <f t="shared" si="14"/>
        <v>5752.2096843749996</v>
      </c>
      <c r="D43" s="15">
        <v>0.112</v>
      </c>
      <c r="E43" s="11">
        <f t="shared" si="8"/>
        <v>644.24748464999993</v>
      </c>
      <c r="F43" s="11">
        <f t="shared" si="9"/>
        <v>515.39798771999995</v>
      </c>
      <c r="G43" s="15">
        <v>2.1999999999999999E-2</v>
      </c>
      <c r="H43" s="11">
        <f t="shared" si="10"/>
        <v>126.54861305624998</v>
      </c>
      <c r="I43" s="15">
        <v>2.8000000000000001E-2</v>
      </c>
      <c r="J43" s="11">
        <f t="shared" si="11"/>
        <v>161.06187116249998</v>
      </c>
      <c r="K43" s="11">
        <f t="shared" si="15"/>
        <v>4.9540561874999911</v>
      </c>
      <c r="L43" s="11">
        <f t="shared" si="12"/>
        <v>475.93067342625</v>
      </c>
      <c r="M43" s="9">
        <f>1/(1+$B$37)^4</f>
        <v>0.72157428426795334</v>
      </c>
      <c r="N43" s="11">
        <f t="shared" si="13"/>
        <v>343.41933503871138</v>
      </c>
    </row>
    <row r="44" spans="1:14">
      <c r="A44" s="24">
        <v>5</v>
      </c>
      <c r="B44" s="15">
        <v>4.4999999999999998E-2</v>
      </c>
      <c r="C44" s="11">
        <f t="shared" si="14"/>
        <v>6011.0591201718744</v>
      </c>
      <c r="D44" s="15">
        <v>0.112</v>
      </c>
      <c r="E44" s="11">
        <f t="shared" si="8"/>
        <v>673.23862145925</v>
      </c>
      <c r="F44" s="11">
        <f t="shared" si="9"/>
        <v>538.59089716740004</v>
      </c>
      <c r="G44" s="15">
        <v>2.1999999999999999E-2</v>
      </c>
      <c r="H44" s="11">
        <f t="shared" si="10"/>
        <v>132.24330064378123</v>
      </c>
      <c r="I44" s="15">
        <v>2.8000000000000001E-2</v>
      </c>
      <c r="J44" s="11">
        <f t="shared" si="11"/>
        <v>168.3096553648125</v>
      </c>
      <c r="K44" s="11">
        <f t="shared" si="15"/>
        <v>5.1769887159374957</v>
      </c>
      <c r="L44" s="11">
        <f t="shared" si="12"/>
        <v>497.34755373043129</v>
      </c>
      <c r="M44" s="9">
        <f>1/(1+$B$37)^5</f>
        <v>0.66504542328843619</v>
      </c>
      <c r="N44" s="11">
        <f t="shared" si="13"/>
        <v>330.75871439212295</v>
      </c>
    </row>
    <row r="45" spans="1:14">
      <c r="A45" s="24">
        <v>6</v>
      </c>
      <c r="B45" s="15">
        <v>0.04</v>
      </c>
      <c r="C45" s="11">
        <f t="shared" si="14"/>
        <v>6251.5014849787494</v>
      </c>
      <c r="D45" s="15">
        <v>0.112</v>
      </c>
      <c r="E45" s="11">
        <f t="shared" si="8"/>
        <v>700.16816631761992</v>
      </c>
      <c r="F45" s="11">
        <f t="shared" si="9"/>
        <v>560.13453305409598</v>
      </c>
      <c r="G45" s="15">
        <v>2.1999999999999999E-2</v>
      </c>
      <c r="H45" s="11">
        <f t="shared" si="10"/>
        <v>137.53303266953247</v>
      </c>
      <c r="I45" s="15">
        <v>2.8000000000000001E-2</v>
      </c>
      <c r="J45" s="11">
        <f t="shared" si="11"/>
        <v>175.04204157940498</v>
      </c>
      <c r="K45" s="11">
        <f t="shared" si="15"/>
        <v>4.8088472961375013</v>
      </c>
      <c r="L45" s="11">
        <f t="shared" si="12"/>
        <v>517.81667684808599</v>
      </c>
      <c r="M45" s="9">
        <f>1/(1+$B$37)^6</f>
        <v>0.6129450905884205</v>
      </c>
      <c r="N45" s="11">
        <f t="shared" si="13"/>
        <v>317.39318989884492</v>
      </c>
    </row>
    <row r="46" spans="1:14">
      <c r="A46" s="24">
        <v>7</v>
      </c>
      <c r="B46" s="15">
        <v>3.5000000000000003E-2</v>
      </c>
      <c r="C46" s="11">
        <f t="shared" si="14"/>
        <v>6470.3040369530054</v>
      </c>
      <c r="D46" s="15">
        <v>0.112</v>
      </c>
      <c r="E46" s="11">
        <f t="shared" si="8"/>
        <v>724.67405213873667</v>
      </c>
      <c r="F46" s="11">
        <f t="shared" si="9"/>
        <v>579.7392417109894</v>
      </c>
      <c r="G46" s="15">
        <v>2.1999999999999999E-2</v>
      </c>
      <c r="H46" s="11">
        <f t="shared" si="10"/>
        <v>142.34668881296611</v>
      </c>
      <c r="I46" s="15">
        <v>2.8000000000000001E-2</v>
      </c>
      <c r="J46" s="11">
        <f t="shared" si="11"/>
        <v>181.16851303468417</v>
      </c>
      <c r="K46" s="11">
        <f t="shared" si="15"/>
        <v>4.3760510394851186</v>
      </c>
      <c r="L46" s="11">
        <f t="shared" si="12"/>
        <v>536.54136644978632</v>
      </c>
      <c r="M46" s="9">
        <f>1/(1+$B$37)^7</f>
        <v>0.56492635077273778</v>
      </c>
      <c r="N46" s="11">
        <f t="shared" si="13"/>
        <v>303.10635618709603</v>
      </c>
    </row>
    <row r="47" spans="1:14">
      <c r="A47" s="24">
        <v>8</v>
      </c>
      <c r="B47" s="15">
        <v>3.5000000000000003E-2</v>
      </c>
      <c r="C47" s="11">
        <f t="shared" si="14"/>
        <v>6696.7646782463598</v>
      </c>
      <c r="D47" s="15">
        <v>0.112</v>
      </c>
      <c r="E47" s="11">
        <f t="shared" si="8"/>
        <v>750.03764396359236</v>
      </c>
      <c r="F47" s="11">
        <f t="shared" si="9"/>
        <v>600.03011517087396</v>
      </c>
      <c r="G47" s="15">
        <v>2.1999999999999999E-2</v>
      </c>
      <c r="H47" s="11">
        <f t="shared" si="10"/>
        <v>147.32882292141991</v>
      </c>
      <c r="I47" s="15">
        <v>2.8000000000000001E-2</v>
      </c>
      <c r="J47" s="11">
        <f t="shared" si="11"/>
        <v>187.50941099089809</v>
      </c>
      <c r="K47" s="11">
        <f t="shared" si="15"/>
        <v>4.5292128258670896</v>
      </c>
      <c r="L47" s="11">
        <f t="shared" si="12"/>
        <v>555.32031427552874</v>
      </c>
      <c r="M47" s="9">
        <f>1/(1+$B$37)^8</f>
        <v>0.52066944771680901</v>
      </c>
      <c r="N47" s="11">
        <f t="shared" si="13"/>
        <v>289.13832133976439</v>
      </c>
    </row>
    <row r="48" spans="1:14">
      <c r="A48" s="24">
        <v>9</v>
      </c>
      <c r="B48" s="15">
        <v>0.03</v>
      </c>
      <c r="C48" s="11">
        <f t="shared" si="14"/>
        <v>6897.6676185937504</v>
      </c>
      <c r="D48" s="15">
        <v>0.112</v>
      </c>
      <c r="E48" s="11">
        <f t="shared" si="8"/>
        <v>772.53877328250007</v>
      </c>
      <c r="F48" s="11">
        <f t="shared" si="9"/>
        <v>618.0310186260001</v>
      </c>
      <c r="G48" s="15">
        <v>2.1999999999999999E-2</v>
      </c>
      <c r="H48" s="11">
        <f t="shared" si="10"/>
        <v>151.7486876090625</v>
      </c>
      <c r="I48" s="15">
        <v>2.8000000000000001E-2</v>
      </c>
      <c r="J48" s="11">
        <f t="shared" si="11"/>
        <v>193.13469332062502</v>
      </c>
      <c r="K48" s="11">
        <f t="shared" si="15"/>
        <v>4.0180588069478107</v>
      </c>
      <c r="L48" s="11">
        <f t="shared" si="12"/>
        <v>572.62695410748972</v>
      </c>
      <c r="M48" s="9">
        <f>1/(1+$B$37)^9</f>
        <v>0.4798796753150314</v>
      </c>
      <c r="N48" s="11">
        <f t="shared" si="13"/>
        <v>274.79203681373752</v>
      </c>
    </row>
    <row r="49" spans="1:14">
      <c r="A49" s="24">
        <v>10</v>
      </c>
      <c r="B49" s="15">
        <v>0.03</v>
      </c>
      <c r="C49" s="11">
        <f t="shared" si="14"/>
        <v>7104.5976471515633</v>
      </c>
      <c r="D49" s="15">
        <v>0.112</v>
      </c>
      <c r="E49" s="11">
        <f t="shared" si="8"/>
        <v>795.7149364809751</v>
      </c>
      <c r="F49" s="11">
        <f t="shared" si="9"/>
        <v>636.57194918478012</v>
      </c>
      <c r="G49" s="15">
        <v>2.1999999999999999E-2</v>
      </c>
      <c r="H49" s="11">
        <f t="shared" si="10"/>
        <v>156.30114823733439</v>
      </c>
      <c r="I49" s="15">
        <v>2.8000000000000001E-2</v>
      </c>
      <c r="J49" s="11">
        <f t="shared" si="11"/>
        <v>198.92873412024377</v>
      </c>
      <c r="K49" s="11">
        <f t="shared" si="15"/>
        <v>4.1386005711562577</v>
      </c>
      <c r="L49" s="11">
        <f t="shared" si="12"/>
        <v>589.80576273071438</v>
      </c>
      <c r="M49" s="9">
        <f>1/(1+$B$37)^10</f>
        <v>0.44228541503689528</v>
      </c>
      <c r="N49" s="11">
        <f t="shared" si="13"/>
        <v>260.86248656050657</v>
      </c>
    </row>
    <row r="50" spans="1:14">
      <c r="A50" s="18" t="s">
        <v>166</v>
      </c>
      <c r="B50" s="11">
        <f>L49*(1+$D$37)/($B$37-$D$37)</f>
        <v>11045.453374775196</v>
      </c>
    </row>
    <row r="51" spans="1:14">
      <c r="A51" s="6" t="s">
        <v>167</v>
      </c>
      <c r="B51" s="11">
        <f>B50/(1+$B$37)^10</f>
        <v>4885.2429301331231</v>
      </c>
    </row>
    <row r="52" spans="1:14">
      <c r="A52" s="18" t="s">
        <v>168</v>
      </c>
      <c r="B52" s="11">
        <f>SUM(N40:N49)+B51</f>
        <v>8109.2417465273702</v>
      </c>
    </row>
    <row r="53" spans="1:14">
      <c r="A53" s="6" t="s">
        <v>169</v>
      </c>
      <c r="B53" s="11">
        <f>$B$8</f>
        <v>-142.72999999999999</v>
      </c>
    </row>
    <row r="54" spans="1:14">
      <c r="A54" s="6" t="s">
        <v>170</v>
      </c>
      <c r="B54" s="11">
        <f>$B$9</f>
        <v>312.3</v>
      </c>
    </row>
    <row r="55" spans="1:14">
      <c r="A55" s="18" t="s">
        <v>171</v>
      </c>
      <c r="B55" s="11">
        <f>B52-B53+B54</f>
        <v>8564.271746527369</v>
      </c>
    </row>
    <row r="56" spans="1:14">
      <c r="A56" s="18" t="s">
        <v>172</v>
      </c>
      <c r="B56" s="7">
        <f>B55/$B$10</f>
        <v>112.24015467952637</v>
      </c>
      <c r="C56" s="6" t="s">
        <v>175</v>
      </c>
    </row>
    <row r="59" spans="1:14" ht="16.2">
      <c r="A59" s="3" t="s">
        <v>176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>
      <c r="A60" s="6" t="s">
        <v>153</v>
      </c>
      <c r="B60" s="15">
        <v>0.08</v>
      </c>
      <c r="C60" s="6" t="s">
        <v>154</v>
      </c>
      <c r="D60" s="15">
        <v>3.5000000000000003E-2</v>
      </c>
    </row>
    <row r="62" spans="1:14">
      <c r="A62" s="5" t="s">
        <v>155</v>
      </c>
      <c r="B62" s="5" t="s">
        <v>83</v>
      </c>
      <c r="C62" s="5" t="s">
        <v>74</v>
      </c>
      <c r="D62" s="5" t="s">
        <v>156</v>
      </c>
      <c r="E62" s="5" t="s">
        <v>157</v>
      </c>
      <c r="F62" s="5" t="s">
        <v>122</v>
      </c>
      <c r="G62" s="5" t="s">
        <v>158</v>
      </c>
      <c r="H62" s="5" t="s">
        <v>159</v>
      </c>
      <c r="I62" s="5" t="s">
        <v>160</v>
      </c>
      <c r="J62" s="5" t="s">
        <v>161</v>
      </c>
      <c r="K62" s="5" t="s">
        <v>162</v>
      </c>
      <c r="L62" s="5" t="s">
        <v>163</v>
      </c>
      <c r="M62" s="5" t="s">
        <v>164</v>
      </c>
      <c r="N62" s="5" t="s">
        <v>165</v>
      </c>
    </row>
    <row r="63" spans="1:14">
      <c r="A63" s="24">
        <v>1</v>
      </c>
      <c r="B63" s="15">
        <v>7.0000000000000007E-2</v>
      </c>
      <c r="C63" s="11">
        <f>$B$5*(1+B63)</f>
        <v>5087.8500000000004</v>
      </c>
      <c r="D63" s="15">
        <v>0.122</v>
      </c>
      <c r="E63" s="11">
        <f t="shared" ref="E63:E72" si="16">C63*D63</f>
        <v>620.71770000000004</v>
      </c>
      <c r="F63" s="11">
        <f t="shared" ref="F63:F72" si="17">E63*(1-$B$6)</f>
        <v>496.57416000000006</v>
      </c>
      <c r="G63" s="15">
        <v>2.1999999999999999E-2</v>
      </c>
      <c r="H63" s="11">
        <f t="shared" ref="H63:H72" si="18">C63*G63</f>
        <v>111.9327</v>
      </c>
      <c r="I63" s="15">
        <v>2.8000000000000001E-2</v>
      </c>
      <c r="J63" s="11">
        <f t="shared" ref="J63:J72" si="19">C63*I63</f>
        <v>142.4598</v>
      </c>
      <c r="K63" s="11">
        <f>(C63-$B$5)*$B$7</f>
        <v>6.6570000000000071</v>
      </c>
      <c r="L63" s="11">
        <f t="shared" ref="L63:L72" si="20">F63+H63-J63-K63</f>
        <v>459.39006000000012</v>
      </c>
      <c r="M63" s="9">
        <f>1/(1+$B$60)^1</f>
        <v>0.92592592592592582</v>
      </c>
      <c r="N63" s="11">
        <f t="shared" ref="N63:N72" si="21">L63*M63</f>
        <v>425.36116666666675</v>
      </c>
    </row>
    <row r="64" spans="1:14">
      <c r="A64" s="24">
        <v>2</v>
      </c>
      <c r="B64" s="15">
        <v>7.0000000000000007E-2</v>
      </c>
      <c r="C64" s="11">
        <f t="shared" ref="C64:C72" si="22">C63*(1+B64)</f>
        <v>5443.9995000000008</v>
      </c>
      <c r="D64" s="15">
        <v>0.122</v>
      </c>
      <c r="E64" s="11">
        <f t="shared" si="16"/>
        <v>664.16793900000005</v>
      </c>
      <c r="F64" s="11">
        <f t="shared" si="17"/>
        <v>531.33435120000001</v>
      </c>
      <c r="G64" s="15">
        <v>2.1999999999999999E-2</v>
      </c>
      <c r="H64" s="11">
        <f t="shared" si="18"/>
        <v>119.76798900000001</v>
      </c>
      <c r="I64" s="15">
        <v>2.8000000000000001E-2</v>
      </c>
      <c r="J64" s="11">
        <f t="shared" si="19"/>
        <v>152.43198600000002</v>
      </c>
      <c r="K64" s="11">
        <f t="shared" ref="K64:K72" si="23">(C64-C63)*$B$7</f>
        <v>7.1229900000000086</v>
      </c>
      <c r="L64" s="11">
        <f t="shared" si="20"/>
        <v>491.5473642</v>
      </c>
      <c r="M64" s="9">
        <f>1/(1+$B$60)^2</f>
        <v>0.85733882030178321</v>
      </c>
      <c r="N64" s="11">
        <f t="shared" si="21"/>
        <v>421.42263734567899</v>
      </c>
    </row>
    <row r="65" spans="1:14">
      <c r="A65" s="24">
        <v>3</v>
      </c>
      <c r="B65" s="15">
        <v>6.5000000000000002E-2</v>
      </c>
      <c r="C65" s="11">
        <f t="shared" si="22"/>
        <v>5797.8594675000004</v>
      </c>
      <c r="D65" s="15">
        <v>0.122</v>
      </c>
      <c r="E65" s="11">
        <f t="shared" si="16"/>
        <v>707.33885503500005</v>
      </c>
      <c r="F65" s="11">
        <f t="shared" si="17"/>
        <v>565.87108402800004</v>
      </c>
      <c r="G65" s="15">
        <v>2.1999999999999999E-2</v>
      </c>
      <c r="H65" s="11">
        <f t="shared" si="18"/>
        <v>127.552908285</v>
      </c>
      <c r="I65" s="15">
        <v>2.8000000000000001E-2</v>
      </c>
      <c r="J65" s="11">
        <f t="shared" si="19"/>
        <v>162.34006509000002</v>
      </c>
      <c r="K65" s="11">
        <f t="shared" si="23"/>
        <v>7.0771993499999919</v>
      </c>
      <c r="L65" s="11">
        <f t="shared" si="20"/>
        <v>524.00672787300005</v>
      </c>
      <c r="M65" s="9">
        <f>1/(1+$B$60)^3</f>
        <v>0.79383224102016958</v>
      </c>
      <c r="N65" s="11">
        <f t="shared" si="21"/>
        <v>415.9734350970698</v>
      </c>
    </row>
    <row r="66" spans="1:14">
      <c r="A66" s="24">
        <v>4</v>
      </c>
      <c r="B66" s="15">
        <v>0.06</v>
      </c>
      <c r="C66" s="11">
        <f t="shared" si="22"/>
        <v>6145.7310355500003</v>
      </c>
      <c r="D66" s="15">
        <v>0.122</v>
      </c>
      <c r="E66" s="11">
        <f t="shared" si="16"/>
        <v>749.77918633709999</v>
      </c>
      <c r="F66" s="11">
        <f t="shared" si="17"/>
        <v>599.82334906968003</v>
      </c>
      <c r="G66" s="15">
        <v>2.1999999999999999E-2</v>
      </c>
      <c r="H66" s="11">
        <f t="shared" si="18"/>
        <v>135.2060827821</v>
      </c>
      <c r="I66" s="15">
        <v>2.8000000000000001E-2</v>
      </c>
      <c r="J66" s="11">
        <f t="shared" si="19"/>
        <v>172.08046899540003</v>
      </c>
      <c r="K66" s="11">
        <f t="shared" si="23"/>
        <v>6.9574313609999994</v>
      </c>
      <c r="L66" s="11">
        <f t="shared" si="20"/>
        <v>555.99153149538006</v>
      </c>
      <c r="M66" s="9">
        <f>1/(1+$B$60)^4</f>
        <v>0.73502985279645328</v>
      </c>
      <c r="N66" s="11">
        <f t="shared" si="21"/>
        <v>408.67037355112382</v>
      </c>
    </row>
    <row r="67" spans="1:14">
      <c r="A67" s="24">
        <v>5</v>
      </c>
      <c r="B67" s="15">
        <v>5.5E-2</v>
      </c>
      <c r="C67" s="11">
        <f t="shared" si="22"/>
        <v>6483.7462425052499</v>
      </c>
      <c r="D67" s="15">
        <v>0.122</v>
      </c>
      <c r="E67" s="11">
        <f t="shared" si="16"/>
        <v>791.01704158564053</v>
      </c>
      <c r="F67" s="11">
        <f t="shared" si="17"/>
        <v>632.81363326851249</v>
      </c>
      <c r="G67" s="15">
        <v>2.1999999999999999E-2</v>
      </c>
      <c r="H67" s="11">
        <f t="shared" si="18"/>
        <v>142.64241733511548</v>
      </c>
      <c r="I67" s="15">
        <v>2.8000000000000001E-2</v>
      </c>
      <c r="J67" s="11">
        <f t="shared" si="19"/>
        <v>181.544894790147</v>
      </c>
      <c r="K67" s="11">
        <f t="shared" si="23"/>
        <v>6.7603041391049921</v>
      </c>
      <c r="L67" s="11">
        <f t="shared" si="20"/>
        <v>587.15085167437599</v>
      </c>
      <c r="M67" s="9">
        <f>1/(1+$B$60)^5</f>
        <v>0.68058319703375303</v>
      </c>
      <c r="N67" s="11">
        <f t="shared" si="21"/>
        <v>399.60500377363775</v>
      </c>
    </row>
    <row r="68" spans="1:14">
      <c r="A68" s="24">
        <v>6</v>
      </c>
      <c r="B68" s="15">
        <v>0.05</v>
      </c>
      <c r="C68" s="11">
        <f t="shared" si="22"/>
        <v>6807.9335546305128</v>
      </c>
      <c r="D68" s="15">
        <v>0.122</v>
      </c>
      <c r="E68" s="11">
        <f t="shared" si="16"/>
        <v>830.56789366492251</v>
      </c>
      <c r="F68" s="11">
        <f t="shared" si="17"/>
        <v>664.45431493193803</v>
      </c>
      <c r="G68" s="15">
        <v>2.1999999999999999E-2</v>
      </c>
      <c r="H68" s="11">
        <f t="shared" si="18"/>
        <v>149.77453820187128</v>
      </c>
      <c r="I68" s="15">
        <v>2.8000000000000001E-2</v>
      </c>
      <c r="J68" s="11">
        <f t="shared" si="19"/>
        <v>190.62213952965436</v>
      </c>
      <c r="K68" s="11">
        <f t="shared" si="23"/>
        <v>6.4837462425052586</v>
      </c>
      <c r="L68" s="11">
        <f t="shared" si="20"/>
        <v>617.12296736164967</v>
      </c>
      <c r="M68" s="9">
        <f>1/(1+$B$60)^6</f>
        <v>0.63016962688310452</v>
      </c>
      <c r="N68" s="11">
        <f t="shared" si="21"/>
        <v>388.89215008328506</v>
      </c>
    </row>
    <row r="69" spans="1:14">
      <c r="A69" s="24">
        <v>7</v>
      </c>
      <c r="B69" s="15">
        <v>0.05</v>
      </c>
      <c r="C69" s="11">
        <f t="shared" si="22"/>
        <v>7148.3302323620392</v>
      </c>
      <c r="D69" s="15">
        <v>0.122</v>
      </c>
      <c r="E69" s="11">
        <f t="shared" si="16"/>
        <v>872.09628834816874</v>
      </c>
      <c r="F69" s="11">
        <f t="shared" si="17"/>
        <v>697.67703067853506</v>
      </c>
      <c r="G69" s="15">
        <v>2.1999999999999999E-2</v>
      </c>
      <c r="H69" s="11">
        <f t="shared" si="18"/>
        <v>157.26326511196484</v>
      </c>
      <c r="I69" s="15">
        <v>2.8000000000000001E-2</v>
      </c>
      <c r="J69" s="11">
        <f t="shared" si="19"/>
        <v>200.15324650613709</v>
      </c>
      <c r="K69" s="11">
        <f t="shared" si="23"/>
        <v>6.8079335546305266</v>
      </c>
      <c r="L69" s="11">
        <f t="shared" si="20"/>
        <v>647.97911572973237</v>
      </c>
      <c r="M69" s="9">
        <f>1/(1+$B$60)^7</f>
        <v>0.58349039526213387</v>
      </c>
      <c r="N69" s="11">
        <f t="shared" si="21"/>
        <v>378.08959035874955</v>
      </c>
    </row>
    <row r="70" spans="1:14">
      <c r="A70" s="24">
        <v>8</v>
      </c>
      <c r="B70" s="15">
        <v>0.04</v>
      </c>
      <c r="C70" s="11">
        <f t="shared" si="22"/>
        <v>7434.2634416565206</v>
      </c>
      <c r="D70" s="15">
        <v>0.122</v>
      </c>
      <c r="E70" s="11">
        <f t="shared" si="16"/>
        <v>906.9801398820955</v>
      </c>
      <c r="F70" s="11">
        <f t="shared" si="17"/>
        <v>725.58411190567642</v>
      </c>
      <c r="G70" s="15">
        <v>2.1999999999999999E-2</v>
      </c>
      <c r="H70" s="11">
        <f t="shared" si="18"/>
        <v>163.55379571644343</v>
      </c>
      <c r="I70" s="15">
        <v>2.8000000000000001E-2</v>
      </c>
      <c r="J70" s="11">
        <f t="shared" si="19"/>
        <v>208.15937636638259</v>
      </c>
      <c r="K70" s="11">
        <f t="shared" si="23"/>
        <v>5.7186641858896294</v>
      </c>
      <c r="L70" s="11">
        <f t="shared" si="20"/>
        <v>675.25986706984759</v>
      </c>
      <c r="M70" s="9">
        <f>1/(1+$B$60)^8</f>
        <v>0.54026888450197574</v>
      </c>
      <c r="N70" s="11">
        <f t="shared" si="21"/>
        <v>364.82189513077896</v>
      </c>
    </row>
    <row r="71" spans="1:14">
      <c r="A71" s="24">
        <v>9</v>
      </c>
      <c r="B71" s="15">
        <v>0.04</v>
      </c>
      <c r="C71" s="11">
        <f t="shared" si="22"/>
        <v>7731.6339793227817</v>
      </c>
      <c r="D71" s="15">
        <v>0.122</v>
      </c>
      <c r="E71" s="11">
        <f t="shared" si="16"/>
        <v>943.25934547737938</v>
      </c>
      <c r="F71" s="11">
        <f t="shared" si="17"/>
        <v>754.60747638190355</v>
      </c>
      <c r="G71" s="15">
        <v>2.1999999999999999E-2</v>
      </c>
      <c r="H71" s="11">
        <f t="shared" si="18"/>
        <v>170.09594754510118</v>
      </c>
      <c r="I71" s="15">
        <v>2.8000000000000001E-2</v>
      </c>
      <c r="J71" s="11">
        <f t="shared" si="19"/>
        <v>216.48575142103789</v>
      </c>
      <c r="K71" s="11">
        <f t="shared" si="23"/>
        <v>5.9474107533252214</v>
      </c>
      <c r="L71" s="11">
        <f t="shared" si="20"/>
        <v>702.27026175264155</v>
      </c>
      <c r="M71" s="9">
        <f>1/(1+$B$60)^9</f>
        <v>0.50024896713145905</v>
      </c>
      <c r="N71" s="11">
        <f t="shared" si="21"/>
        <v>351.30997308889835</v>
      </c>
    </row>
    <row r="72" spans="1:14">
      <c r="A72" s="24">
        <v>10</v>
      </c>
      <c r="B72" s="15">
        <v>0.03</v>
      </c>
      <c r="C72" s="11">
        <f t="shared" si="22"/>
        <v>7963.5829987024654</v>
      </c>
      <c r="D72" s="15">
        <v>0.122</v>
      </c>
      <c r="E72" s="11">
        <f t="shared" si="16"/>
        <v>971.55712584170078</v>
      </c>
      <c r="F72" s="11">
        <f t="shared" si="17"/>
        <v>777.24570067336072</v>
      </c>
      <c r="G72" s="15">
        <v>2.1999999999999999E-2</v>
      </c>
      <c r="H72" s="11">
        <f t="shared" si="18"/>
        <v>175.19882597145423</v>
      </c>
      <c r="I72" s="15">
        <v>2.8000000000000001E-2</v>
      </c>
      <c r="J72" s="11">
        <f t="shared" si="19"/>
        <v>222.98032396366904</v>
      </c>
      <c r="K72" s="11">
        <f t="shared" si="23"/>
        <v>4.6389803875936746</v>
      </c>
      <c r="L72" s="11">
        <f t="shared" si="20"/>
        <v>724.82522229355232</v>
      </c>
      <c r="M72" s="9">
        <f>1/(1+$B$60)^10</f>
        <v>0.46319348808468425</v>
      </c>
      <c r="N72" s="11">
        <f t="shared" si="21"/>
        <v>335.73432296590715</v>
      </c>
    </row>
    <row r="73" spans="1:14">
      <c r="A73" s="18" t="s">
        <v>166</v>
      </c>
      <c r="B73" s="11">
        <f>L72*(1+$D$60)/($B$60-$D$60)</f>
        <v>16670.980112751702</v>
      </c>
    </row>
    <row r="74" spans="1:14">
      <c r="A74" s="6" t="s">
        <v>167</v>
      </c>
      <c r="B74" s="11">
        <f>B73/(1+$B$60)^10</f>
        <v>7721.8894282158635</v>
      </c>
    </row>
    <row r="75" spans="1:14">
      <c r="A75" s="18" t="s">
        <v>168</v>
      </c>
      <c r="B75" s="11">
        <f>SUM(N63:N72)+B74</f>
        <v>11611.769976277659</v>
      </c>
    </row>
    <row r="76" spans="1:14">
      <c r="A76" s="6" t="s">
        <v>169</v>
      </c>
      <c r="B76" s="11">
        <f>$B$8</f>
        <v>-142.72999999999999</v>
      </c>
    </row>
    <row r="77" spans="1:14">
      <c r="A77" s="6" t="s">
        <v>170</v>
      </c>
      <c r="B77" s="11">
        <f>$B$9</f>
        <v>312.3</v>
      </c>
    </row>
    <row r="78" spans="1:14">
      <c r="A78" s="18" t="s">
        <v>171</v>
      </c>
      <c r="B78" s="11">
        <f>B75-B76+B77</f>
        <v>12066.799976277658</v>
      </c>
    </row>
    <row r="79" spans="1:14">
      <c r="A79" s="18" t="s">
        <v>172</v>
      </c>
      <c r="B79" s="7">
        <f>B78/$B$10</f>
        <v>158.14298470544</v>
      </c>
      <c r="C79" s="6" t="s">
        <v>177</v>
      </c>
    </row>
  </sheetData>
  <mergeCells count="3">
    <mergeCell ref="A3:N3"/>
    <mergeCell ref="A2:N2"/>
    <mergeCell ref="A11:N11"/>
  </mergeCells>
  <phoneticPr fontId="11" type="noConversion"/>
  <pageMargins left="0.25" right="0.25" top="0.35" bottom="0.35" header="0.15" footer="0.15"/>
  <pageSetup paperSize="9"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42"/>
  <sheetViews>
    <sheetView showGridLines="0" workbookViewId="0"/>
  </sheetViews>
  <sheetFormatPr defaultRowHeight="14.4"/>
  <cols>
    <col min="1" max="1" width="30" customWidth="1"/>
    <col min="2" max="7" width="15" customWidth="1"/>
  </cols>
  <sheetData>
    <row r="1" spans="1:7" ht="23.4">
      <c r="A1" s="1" t="s">
        <v>178</v>
      </c>
    </row>
    <row r="2" spans="1:7" ht="15.6">
      <c r="A2" s="28" t="s">
        <v>179</v>
      </c>
      <c r="B2" s="27"/>
      <c r="C2" s="27"/>
      <c r="D2" s="27"/>
      <c r="E2" s="27"/>
      <c r="F2" s="27"/>
      <c r="G2" s="27"/>
    </row>
    <row r="4" spans="1:7">
      <c r="A4" s="5" t="s">
        <v>153</v>
      </c>
      <c r="B4" s="5" t="s">
        <v>172</v>
      </c>
    </row>
    <row r="5" spans="1:7">
      <c r="A5" s="15">
        <v>6.9000000000000006E-2</v>
      </c>
      <c r="B5" s="7">
        <v>156.37</v>
      </c>
    </row>
    <row r="6" spans="1:7">
      <c r="A6" s="15">
        <v>7.1999999999999995E-2</v>
      </c>
      <c r="B6" s="7">
        <v>145.54</v>
      </c>
    </row>
    <row r="7" spans="1:7">
      <c r="A7" s="15">
        <v>7.4999999999999997E-2</v>
      </c>
      <c r="B7" s="7">
        <v>136.13999999999999</v>
      </c>
    </row>
    <row r="8" spans="1:7">
      <c r="A8" s="15">
        <v>0.08</v>
      </c>
      <c r="B8" s="7">
        <v>122.99</v>
      </c>
    </row>
    <row r="9" spans="1:7">
      <c r="A9" s="15">
        <v>8.5000000000000006E-2</v>
      </c>
      <c r="B9" s="7">
        <v>112.24</v>
      </c>
    </row>
    <row r="10" spans="1:7">
      <c r="A10" s="15">
        <v>0.09</v>
      </c>
      <c r="B10" s="7">
        <v>103.28</v>
      </c>
    </row>
    <row r="11" spans="1:7">
      <c r="A11" s="15">
        <v>9.5000000000000001E-2</v>
      </c>
      <c r="B11" s="7">
        <v>95.7</v>
      </c>
    </row>
    <row r="12" spans="1:7">
      <c r="A12" s="15">
        <v>0.1</v>
      </c>
      <c r="B12" s="7">
        <v>89.21</v>
      </c>
    </row>
    <row r="14" spans="1:7">
      <c r="A14" s="5" t="s">
        <v>180</v>
      </c>
      <c r="B14" s="5" t="s">
        <v>172</v>
      </c>
    </row>
    <row r="15" spans="1:7">
      <c r="A15" s="15">
        <v>-2E-3</v>
      </c>
      <c r="B15" s="7">
        <v>136.61000000000001</v>
      </c>
    </row>
    <row r="16" spans="1:7">
      <c r="A16" s="15">
        <v>8.0000000000000002E-3</v>
      </c>
      <c r="B16" s="7">
        <v>128.49</v>
      </c>
    </row>
    <row r="17" spans="1:3">
      <c r="A17" s="15">
        <v>1.7999999999999999E-2</v>
      </c>
      <c r="B17" s="7">
        <v>120.36</v>
      </c>
    </row>
    <row r="18" spans="1:3">
      <c r="A18" s="15">
        <v>2.8000000000000001E-2</v>
      </c>
      <c r="B18" s="7">
        <v>112.24</v>
      </c>
    </row>
    <row r="19" spans="1:3">
      <c r="A19" s="15">
        <v>3.7999999999999999E-2</v>
      </c>
      <c r="B19" s="7">
        <v>104.12</v>
      </c>
    </row>
    <row r="20" spans="1:3">
      <c r="A20" s="15">
        <v>4.8000000000000001E-2</v>
      </c>
      <c r="B20" s="7">
        <v>95.99</v>
      </c>
    </row>
    <row r="23" spans="1:3">
      <c r="A23" s="5" t="s">
        <v>181</v>
      </c>
      <c r="B23" s="5" t="s">
        <v>172</v>
      </c>
    </row>
    <row r="24" spans="1:3">
      <c r="A24" s="15">
        <v>5.1999999999999998E-2</v>
      </c>
      <c r="B24" s="7">
        <v>73.25</v>
      </c>
    </row>
    <row r="25" spans="1:3">
      <c r="A25" s="15">
        <v>7.1999999999999995E-2</v>
      </c>
      <c r="B25" s="7">
        <v>86.24</v>
      </c>
    </row>
    <row r="26" spans="1:3">
      <c r="A26" s="15">
        <v>9.1999999999999998E-2</v>
      </c>
      <c r="B26" s="7">
        <v>99.24</v>
      </c>
    </row>
    <row r="27" spans="1:3">
      <c r="A27" s="15">
        <v>0.112</v>
      </c>
      <c r="B27" s="7">
        <v>112.24</v>
      </c>
    </row>
    <row r="28" spans="1:3">
      <c r="A28" s="15">
        <v>0.13200000000000001</v>
      </c>
      <c r="B28" s="7">
        <v>125.24</v>
      </c>
    </row>
    <row r="29" spans="1:3">
      <c r="A29" s="15">
        <v>0.152</v>
      </c>
      <c r="B29" s="7">
        <v>138.24</v>
      </c>
    </row>
    <row r="30" spans="1:3">
      <c r="A30" s="15">
        <v>0.17199999999999999</v>
      </c>
      <c r="B30" s="7">
        <v>151.24</v>
      </c>
    </row>
    <row r="32" spans="1:3" ht="16.2">
      <c r="A32" s="3" t="s">
        <v>182</v>
      </c>
      <c r="B32" s="4"/>
      <c r="C32" s="4"/>
    </row>
    <row r="33" spans="1:7">
      <c r="A33" s="6" t="s">
        <v>183</v>
      </c>
      <c r="B33" s="15">
        <v>7.0353633423366141E-3</v>
      </c>
    </row>
    <row r="34" spans="1:7">
      <c r="A34" s="6" t="s">
        <v>184</v>
      </c>
      <c r="B34" s="15">
        <v>4.2801881922969631E-2</v>
      </c>
    </row>
    <row r="36" spans="1:7" ht="16.2">
      <c r="A36" s="3" t="s">
        <v>185</v>
      </c>
      <c r="B36" s="4"/>
      <c r="C36" s="4"/>
      <c r="D36" s="4"/>
      <c r="E36" s="4"/>
      <c r="F36" s="4"/>
      <c r="G36" s="4"/>
    </row>
    <row r="37" spans="1:7">
      <c r="A37" s="5" t="s">
        <v>186</v>
      </c>
      <c r="B37" s="5" t="s">
        <v>172</v>
      </c>
      <c r="C37" s="5" t="s">
        <v>187</v>
      </c>
      <c r="D37" s="5" t="s">
        <v>188</v>
      </c>
    </row>
    <row r="38" spans="1:7">
      <c r="A38" s="6" t="s">
        <v>189</v>
      </c>
      <c r="B38" s="25" t="s">
        <v>190</v>
      </c>
      <c r="C38" s="25" t="s">
        <v>191</v>
      </c>
      <c r="D38" s="25" t="s">
        <v>192</v>
      </c>
    </row>
    <row r="39" spans="1:7">
      <c r="A39" s="6" t="s">
        <v>193</v>
      </c>
      <c r="B39" s="25" t="s">
        <v>58</v>
      </c>
      <c r="C39" s="25" t="s">
        <v>194</v>
      </c>
      <c r="D39" s="25" t="s">
        <v>195</v>
      </c>
    </row>
    <row r="40" spans="1:7">
      <c r="A40" s="6" t="s">
        <v>196</v>
      </c>
      <c r="B40" s="25" t="s">
        <v>58</v>
      </c>
      <c r="C40" s="25" t="s">
        <v>197</v>
      </c>
      <c r="D40" s="25" t="s">
        <v>198</v>
      </c>
    </row>
    <row r="41" spans="1:7">
      <c r="A41" s="6" t="s">
        <v>199</v>
      </c>
      <c r="B41" s="25" t="s">
        <v>58</v>
      </c>
      <c r="C41" s="25" t="s">
        <v>200</v>
      </c>
      <c r="D41" s="25" t="s">
        <v>201</v>
      </c>
    </row>
    <row r="42" spans="1:7" ht="40.049999999999997" customHeight="1">
      <c r="A42" s="31" t="s">
        <v>202</v>
      </c>
      <c r="B42" s="27"/>
      <c r="C42" s="27"/>
      <c r="D42" s="27"/>
      <c r="E42" s="27"/>
      <c r="F42" s="27"/>
      <c r="G42" s="27"/>
    </row>
  </sheetData>
  <mergeCells count="2">
    <mergeCell ref="A2:G2"/>
    <mergeCell ref="A42:G42"/>
  </mergeCells>
  <phoneticPr fontId="11" type="noConversion"/>
  <pageMargins left="0.25" right="0.25" top="0.35" bottom="0.35" header="0.15" footer="0.15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12"/>
  <sheetViews>
    <sheetView showGridLines="0" workbookViewId="0"/>
  </sheetViews>
  <sheetFormatPr defaultRowHeight="14.4"/>
  <cols>
    <col min="1" max="1" width="34" customWidth="1"/>
    <col min="2" max="2" width="50" customWidth="1"/>
    <col min="3" max="3" width="16" customWidth="1"/>
    <col min="4" max="4" width="70" customWidth="1"/>
  </cols>
  <sheetData>
    <row r="1" spans="1:4" ht="23.4">
      <c r="A1" s="1" t="s">
        <v>203</v>
      </c>
    </row>
    <row r="2" spans="1:4" ht="15.6">
      <c r="A2" s="28" t="s">
        <v>204</v>
      </c>
      <c r="B2" s="27"/>
      <c r="C2" s="27"/>
      <c r="D2" s="27"/>
    </row>
    <row r="4" spans="1:4">
      <c r="A4" s="5" t="s">
        <v>205</v>
      </c>
      <c r="B4" s="5" t="s">
        <v>206</v>
      </c>
      <c r="C4" s="5" t="s">
        <v>207</v>
      </c>
      <c r="D4" s="5" t="s">
        <v>208</v>
      </c>
    </row>
    <row r="5" spans="1:4">
      <c r="A5" s="6" t="s">
        <v>209</v>
      </c>
      <c r="B5" s="6" t="s">
        <v>210</v>
      </c>
      <c r="C5" s="22" t="s">
        <v>211</v>
      </c>
      <c r="D5" s="8" t="s">
        <v>212</v>
      </c>
    </row>
    <row r="6" spans="1:4">
      <c r="A6" s="6" t="s">
        <v>213</v>
      </c>
      <c r="B6" s="6" t="s">
        <v>214</v>
      </c>
      <c r="C6" s="22" t="s">
        <v>215</v>
      </c>
      <c r="D6" s="8" t="s">
        <v>216</v>
      </c>
    </row>
    <row r="7" spans="1:4">
      <c r="A7" s="6" t="s">
        <v>217</v>
      </c>
      <c r="B7" s="6" t="s">
        <v>210</v>
      </c>
      <c r="C7" s="22" t="s">
        <v>218</v>
      </c>
      <c r="D7" s="8" t="s">
        <v>219</v>
      </c>
    </row>
    <row r="8" spans="1:4">
      <c r="A8" s="6" t="s">
        <v>220</v>
      </c>
      <c r="B8" s="6" t="s">
        <v>221</v>
      </c>
      <c r="C8" s="22" t="s">
        <v>222</v>
      </c>
      <c r="D8" s="8" t="s">
        <v>223</v>
      </c>
    </row>
    <row r="9" spans="1:4">
      <c r="A9" s="6" t="s">
        <v>224</v>
      </c>
      <c r="B9" s="6" t="s">
        <v>225</v>
      </c>
      <c r="C9" s="22" t="s">
        <v>222</v>
      </c>
      <c r="D9" s="8" t="s">
        <v>226</v>
      </c>
    </row>
    <row r="12" spans="1:4" ht="15">
      <c r="A12" s="30" t="s">
        <v>227</v>
      </c>
      <c r="B12" s="27"/>
      <c r="C12" s="27"/>
      <c r="D12" s="27"/>
    </row>
  </sheetData>
  <mergeCells count="2">
    <mergeCell ref="A12:D12"/>
    <mergeCell ref="A2:D2"/>
  </mergeCells>
  <phoneticPr fontId="11" type="noConversion"/>
  <pageMargins left="0.25" right="0.25" top="0.35" bottom="0.35" header="0.15" footer="0.1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7</vt:i4>
      </vt:variant>
    </vt:vector>
  </HeadingPairs>
  <TitlesOfParts>
    <vt:vector size="14" baseType="lpstr">
      <vt:lpstr>结论</vt:lpstr>
      <vt:lpstr>历史财务</vt:lpstr>
      <vt:lpstr>分部</vt:lpstr>
      <vt:lpstr>FCFF桥</vt:lpstr>
      <vt:lpstr>DCF</vt:lpstr>
      <vt:lpstr>敏感性</vt:lpstr>
      <vt:lpstr>来源</vt:lpstr>
      <vt:lpstr>DCF!Print_Area</vt:lpstr>
      <vt:lpstr>FCFF桥!Print_Area</vt:lpstr>
      <vt:lpstr>分部!Print_Area</vt:lpstr>
      <vt:lpstr>结论!Print_Area</vt:lpstr>
      <vt:lpstr>来源!Print_Area</vt:lpstr>
      <vt:lpstr>历史财务!Print_Area</vt:lpstr>
      <vt:lpstr>敏感性!Print_Area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t4707</cp:lastModifiedBy>
  <dcterms:created xsi:type="dcterms:W3CDTF">2026-10-29T10:33:55Z</dcterms:created>
  <dcterms:modified xsi:type="dcterms:W3CDTF">2026-10-29T10:34:06Z</dcterms:modified>
</cp:coreProperties>
</file>