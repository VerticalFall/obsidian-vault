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GOOGL-2026-10-29\"/>
    </mc:Choice>
  </mc:AlternateContent>
  <xr:revisionPtr revIDLastSave="0" documentId="13_ncr:1_{16704B07-A9F9-4E9F-BDE5-41D3EC2D2D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5" l="1"/>
  <c r="M73" i="5"/>
  <c r="M72" i="5"/>
  <c r="M71" i="5"/>
  <c r="M70" i="5"/>
  <c r="M69" i="5"/>
  <c r="M68" i="5"/>
  <c r="M67" i="5"/>
  <c r="M66" i="5"/>
  <c r="M65" i="5"/>
  <c r="M64" i="5"/>
  <c r="C64" i="5"/>
  <c r="B54" i="5"/>
  <c r="M50" i="5"/>
  <c r="M49" i="5"/>
  <c r="M48" i="5"/>
  <c r="M47" i="5"/>
  <c r="M46" i="5"/>
  <c r="M45" i="5"/>
  <c r="M44" i="5"/>
  <c r="M43" i="5"/>
  <c r="M42" i="5"/>
  <c r="M41" i="5"/>
  <c r="C41" i="5"/>
  <c r="B31" i="5"/>
  <c r="M27" i="5"/>
  <c r="M26" i="5"/>
  <c r="M25" i="5"/>
  <c r="M24" i="5"/>
  <c r="M23" i="5"/>
  <c r="M22" i="5"/>
  <c r="M21" i="5"/>
  <c r="M20" i="5"/>
  <c r="M19" i="5"/>
  <c r="M18" i="5"/>
  <c r="C18" i="5"/>
  <c r="B16" i="4"/>
  <c r="B14" i="4"/>
  <c r="A14" i="4"/>
  <c r="A11" i="4"/>
  <c r="B7" i="4"/>
  <c r="B11" i="4" s="1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D35" i="1"/>
  <c r="C35" i="1"/>
  <c r="D34" i="1"/>
  <c r="C34" i="1"/>
  <c r="D33" i="1"/>
  <c r="C33" i="1"/>
  <c r="B28" i="1"/>
  <c r="B26" i="1"/>
  <c r="B25" i="1"/>
  <c r="B13" i="1"/>
  <c r="B15" i="4" l="1"/>
  <c r="K64" i="5"/>
  <c r="E64" i="5"/>
  <c r="F64" i="5" s="1"/>
  <c r="H64" i="5"/>
  <c r="C65" i="5"/>
  <c r="J64" i="5"/>
  <c r="C42" i="5"/>
  <c r="K41" i="5"/>
  <c r="J41" i="5"/>
  <c r="H41" i="5"/>
  <c r="E41" i="5"/>
  <c r="F41" i="5" s="1"/>
  <c r="L41" i="5" s="1"/>
  <c r="N41" i="5" s="1"/>
  <c r="C19" i="5"/>
  <c r="K18" i="5"/>
  <c r="J18" i="5"/>
  <c r="H18" i="5"/>
  <c r="E18" i="5"/>
  <c r="F18" i="5" s="1"/>
  <c r="B27" i="1"/>
  <c r="B15" i="1"/>
  <c r="B24" i="1" s="1"/>
  <c r="E65" i="5" l="1"/>
  <c r="F65" i="5" s="1"/>
  <c r="H65" i="5"/>
  <c r="J65" i="5"/>
  <c r="K65" i="5"/>
  <c r="C66" i="5"/>
  <c r="E42" i="5"/>
  <c r="F42" i="5" s="1"/>
  <c r="H42" i="5"/>
  <c r="J42" i="5"/>
  <c r="K42" i="5"/>
  <c r="C43" i="5"/>
  <c r="E19" i="5"/>
  <c r="F19" i="5" s="1"/>
  <c r="H19" i="5"/>
  <c r="J19" i="5"/>
  <c r="K19" i="5"/>
  <c r="C20" i="5"/>
  <c r="L18" i="5"/>
  <c r="N18" i="5" s="1"/>
  <c r="L64" i="5"/>
  <c r="N64" i="5" s="1"/>
  <c r="L42" i="5" l="1"/>
  <c r="N42" i="5" s="1"/>
  <c r="E66" i="5"/>
  <c r="F66" i="5" s="1"/>
  <c r="L66" i="5" s="1"/>
  <c r="N66" i="5" s="1"/>
  <c r="H66" i="5"/>
  <c r="J66" i="5"/>
  <c r="K66" i="5"/>
  <c r="C67" i="5"/>
  <c r="E43" i="5"/>
  <c r="F43" i="5" s="1"/>
  <c r="H43" i="5"/>
  <c r="J43" i="5"/>
  <c r="K43" i="5"/>
  <c r="C44" i="5"/>
  <c r="E20" i="5"/>
  <c r="F20" i="5" s="1"/>
  <c r="L20" i="5" s="1"/>
  <c r="N20" i="5" s="1"/>
  <c r="H20" i="5"/>
  <c r="J20" i="5"/>
  <c r="K20" i="5"/>
  <c r="C21" i="5"/>
  <c r="L19" i="5"/>
  <c r="N19" i="5" s="1"/>
  <c r="L65" i="5"/>
  <c r="N65" i="5" s="1"/>
  <c r="C68" i="5" l="1"/>
  <c r="E67" i="5"/>
  <c r="F67" i="5" s="1"/>
  <c r="H67" i="5"/>
  <c r="J67" i="5"/>
  <c r="K67" i="5"/>
  <c r="J44" i="5"/>
  <c r="C45" i="5"/>
  <c r="E44" i="5"/>
  <c r="F44" i="5" s="1"/>
  <c r="H44" i="5"/>
  <c r="K44" i="5"/>
  <c r="E21" i="5"/>
  <c r="F21" i="5" s="1"/>
  <c r="H21" i="5"/>
  <c r="J21" i="5"/>
  <c r="K21" i="5"/>
  <c r="C22" i="5"/>
  <c r="L43" i="5"/>
  <c r="N43" i="5" s="1"/>
  <c r="L21" i="5" l="1"/>
  <c r="N21" i="5" s="1"/>
  <c r="E68" i="5"/>
  <c r="F68" i="5" s="1"/>
  <c r="J68" i="5"/>
  <c r="K68" i="5"/>
  <c r="C69" i="5"/>
  <c r="H68" i="5"/>
  <c r="J45" i="5"/>
  <c r="E45" i="5"/>
  <c r="F45" i="5" s="1"/>
  <c r="H45" i="5"/>
  <c r="K45" i="5"/>
  <c r="C46" i="5"/>
  <c r="H22" i="5"/>
  <c r="J22" i="5"/>
  <c r="K22" i="5"/>
  <c r="C23" i="5"/>
  <c r="E22" i="5"/>
  <c r="F22" i="5" s="1"/>
  <c r="L22" i="5" s="1"/>
  <c r="N22" i="5" s="1"/>
  <c r="L67" i="5"/>
  <c r="N67" i="5" s="1"/>
  <c r="L44" i="5"/>
  <c r="N44" i="5" s="1"/>
  <c r="E69" i="5" l="1"/>
  <c r="F69" i="5" s="1"/>
  <c r="H69" i="5"/>
  <c r="J69" i="5"/>
  <c r="K69" i="5"/>
  <c r="C70" i="5"/>
  <c r="E46" i="5"/>
  <c r="F46" i="5" s="1"/>
  <c r="H46" i="5"/>
  <c r="J46" i="5"/>
  <c r="K46" i="5"/>
  <c r="C47" i="5"/>
  <c r="E23" i="5"/>
  <c r="F23" i="5" s="1"/>
  <c r="H23" i="5"/>
  <c r="J23" i="5"/>
  <c r="K23" i="5"/>
  <c r="C24" i="5"/>
  <c r="L68" i="5"/>
  <c r="N68" i="5" s="1"/>
  <c r="L45" i="5"/>
  <c r="N45" i="5" s="1"/>
  <c r="E70" i="5" l="1"/>
  <c r="F70" i="5" s="1"/>
  <c r="H70" i="5"/>
  <c r="J70" i="5"/>
  <c r="K70" i="5"/>
  <c r="C71" i="5"/>
  <c r="E47" i="5"/>
  <c r="F47" i="5" s="1"/>
  <c r="H47" i="5"/>
  <c r="J47" i="5"/>
  <c r="K47" i="5"/>
  <c r="C48" i="5"/>
  <c r="E24" i="5"/>
  <c r="F24" i="5" s="1"/>
  <c r="H24" i="5"/>
  <c r="J24" i="5"/>
  <c r="K24" i="5"/>
  <c r="C25" i="5"/>
  <c r="L69" i="5"/>
  <c r="N69" i="5" s="1"/>
  <c r="L23" i="5"/>
  <c r="N23" i="5" s="1"/>
  <c r="L46" i="5"/>
  <c r="N46" i="5" s="1"/>
  <c r="E71" i="5" l="1"/>
  <c r="F71" i="5" s="1"/>
  <c r="H71" i="5"/>
  <c r="J71" i="5"/>
  <c r="K71" i="5"/>
  <c r="C72" i="5"/>
  <c r="E48" i="5"/>
  <c r="F48" i="5" s="1"/>
  <c r="H48" i="5"/>
  <c r="J48" i="5"/>
  <c r="K48" i="5"/>
  <c r="C49" i="5"/>
  <c r="E25" i="5"/>
  <c r="F25" i="5" s="1"/>
  <c r="H25" i="5"/>
  <c r="C26" i="5"/>
  <c r="J25" i="5"/>
  <c r="K25" i="5"/>
  <c r="L70" i="5"/>
  <c r="N70" i="5" s="1"/>
  <c r="L47" i="5"/>
  <c r="N47" i="5" s="1"/>
  <c r="L24" i="5"/>
  <c r="N24" i="5" s="1"/>
  <c r="E72" i="5" l="1"/>
  <c r="F72" i="5" s="1"/>
  <c r="H72" i="5"/>
  <c r="J72" i="5"/>
  <c r="K72" i="5"/>
  <c r="C73" i="5"/>
  <c r="E49" i="5"/>
  <c r="F49" i="5" s="1"/>
  <c r="H49" i="5"/>
  <c r="J49" i="5"/>
  <c r="K49" i="5"/>
  <c r="C50" i="5"/>
  <c r="E26" i="5"/>
  <c r="F26" i="5" s="1"/>
  <c r="J26" i="5"/>
  <c r="K26" i="5"/>
  <c r="H26" i="5"/>
  <c r="C27" i="5"/>
  <c r="L48" i="5"/>
  <c r="N48" i="5" s="1"/>
  <c r="L25" i="5"/>
  <c r="N25" i="5" s="1"/>
  <c r="L71" i="5"/>
  <c r="N71" i="5" s="1"/>
  <c r="E73" i="5" l="1"/>
  <c r="F73" i="5" s="1"/>
  <c r="H73" i="5"/>
  <c r="J73" i="5"/>
  <c r="K73" i="5"/>
  <c r="E50" i="5"/>
  <c r="F50" i="5" s="1"/>
  <c r="H50" i="5"/>
  <c r="J50" i="5"/>
  <c r="K50" i="5"/>
  <c r="H27" i="5"/>
  <c r="K27" i="5"/>
  <c r="E27" i="5"/>
  <c r="F27" i="5" s="1"/>
  <c r="L27" i="5" s="1"/>
  <c r="J27" i="5"/>
  <c r="L49" i="5"/>
  <c r="N49" i="5" s="1"/>
  <c r="L26" i="5"/>
  <c r="N26" i="5" s="1"/>
  <c r="L72" i="5"/>
  <c r="N72" i="5" s="1"/>
  <c r="N27" i="5" l="1"/>
  <c r="B28" i="5"/>
  <c r="B29" i="5" s="1"/>
  <c r="B30" i="5" s="1"/>
  <c r="B32" i="5" s="1"/>
  <c r="B33" i="5" s="1"/>
  <c r="L73" i="5"/>
  <c r="L50" i="5"/>
  <c r="B74" i="5" l="1"/>
  <c r="B75" i="5" s="1"/>
  <c r="B76" i="5" s="1"/>
  <c r="B78" i="5" s="1"/>
  <c r="B79" i="5" s="1"/>
  <c r="N73" i="5"/>
  <c r="N50" i="5"/>
  <c r="B51" i="5"/>
  <c r="B52" i="5" s="1"/>
  <c r="B53" i="5" s="1"/>
  <c r="B55" i="5" s="1"/>
  <c r="B56" i="5" s="1"/>
</calcChain>
</file>

<file path=xl/sharedStrings.xml><?xml version="1.0" encoding="utf-8"?>
<sst xmlns="http://schemas.openxmlformats.org/spreadsheetml/2006/main" count="344" uniqueCount="231">
  <si>
    <t>Alphabet（GOOGL）巴菲特框架估值</t>
  </si>
  <si>
    <t>研究日 2026-10-29｜盘后参考价 $291.50｜10/28 收盘 $324.89｜最新财报：2026 Q3（2026-09-30）</t>
  </si>
  <si>
    <t>Q3 2026 10-Q 尚未提交；财务数据来自 8-K 业绩稿（未经审计）。市值按 12.294B 股计算。</t>
  </si>
  <si>
    <t>一句话结论</t>
  </si>
  <si>
    <t>好生意，但 AI 资本开支把自由现金流打到负值；价格大致合理，安全边际不足。结论：观察，等 FCF 拐点。</t>
  </si>
  <si>
    <t>关键数据（十亿美元 / 倍 / 百分比）</t>
  </si>
  <si>
    <t>项目</t>
  </si>
  <si>
    <t>数值</t>
  </si>
  <si>
    <t>备注</t>
  </si>
  <si>
    <t>盘后参考价（美元）</t>
  </si>
  <si>
    <t>2026-10-28 盘后，约 -10%</t>
  </si>
  <si>
    <t>10/28 收盘价（美元）</t>
  </si>
  <si>
    <t>财报前收盘</t>
  </si>
  <si>
    <t>期末股数（十亿股）</t>
  </si>
  <si>
    <t>2026-09-30，A+B+C</t>
  </si>
  <si>
    <t>市值 @ 盘后（十亿美元）</t>
  </si>
  <si>
    <t>价格 × 股数</t>
  </si>
  <si>
    <t>净现金（十亿美元）</t>
  </si>
  <si>
    <t>现金及证券 − 债务 − 优先股</t>
  </si>
  <si>
    <t>企业价值 @ 盘后</t>
  </si>
  <si>
    <t>市值 − 净现金</t>
  </si>
  <si>
    <t>TTM 收入</t>
  </si>
  <si>
    <t>2025Q4–2026Q3</t>
  </si>
  <si>
    <t>TTM 经营利润</t>
  </si>
  <si>
    <t>经营利润，剔除 OI&amp;E</t>
  </si>
  <si>
    <t>TTM NOPAT</t>
  </si>
  <si>
    <t>经营利润 × (1−19%)</t>
  </si>
  <si>
    <t>TTM 自由现金流</t>
  </si>
  <si>
    <t>CFO − capex</t>
  </si>
  <si>
    <t>2026E 收入</t>
  </si>
  <si>
    <t>一致预期约 498–500</t>
  </si>
  <si>
    <t>2027E 收入</t>
  </si>
  <si>
    <t>一致预期约 612–628</t>
  </si>
  <si>
    <t>2026E 调整后 EPS（美元）</t>
  </si>
  <si>
    <t>剔除投资损益</t>
  </si>
  <si>
    <t>2027E 调整后 EPS（美元）</t>
  </si>
  <si>
    <t>剔除一次性收益</t>
  </si>
  <si>
    <t>EV / TTM EBIT</t>
  </si>
  <si>
    <t>盘后价</t>
  </si>
  <si>
    <t>P/E 2026E</t>
  </si>
  <si>
    <t>盘后价 / 调整后 EPS</t>
  </si>
  <si>
    <t>P/E 2027E</t>
  </si>
  <si>
    <t>FCF 收益率</t>
  </si>
  <si>
    <t>TTM FCF / 市值</t>
  </si>
  <si>
    <t>股息率</t>
  </si>
  <si>
    <t>年化股息 $0.88</t>
  </si>
  <si>
    <t>三情景 DCF（FCFF，WACC 折现，加净现金）</t>
  </si>
  <si>
    <t>情景</t>
  </si>
  <si>
    <t>每股价值（美元）</t>
  </si>
  <si>
    <t>较盘后价</t>
  </si>
  <si>
    <t>安全边际（1−价/值）</t>
  </si>
  <si>
    <t>10 年 IRR</t>
  </si>
  <si>
    <t>悲观</t>
  </si>
  <si>
    <t>基准</t>
  </si>
  <si>
    <t>乐观</t>
  </si>
  <si>
    <t>—</t>
  </si>
  <si>
    <t>结论与观察条件</t>
  </si>
  <si>
    <t>• 基准价值约 270 美元，较盘后价低 7%；乐观 566 美元，悲观 126 美元。</t>
  </si>
  <si>
    <t>• 当前 EV 约 3.46 万亿美元；按基准假设，隐含未来 10 年收入 CAGR 约 13.4%（基准 12.2%）。</t>
  </si>
  <si>
    <t>• FCF 是核心变量：2026E capex 195–205B，2027E 显著增加（媒体口径 &gt;300B）。</t>
  </si>
  <si>
    <t>• 若要求 20% 安全边际：基准观察价约 216 美元；乐观情景约 453 美元。</t>
  </si>
  <si>
    <t>• 盘后价 291.50 高于基准价值；10/28 收盘 324.89 更高。结论是“观察”，不是“卖出”。</t>
  </si>
  <si>
    <t>• 这不是投资建议；估值对 capex 正常化速度、WACC 和 Cloud 利润率高度敏感。</t>
  </si>
  <si>
    <t>Alphabet 五年财务与现金流（十亿美元，除每股数据）</t>
  </si>
  <si>
    <t>FY2021–FY2025 来自 10-K；TTM = FY2025 + 9M 2026 − 9M 2025；2026E/2027E 为一致预期。</t>
  </si>
  <si>
    <t>FY2021</t>
  </si>
  <si>
    <t>FY2022</t>
  </si>
  <si>
    <t>FY2023</t>
  </si>
  <si>
    <t>FY2024</t>
  </si>
  <si>
    <t>FY2025</t>
  </si>
  <si>
    <t>TTM</t>
  </si>
  <si>
    <t>收入</t>
  </si>
  <si>
    <t>经营利润</t>
  </si>
  <si>
    <t>净利润</t>
  </si>
  <si>
    <t>经营现金流</t>
  </si>
  <si>
    <t>资本开支</t>
  </si>
  <si>
    <t>自由现金流</t>
  </si>
  <si>
    <t>稀释 EPS（美元）</t>
  </si>
  <si>
    <t>稀释股数（十亿）</t>
  </si>
  <si>
    <t>收入增速</t>
  </si>
  <si>
    <t>经营利润率</t>
  </si>
  <si>
    <t>净利率</t>
  </si>
  <si>
    <t>FCF 利润率</t>
  </si>
  <si>
    <t>Capex / 收入</t>
  </si>
  <si>
    <t>关键读数</t>
  </si>
  <si>
    <t>• FY2021–FY2025 收入 CAGR 约 11.8%；经营利润 CAGR 约 13.1%；EPS CAGR 约 17.8%。</t>
  </si>
  <si>
    <t>• FY2025 经营利润率 32.0%；TTM 33.3%。Cloud 规模效应是主要增量。</t>
  </si>
  <si>
    <t>• TTM 净利润 235.7B 含大量投资损益（SpaceX/Anthropic 等），不能直接用于估值；正常化净利润约 127B。</t>
  </si>
  <si>
    <t>• TTM FCF 仅 19.7B，FCF/净利润 8.4%；capex 159.8B，占收入 33.9%。</t>
  </si>
  <si>
    <t>• FY2025 回购 45.7B + 股息 10.1B；2026 年 YTD 回购为 0，转为发债/发股/优先股。</t>
  </si>
  <si>
    <t>Alphabet 分部：Search 现金牛 + Cloud 火箭</t>
  </si>
  <si>
    <t>Q3 2026 数据来自 8-K 业绩稿；FY2025 来自 10-K。单位：十亿美元。</t>
  </si>
  <si>
    <t>Q3 2026</t>
  </si>
  <si>
    <t>同比</t>
  </si>
  <si>
    <t>Google Search &amp; other</t>
  </si>
  <si>
    <t>query 增速五年最高</t>
  </si>
  <si>
    <t>YouTube ads</t>
  </si>
  <si>
    <t>Shorts/订阅带动</t>
  </si>
  <si>
    <t>Google Network</t>
  </si>
  <si>
    <t>成熟、低增长</t>
  </si>
  <si>
    <t>Google advertising</t>
  </si>
  <si>
    <t>广告总盘</t>
  </si>
  <si>
    <t>Subscriptions/platforms/devices</t>
  </si>
  <si>
    <t>订阅增长</t>
  </si>
  <si>
    <t>Google Services</t>
  </si>
  <si>
    <t>现金牛</t>
  </si>
  <si>
    <t>Google Cloud</t>
  </si>
  <si>
    <t>backlog 561B</t>
  </si>
  <si>
    <t>Other Bets</t>
  </si>
  <si>
    <t>亏损</t>
  </si>
  <si>
    <t>Alphabet-level</t>
  </si>
  <si>
    <t>AI 研发/公司费用</t>
  </si>
  <si>
    <t>Total</t>
  </si>
  <si>
    <t>收入 +25%</t>
  </si>
  <si>
    <t>FY2025 分部</t>
  </si>
  <si>
    <t>占比</t>
  </si>
  <si>
    <t>Hedging</t>
  </si>
  <si>
    <t>Cloud/TPU 关键事实</t>
  </si>
  <si>
    <t>• Q3 2026 Cloud 收入 30.709B，同比 +103%；经营利润 11.121B，利润率 36.2%。</t>
  </si>
  <si>
    <t>• Cloud backlog 561B；管理层称 &gt;55%（约 308B）将在未来 24 个月确认。</t>
  </si>
  <si>
    <t>• TPU 8T 训练性能较上代 2.7x；TPU 8I 推理性价比高 80%；约 100 家客户使用 TPU。</t>
  </si>
  <si>
    <t>• Gemini app 达 10 亿用户；第一方模型 API 处理约 320 亿 tokens/分钟。</t>
  </si>
  <si>
    <t>• 2026 capex 指引 195–205B；2027 将显著增加（媒体口径 &gt;300B）；采购承诺 924B。</t>
  </si>
  <si>
    <t>TTM FCFF 桥：为什么 FCF 只有 19.7B</t>
  </si>
  <si>
    <t>单位：十亿美元。TTM = 2025Q4–2026Q3；经营利润已扣除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</si>
  <si>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</si>
  <si>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</si>
  <si>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</si>
  <si>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</si>
  <si>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</si>
  <si>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</si>
  <si>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</si>
  <si>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− 资本开支</t>
  </si>
  <si>
    <t>TTM，含 AI 基础设施</t>
  </si>
  <si>
    <t>− 营运资金增加</t>
  </si>
  <si>
    <t>正常化前</t>
  </si>
  <si>
    <t>capex 是主要拖累</t>
  </si>
  <si>
    <t>报告 CFO</t>
  </si>
  <si>
    <t>FCF / NOPAT</t>
  </si>
  <si>
    <t>现金转化率</t>
  </si>
  <si>
    <t>解读</t>
  </si>
  <si>
    <t>• TTM NOPAT 127B，但 capex 160B，资本开支超过折旧摊销 132B；这是 FCF  collapse 的主因。</t>
  </si>
  <si>
    <t>• 2026 capex 指引 195–205B，2027 将显著增加；FCF 在 2026–2027 可能持续为负。</t>
  </si>
  <si>
    <t>• TPU 库存是现金流的时点问题：签合同→备货→交付→确认收入；不是需求问题，但仍占用现金。</t>
  </si>
  <si>
    <t>• 2026 Q3 还支付了 5.2B 欧盟罚款；一次性因素放大了 FCF 压力。</t>
  </si>
  <si>
    <t>三情景 FCFF DCF（未来 12 个月起算，10 年明确预测）</t>
  </si>
  <si>
    <t>单位：十亿美元，除每股数据。第 1 年约为 2026Q4–2027Q3；终值用永续增长。</t>
  </si>
  <si>
    <t>全局输入</t>
  </si>
  <si>
    <t>起始收入（TTM）</t>
  </si>
  <si>
    <t>税率</t>
  </si>
  <si>
    <t>营运资金/增量收入</t>
  </si>
  <si>
    <t>净现金（扣除优先股）</t>
  </si>
  <si>
    <t>股数（十亿）</t>
  </si>
  <si>
    <t>注：净现金 = 265.098 − 125.102 − 19.000 = 120.996；优先股按清算价值扣除。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</si>
  <si>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</si>
  <si>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</si>
  <si>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</si>
  <si>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</si>
  <si>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</si>
  <si>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</si>
  <si>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</si>
  <si>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</si>
  <si>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</si>
  <si>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</si>
  <si>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</si>
  <si>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</si>
  <si>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</si>
  <si>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</si>
  <si>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</si>
  <si>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</si>
  <si>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</si>
  <si>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净现金</t>
  </si>
  <si>
    <t>股权价值</t>
  </si>
  <si>
    <t>每股价值</t>
  </si>
  <si>
    <t>TV 占比 90%；终值 FCF 192B；终值收入 1118B</t>
  </si>
  <si>
    <t>基准情景</t>
  </si>
  <si>
    <t>TV 占比 82%；终值 FCF 312B；终值收入 1491B</t>
  </si>
  <si>
    <t>乐观情景</t>
  </si>
  <si>
    <t>TV 占比 84%；终值 FCF 478B；终值收入 1872B</t>
  </si>
  <si>
    <t>估值敏感性：WACC、终值 capex、终值利润率</t>
  </si>
  <si>
    <t>基准情景；每股价值（美元）。由 Python 独立计算，Excel 表为静态值。</t>
  </si>
  <si>
    <t>终值 Capex / 收入</t>
  </si>
  <si>
    <t>终值 EBIT 利润率</t>
  </si>
  <si>
    <t>反推：当前价格隐含的 10 年收入 CAGR</t>
  </si>
  <si>
    <t>盘后价 $291.50</t>
  </si>
  <si>
    <t>收盘价 $324.89</t>
  </si>
  <si>
    <t>基准情景 10 年 CAGR</t>
  </si>
  <si>
    <t>SOTP 交叉检查（每股美元）</t>
  </si>
  <si>
    <t>Services EBIT 倍数</t>
  </si>
  <si>
    <t>Cloud 25x</t>
  </si>
  <si>
    <t>Cloud 30x</t>
  </si>
  <si>
    <t>Cloud 35x</t>
  </si>
  <si>
    <t>17x</t>
  </si>
  <si>
    <t>18x</t>
  </si>
  <si>
    <t>19x</t>
  </si>
  <si>
    <t>20x</t>
  </si>
  <si>
    <t>注：Services/Cloud 用 TTM 经营利润；公司费用按 15x 扣除；净现金 + 非上市证券 50% 计入。</t>
  </si>
  <si>
    <t>数据来源与日期</t>
  </si>
  <si>
    <t>研究截止 2026-10-29；价格、一致预期、目标价均为当日或前一交易日数据。</t>
  </si>
  <si>
    <t>数据</t>
  </si>
  <si>
    <t>来源</t>
  </si>
  <si>
    <t>日期</t>
  </si>
  <si>
    <t>链接/备注</t>
  </si>
  <si>
    <t>FY2025 10-K</t>
  </si>
  <si>
    <t>SEC EDGAR, Alphabet Inc.</t>
  </si>
  <si>
    <t>2026-02-05</t>
  </si>
  <si>
    <t>https://www.sec.gov/Archives/edgar/data/1652044/000165204426000018/goog-20251231.htm</t>
  </si>
  <si>
    <t>Q3 2026 业绩</t>
  </si>
  <si>
    <t>SEC 8-K Exhibit 99.1</t>
  </si>
  <si>
    <t>2026-10-28</t>
  </si>
  <si>
    <t>https://www.sec.gov/Archives/edgar/data/1652044/000165204426000080/googexhibit991q32026.htm</t>
  </si>
  <si>
    <t>Q3 2026 电话会</t>
  </si>
  <si>
    <t>Alphabet earnings call / 媒体整理</t>
  </si>
  <si>
    <t>Cloud backlog 561B；2027 capex 显著增加；924B 采购承诺</t>
  </si>
  <si>
    <t>价格/市值</t>
  </si>
  <si>
    <t>Yahoo Finance / StockAnalysis</t>
  </si>
  <si>
    <t>收盘 324.89；盘后约 291.50</t>
  </si>
  <si>
    <t>一致预期</t>
  </si>
  <si>
    <t>StockAnalysis / Investing.com / TipRanks</t>
  </si>
  <si>
    <t>2026-10</t>
  </si>
  <si>
    <t>2026E 收入 ~499B；2027E ~620B；调整后 EPS 11.89/15.19</t>
  </si>
  <si>
    <t>目标价</t>
  </si>
  <si>
    <t>S&amp;P Global / TipRanks / Investing.com</t>
  </si>
  <si>
    <t>均值约 430 美元（财报前，可能已过时）</t>
  </si>
  <si>
    <t>10Y 美债</t>
  </si>
  <si>
    <t>YCharts / CNBC</t>
  </si>
  <si>
    <t>5.03%</t>
  </si>
  <si>
    <t>反垄断</t>
  </si>
  <si>
    <t>TechCrunch / CRS / 媒体</t>
  </si>
  <si>
    <t>2026-09</t>
  </si>
  <si>
    <t>Chrome 未被拆分；行为救济；上诉中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</si>
</sst>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\$#,##0.00"/>
    <numFmt numFmtId="177" formatCode="0.000"/>
    <numFmt numFmtId="178" formatCode="#,##0.0"/>
    <numFmt numFmtId="179" formatCode="0.0&quot;x&quot;"/>
    <numFmt numFmtId="180" formatCode="0.0%"/>
    <numFmt numFmtId="181" formatCode="#,##0.000"/>
    <numFmt numFmtId="182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4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  <border>
      <left/>
      <right/>
      <top style="thin">
        <color rgb="FFD8D2C4"/>
      </top>
      <bottom style="thin">
        <color rgb="FFD8D2C4"/>
      </bottom>
      <diagonal/>
    </border>
    <border>
      <left/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182" fontId="6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0" fillId="0" borderId="0" xfId="0"/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每股价值：三情景 vs 盘后价（美元）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盘后价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125.95</c:v>
                </c:pt>
                <c:pt idx="1">
                  <c:v>270.2</c:v>
                </c:pt>
                <c:pt idx="2">
                  <c:v>566.36</c:v>
                </c:pt>
                <c:pt idx="3">
                  <c:v>291.5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6-459E-A8A5-D2F515EE8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美元/股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DCF!$L$40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DCF!$A$41:$A$50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DCF!$L$41:$L$50</c:f>
              <c:numCache>
                <c:formatCode>#,##0.0</c:formatCode>
                <c:ptCount val="10"/>
                <c:pt idx="0">
                  <c:v>-49.461521216000023</c:v>
                </c:pt>
                <c:pt idx="1">
                  <c:v>-112.40494383991994</c:v>
                </c:pt>
                <c:pt idx="2">
                  <c:v>-43.341405409606764</c:v>
                </c:pt>
                <c:pt idx="3">
                  <c:v>51.649730193618751</c:v>
                </c:pt>
                <c:pt idx="4">
                  <c:v>125.9706983276065</c:v>
                </c:pt>
                <c:pt idx="5">
                  <c:v>184.07220557009404</c:v>
                </c:pt>
                <c:pt idx="6">
                  <c:v>224.05637014913236</c:v>
                </c:pt>
                <c:pt idx="7">
                  <c:v>253.37163327138532</c:v>
                </c:pt>
                <c:pt idx="8">
                  <c:v>283.02776559222235</c:v>
                </c:pt>
                <c:pt idx="9">
                  <c:v>312.36068903904879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45-4D1F-AB47-9F0FEED34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46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13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showGridLines="0" tabSelected="1" workbookViewId="0"/>
  </sheetViews>
  <sheetFormatPr defaultRowHeight="14.4"/>
  <cols>
    <col min="1" max="1" width="28" customWidth="1"/>
    <col min="2" max="2" width="16" customWidth="1"/>
    <col min="3" max="3" width="18" customWidth="1"/>
    <col min="4" max="4" width="20" customWidth="1"/>
    <col min="5" max="5" width="14" customWidth="1"/>
  </cols>
  <sheetData>
    <row r="1" spans="1:5" ht="23.4">
      <c r="A1" s="1" t="s">
        <v>0</v>
      </c>
    </row>
    <row r="2" spans="1:5" ht="15.6">
      <c r="A2" s="2" t="s">
        <v>1</v>
      </c>
    </row>
    <row r="3" spans="1:5" ht="15.6">
      <c r="A3" s="2" t="s">
        <v>2</v>
      </c>
    </row>
    <row r="5" spans="1:5" ht="16.2">
      <c r="A5" s="3" t="s">
        <v>3</v>
      </c>
      <c r="B5" s="4"/>
      <c r="C5" s="4"/>
      <c r="D5" s="4"/>
      <c r="E5" s="4"/>
    </row>
    <row r="6" spans="1:5" ht="37.950000000000003" customHeight="1">
      <c r="A6" s="28" t="s">
        <v>4</v>
      </c>
      <c r="B6" s="27"/>
      <c r="C6" s="27"/>
      <c r="D6" s="27"/>
      <c r="E6" s="27"/>
    </row>
    <row r="8" spans="1:5" ht="16.2">
      <c r="A8" s="3" t="s">
        <v>5</v>
      </c>
      <c r="B8" s="4"/>
      <c r="C8" s="4"/>
      <c r="D8" s="4"/>
      <c r="E8" s="4"/>
    </row>
    <row r="9" spans="1:5">
      <c r="A9" s="5" t="s">
        <v>6</v>
      </c>
      <c r="B9" s="5" t="s">
        <v>7</v>
      </c>
      <c r="C9" s="5" t="s">
        <v>8</v>
      </c>
    </row>
    <row r="10" spans="1:5">
      <c r="A10" s="6" t="s">
        <v>9</v>
      </c>
      <c r="B10" s="7">
        <v>291.5</v>
      </c>
      <c r="C10" s="6" t="s">
        <v>10</v>
      </c>
    </row>
    <row r="11" spans="1:5">
      <c r="A11" s="6" t="s">
        <v>11</v>
      </c>
      <c r="B11" s="7">
        <v>324.89</v>
      </c>
      <c r="C11" s="6" t="s">
        <v>12</v>
      </c>
    </row>
    <row r="12" spans="1:5">
      <c r="A12" s="6" t="s">
        <v>13</v>
      </c>
      <c r="B12" s="8">
        <v>12.294</v>
      </c>
      <c r="C12" s="6" t="s">
        <v>14</v>
      </c>
    </row>
    <row r="13" spans="1:5">
      <c r="A13" s="6" t="s">
        <v>15</v>
      </c>
      <c r="B13" s="9">
        <f>B10*B12</f>
        <v>3583.701</v>
      </c>
      <c r="C13" s="6" t="s">
        <v>16</v>
      </c>
    </row>
    <row r="14" spans="1:5">
      <c r="A14" s="6" t="s">
        <v>17</v>
      </c>
      <c r="B14" s="10">
        <v>120.996</v>
      </c>
      <c r="C14" s="6" t="s">
        <v>18</v>
      </c>
    </row>
    <row r="15" spans="1:5">
      <c r="A15" s="6" t="s">
        <v>19</v>
      </c>
      <c r="B15" s="9">
        <f>B13-B14</f>
        <v>3462.7049999999999</v>
      </c>
      <c r="C15" s="6" t="s">
        <v>20</v>
      </c>
    </row>
    <row r="16" spans="1:5">
      <c r="A16" s="6" t="s">
        <v>21</v>
      </c>
      <c r="B16" s="10">
        <v>471.09800000000001</v>
      </c>
      <c r="C16" s="6" t="s">
        <v>22</v>
      </c>
    </row>
    <row r="17" spans="1:5">
      <c r="A17" s="6" t="s">
        <v>23</v>
      </c>
      <c r="B17" s="10">
        <v>156.976</v>
      </c>
      <c r="C17" s="6" t="s">
        <v>24</v>
      </c>
    </row>
    <row r="18" spans="1:5">
      <c r="A18" s="6" t="s">
        <v>25</v>
      </c>
      <c r="B18" s="10">
        <v>127.15</v>
      </c>
      <c r="C18" s="6" t="s">
        <v>26</v>
      </c>
    </row>
    <row r="19" spans="1:5">
      <c r="A19" s="6" t="s">
        <v>27</v>
      </c>
      <c r="B19" s="10">
        <v>19.747</v>
      </c>
      <c r="C19" s="6" t="s">
        <v>28</v>
      </c>
    </row>
    <row r="20" spans="1:5">
      <c r="A20" s="6" t="s">
        <v>29</v>
      </c>
      <c r="B20" s="10">
        <v>499</v>
      </c>
      <c r="C20" s="6" t="s">
        <v>30</v>
      </c>
    </row>
    <row r="21" spans="1:5">
      <c r="A21" s="6" t="s">
        <v>31</v>
      </c>
      <c r="B21" s="10">
        <v>620</v>
      </c>
      <c r="C21" s="6" t="s">
        <v>32</v>
      </c>
    </row>
    <row r="22" spans="1:5">
      <c r="A22" s="6" t="s">
        <v>33</v>
      </c>
      <c r="B22" s="11">
        <v>11.89</v>
      </c>
      <c r="C22" s="6" t="s">
        <v>34</v>
      </c>
    </row>
    <row r="23" spans="1:5">
      <c r="A23" s="6" t="s">
        <v>35</v>
      </c>
      <c r="B23" s="11">
        <v>15.19</v>
      </c>
      <c r="C23" s="6" t="s">
        <v>36</v>
      </c>
    </row>
    <row r="24" spans="1:5">
      <c r="A24" s="6" t="s">
        <v>37</v>
      </c>
      <c r="B24" s="12">
        <f>B15/B17</f>
        <v>22.058817908470083</v>
      </c>
      <c r="C24" s="6" t="s">
        <v>38</v>
      </c>
    </row>
    <row r="25" spans="1:5">
      <c r="A25" s="6" t="s">
        <v>39</v>
      </c>
      <c r="B25" s="12">
        <f>B10/B22</f>
        <v>24.516400336417156</v>
      </c>
      <c r="C25" s="6" t="s">
        <v>40</v>
      </c>
    </row>
    <row r="26" spans="1:5">
      <c r="A26" s="6" t="s">
        <v>41</v>
      </c>
      <c r="B26" s="12">
        <f>B10/B23</f>
        <v>19.190256747860435</v>
      </c>
      <c r="C26" s="6" t="s">
        <v>40</v>
      </c>
    </row>
    <row r="27" spans="1:5">
      <c r="A27" s="6" t="s">
        <v>42</v>
      </c>
      <c r="B27" s="13">
        <f>B19/B13</f>
        <v>5.5102253229273312E-3</v>
      </c>
      <c r="C27" s="6" t="s">
        <v>43</v>
      </c>
    </row>
    <row r="28" spans="1:5">
      <c r="A28" s="6" t="s">
        <v>44</v>
      </c>
      <c r="B28" s="13">
        <f>0.88/B10</f>
        <v>3.0188679245283017E-3</v>
      </c>
      <c r="C28" s="6" t="s">
        <v>45</v>
      </c>
    </row>
    <row r="31" spans="1:5" ht="16.2">
      <c r="A31" s="3" t="s">
        <v>46</v>
      </c>
      <c r="B31" s="4"/>
      <c r="C31" s="4"/>
      <c r="D31" s="4"/>
      <c r="E31" s="4"/>
    </row>
    <row r="32" spans="1:5">
      <c r="A32" s="5" t="s">
        <v>47</v>
      </c>
      <c r="B32" s="5" t="s">
        <v>48</v>
      </c>
      <c r="C32" s="5" t="s">
        <v>49</v>
      </c>
      <c r="D32" s="5" t="s">
        <v>50</v>
      </c>
      <c r="E32" s="5" t="s">
        <v>51</v>
      </c>
    </row>
    <row r="33" spans="1:5">
      <c r="A33" s="6" t="s">
        <v>52</v>
      </c>
      <c r="B33" s="7">
        <v>125.95</v>
      </c>
      <c r="C33" s="14">
        <f>B33/$B$10-1</f>
        <v>-0.56792452830188678</v>
      </c>
      <c r="D33" s="14">
        <f>1-$B$10/B33</f>
        <v>-1.3144104803493448</v>
      </c>
      <c r="E33" s="15">
        <v>6.3E-2</v>
      </c>
    </row>
    <row r="34" spans="1:5">
      <c r="A34" s="16" t="s">
        <v>53</v>
      </c>
      <c r="B34" s="17">
        <v>270.2</v>
      </c>
      <c r="C34" s="14">
        <f>B34/$B$10-1</f>
        <v>-7.3070325900514654E-2</v>
      </c>
      <c r="D34" s="14">
        <f>1-$B$10/B34</f>
        <v>-7.8830495928941646E-2</v>
      </c>
      <c r="E34" s="15">
        <v>8.4900000000000003E-2</v>
      </c>
    </row>
    <row r="35" spans="1:5">
      <c r="A35" s="6" t="s">
        <v>54</v>
      </c>
      <c r="B35" s="7">
        <v>566.36</v>
      </c>
      <c r="C35" s="14">
        <f>B35/$B$10-1</f>
        <v>0.94291595197255584</v>
      </c>
      <c r="D35" s="14">
        <f>1-$B$10/B35</f>
        <v>0.48530969701250093</v>
      </c>
      <c r="E35" s="15">
        <v>0.1086</v>
      </c>
    </row>
    <row r="36" spans="1:5">
      <c r="A36" s="18" t="s">
        <v>38</v>
      </c>
      <c r="B36" s="19">
        <v>291.5</v>
      </c>
      <c r="C36" s="14">
        <v>0</v>
      </c>
      <c r="D36" s="14">
        <v>0</v>
      </c>
      <c r="E36" s="20" t="s">
        <v>55</v>
      </c>
    </row>
    <row r="38" spans="1:5" ht="16.2">
      <c r="A38" s="3" t="s">
        <v>56</v>
      </c>
      <c r="B38" s="4"/>
      <c r="C38" s="4"/>
      <c r="D38" s="4"/>
      <c r="E38" s="4"/>
    </row>
    <row r="39" spans="1:5" ht="22.05" customHeight="1">
      <c r="A39" s="26" t="s">
        <v>57</v>
      </c>
      <c r="B39" s="27"/>
      <c r="C39" s="27"/>
      <c r="D39" s="27"/>
      <c r="E39" s="27"/>
    </row>
    <row r="40" spans="1:5" ht="22.05" customHeight="1">
      <c r="A40" s="26" t="s">
        <v>58</v>
      </c>
      <c r="B40" s="27"/>
      <c r="C40" s="27"/>
      <c r="D40" s="27"/>
      <c r="E40" s="27"/>
    </row>
    <row r="41" spans="1:5" ht="22.05" customHeight="1">
      <c r="A41" s="26" t="s">
        <v>59</v>
      </c>
      <c r="B41" s="27"/>
      <c r="C41" s="27"/>
      <c r="D41" s="27"/>
      <c r="E41" s="27"/>
    </row>
    <row r="42" spans="1:5" ht="22.05" customHeight="1">
      <c r="A42" s="26" t="s">
        <v>60</v>
      </c>
      <c r="B42" s="27"/>
      <c r="C42" s="27"/>
      <c r="D42" s="27"/>
      <c r="E42" s="27"/>
    </row>
    <row r="43" spans="1:5" ht="22.05" customHeight="1">
      <c r="A43" s="26" t="s">
        <v>61</v>
      </c>
      <c r="B43" s="27"/>
      <c r="C43" s="27"/>
      <c r="D43" s="27"/>
      <c r="E43" s="27"/>
    </row>
    <row r="44" spans="1:5" ht="22.05" customHeight="1">
      <c r="A44" s="26" t="s">
        <v>62</v>
      </c>
      <c r="B44" s="27"/>
      <c r="C44" s="27"/>
      <c r="D44" s="27"/>
      <c r="E44" s="27"/>
    </row>
  </sheetData>
  <mergeCells count="7">
    <mergeCell ref="A6:E6"/>
    <mergeCell ref="A40:E40"/>
    <mergeCell ref="A39:E39"/>
    <mergeCell ref="A43:E43"/>
    <mergeCell ref="A42:E42"/>
    <mergeCell ref="A41:E41"/>
    <mergeCell ref="A44:E44"/>
  </mergeCells>
  <phoneticPr fontId="1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workbookViewId="0"/>
  </sheetViews>
  <sheetFormatPr defaultRowHeight="14.4"/>
  <cols>
    <col min="1" max="1" width="28" customWidth="1"/>
    <col min="2" max="6" width="11" customWidth="1"/>
    <col min="7" max="7" width="12" customWidth="1"/>
    <col min="8" max="8" width="30" customWidth="1"/>
  </cols>
  <sheetData>
    <row r="1" spans="1:8" ht="23.4">
      <c r="A1" s="1" t="s">
        <v>63</v>
      </c>
    </row>
    <row r="2" spans="1:8" ht="15.6">
      <c r="A2" s="2" t="s">
        <v>64</v>
      </c>
    </row>
    <row r="4" spans="1:8">
      <c r="A4" s="5" t="s">
        <v>6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70</v>
      </c>
      <c r="H4" s="5" t="s">
        <v>8</v>
      </c>
    </row>
    <row r="5" spans="1:8">
      <c r="A5" s="6" t="s">
        <v>71</v>
      </c>
      <c r="B5" s="10">
        <v>257.637</v>
      </c>
      <c r="C5" s="10">
        <v>282.83600000000001</v>
      </c>
      <c r="D5" s="10">
        <v>307.39400000000001</v>
      </c>
      <c r="E5" s="10">
        <v>350.01799999999997</v>
      </c>
      <c r="F5" s="10">
        <v>402.83600000000001</v>
      </c>
      <c r="G5" s="10">
        <v>471.09800000000001</v>
      </c>
    </row>
    <row r="6" spans="1:8">
      <c r="A6" s="6" t="s">
        <v>72</v>
      </c>
      <c r="B6" s="10">
        <v>78.713999999999999</v>
      </c>
      <c r="C6" s="10">
        <v>74.841999999999999</v>
      </c>
      <c r="D6" s="10">
        <v>84.293000000000006</v>
      </c>
      <c r="E6" s="10">
        <v>112.39</v>
      </c>
      <c r="F6" s="10">
        <v>129.03899999999999</v>
      </c>
      <c r="G6" s="10">
        <v>156.976</v>
      </c>
    </row>
    <row r="7" spans="1:8">
      <c r="A7" s="6" t="s">
        <v>73</v>
      </c>
      <c r="B7" s="10">
        <v>76.033000000000001</v>
      </c>
      <c r="C7" s="10">
        <v>59.972000000000001</v>
      </c>
      <c r="D7" s="10">
        <v>73.795000000000002</v>
      </c>
      <c r="E7" s="10">
        <v>100.11799999999999</v>
      </c>
      <c r="F7" s="10">
        <v>132.16999999999999</v>
      </c>
      <c r="G7" s="10">
        <v>235.69399999999999</v>
      </c>
    </row>
    <row r="8" spans="1:8">
      <c r="A8" s="6" t="s">
        <v>74</v>
      </c>
      <c r="B8" s="10">
        <v>91.652000000000001</v>
      </c>
      <c r="C8" s="10">
        <v>91.495000000000005</v>
      </c>
      <c r="D8" s="10">
        <v>101.746</v>
      </c>
      <c r="E8" s="10">
        <v>125.29900000000001</v>
      </c>
      <c r="F8" s="10">
        <v>164.71299999999999</v>
      </c>
      <c r="G8" s="10">
        <v>179.55099999999999</v>
      </c>
    </row>
    <row r="9" spans="1:8">
      <c r="A9" s="6" t="s">
        <v>75</v>
      </c>
      <c r="B9" s="10">
        <v>24.64</v>
      </c>
      <c r="C9" s="10">
        <v>31.484999999999999</v>
      </c>
      <c r="D9" s="10">
        <v>32.250999999999998</v>
      </c>
      <c r="E9" s="10">
        <v>52.534999999999997</v>
      </c>
      <c r="F9" s="10">
        <v>91.447000000000003</v>
      </c>
      <c r="G9" s="10">
        <v>159.804</v>
      </c>
    </row>
    <row r="10" spans="1:8">
      <c r="A10" s="6" t="s">
        <v>76</v>
      </c>
      <c r="B10" s="10">
        <v>67.012</v>
      </c>
      <c r="C10" s="10">
        <v>60.01</v>
      </c>
      <c r="D10" s="10">
        <v>69.495000000000005</v>
      </c>
      <c r="E10" s="10">
        <v>72.763999999999996</v>
      </c>
      <c r="F10" s="10">
        <v>73.266000000000005</v>
      </c>
      <c r="G10" s="10">
        <v>19.747</v>
      </c>
    </row>
    <row r="11" spans="1:8">
      <c r="A11" s="6" t="s">
        <v>77</v>
      </c>
      <c r="B11" s="11">
        <v>5.61</v>
      </c>
      <c r="C11" s="11">
        <v>4.5599999999999996</v>
      </c>
      <c r="D11" s="11">
        <v>5.8</v>
      </c>
      <c r="E11" s="11">
        <v>8.0399999999999991</v>
      </c>
      <c r="F11" s="11">
        <v>10.81</v>
      </c>
      <c r="G11" s="11">
        <v>19.149999999999999</v>
      </c>
    </row>
    <row r="12" spans="1:8">
      <c r="A12" s="6" t="s">
        <v>78</v>
      </c>
      <c r="B12" s="8">
        <v>13.55</v>
      </c>
      <c r="C12" s="8">
        <v>13.159000000000001</v>
      </c>
      <c r="D12" s="8">
        <v>12.722</v>
      </c>
      <c r="E12" s="8">
        <v>12.446999999999999</v>
      </c>
      <c r="F12" s="8">
        <v>12.23</v>
      </c>
      <c r="G12" s="8">
        <v>12.324</v>
      </c>
    </row>
    <row r="13" spans="1:8">
      <c r="A13" s="6" t="s">
        <v>79</v>
      </c>
      <c r="C13" s="14">
        <f>C5/B5-1</f>
        <v>9.7808156437157789E-2</v>
      </c>
      <c r="D13" s="14">
        <f>D5/C5-1</f>
        <v>8.6827702272695095E-2</v>
      </c>
      <c r="E13" s="14">
        <f>E5/D5-1</f>
        <v>0.13866243322901539</v>
      </c>
      <c r="F13" s="14">
        <f>F5/E5-1</f>
        <v>0.15090081081544393</v>
      </c>
      <c r="G13" s="14">
        <f>G5/F5-1</f>
        <v>0.16945357415921114</v>
      </c>
    </row>
    <row r="14" spans="1:8">
      <c r="A14" s="6" t="s">
        <v>80</v>
      </c>
      <c r="B14" s="14">
        <f t="shared" ref="B14:G14" si="0">B6/B5</f>
        <v>0.3055228868524319</v>
      </c>
      <c r="C14" s="14">
        <f t="shared" si="0"/>
        <v>0.26461270842467011</v>
      </c>
      <c r="D14" s="14">
        <f t="shared" si="0"/>
        <v>0.27421810445226646</v>
      </c>
      <c r="E14" s="14">
        <f t="shared" si="0"/>
        <v>0.32109777211457702</v>
      </c>
      <c r="F14" s="14">
        <f t="shared" si="0"/>
        <v>0.32032638592380019</v>
      </c>
      <c r="G14" s="14">
        <f t="shared" si="0"/>
        <v>0.33321304696687315</v>
      </c>
    </row>
    <row r="15" spans="1:8">
      <c r="A15" s="6" t="s">
        <v>81</v>
      </c>
      <c r="B15" s="14">
        <f t="shared" ref="B15:G15" si="1">B7/B5</f>
        <v>0.29511677282377918</v>
      </c>
      <c r="C15" s="14">
        <f t="shared" si="1"/>
        <v>0.21203807153261961</v>
      </c>
      <c r="D15" s="14">
        <f t="shared" si="1"/>
        <v>0.24006649446638517</v>
      </c>
      <c r="E15" s="14">
        <f t="shared" si="1"/>
        <v>0.28603671811164</v>
      </c>
      <c r="F15" s="14">
        <f t="shared" si="1"/>
        <v>0.32809877965226542</v>
      </c>
      <c r="G15" s="14">
        <f t="shared" si="1"/>
        <v>0.50030779158476579</v>
      </c>
    </row>
    <row r="16" spans="1:8">
      <c r="A16" s="6" t="s">
        <v>82</v>
      </c>
      <c r="B16" s="14">
        <f t="shared" ref="B16:G16" si="2">B10/B5</f>
        <v>0.26010239212535469</v>
      </c>
      <c r="C16" s="14">
        <f t="shared" si="2"/>
        <v>0.21217242500954614</v>
      </c>
      <c r="D16" s="14">
        <f t="shared" si="2"/>
        <v>0.22607793255561268</v>
      </c>
      <c r="E16" s="14">
        <f t="shared" si="2"/>
        <v>0.20788645155392008</v>
      </c>
      <c r="F16" s="14">
        <f t="shared" si="2"/>
        <v>0.18187550268595656</v>
      </c>
      <c r="G16" s="14">
        <f t="shared" si="2"/>
        <v>4.1916968443933111E-2</v>
      </c>
    </row>
    <row r="17" spans="1:8">
      <c r="A17" s="6" t="s">
        <v>83</v>
      </c>
      <c r="B17" s="14">
        <f t="shared" ref="B17:G17" si="3">B9/B5</f>
        <v>9.5638437025737766E-2</v>
      </c>
      <c r="C17" s="14">
        <f t="shared" si="3"/>
        <v>0.11131892686928113</v>
      </c>
      <c r="D17" s="14">
        <f t="shared" si="3"/>
        <v>0.10491746748472643</v>
      </c>
      <c r="E17" s="14">
        <f t="shared" si="3"/>
        <v>0.15009228096840735</v>
      </c>
      <c r="F17" s="14">
        <f t="shared" si="3"/>
        <v>0.22700801318650765</v>
      </c>
      <c r="G17" s="14">
        <f t="shared" si="3"/>
        <v>0.3392160442200986</v>
      </c>
    </row>
    <row r="19" spans="1:8" ht="16.2">
      <c r="A19" s="3" t="s">
        <v>84</v>
      </c>
      <c r="B19" s="4"/>
      <c r="C19" s="4"/>
      <c r="D19" s="4"/>
      <c r="E19" s="4"/>
      <c r="F19" s="4"/>
      <c r="G19" s="4"/>
      <c r="H19" s="4"/>
    </row>
    <row r="20" spans="1:8" ht="25.95" customHeight="1">
      <c r="A20" s="26" t="s">
        <v>85</v>
      </c>
      <c r="B20" s="27"/>
      <c r="C20" s="27"/>
      <c r="D20" s="27"/>
      <c r="E20" s="27"/>
      <c r="F20" s="27"/>
      <c r="G20" s="27"/>
      <c r="H20" s="27"/>
    </row>
    <row r="21" spans="1:8" ht="25.95" customHeight="1">
      <c r="A21" s="26" t="s">
        <v>86</v>
      </c>
      <c r="B21" s="27"/>
      <c r="C21" s="27"/>
      <c r="D21" s="27"/>
      <c r="E21" s="27"/>
      <c r="F21" s="27"/>
      <c r="G21" s="27"/>
      <c r="H21" s="27"/>
    </row>
    <row r="22" spans="1:8" ht="25.95" customHeight="1">
      <c r="A22" s="26" t="s">
        <v>87</v>
      </c>
      <c r="B22" s="27"/>
      <c r="C22" s="27"/>
      <c r="D22" s="27"/>
      <c r="E22" s="27"/>
      <c r="F22" s="27"/>
      <c r="G22" s="27"/>
      <c r="H22" s="27"/>
    </row>
    <row r="23" spans="1:8" ht="25.95" customHeight="1">
      <c r="A23" s="26" t="s">
        <v>88</v>
      </c>
      <c r="B23" s="27"/>
      <c r="C23" s="27"/>
      <c r="D23" s="27"/>
      <c r="E23" s="27"/>
      <c r="F23" s="27"/>
      <c r="G23" s="27"/>
      <c r="H23" s="27"/>
    </row>
    <row r="24" spans="1:8" ht="25.95" customHeight="1">
      <c r="A24" s="26" t="s">
        <v>89</v>
      </c>
      <c r="B24" s="27"/>
      <c r="C24" s="27"/>
      <c r="D24" s="27"/>
      <c r="E24" s="27"/>
      <c r="F24" s="27"/>
      <c r="G24" s="27"/>
      <c r="H24" s="27"/>
    </row>
  </sheetData>
  <mergeCells count="5">
    <mergeCell ref="A21:H21"/>
    <mergeCell ref="A20:H20"/>
    <mergeCell ref="A24:H24"/>
    <mergeCell ref="A23:H23"/>
    <mergeCell ref="A22:H22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showGridLines="0" workbookViewId="0"/>
  </sheetViews>
  <sheetFormatPr defaultRowHeight="14.4"/>
  <cols>
    <col min="1" max="1" width="28" customWidth="1"/>
    <col min="2" max="5" width="14" customWidth="1"/>
    <col min="6" max="6" width="26" customWidth="1"/>
  </cols>
  <sheetData>
    <row r="1" spans="1:6" ht="23.4">
      <c r="A1" s="1" t="s">
        <v>90</v>
      </c>
    </row>
    <row r="2" spans="1:6" ht="15.6">
      <c r="A2" s="2" t="s">
        <v>91</v>
      </c>
    </row>
    <row r="4" spans="1:6">
      <c r="A4" s="5" t="s">
        <v>92</v>
      </c>
      <c r="B4" s="5" t="s">
        <v>71</v>
      </c>
      <c r="C4" s="5" t="s">
        <v>93</v>
      </c>
      <c r="D4" s="5" t="s">
        <v>72</v>
      </c>
      <c r="E4" s="5" t="s">
        <v>80</v>
      </c>
      <c r="F4" s="5" t="s">
        <v>8</v>
      </c>
    </row>
    <row r="5" spans="1:6">
      <c r="A5" s="6" t="s">
        <v>94</v>
      </c>
      <c r="B5" s="10">
        <v>63.35</v>
      </c>
      <c r="C5" s="14">
        <v>0.12</v>
      </c>
      <c r="D5" s="21" t="s">
        <v>55</v>
      </c>
      <c r="E5" s="21" t="s">
        <v>55</v>
      </c>
      <c r="F5" s="6" t="s">
        <v>95</v>
      </c>
    </row>
    <row r="6" spans="1:6">
      <c r="A6" s="6" t="s">
        <v>96</v>
      </c>
      <c r="B6" s="10">
        <v>11.207000000000001</v>
      </c>
      <c r="C6" s="14">
        <v>9.1999999999999998E-2</v>
      </c>
      <c r="D6" s="21" t="s">
        <v>55</v>
      </c>
      <c r="E6" s="21" t="s">
        <v>55</v>
      </c>
      <c r="F6" s="6" t="s">
        <v>97</v>
      </c>
    </row>
    <row r="7" spans="1:6">
      <c r="A7" s="6" t="s">
        <v>98</v>
      </c>
      <c r="B7" s="10">
        <v>7.4550000000000001</v>
      </c>
      <c r="C7" s="14">
        <v>1.4E-2</v>
      </c>
      <c r="D7" s="21" t="s">
        <v>55</v>
      </c>
      <c r="E7" s="21" t="s">
        <v>55</v>
      </c>
      <c r="F7" s="6" t="s">
        <v>99</v>
      </c>
    </row>
    <row r="8" spans="1:6">
      <c r="A8" s="6" t="s">
        <v>100</v>
      </c>
      <c r="B8" s="10">
        <v>82.012</v>
      </c>
      <c r="C8" s="14">
        <v>0.106</v>
      </c>
      <c r="D8" s="21" t="s">
        <v>55</v>
      </c>
      <c r="E8" s="21" t="s">
        <v>55</v>
      </c>
      <c r="F8" s="6" t="s">
        <v>101</v>
      </c>
    </row>
    <row r="9" spans="1:6">
      <c r="A9" s="6" t="s">
        <v>102</v>
      </c>
      <c r="B9" s="10">
        <v>14.29</v>
      </c>
      <c r="C9" s="14">
        <v>0.11</v>
      </c>
      <c r="D9" s="21" t="s">
        <v>55</v>
      </c>
      <c r="E9" s="21" t="s">
        <v>55</v>
      </c>
      <c r="F9" s="6" t="s">
        <v>103</v>
      </c>
    </row>
    <row r="10" spans="1:6">
      <c r="A10" s="16" t="s">
        <v>104</v>
      </c>
      <c r="B10" s="10">
        <v>96.302000000000007</v>
      </c>
      <c r="C10" s="14">
        <v>0.106</v>
      </c>
      <c r="D10" s="10">
        <v>39.156999999999996</v>
      </c>
      <c r="E10" s="14">
        <v>0.40699999999999997</v>
      </c>
      <c r="F10" s="6" t="s">
        <v>105</v>
      </c>
    </row>
    <row r="11" spans="1:6">
      <c r="A11" s="16" t="s">
        <v>106</v>
      </c>
      <c r="B11" s="10">
        <v>30.709</v>
      </c>
      <c r="C11" s="14">
        <v>1.026</v>
      </c>
      <c r="D11" s="10">
        <v>11.121</v>
      </c>
      <c r="E11" s="14">
        <v>0.36199999999999999</v>
      </c>
      <c r="F11" s="6" t="s">
        <v>107</v>
      </c>
    </row>
    <row r="12" spans="1:6">
      <c r="A12" s="6" t="s">
        <v>108</v>
      </c>
      <c r="B12" s="10">
        <v>0.372</v>
      </c>
      <c r="C12" s="14">
        <v>8.1000000000000003E-2</v>
      </c>
      <c r="D12" s="10">
        <v>-2.0470000000000002</v>
      </c>
      <c r="E12" s="21" t="s">
        <v>55</v>
      </c>
      <c r="F12" s="6" t="s">
        <v>109</v>
      </c>
    </row>
    <row r="13" spans="1:6">
      <c r="A13" s="6" t="s">
        <v>110</v>
      </c>
      <c r="B13" s="10">
        <v>0</v>
      </c>
      <c r="C13" s="14"/>
      <c r="D13" s="10">
        <v>-7.6550000000000002</v>
      </c>
      <c r="E13" s="21" t="s">
        <v>55</v>
      </c>
      <c r="F13" s="6" t="s">
        <v>111</v>
      </c>
    </row>
    <row r="14" spans="1:6">
      <c r="A14" s="16" t="s">
        <v>112</v>
      </c>
      <c r="B14" s="10">
        <v>127.577</v>
      </c>
      <c r="C14" s="14">
        <v>0.247</v>
      </c>
      <c r="D14" s="10">
        <v>40.576000000000001</v>
      </c>
      <c r="E14" s="14">
        <v>0.318</v>
      </c>
      <c r="F14" s="6" t="s">
        <v>113</v>
      </c>
    </row>
    <row r="17" spans="1:6" ht="16.2">
      <c r="A17" s="3" t="s">
        <v>114</v>
      </c>
      <c r="B17" s="4"/>
      <c r="C17" s="4"/>
      <c r="D17" s="4"/>
      <c r="E17" s="4"/>
      <c r="F17" s="4"/>
    </row>
    <row r="18" spans="1:6">
      <c r="A18" s="5" t="s">
        <v>69</v>
      </c>
      <c r="B18" s="5" t="s">
        <v>71</v>
      </c>
      <c r="C18" s="5" t="s">
        <v>115</v>
      </c>
      <c r="D18" s="5" t="s">
        <v>72</v>
      </c>
      <c r="E18" s="5" t="s">
        <v>80</v>
      </c>
      <c r="F18" s="5" t="s">
        <v>8</v>
      </c>
    </row>
    <row r="19" spans="1:6">
      <c r="A19" s="6" t="s">
        <v>94</v>
      </c>
      <c r="B19" s="10">
        <v>224.53200000000001</v>
      </c>
      <c r="C19" s="14">
        <v>0.55700000000000005</v>
      </c>
      <c r="D19" s="21" t="s">
        <v>55</v>
      </c>
      <c r="E19" s="21" t="s">
        <v>55</v>
      </c>
      <c r="F19" s="6"/>
    </row>
    <row r="20" spans="1:6">
      <c r="A20" s="6" t="s">
        <v>96</v>
      </c>
      <c r="B20" s="10">
        <v>40.366999999999997</v>
      </c>
      <c r="C20" s="14">
        <v>0.1</v>
      </c>
      <c r="D20" s="21" t="s">
        <v>55</v>
      </c>
      <c r="E20" s="21" t="s">
        <v>55</v>
      </c>
      <c r="F20" s="6"/>
    </row>
    <row r="21" spans="1:6">
      <c r="A21" s="6" t="s">
        <v>98</v>
      </c>
      <c r="B21" s="10">
        <v>29.792000000000002</v>
      </c>
      <c r="C21" s="14">
        <v>7.3999999999999996E-2</v>
      </c>
      <c r="D21" s="21" t="s">
        <v>55</v>
      </c>
      <c r="E21" s="21" t="s">
        <v>55</v>
      </c>
      <c r="F21" s="6"/>
    </row>
    <row r="22" spans="1:6">
      <c r="A22" s="6" t="s">
        <v>100</v>
      </c>
      <c r="B22" s="10">
        <v>294.69099999999997</v>
      </c>
      <c r="C22" s="14">
        <v>0.73199999999999998</v>
      </c>
      <c r="D22" s="21" t="s">
        <v>55</v>
      </c>
      <c r="E22" s="21" t="s">
        <v>55</v>
      </c>
      <c r="F22" s="6"/>
    </row>
    <row r="23" spans="1:6">
      <c r="A23" s="6" t="s">
        <v>102</v>
      </c>
      <c r="B23" s="10">
        <v>48.03</v>
      </c>
      <c r="C23" s="14">
        <v>0.11899999999999999</v>
      </c>
      <c r="D23" s="21" t="s">
        <v>55</v>
      </c>
      <c r="E23" s="21" t="s">
        <v>55</v>
      </c>
      <c r="F23" s="6"/>
    </row>
    <row r="24" spans="1:6">
      <c r="A24" s="16" t="s">
        <v>104</v>
      </c>
      <c r="B24" s="10">
        <v>342.721</v>
      </c>
      <c r="C24" s="14">
        <v>0.85099999999999998</v>
      </c>
      <c r="D24" s="10">
        <v>139.404</v>
      </c>
      <c r="E24" s="14">
        <v>0.40699999999999997</v>
      </c>
      <c r="F24" s="6"/>
    </row>
    <row r="25" spans="1:6">
      <c r="A25" s="16" t="s">
        <v>106</v>
      </c>
      <c r="B25" s="10">
        <v>58.704999999999998</v>
      </c>
      <c r="C25" s="14">
        <v>0.14599999999999999</v>
      </c>
      <c r="D25" s="10">
        <v>13.91</v>
      </c>
      <c r="E25" s="14">
        <v>0.23699999999999999</v>
      </c>
      <c r="F25" s="6"/>
    </row>
    <row r="26" spans="1:6">
      <c r="A26" s="6" t="s">
        <v>108</v>
      </c>
      <c r="B26" s="10">
        <v>1.5369999999999999</v>
      </c>
      <c r="C26" s="14">
        <v>4.0000000000000001E-3</v>
      </c>
      <c r="D26" s="10">
        <v>-7.5149999999999997</v>
      </c>
      <c r="E26" s="21" t="s">
        <v>55</v>
      </c>
      <c r="F26" s="6"/>
    </row>
    <row r="27" spans="1:6">
      <c r="A27" s="6" t="s">
        <v>116</v>
      </c>
      <c r="B27" s="10">
        <v>-0.127</v>
      </c>
      <c r="C27" s="21" t="s">
        <v>55</v>
      </c>
      <c r="D27" s="21" t="s">
        <v>55</v>
      </c>
      <c r="E27" s="21" t="s">
        <v>55</v>
      </c>
      <c r="F27" s="6"/>
    </row>
    <row r="28" spans="1:6">
      <c r="A28" s="16" t="s">
        <v>112</v>
      </c>
      <c r="B28" s="10">
        <v>402.83600000000001</v>
      </c>
      <c r="C28" s="14">
        <v>1</v>
      </c>
      <c r="D28" s="10">
        <v>129.03899999999999</v>
      </c>
      <c r="E28" s="14">
        <v>0.32</v>
      </c>
      <c r="F28" s="6"/>
    </row>
    <row r="31" spans="1:6" ht="16.2">
      <c r="A31" s="3" t="s">
        <v>117</v>
      </c>
      <c r="B31" s="4"/>
      <c r="C31" s="4"/>
      <c r="D31" s="4"/>
      <c r="E31" s="4"/>
      <c r="F31" s="4"/>
    </row>
    <row r="32" spans="1:6" ht="25.95" customHeight="1">
      <c r="A32" s="26" t="s">
        <v>118</v>
      </c>
      <c r="B32" s="27"/>
      <c r="C32" s="27"/>
      <c r="D32" s="27"/>
      <c r="E32" s="27"/>
      <c r="F32" s="27"/>
    </row>
    <row r="33" spans="1:6" ht="25.95" customHeight="1">
      <c r="A33" s="26" t="s">
        <v>119</v>
      </c>
      <c r="B33" s="27"/>
      <c r="C33" s="27"/>
      <c r="D33" s="27"/>
      <c r="E33" s="27"/>
      <c r="F33" s="27"/>
    </row>
    <row r="34" spans="1:6" ht="25.95" customHeight="1">
      <c r="A34" s="26" t="s">
        <v>120</v>
      </c>
      <c r="B34" s="27"/>
      <c r="C34" s="27"/>
      <c r="D34" s="27"/>
      <c r="E34" s="27"/>
      <c r="F34" s="27"/>
    </row>
    <row r="35" spans="1:6" ht="25.95" customHeight="1">
      <c r="A35" s="26" t="s">
        <v>121</v>
      </c>
      <c r="B35" s="27"/>
      <c r="C35" s="27"/>
      <c r="D35" s="27"/>
      <c r="E35" s="27"/>
      <c r="F35" s="27"/>
    </row>
    <row r="36" spans="1:6" ht="25.95" customHeight="1">
      <c r="A36" s="26" t="s">
        <v>122</v>
      </c>
      <c r="B36" s="27"/>
      <c r="C36" s="27"/>
      <c r="D36" s="27"/>
      <c r="E36" s="27"/>
      <c r="F36" s="27"/>
    </row>
  </sheetData>
  <mergeCells count="5">
    <mergeCell ref="A33:F33"/>
    <mergeCell ref="A36:F36"/>
    <mergeCell ref="A32:F32"/>
    <mergeCell ref="A34:F34"/>
    <mergeCell ref="A35:F35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34" customWidth="1"/>
  </cols>
  <sheetData>
    <row r="1" spans="1:3" ht="23.4">
      <c r="A1" s="1" t="s">
        <v>123</v>
      </c>
    </row>
    <row r="2" spans="1:3" ht="15.6">
      <c r="A2" s="2" t="s">
        <v>124</v>
      </c>
    </row>
    <row r="4" spans="1:3">
      <c r="A4" s="5" t="s">
        <v>6</v>
      </c>
      <c r="B4" s="5" t="s">
        <v>7</v>
      </c>
      <c r="C4" s="5" t="s">
        <v>125</v>
      </c>
    </row>
    <row r="5" spans="1:3">
      <c r="A5" s="6" t="s">
        <v>126</v>
      </c>
      <c r="B5" s="10">
        <v>156.976</v>
      </c>
      <c r="C5" s="6" t="s">
        <v>70</v>
      </c>
    </row>
    <row r="6" spans="1:3">
      <c r="A6" s="6" t="s">
        <v>127</v>
      </c>
      <c r="B6" s="14">
        <v>0.19</v>
      </c>
      <c r="C6" s="6" t="s">
        <v>128</v>
      </c>
    </row>
    <row r="7" spans="1:3">
      <c r="A7" s="6" t="s">
        <v>129</v>
      </c>
      <c r="B7" s="9">
        <f>B5*(1-B6)</f>
        <v>127.15056000000001</v>
      </c>
      <c r="C7" s="6" t="s">
        <v>130</v>
      </c>
    </row>
    <row r="8" spans="1:3">
      <c r="A8" s="6" t="s">
        <v>131</v>
      </c>
      <c r="B8" s="10">
        <v>27.995000000000001</v>
      </c>
      <c r="C8" s="6" t="s">
        <v>70</v>
      </c>
    </row>
    <row r="9" spans="1:3">
      <c r="A9" s="6" t="s">
        <v>132</v>
      </c>
      <c r="B9" s="10">
        <v>159.804</v>
      </c>
      <c r="C9" s="6" t="s">
        <v>133</v>
      </c>
    </row>
    <row r="10" spans="1:3">
      <c r="A10" s="6" t="s">
        <v>134</v>
      </c>
      <c r="B10" s="14">
        <v>0</v>
      </c>
      <c r="C10" s="6" t="s">
        <v>135</v>
      </c>
    </row>
    <row r="11" spans="1:3">
      <c r="A11" s="16" t="e">
        <f ca="1">正常化 FCFF(未计 WC)</f>
        <v>#NAME?</v>
      </c>
      <c r="B11" s="9">
        <f>B7+B8-B9-B10</f>
        <v>-4.6584399999999846</v>
      </c>
      <c r="C11" s="6" t="s">
        <v>136</v>
      </c>
    </row>
    <row r="12" spans="1:3">
      <c r="A12" s="6" t="s">
        <v>137</v>
      </c>
      <c r="B12" s="10">
        <v>179.55099999999999</v>
      </c>
      <c r="C12" s="6" t="s">
        <v>70</v>
      </c>
    </row>
    <row r="13" spans="1:3">
      <c r="A13" s="6" t="s">
        <v>132</v>
      </c>
      <c r="B13" s="10">
        <v>159.804</v>
      </c>
      <c r="C13" s="6" t="s">
        <v>70</v>
      </c>
    </row>
    <row r="14" spans="1:3">
      <c r="A14" s="16" t="e">
        <f>报告 FCF</f>
        <v>#NAME?</v>
      </c>
      <c r="B14" s="9">
        <f>B12-B13</f>
        <v>19.746999999999986</v>
      </c>
      <c r="C14" s="6" t="s">
        <v>70</v>
      </c>
    </row>
    <row r="15" spans="1:3">
      <c r="A15" s="6" t="s">
        <v>138</v>
      </c>
      <c r="B15" s="9">
        <f>B14/B7</f>
        <v>0.1553040741621585</v>
      </c>
      <c r="C15" s="6" t="s">
        <v>139</v>
      </c>
    </row>
    <row r="16" spans="1:3">
      <c r="A16" s="6" t="s">
        <v>83</v>
      </c>
      <c r="B16" s="22">
        <f>B9/471.098</f>
        <v>0.3392160442200986</v>
      </c>
      <c r="C16" s="6" t="s">
        <v>70</v>
      </c>
    </row>
    <row r="18" spans="1:3" ht="16.2">
      <c r="A18" s="3" t="s">
        <v>140</v>
      </c>
      <c r="B18" s="4"/>
      <c r="C18" s="4"/>
    </row>
    <row r="19" spans="1:3" ht="25.95" customHeight="1">
      <c r="A19" s="26" t="s">
        <v>141</v>
      </c>
      <c r="B19" s="27"/>
      <c r="C19" s="27"/>
    </row>
    <row r="20" spans="1:3" ht="25.95" customHeight="1">
      <c r="A20" s="26" t="s">
        <v>142</v>
      </c>
      <c r="B20" s="27"/>
      <c r="C20" s="27"/>
    </row>
    <row r="21" spans="1:3" ht="25.95" customHeight="1">
      <c r="A21" s="26" t="s">
        <v>143</v>
      </c>
      <c r="B21" s="27"/>
      <c r="C21" s="27"/>
    </row>
    <row r="22" spans="1:3" ht="25.95" customHeight="1">
      <c r="A22" s="26" t="s">
        <v>144</v>
      </c>
      <c r="B22" s="27"/>
      <c r="C22" s="27"/>
    </row>
  </sheetData>
  <mergeCells count="4">
    <mergeCell ref="A20:C20"/>
    <mergeCell ref="A19:C19"/>
    <mergeCell ref="A21:C21"/>
    <mergeCell ref="A22:C22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9"/>
  <sheetViews>
    <sheetView showGridLines="0" workbookViewId="0"/>
  </sheetViews>
  <sheetFormatPr defaultRowHeight="14.4"/>
  <cols>
    <col min="1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145</v>
      </c>
    </row>
    <row r="2" spans="1:14" ht="15.6">
      <c r="A2" s="2" t="s">
        <v>146</v>
      </c>
    </row>
    <row r="4" spans="1:14" ht="16.2">
      <c r="A4" s="3" t="s">
        <v>147</v>
      </c>
      <c r="B4" s="4"/>
      <c r="C4" s="4"/>
      <c r="D4" s="4"/>
      <c r="E4" s="4"/>
    </row>
    <row r="5" spans="1:14">
      <c r="A5" s="6" t="s">
        <v>148</v>
      </c>
      <c r="B5" s="10">
        <v>471.09800000000001</v>
      </c>
    </row>
    <row r="6" spans="1:14">
      <c r="A6" s="6" t="s">
        <v>149</v>
      </c>
      <c r="B6" s="23">
        <v>0.19</v>
      </c>
    </row>
    <row r="7" spans="1:14">
      <c r="A7" s="6" t="s">
        <v>150</v>
      </c>
      <c r="B7" s="23">
        <v>0.02</v>
      </c>
    </row>
    <row r="8" spans="1:14">
      <c r="A8" s="6" t="s">
        <v>151</v>
      </c>
      <c r="B8" s="10">
        <v>120.996</v>
      </c>
    </row>
    <row r="9" spans="1:14">
      <c r="A9" s="6" t="s">
        <v>152</v>
      </c>
      <c r="B9" s="23">
        <v>12.294</v>
      </c>
    </row>
    <row r="11" spans="1:14" ht="15">
      <c r="A11" s="29" t="s">
        <v>153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4" spans="1:14" ht="16.2">
      <c r="A14" s="3" t="s">
        <v>154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6" t="s">
        <v>155</v>
      </c>
      <c r="B15" s="14">
        <v>9.2999999999999999E-2</v>
      </c>
      <c r="C15" s="6" t="s">
        <v>156</v>
      </c>
      <c r="D15" s="14">
        <v>0.03</v>
      </c>
    </row>
    <row r="17" spans="1:14">
      <c r="A17" s="5" t="s">
        <v>157</v>
      </c>
      <c r="B17" s="5" t="s">
        <v>79</v>
      </c>
      <c r="C17" s="5" t="s">
        <v>71</v>
      </c>
      <c r="D17" s="5" t="s">
        <v>158</v>
      </c>
      <c r="E17" s="5" t="s">
        <v>159</v>
      </c>
      <c r="F17" s="5" t="s">
        <v>129</v>
      </c>
      <c r="G17" s="5" t="s">
        <v>160</v>
      </c>
      <c r="H17" s="5" t="s">
        <v>161</v>
      </c>
      <c r="I17" s="5" t="s">
        <v>162</v>
      </c>
      <c r="J17" s="5" t="s">
        <v>163</v>
      </c>
      <c r="K17" s="5" t="s">
        <v>164</v>
      </c>
      <c r="L17" s="5" t="s">
        <v>165</v>
      </c>
      <c r="M17" s="5" t="s">
        <v>166</v>
      </c>
      <c r="N17" s="5" t="s">
        <v>167</v>
      </c>
    </row>
    <row r="18" spans="1:14">
      <c r="A18" s="24">
        <v>1</v>
      </c>
      <c r="B18" s="14">
        <v>0.21</v>
      </c>
      <c r="C18" s="10">
        <f>$B$5*(1+B18)</f>
        <v>570.02858000000003</v>
      </c>
      <c r="D18" s="14">
        <v>0.30499999999999999</v>
      </c>
      <c r="E18" s="10">
        <f t="shared" ref="E18:E27" si="0">C18*D18</f>
        <v>173.85871690000002</v>
      </c>
      <c r="F18" s="10">
        <f t="shared" ref="F18:F27" si="1">E18*(1-$B$6)</f>
        <v>140.82556068900001</v>
      </c>
      <c r="G18" s="14">
        <v>0.06</v>
      </c>
      <c r="H18" s="10">
        <f t="shared" ref="H18:H27" si="2">C18*G18</f>
        <v>34.201714799999998</v>
      </c>
      <c r="I18" s="14">
        <v>0.41</v>
      </c>
      <c r="J18" s="10">
        <f t="shared" ref="J18:J27" si="3">C18*I18</f>
        <v>233.7117178</v>
      </c>
      <c r="K18" s="10">
        <f>(C18-$B$5)*$B$7</f>
        <v>1.9786116000000005</v>
      </c>
      <c r="L18" s="10">
        <f t="shared" ref="L18:L27" si="4">F18+H18-J18-K18</f>
        <v>-60.663053910999999</v>
      </c>
      <c r="M18" s="8">
        <f>1/(1+$B$15)^1</f>
        <v>0.91491308325709064</v>
      </c>
      <c r="N18" s="10">
        <f t="shared" ref="N18:N27" si="5">L18*M18</f>
        <v>-55.50142169350412</v>
      </c>
    </row>
    <row r="19" spans="1:14">
      <c r="A19" s="24">
        <v>2</v>
      </c>
      <c r="B19" s="14">
        <v>0.19</v>
      </c>
      <c r="C19" s="10">
        <f t="shared" ref="C19:C27" si="6">C18*(1+B19)</f>
        <v>678.33401019999997</v>
      </c>
      <c r="D19" s="14">
        <v>0.30499999999999999</v>
      </c>
      <c r="E19" s="10">
        <f t="shared" si="0"/>
        <v>206.891873111</v>
      </c>
      <c r="F19" s="10">
        <f t="shared" si="1"/>
        <v>167.58241721991001</v>
      </c>
      <c r="G19" s="14">
        <v>7.0000000000000007E-2</v>
      </c>
      <c r="H19" s="10">
        <f t="shared" si="2"/>
        <v>47.483380713999999</v>
      </c>
      <c r="I19" s="14">
        <v>0.5</v>
      </c>
      <c r="J19" s="10">
        <f t="shared" si="3"/>
        <v>339.16700509999998</v>
      </c>
      <c r="K19" s="10">
        <f t="shared" ref="K19:K27" si="7">(C19-C18)*$B$7</f>
        <v>2.1661086039999988</v>
      </c>
      <c r="L19" s="10">
        <f t="shared" si="4"/>
        <v>-126.26731577008998</v>
      </c>
      <c r="M19" s="8">
        <f>1/(1+$B$15)^2</f>
        <v>0.83706594991499605</v>
      </c>
      <c r="N19" s="10">
        <f t="shared" si="5"/>
        <v>-105.69407061830714</v>
      </c>
    </row>
    <row r="20" spans="1:14">
      <c r="A20" s="24">
        <v>3</v>
      </c>
      <c r="B20" s="14">
        <v>0.13</v>
      </c>
      <c r="C20" s="10">
        <f t="shared" si="6"/>
        <v>766.51743152599988</v>
      </c>
      <c r="D20" s="14">
        <v>0.30499999999999999</v>
      </c>
      <c r="E20" s="10">
        <f t="shared" si="0"/>
        <v>233.78781661542996</v>
      </c>
      <c r="F20" s="10">
        <f t="shared" si="1"/>
        <v>189.36813145849828</v>
      </c>
      <c r="G20" s="14">
        <v>0.08</v>
      </c>
      <c r="H20" s="10">
        <f t="shared" si="2"/>
        <v>61.321394522079991</v>
      </c>
      <c r="I20" s="14">
        <v>0.42</v>
      </c>
      <c r="J20" s="10">
        <f t="shared" si="3"/>
        <v>321.93732124091991</v>
      </c>
      <c r="K20" s="10">
        <f t="shared" si="7"/>
        <v>1.7636684265199984</v>
      </c>
      <c r="L20" s="10">
        <f t="shared" si="4"/>
        <v>-73.011463686861632</v>
      </c>
      <c r="M20" s="8">
        <f>1/(1+$B$15)^3</f>
        <v>0.76584258912625436</v>
      </c>
      <c r="N20" s="10">
        <f t="shared" si="5"/>
        <v>-55.91528838584361</v>
      </c>
    </row>
    <row r="21" spans="1:14">
      <c r="A21" s="24">
        <v>4</v>
      </c>
      <c r="B21" s="14">
        <v>0.1</v>
      </c>
      <c r="C21" s="10">
        <f t="shared" si="6"/>
        <v>843.16917467859992</v>
      </c>
      <c r="D21" s="14">
        <v>0.30499999999999999</v>
      </c>
      <c r="E21" s="10">
        <f t="shared" si="0"/>
        <v>257.16659827697299</v>
      </c>
      <c r="F21" s="10">
        <f t="shared" si="1"/>
        <v>208.30494460434812</v>
      </c>
      <c r="G21" s="14">
        <v>8.5000000000000006E-2</v>
      </c>
      <c r="H21" s="10">
        <f t="shared" si="2"/>
        <v>71.669379847681</v>
      </c>
      <c r="I21" s="14">
        <v>0.34</v>
      </c>
      <c r="J21" s="10">
        <f t="shared" si="3"/>
        <v>286.677519390724</v>
      </c>
      <c r="K21" s="10">
        <f t="shared" si="7"/>
        <v>1.5330348630520008</v>
      </c>
      <c r="L21" s="10">
        <f t="shared" si="4"/>
        <v>-8.2362298017468785</v>
      </c>
      <c r="M21" s="8">
        <f>1/(1+$B$15)^4</f>
        <v>0.70067940450709465</v>
      </c>
      <c r="N21" s="10">
        <f t="shared" si="5"/>
        <v>-5.7709565928715891</v>
      </c>
    </row>
    <row r="22" spans="1:14">
      <c r="A22" s="24">
        <v>5</v>
      </c>
      <c r="B22" s="14">
        <v>0.08</v>
      </c>
      <c r="C22" s="10">
        <f t="shared" si="6"/>
        <v>910.62270865288792</v>
      </c>
      <c r="D22" s="14">
        <v>0.30499999999999999</v>
      </c>
      <c r="E22" s="10">
        <f t="shared" si="0"/>
        <v>277.73992613913083</v>
      </c>
      <c r="F22" s="10">
        <f t="shared" si="1"/>
        <v>224.96934017269598</v>
      </c>
      <c r="G22" s="14">
        <v>8.5000000000000006E-2</v>
      </c>
      <c r="H22" s="10">
        <f t="shared" si="2"/>
        <v>77.402930235495475</v>
      </c>
      <c r="I22" s="14">
        <v>0.28000000000000003</v>
      </c>
      <c r="J22" s="10">
        <f t="shared" si="3"/>
        <v>254.97435842280865</v>
      </c>
      <c r="K22" s="10">
        <f t="shared" si="7"/>
        <v>1.3490706794857601</v>
      </c>
      <c r="L22" s="10">
        <f t="shared" si="4"/>
        <v>46.048841305897056</v>
      </c>
      <c r="M22" s="8">
        <f>1/(1+$B$15)^5</f>
        <v>0.64106075435232812</v>
      </c>
      <c r="N22" s="10">
        <f t="shared" si="5"/>
        <v>29.520104944609013</v>
      </c>
    </row>
    <row r="23" spans="1:14">
      <c r="A23" s="24">
        <v>6</v>
      </c>
      <c r="B23" s="14">
        <v>0.06</v>
      </c>
      <c r="C23" s="10">
        <f t="shared" si="6"/>
        <v>965.2600711720612</v>
      </c>
      <c r="D23" s="14">
        <v>0.30499999999999999</v>
      </c>
      <c r="E23" s="10">
        <f t="shared" si="0"/>
        <v>294.40432170747869</v>
      </c>
      <c r="F23" s="10">
        <f t="shared" si="1"/>
        <v>238.46750058305776</v>
      </c>
      <c r="G23" s="14">
        <v>8.5000000000000006E-2</v>
      </c>
      <c r="H23" s="10">
        <f t="shared" si="2"/>
        <v>82.047106049625214</v>
      </c>
      <c r="I23" s="14">
        <v>0.24</v>
      </c>
      <c r="J23" s="10">
        <f t="shared" si="3"/>
        <v>231.66241708129468</v>
      </c>
      <c r="K23" s="10">
        <f t="shared" si="7"/>
        <v>1.0927472503834657</v>
      </c>
      <c r="L23" s="10">
        <f t="shared" si="4"/>
        <v>87.75944230100481</v>
      </c>
      <c r="M23" s="8">
        <f>1/(1+$B$15)^6</f>
        <v>0.586514871319605</v>
      </c>
      <c r="N23" s="10">
        <f t="shared" si="5"/>
        <v>51.472218008254139</v>
      </c>
    </row>
    <row r="24" spans="1:14">
      <c r="A24" s="24">
        <v>7</v>
      </c>
      <c r="B24" s="14">
        <v>0.05</v>
      </c>
      <c r="C24" s="10">
        <f t="shared" si="6"/>
        <v>1013.5230747306643</v>
      </c>
      <c r="D24" s="14">
        <v>0.30499999999999999</v>
      </c>
      <c r="E24" s="10">
        <f t="shared" si="0"/>
        <v>309.12453779285261</v>
      </c>
      <c r="F24" s="10">
        <f t="shared" si="1"/>
        <v>250.39087561221064</v>
      </c>
      <c r="G24" s="14">
        <v>8.5000000000000006E-2</v>
      </c>
      <c r="H24" s="10">
        <f t="shared" si="2"/>
        <v>86.149461352106471</v>
      </c>
      <c r="I24" s="14">
        <v>0.22</v>
      </c>
      <c r="J24" s="10">
        <f t="shared" si="3"/>
        <v>222.97507644074616</v>
      </c>
      <c r="K24" s="10">
        <f t="shared" si="7"/>
        <v>0.96526007117206292</v>
      </c>
      <c r="L24" s="10">
        <f t="shared" si="4"/>
        <v>112.6000004523989</v>
      </c>
      <c r="M24" s="8">
        <f>1/(1+$B$15)^7</f>
        <v>0.5366101292951555</v>
      </c>
      <c r="N24" s="10">
        <f t="shared" si="5"/>
        <v>60.422300801396339</v>
      </c>
    </row>
    <row r="25" spans="1:14">
      <c r="A25" s="24">
        <v>8</v>
      </c>
      <c r="B25" s="14">
        <v>0.04</v>
      </c>
      <c r="C25" s="10">
        <f t="shared" si="6"/>
        <v>1054.0639977198909</v>
      </c>
      <c r="D25" s="14">
        <v>0.30499999999999999</v>
      </c>
      <c r="E25" s="10">
        <f t="shared" si="0"/>
        <v>321.48951930456673</v>
      </c>
      <c r="F25" s="10">
        <f t="shared" si="1"/>
        <v>260.40651063669907</v>
      </c>
      <c r="G25" s="14">
        <v>8.5000000000000006E-2</v>
      </c>
      <c r="H25" s="10">
        <f t="shared" si="2"/>
        <v>89.59543980619074</v>
      </c>
      <c r="I25" s="14">
        <v>0.2</v>
      </c>
      <c r="J25" s="10">
        <f t="shared" si="3"/>
        <v>210.8127995439782</v>
      </c>
      <c r="K25" s="10">
        <f t="shared" si="7"/>
        <v>0.81081845978453204</v>
      </c>
      <c r="L25" s="10">
        <f t="shared" si="4"/>
        <v>138.37833243912704</v>
      </c>
      <c r="M25" s="8">
        <f>1/(1+$B$15)^8</f>
        <v>0.4909516279004168</v>
      </c>
      <c r="N25" s="10">
        <f t="shared" si="5"/>
        <v>67.937067577134471</v>
      </c>
    </row>
    <row r="26" spans="1:14">
      <c r="A26" s="24">
        <v>9</v>
      </c>
      <c r="B26" s="14">
        <v>0.03</v>
      </c>
      <c r="C26" s="10">
        <f t="shared" si="6"/>
        <v>1085.6859176514877</v>
      </c>
      <c r="D26" s="14">
        <v>0.30499999999999999</v>
      </c>
      <c r="E26" s="10">
        <f t="shared" si="0"/>
        <v>331.13420488370372</v>
      </c>
      <c r="F26" s="10">
        <f t="shared" si="1"/>
        <v>268.21870595580003</v>
      </c>
      <c r="G26" s="14">
        <v>8.5000000000000006E-2</v>
      </c>
      <c r="H26" s="10">
        <f t="shared" si="2"/>
        <v>92.283303000376463</v>
      </c>
      <c r="I26" s="14">
        <v>0.18</v>
      </c>
      <c r="J26" s="10">
        <f t="shared" si="3"/>
        <v>195.42346517726779</v>
      </c>
      <c r="K26" s="10">
        <f t="shared" si="7"/>
        <v>0.63243839863193441</v>
      </c>
      <c r="L26" s="10">
        <f t="shared" si="4"/>
        <v>164.44610538027678</v>
      </c>
      <c r="M26" s="8">
        <f>1/(1+$B$15)^9</f>
        <v>0.44917806761245821</v>
      </c>
      <c r="N26" s="10">
        <f t="shared" si="5"/>
        <v>73.865583841107394</v>
      </c>
    </row>
    <row r="27" spans="1:14">
      <c r="A27" s="24">
        <v>10</v>
      </c>
      <c r="B27" s="14">
        <v>0.03</v>
      </c>
      <c r="C27" s="10">
        <f t="shared" si="6"/>
        <v>1118.2564951810323</v>
      </c>
      <c r="D27" s="14">
        <v>0.30499999999999999</v>
      </c>
      <c r="E27" s="10">
        <f t="shared" si="0"/>
        <v>341.06823103021486</v>
      </c>
      <c r="F27" s="10">
        <f t="shared" si="1"/>
        <v>276.26526713447407</v>
      </c>
      <c r="G27" s="14">
        <v>8.5000000000000006E-2</v>
      </c>
      <c r="H27" s="10">
        <f t="shared" si="2"/>
        <v>95.051802090387753</v>
      </c>
      <c r="I27" s="14">
        <v>0.16</v>
      </c>
      <c r="J27" s="10">
        <f t="shared" si="3"/>
        <v>178.92103922896516</v>
      </c>
      <c r="K27" s="10">
        <f t="shared" si="7"/>
        <v>0.65141155059089217</v>
      </c>
      <c r="L27" s="10">
        <f t="shared" si="4"/>
        <v>191.74461844530578</v>
      </c>
      <c r="M27" s="8">
        <f>1/(1+$B$15)^10</f>
        <v>0.41095889077077608</v>
      </c>
      <c r="N27" s="10">
        <f t="shared" si="5"/>
        <v>78.79915570754855</v>
      </c>
    </row>
    <row r="28" spans="1:14">
      <c r="A28" s="16" t="s">
        <v>168</v>
      </c>
      <c r="B28" s="10">
        <f>L27*(1+$D$15)/($B$15-$D$15)</f>
        <v>3134.872333312142</v>
      </c>
    </row>
    <row r="29" spans="1:14">
      <c r="A29" s="6" t="s">
        <v>169</v>
      </c>
      <c r="B29" s="10">
        <f>B28/(1+$B$15)^10</f>
        <v>1288.3036568059526</v>
      </c>
    </row>
    <row r="30" spans="1:14">
      <c r="A30" s="16" t="s">
        <v>170</v>
      </c>
      <c r="B30" s="10">
        <f>SUM(N18:N27)+B29</f>
        <v>1427.4383503954762</v>
      </c>
    </row>
    <row r="31" spans="1:14">
      <c r="A31" s="6" t="s">
        <v>171</v>
      </c>
      <c r="B31" s="10">
        <f>$B$8</f>
        <v>120.996</v>
      </c>
    </row>
    <row r="32" spans="1:14">
      <c r="A32" s="16" t="s">
        <v>172</v>
      </c>
      <c r="B32" s="10">
        <f>B30+B31</f>
        <v>1548.4343503954763</v>
      </c>
    </row>
    <row r="33" spans="1:14">
      <c r="A33" s="16" t="s">
        <v>173</v>
      </c>
      <c r="B33" s="7">
        <f>B32/$B$9</f>
        <v>125.95041080164927</v>
      </c>
      <c r="C33" s="6" t="s">
        <v>174</v>
      </c>
    </row>
    <row r="37" spans="1:14" ht="16.2">
      <c r="A37" s="3" t="s">
        <v>175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6" t="s">
        <v>155</v>
      </c>
      <c r="B38" s="14">
        <v>8.7999999999999995E-2</v>
      </c>
      <c r="C38" s="6" t="s">
        <v>156</v>
      </c>
      <c r="D38" s="14">
        <v>3.5000000000000003E-2</v>
      </c>
    </row>
    <row r="40" spans="1:14">
      <c r="A40" s="5" t="s">
        <v>157</v>
      </c>
      <c r="B40" s="5" t="s">
        <v>79</v>
      </c>
      <c r="C40" s="5" t="s">
        <v>71</v>
      </c>
      <c r="D40" s="5" t="s">
        <v>158</v>
      </c>
      <c r="E40" s="5" t="s">
        <v>159</v>
      </c>
      <c r="F40" s="5" t="s">
        <v>129</v>
      </c>
      <c r="G40" s="5" t="s">
        <v>160</v>
      </c>
      <c r="H40" s="5" t="s">
        <v>161</v>
      </c>
      <c r="I40" s="5" t="s">
        <v>162</v>
      </c>
      <c r="J40" s="5" t="s">
        <v>163</v>
      </c>
      <c r="K40" s="5" t="s">
        <v>164</v>
      </c>
      <c r="L40" s="5" t="s">
        <v>165</v>
      </c>
      <c r="M40" s="5" t="s">
        <v>166</v>
      </c>
      <c r="N40" s="5" t="s">
        <v>167</v>
      </c>
    </row>
    <row r="41" spans="1:14">
      <c r="A41" s="24">
        <v>1</v>
      </c>
      <c r="B41" s="14">
        <v>0.24</v>
      </c>
      <c r="C41" s="10">
        <f>$B$5*(1+B41)</f>
        <v>584.16152</v>
      </c>
      <c r="D41" s="14">
        <v>0.32</v>
      </c>
      <c r="E41" s="10">
        <f t="shared" ref="E41:E50" si="8">C41*D41</f>
        <v>186.93168639999999</v>
      </c>
      <c r="F41" s="10">
        <f t="shared" ref="F41:F50" si="9">E41*(1-$B$6)</f>
        <v>151.41466598400001</v>
      </c>
      <c r="G41" s="14">
        <v>0.06</v>
      </c>
      <c r="H41" s="10">
        <f t="shared" ref="H41:H50" si="10">C41*G41</f>
        <v>35.049691199999998</v>
      </c>
      <c r="I41" s="14">
        <v>0.4</v>
      </c>
      <c r="J41" s="10">
        <f t="shared" ref="J41:J50" si="11">C41*I41</f>
        <v>233.66460800000002</v>
      </c>
      <c r="K41" s="10">
        <f>(C41-$B$5)*$B$7</f>
        <v>2.2612703999999999</v>
      </c>
      <c r="L41" s="10">
        <f t="shared" ref="L41:L50" si="12">F41+H41-J41-K41</f>
        <v>-49.461521216000023</v>
      </c>
      <c r="M41" s="8">
        <f>1/(1+$B$38)^1</f>
        <v>0.91911764705882348</v>
      </c>
      <c r="N41" s="10">
        <f t="shared" ref="N41:N50" si="13">L41*M41</f>
        <v>-45.460957000000022</v>
      </c>
    </row>
    <row r="42" spans="1:14">
      <c r="A42" s="24">
        <v>2</v>
      </c>
      <c r="B42" s="14">
        <v>0.23</v>
      </c>
      <c r="C42" s="10">
        <f t="shared" ref="C42:C50" si="14">C41*(1+B42)</f>
        <v>718.51866959999995</v>
      </c>
      <c r="D42" s="14">
        <v>0.33</v>
      </c>
      <c r="E42" s="10">
        <f t="shared" si="8"/>
        <v>237.11116096800001</v>
      </c>
      <c r="F42" s="10">
        <f t="shared" si="9"/>
        <v>192.06004038408003</v>
      </c>
      <c r="G42" s="14">
        <v>7.0000000000000007E-2</v>
      </c>
      <c r="H42" s="10">
        <f t="shared" si="10"/>
        <v>50.296306872000002</v>
      </c>
      <c r="I42" s="14">
        <v>0.49</v>
      </c>
      <c r="J42" s="10">
        <f t="shared" si="11"/>
        <v>352.07414810399996</v>
      </c>
      <c r="K42" s="10">
        <f t="shared" ref="K42:K50" si="15">(C42-C41)*$B$7</f>
        <v>2.6871429919999992</v>
      </c>
      <c r="L42" s="10">
        <f t="shared" si="12"/>
        <v>-112.40494383991994</v>
      </c>
      <c r="M42" s="8">
        <f>1/(1+$B$38)^2</f>
        <v>0.84477724913494801</v>
      </c>
      <c r="N42" s="10">
        <f t="shared" si="13"/>
        <v>-94.957139246255878</v>
      </c>
    </row>
    <row r="43" spans="1:14">
      <c r="A43" s="24">
        <v>3</v>
      </c>
      <c r="B43" s="14">
        <v>0.17</v>
      </c>
      <c r="C43" s="10">
        <f t="shared" si="14"/>
        <v>840.66684343199995</v>
      </c>
      <c r="D43" s="14">
        <v>0.33500000000000002</v>
      </c>
      <c r="E43" s="10">
        <f t="shared" si="8"/>
        <v>281.62339254971999</v>
      </c>
      <c r="F43" s="10">
        <f t="shared" si="9"/>
        <v>228.11494796527322</v>
      </c>
      <c r="G43" s="14">
        <v>0.08</v>
      </c>
      <c r="H43" s="10">
        <f t="shared" si="10"/>
        <v>67.253347474560002</v>
      </c>
      <c r="I43" s="14">
        <v>0.4</v>
      </c>
      <c r="J43" s="10">
        <f t="shared" si="11"/>
        <v>336.26673737279998</v>
      </c>
      <c r="K43" s="10">
        <f t="shared" si="15"/>
        <v>2.4429634766400001</v>
      </c>
      <c r="L43" s="10">
        <f t="shared" si="12"/>
        <v>-43.341405409606764</v>
      </c>
      <c r="M43" s="8">
        <f>1/(1+$B$38)^3</f>
        <v>0.77644967751373895</v>
      </c>
      <c r="N43" s="10">
        <f t="shared" si="13"/>
        <v>-33.652420253281392</v>
      </c>
    </row>
    <row r="44" spans="1:14">
      <c r="A44" s="24">
        <v>4</v>
      </c>
      <c r="B44" s="14">
        <v>0.14000000000000001</v>
      </c>
      <c r="C44" s="10">
        <f t="shared" si="14"/>
        <v>958.3602015124801</v>
      </c>
      <c r="D44" s="14">
        <v>0.33500000000000002</v>
      </c>
      <c r="E44" s="10">
        <f t="shared" si="8"/>
        <v>321.05066750668084</v>
      </c>
      <c r="F44" s="10">
        <f t="shared" si="9"/>
        <v>260.05104068041152</v>
      </c>
      <c r="G44" s="14">
        <v>8.5000000000000006E-2</v>
      </c>
      <c r="H44" s="10">
        <f t="shared" si="10"/>
        <v>81.460617128560813</v>
      </c>
      <c r="I44" s="14">
        <v>0.3</v>
      </c>
      <c r="J44" s="10">
        <f t="shared" si="11"/>
        <v>287.50806045374401</v>
      </c>
      <c r="K44" s="10">
        <f t="shared" si="15"/>
        <v>2.3538671616096032</v>
      </c>
      <c r="L44" s="10">
        <f t="shared" si="12"/>
        <v>51.649730193618751</v>
      </c>
      <c r="M44" s="8">
        <f>1/(1+$B$38)^4</f>
        <v>0.71364860065600999</v>
      </c>
      <c r="N44" s="10">
        <f t="shared" si="13"/>
        <v>36.859757676936489</v>
      </c>
    </row>
    <row r="45" spans="1:14">
      <c r="A45" s="24">
        <v>5</v>
      </c>
      <c r="B45" s="14">
        <v>0.11</v>
      </c>
      <c r="C45" s="10">
        <f t="shared" si="14"/>
        <v>1063.7798236788531</v>
      </c>
      <c r="D45" s="14">
        <v>0.34</v>
      </c>
      <c r="E45" s="10">
        <f t="shared" si="8"/>
        <v>361.68514005081005</v>
      </c>
      <c r="F45" s="10">
        <f t="shared" si="9"/>
        <v>292.96496344115616</v>
      </c>
      <c r="G45" s="14">
        <v>8.5000000000000006E-2</v>
      </c>
      <c r="H45" s="10">
        <f t="shared" si="10"/>
        <v>90.421285012702512</v>
      </c>
      <c r="I45" s="14">
        <v>0.24</v>
      </c>
      <c r="J45" s="10">
        <f t="shared" si="11"/>
        <v>255.30715768292472</v>
      </c>
      <c r="K45" s="10">
        <f t="shared" si="15"/>
        <v>2.1083924433274595</v>
      </c>
      <c r="L45" s="10">
        <f t="shared" si="12"/>
        <v>125.9706983276065</v>
      </c>
      <c r="M45" s="8">
        <f>1/(1+$B$38)^5</f>
        <v>0.65592702266177383</v>
      </c>
      <c r="N45" s="10">
        <f t="shared" si="13"/>
        <v>82.627585096651416</v>
      </c>
    </row>
    <row r="46" spans="1:14">
      <c r="A46" s="24">
        <v>6</v>
      </c>
      <c r="B46" s="14">
        <v>0.09</v>
      </c>
      <c r="C46" s="10">
        <f t="shared" si="14"/>
        <v>1159.5200078099499</v>
      </c>
      <c r="D46" s="14">
        <v>0.34</v>
      </c>
      <c r="E46" s="10">
        <f t="shared" si="8"/>
        <v>394.23680265538297</v>
      </c>
      <c r="F46" s="10">
        <f t="shared" si="9"/>
        <v>319.33181015086024</v>
      </c>
      <c r="G46" s="14">
        <v>8.5000000000000006E-2</v>
      </c>
      <c r="H46" s="10">
        <f t="shared" si="10"/>
        <v>98.559200663845743</v>
      </c>
      <c r="I46" s="14">
        <v>0.2</v>
      </c>
      <c r="J46" s="10">
        <f t="shared" si="11"/>
        <v>231.90400156198999</v>
      </c>
      <c r="K46" s="10">
        <f t="shared" si="15"/>
        <v>1.9148036826219368</v>
      </c>
      <c r="L46" s="10">
        <f t="shared" si="12"/>
        <v>184.07220557009404</v>
      </c>
      <c r="M46" s="8">
        <f>1/(1+$B$38)^6</f>
        <v>0.60287410171118916</v>
      </c>
      <c r="N46" s="10">
        <f t="shared" si="13"/>
        <v>110.9723655830678</v>
      </c>
    </row>
    <row r="47" spans="1:14">
      <c r="A47" s="24">
        <v>7</v>
      </c>
      <c r="B47" s="14">
        <v>0.08</v>
      </c>
      <c r="C47" s="10">
        <f t="shared" si="14"/>
        <v>1252.281608434746</v>
      </c>
      <c r="D47" s="14">
        <v>0.34</v>
      </c>
      <c r="E47" s="10">
        <f t="shared" si="8"/>
        <v>425.77574686781367</v>
      </c>
      <c r="F47" s="10">
        <f t="shared" si="9"/>
        <v>344.87835496292911</v>
      </c>
      <c r="G47" s="14">
        <v>8.5000000000000006E-2</v>
      </c>
      <c r="H47" s="10">
        <f t="shared" si="10"/>
        <v>106.44393671695342</v>
      </c>
      <c r="I47" s="14">
        <v>0.18</v>
      </c>
      <c r="J47" s="10">
        <f t="shared" si="11"/>
        <v>225.41068951825426</v>
      </c>
      <c r="K47" s="10">
        <f t="shared" si="15"/>
        <v>1.8552320124959216</v>
      </c>
      <c r="L47" s="10">
        <f t="shared" si="12"/>
        <v>224.05637014913236</v>
      </c>
      <c r="M47" s="8">
        <f>1/(1+$B$38)^7</f>
        <v>0.55411222583748998</v>
      </c>
      <c r="N47" s="10">
        <f t="shared" si="13"/>
        <v>124.15237397640428</v>
      </c>
    </row>
    <row r="48" spans="1:14">
      <c r="A48" s="24">
        <v>8</v>
      </c>
      <c r="B48" s="14">
        <v>7.0000000000000007E-2</v>
      </c>
      <c r="C48" s="10">
        <f t="shared" si="14"/>
        <v>1339.9413210251782</v>
      </c>
      <c r="D48" s="14">
        <v>0.34</v>
      </c>
      <c r="E48" s="10">
        <f t="shared" si="8"/>
        <v>455.58004914856065</v>
      </c>
      <c r="F48" s="10">
        <f t="shared" si="9"/>
        <v>369.01983981033413</v>
      </c>
      <c r="G48" s="14">
        <v>8.5000000000000006E-2</v>
      </c>
      <c r="H48" s="10">
        <f t="shared" si="10"/>
        <v>113.89501228714016</v>
      </c>
      <c r="I48" s="14">
        <v>0.17</v>
      </c>
      <c r="J48" s="10">
        <f t="shared" si="11"/>
        <v>227.79002457428032</v>
      </c>
      <c r="K48" s="10">
        <f t="shared" si="15"/>
        <v>1.7531942518086454</v>
      </c>
      <c r="L48" s="10">
        <f t="shared" si="12"/>
        <v>253.37163327138532</v>
      </c>
      <c r="M48" s="8">
        <f>1/(1+$B$38)^8</f>
        <v>0.50929432521828111</v>
      </c>
      <c r="N48" s="10">
        <f t="shared" si="13"/>
        <v>129.04073499640396</v>
      </c>
    </row>
    <row r="49" spans="1:14">
      <c r="A49" s="24">
        <v>9</v>
      </c>
      <c r="B49" s="14">
        <v>0.06</v>
      </c>
      <c r="C49" s="10">
        <f t="shared" si="14"/>
        <v>1420.3378002866891</v>
      </c>
      <c r="D49" s="14">
        <v>0.34</v>
      </c>
      <c r="E49" s="10">
        <f t="shared" si="8"/>
        <v>482.91485209747435</v>
      </c>
      <c r="F49" s="10">
        <f t="shared" si="9"/>
        <v>391.16103019895428</v>
      </c>
      <c r="G49" s="14">
        <v>8.5000000000000006E-2</v>
      </c>
      <c r="H49" s="10">
        <f t="shared" si="10"/>
        <v>120.72871302436859</v>
      </c>
      <c r="I49" s="14">
        <v>0.16</v>
      </c>
      <c r="J49" s="10">
        <f t="shared" si="11"/>
        <v>227.25404804587026</v>
      </c>
      <c r="K49" s="10">
        <f t="shared" si="15"/>
        <v>1.6079295852302176</v>
      </c>
      <c r="L49" s="10">
        <f t="shared" si="12"/>
        <v>283.02776559222235</v>
      </c>
      <c r="M49" s="8">
        <f>1/(1+$B$38)^9</f>
        <v>0.46810140185503785</v>
      </c>
      <c r="N49" s="10">
        <f t="shared" si="13"/>
        <v>132.48569383761833</v>
      </c>
    </row>
    <row r="50" spans="1:14">
      <c r="A50" s="24">
        <v>10</v>
      </c>
      <c r="B50" s="14">
        <v>0.05</v>
      </c>
      <c r="C50" s="10">
        <f t="shared" si="14"/>
        <v>1491.3546903010235</v>
      </c>
      <c r="D50" s="14">
        <v>0.34</v>
      </c>
      <c r="E50" s="10">
        <f t="shared" si="8"/>
        <v>507.06059470234806</v>
      </c>
      <c r="F50" s="10">
        <f t="shared" si="9"/>
        <v>410.71908170890197</v>
      </c>
      <c r="G50" s="14">
        <v>8.5000000000000006E-2</v>
      </c>
      <c r="H50" s="10">
        <f t="shared" si="10"/>
        <v>126.76514867558701</v>
      </c>
      <c r="I50" s="14">
        <v>0.15</v>
      </c>
      <c r="J50" s="10">
        <f t="shared" si="11"/>
        <v>223.70320354515351</v>
      </c>
      <c r="K50" s="10">
        <f t="shared" si="15"/>
        <v>1.4203378002866884</v>
      </c>
      <c r="L50" s="10">
        <f t="shared" si="12"/>
        <v>312.36068903904879</v>
      </c>
      <c r="M50" s="8">
        <f>1/(1+$B$38)^10</f>
        <v>0.43024025905793917</v>
      </c>
      <c r="N50" s="10">
        <f t="shared" si="13"/>
        <v>134.39014377167672</v>
      </c>
    </row>
    <row r="51" spans="1:14">
      <c r="A51" s="16" t="s">
        <v>168</v>
      </c>
      <c r="B51" s="10">
        <f>L50*(1+$D$38)/($B$38-$D$38)</f>
        <v>6099.8738331210479</v>
      </c>
    </row>
    <row r="52" spans="1:14">
      <c r="A52" s="6" t="s">
        <v>169</v>
      </c>
      <c r="B52" s="10">
        <f>B51/(1+$B$38)^10</f>
        <v>2624.4112981827438</v>
      </c>
    </row>
    <row r="53" spans="1:14">
      <c r="A53" s="16" t="s">
        <v>170</v>
      </c>
      <c r="B53" s="10">
        <f>SUM(N41:N50)+B52</f>
        <v>3200.8694366219656</v>
      </c>
    </row>
    <row r="54" spans="1:14">
      <c r="A54" s="6" t="s">
        <v>171</v>
      </c>
      <c r="B54" s="10">
        <f>$B$8</f>
        <v>120.996</v>
      </c>
    </row>
    <row r="55" spans="1:14">
      <c r="A55" s="16" t="s">
        <v>172</v>
      </c>
      <c r="B55" s="10">
        <f>B53+B54</f>
        <v>3321.8654366219657</v>
      </c>
    </row>
    <row r="56" spans="1:14">
      <c r="A56" s="16" t="s">
        <v>173</v>
      </c>
      <c r="B56" s="7">
        <f>B55/$B$9</f>
        <v>270.20216663591714</v>
      </c>
      <c r="C56" s="6" t="s">
        <v>176</v>
      </c>
    </row>
    <row r="60" spans="1:14" ht="16.2">
      <c r="A60" s="3" t="s">
        <v>177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6" t="s">
        <v>155</v>
      </c>
      <c r="B61" s="14">
        <v>0.08</v>
      </c>
      <c r="C61" s="6" t="s">
        <v>156</v>
      </c>
      <c r="D61" s="14">
        <v>0.04</v>
      </c>
    </row>
    <row r="63" spans="1:14">
      <c r="A63" s="5" t="s">
        <v>157</v>
      </c>
      <c r="B63" s="5" t="s">
        <v>79</v>
      </c>
      <c r="C63" s="5" t="s">
        <v>71</v>
      </c>
      <c r="D63" s="5" t="s">
        <v>158</v>
      </c>
      <c r="E63" s="5" t="s">
        <v>159</v>
      </c>
      <c r="F63" s="5" t="s">
        <v>129</v>
      </c>
      <c r="G63" s="5" t="s">
        <v>160</v>
      </c>
      <c r="H63" s="5" t="s">
        <v>161</v>
      </c>
      <c r="I63" s="5" t="s">
        <v>162</v>
      </c>
      <c r="J63" s="5" t="s">
        <v>163</v>
      </c>
      <c r="K63" s="5" t="s">
        <v>164</v>
      </c>
      <c r="L63" s="5" t="s">
        <v>165</v>
      </c>
      <c r="M63" s="5" t="s">
        <v>166</v>
      </c>
      <c r="N63" s="5" t="s">
        <v>167</v>
      </c>
    </row>
    <row r="64" spans="1:14">
      <c r="A64" s="24">
        <v>1</v>
      </c>
      <c r="B64" s="14">
        <v>0.26</v>
      </c>
      <c r="C64" s="10">
        <f>$B$5*(1+B64)</f>
        <v>593.58348000000001</v>
      </c>
      <c r="D64" s="14">
        <v>0.32500000000000001</v>
      </c>
      <c r="E64" s="10">
        <f t="shared" ref="E64:E73" si="16">C64*D64</f>
        <v>192.91463100000001</v>
      </c>
      <c r="F64" s="10">
        <f t="shared" ref="F64:F73" si="17">E64*(1-$B$6)</f>
        <v>156.26085111000003</v>
      </c>
      <c r="G64" s="14">
        <v>0.06</v>
      </c>
      <c r="H64" s="10">
        <f t="shared" ref="H64:H73" si="18">C64*G64</f>
        <v>35.615008799999998</v>
      </c>
      <c r="I64" s="14">
        <v>0.39</v>
      </c>
      <c r="J64" s="10">
        <f t="shared" ref="J64:J73" si="19">C64*I64</f>
        <v>231.49755720000002</v>
      </c>
      <c r="K64" s="10">
        <f>(C64-$B$5)*$B$7</f>
        <v>2.4497095999999998</v>
      </c>
      <c r="L64" s="10">
        <f t="shared" ref="L64:L73" si="20">F64+H64-J64-K64</f>
        <v>-42.071406889999984</v>
      </c>
      <c r="M64" s="8">
        <f>1/(1+$B$61)^1</f>
        <v>0.92592592592592582</v>
      </c>
      <c r="N64" s="10">
        <f t="shared" ref="N64:N73" si="21">L64*M64</f>
        <v>-38.955006379629609</v>
      </c>
    </row>
    <row r="65" spans="1:14">
      <c r="A65" s="24">
        <v>2</v>
      </c>
      <c r="B65" s="14">
        <v>0.27</v>
      </c>
      <c r="C65" s="10">
        <f t="shared" ref="C65:C73" si="22">C64*(1+B65)</f>
        <v>753.85101959999997</v>
      </c>
      <c r="D65" s="14">
        <v>0.34</v>
      </c>
      <c r="E65" s="10">
        <f t="shared" si="16"/>
        <v>256.30934666400003</v>
      </c>
      <c r="F65" s="10">
        <f t="shared" si="17"/>
        <v>207.61057079784004</v>
      </c>
      <c r="G65" s="14">
        <v>7.0000000000000007E-2</v>
      </c>
      <c r="H65" s="10">
        <f t="shared" si="18"/>
        <v>52.769571372000001</v>
      </c>
      <c r="I65" s="14">
        <v>0.47</v>
      </c>
      <c r="J65" s="10">
        <f t="shared" si="19"/>
        <v>354.30997921199997</v>
      </c>
      <c r="K65" s="10">
        <f t="shared" ref="K65:K73" si="23">(C65-C64)*$B$7</f>
        <v>3.2053507919999995</v>
      </c>
      <c r="L65" s="10">
        <f t="shared" si="20"/>
        <v>-97.135187834159936</v>
      </c>
      <c r="M65" s="8">
        <f>1/(1+$B$61)^2</f>
        <v>0.85733882030178321</v>
      </c>
      <c r="N65" s="10">
        <f t="shared" si="21"/>
        <v>-83.277767347530798</v>
      </c>
    </row>
    <row r="66" spans="1:14">
      <c r="A66" s="24">
        <v>3</v>
      </c>
      <c r="B66" s="14">
        <v>0.2</v>
      </c>
      <c r="C66" s="10">
        <f t="shared" si="22"/>
        <v>904.62122351999994</v>
      </c>
      <c r="D66" s="14">
        <v>0.35</v>
      </c>
      <c r="E66" s="10">
        <f t="shared" si="16"/>
        <v>316.61742823199995</v>
      </c>
      <c r="F66" s="10">
        <f t="shared" si="17"/>
        <v>256.46011686791996</v>
      </c>
      <c r="G66" s="14">
        <v>0.08</v>
      </c>
      <c r="H66" s="10">
        <f t="shared" si="18"/>
        <v>72.369697881600004</v>
      </c>
      <c r="I66" s="14">
        <v>0.37</v>
      </c>
      <c r="J66" s="10">
        <f t="shared" si="19"/>
        <v>334.70985270239998</v>
      </c>
      <c r="K66" s="10">
        <f t="shared" si="23"/>
        <v>3.0154040783999996</v>
      </c>
      <c r="L66" s="10">
        <f t="shared" si="20"/>
        <v>-8.8954420312800018</v>
      </c>
      <c r="M66" s="8">
        <f>1/(1+$B$61)^3</f>
        <v>0.79383224102016958</v>
      </c>
      <c r="N66" s="10">
        <f t="shared" si="21"/>
        <v>-7.0614886825560133</v>
      </c>
    </row>
    <row r="67" spans="1:14">
      <c r="A67" s="24">
        <v>4</v>
      </c>
      <c r="B67" s="14">
        <v>0.17</v>
      </c>
      <c r="C67" s="10">
        <f t="shared" si="22"/>
        <v>1058.4068315183999</v>
      </c>
      <c r="D67" s="14">
        <v>0.35499999999999998</v>
      </c>
      <c r="E67" s="10">
        <f t="shared" si="16"/>
        <v>375.73442518903198</v>
      </c>
      <c r="F67" s="10">
        <f t="shared" si="17"/>
        <v>304.34488440311594</v>
      </c>
      <c r="G67" s="14">
        <v>8.5000000000000006E-2</v>
      </c>
      <c r="H67" s="10">
        <f t="shared" si="18"/>
        <v>89.964580679063999</v>
      </c>
      <c r="I67" s="14">
        <v>0.27</v>
      </c>
      <c r="J67" s="10">
        <f t="shared" si="19"/>
        <v>285.76984450996798</v>
      </c>
      <c r="K67" s="10">
        <f t="shared" si="23"/>
        <v>3.075712159968</v>
      </c>
      <c r="L67" s="10">
        <f t="shared" si="20"/>
        <v>105.46390841224395</v>
      </c>
      <c r="M67" s="8">
        <f>1/(1+$B$61)^4</f>
        <v>0.73502985279645328</v>
      </c>
      <c r="N67" s="10">
        <f t="shared" si="21"/>
        <v>77.519121075590306</v>
      </c>
    </row>
    <row r="68" spans="1:14">
      <c r="A68" s="24">
        <v>5</v>
      </c>
      <c r="B68" s="14">
        <v>0.14000000000000001</v>
      </c>
      <c r="C68" s="10">
        <f t="shared" si="22"/>
        <v>1206.5837879309761</v>
      </c>
      <c r="D68" s="14">
        <v>0.36</v>
      </c>
      <c r="E68" s="10">
        <f t="shared" si="16"/>
        <v>434.37016365515137</v>
      </c>
      <c r="F68" s="10">
        <f t="shared" si="17"/>
        <v>351.83983256067262</v>
      </c>
      <c r="G68" s="14">
        <v>8.5000000000000006E-2</v>
      </c>
      <c r="H68" s="10">
        <f t="shared" si="18"/>
        <v>102.55962197413298</v>
      </c>
      <c r="I68" s="14">
        <v>0.21</v>
      </c>
      <c r="J68" s="10">
        <f t="shared" si="19"/>
        <v>253.38259546550498</v>
      </c>
      <c r="K68" s="10">
        <f t="shared" si="23"/>
        <v>2.9635391282515231</v>
      </c>
      <c r="L68" s="10">
        <f t="shared" si="20"/>
        <v>198.05331994104912</v>
      </c>
      <c r="M68" s="8">
        <f>1/(1+$B$61)^5</f>
        <v>0.68058319703375303</v>
      </c>
      <c r="N68" s="10">
        <f t="shared" si="21"/>
        <v>134.79176166862797</v>
      </c>
    </row>
    <row r="69" spans="1:14">
      <c r="A69" s="24">
        <v>6</v>
      </c>
      <c r="B69" s="14">
        <v>0.12</v>
      </c>
      <c r="C69" s="10">
        <f t="shared" si="22"/>
        <v>1351.3738424826934</v>
      </c>
      <c r="D69" s="14">
        <v>0.36</v>
      </c>
      <c r="E69" s="10">
        <f t="shared" si="16"/>
        <v>486.49458329376961</v>
      </c>
      <c r="F69" s="10">
        <f t="shared" si="17"/>
        <v>394.06061246795343</v>
      </c>
      <c r="G69" s="14">
        <v>8.5000000000000006E-2</v>
      </c>
      <c r="H69" s="10">
        <f t="shared" si="18"/>
        <v>114.86677661102894</v>
      </c>
      <c r="I69" s="14">
        <v>0.17499999999999999</v>
      </c>
      <c r="J69" s="10">
        <f t="shared" si="19"/>
        <v>236.49042243447133</v>
      </c>
      <c r="K69" s="10">
        <f t="shared" si="23"/>
        <v>2.8958010910343455</v>
      </c>
      <c r="L69" s="10">
        <f t="shared" si="20"/>
        <v>269.54116555347673</v>
      </c>
      <c r="M69" s="8">
        <f>1/(1+$B$61)^6</f>
        <v>0.63016962688310452</v>
      </c>
      <c r="N69" s="10">
        <f t="shared" si="21"/>
        <v>169.85665572647153</v>
      </c>
    </row>
    <row r="70" spans="1:14">
      <c r="A70" s="24">
        <v>7</v>
      </c>
      <c r="B70" s="14">
        <v>0.1</v>
      </c>
      <c r="C70" s="10">
        <f t="shared" si="22"/>
        <v>1486.5112267309628</v>
      </c>
      <c r="D70" s="14">
        <v>0.36</v>
      </c>
      <c r="E70" s="10">
        <f t="shared" si="16"/>
        <v>535.14404162314656</v>
      </c>
      <c r="F70" s="10">
        <f t="shared" si="17"/>
        <v>433.46667371474877</v>
      </c>
      <c r="G70" s="14">
        <v>8.5000000000000006E-2</v>
      </c>
      <c r="H70" s="10">
        <f t="shared" si="18"/>
        <v>126.35345427213184</v>
      </c>
      <c r="I70" s="14">
        <v>0.155</v>
      </c>
      <c r="J70" s="10">
        <f t="shared" si="19"/>
        <v>230.40924014329923</v>
      </c>
      <c r="K70" s="10">
        <f t="shared" si="23"/>
        <v>2.7027476849653884</v>
      </c>
      <c r="L70" s="10">
        <f t="shared" si="20"/>
        <v>326.70814015861595</v>
      </c>
      <c r="M70" s="8">
        <f>1/(1+$B$61)^7</f>
        <v>0.58349039526213387</v>
      </c>
      <c r="N70" s="10">
        <f t="shared" si="21"/>
        <v>190.63106183650746</v>
      </c>
    </row>
    <row r="71" spans="1:14">
      <c r="A71" s="24">
        <v>8</v>
      </c>
      <c r="B71" s="14">
        <v>0.09</v>
      </c>
      <c r="C71" s="10">
        <f t="shared" si="22"/>
        <v>1620.2972371367496</v>
      </c>
      <c r="D71" s="14">
        <v>0.36</v>
      </c>
      <c r="E71" s="10">
        <f t="shared" si="16"/>
        <v>583.30700536922984</v>
      </c>
      <c r="F71" s="10">
        <f t="shared" si="17"/>
        <v>472.47867434907619</v>
      </c>
      <c r="G71" s="14">
        <v>8.5000000000000006E-2</v>
      </c>
      <c r="H71" s="10">
        <f t="shared" si="18"/>
        <v>137.72526515662372</v>
      </c>
      <c r="I71" s="14">
        <v>0.14000000000000001</v>
      </c>
      <c r="J71" s="10">
        <f t="shared" si="19"/>
        <v>226.84161319914497</v>
      </c>
      <c r="K71" s="10">
        <f t="shared" si="23"/>
        <v>2.6757202081157359</v>
      </c>
      <c r="L71" s="10">
        <f t="shared" si="20"/>
        <v>380.68660609843926</v>
      </c>
      <c r="M71" s="8">
        <f>1/(1+$B$61)^8</f>
        <v>0.54026888450197574</v>
      </c>
      <c r="N71" s="10">
        <f t="shared" si="21"/>
        <v>205.67312802164682</v>
      </c>
    </row>
    <row r="72" spans="1:14">
      <c r="A72" s="24">
        <v>9</v>
      </c>
      <c r="B72" s="14">
        <v>0.08</v>
      </c>
      <c r="C72" s="10">
        <f t="shared" si="22"/>
        <v>1749.9210161076896</v>
      </c>
      <c r="D72" s="14">
        <v>0.36</v>
      </c>
      <c r="E72" s="10">
        <f t="shared" si="16"/>
        <v>629.97156579876821</v>
      </c>
      <c r="F72" s="10">
        <f t="shared" si="17"/>
        <v>510.27696829700227</v>
      </c>
      <c r="G72" s="14">
        <v>8.5000000000000006E-2</v>
      </c>
      <c r="H72" s="10">
        <f t="shared" si="18"/>
        <v>148.74328636915362</v>
      </c>
      <c r="I72" s="14">
        <v>0.13</v>
      </c>
      <c r="J72" s="10">
        <f t="shared" si="19"/>
        <v>227.48973209399966</v>
      </c>
      <c r="K72" s="10">
        <f t="shared" si="23"/>
        <v>2.5924755794188012</v>
      </c>
      <c r="L72" s="10">
        <f t="shared" si="20"/>
        <v>428.93804699273738</v>
      </c>
      <c r="M72" s="8">
        <f>1/(1+$B$61)^9</f>
        <v>0.50024896713145905</v>
      </c>
      <c r="N72" s="10">
        <f t="shared" si="21"/>
        <v>214.57581497150213</v>
      </c>
    </row>
    <row r="73" spans="1:14">
      <c r="A73" s="24">
        <v>10</v>
      </c>
      <c r="B73" s="14">
        <v>7.0000000000000007E-2</v>
      </c>
      <c r="C73" s="10">
        <f t="shared" si="22"/>
        <v>1872.4154872352281</v>
      </c>
      <c r="D73" s="14">
        <v>0.36</v>
      </c>
      <c r="E73" s="10">
        <f t="shared" si="16"/>
        <v>674.06957540468204</v>
      </c>
      <c r="F73" s="10">
        <f t="shared" si="17"/>
        <v>545.99635607779248</v>
      </c>
      <c r="G73" s="14">
        <v>8.5000000000000006E-2</v>
      </c>
      <c r="H73" s="10">
        <f t="shared" si="18"/>
        <v>159.15531641499439</v>
      </c>
      <c r="I73" s="14">
        <v>0.12</v>
      </c>
      <c r="J73" s="10">
        <f t="shared" si="19"/>
        <v>224.68985846822736</v>
      </c>
      <c r="K73" s="10">
        <f t="shared" si="23"/>
        <v>2.4498894225507684</v>
      </c>
      <c r="L73" s="10">
        <f t="shared" si="20"/>
        <v>478.01192460200878</v>
      </c>
      <c r="M73" s="8">
        <f>1/(1+$B$61)^10</f>
        <v>0.46319348808468425</v>
      </c>
      <c r="N73" s="10">
        <f t="shared" si="21"/>
        <v>221.41201070247755</v>
      </c>
    </row>
    <row r="74" spans="1:14">
      <c r="A74" s="16" t="s">
        <v>168</v>
      </c>
      <c r="B74" s="10">
        <f>L73*(1+$D$61)/($B$61-$D$61)</f>
        <v>12428.310039652228</v>
      </c>
    </row>
    <row r="75" spans="1:14">
      <c r="A75" s="6" t="s">
        <v>169</v>
      </c>
      <c r="B75" s="10">
        <f>B74/(1+$B$61)^10</f>
        <v>5756.7122782644155</v>
      </c>
    </row>
    <row r="76" spans="1:14">
      <c r="A76" s="16" t="s">
        <v>170</v>
      </c>
      <c r="B76" s="10">
        <f>SUM(N64:N73)+B75</f>
        <v>6841.8775698575228</v>
      </c>
    </row>
    <row r="77" spans="1:14">
      <c r="A77" s="6" t="s">
        <v>171</v>
      </c>
      <c r="B77" s="10">
        <f>$B$8</f>
        <v>120.996</v>
      </c>
    </row>
    <row r="78" spans="1:14">
      <c r="A78" s="16" t="s">
        <v>172</v>
      </c>
      <c r="B78" s="10">
        <f>B76+B77</f>
        <v>6962.8735698575229</v>
      </c>
    </row>
    <row r="79" spans="1:14">
      <c r="A79" s="16" t="s">
        <v>173</v>
      </c>
      <c r="B79" s="7">
        <f>B78/$B$9</f>
        <v>566.3635570080952</v>
      </c>
      <c r="C79" s="6" t="s">
        <v>178</v>
      </c>
    </row>
  </sheetData>
  <mergeCells count="1">
    <mergeCell ref="A11:N11"/>
  </mergeCells>
  <phoneticPr fontId="11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"/>
  <sheetViews>
    <sheetView showGridLines="0" workbookViewId="0"/>
  </sheetViews>
  <sheetFormatPr defaultRowHeight="14.4"/>
  <cols>
    <col min="1" max="1" width="24" customWidth="1"/>
    <col min="2" max="7" width="14" customWidth="1"/>
  </cols>
  <sheetData>
    <row r="1" spans="1:2" ht="23.4">
      <c r="A1" s="1" t="s">
        <v>179</v>
      </c>
    </row>
    <row r="2" spans="1:2" ht="15.6">
      <c r="A2" s="2" t="s">
        <v>180</v>
      </c>
    </row>
    <row r="4" spans="1:2">
      <c r="A4" s="5" t="s">
        <v>155</v>
      </c>
      <c r="B4" s="5" t="s">
        <v>173</v>
      </c>
    </row>
    <row r="5" spans="1:2">
      <c r="A5" s="14">
        <v>0.08</v>
      </c>
      <c r="B5" s="25">
        <v>331</v>
      </c>
    </row>
    <row r="6" spans="1:2">
      <c r="A6" s="14">
        <v>8.3000000000000004E-2</v>
      </c>
      <c r="B6" s="25">
        <v>306</v>
      </c>
    </row>
    <row r="7" spans="1:2">
      <c r="A7" s="14">
        <v>8.5999999999999993E-2</v>
      </c>
      <c r="B7" s="25">
        <v>283</v>
      </c>
    </row>
    <row r="8" spans="1:2">
      <c r="A8" s="14">
        <v>8.7999999999999995E-2</v>
      </c>
      <c r="B8" s="25">
        <v>270</v>
      </c>
    </row>
    <row r="9" spans="1:2">
      <c r="A9" s="14">
        <v>0.09</v>
      </c>
      <c r="B9" s="25">
        <v>258</v>
      </c>
    </row>
    <row r="10" spans="1:2">
      <c r="A10" s="14">
        <v>9.2999999999999999E-2</v>
      </c>
      <c r="B10" s="25">
        <v>241</v>
      </c>
    </row>
    <row r="11" spans="1:2">
      <c r="A11" s="14">
        <v>9.6000000000000002E-2</v>
      </c>
      <c r="B11" s="25">
        <v>226</v>
      </c>
    </row>
    <row r="12" spans="1:2">
      <c r="A12" s="14">
        <v>0.1</v>
      </c>
      <c r="B12" s="25">
        <v>208</v>
      </c>
    </row>
    <row r="14" spans="1:2">
      <c r="A14" s="5" t="s">
        <v>181</v>
      </c>
      <c r="B14" s="5" t="s">
        <v>173</v>
      </c>
    </row>
    <row r="15" spans="1:2">
      <c r="A15" s="14">
        <v>0.13</v>
      </c>
      <c r="B15" s="25">
        <v>292</v>
      </c>
    </row>
    <row r="16" spans="1:2">
      <c r="A16" s="14">
        <v>0.14000000000000001</v>
      </c>
      <c r="B16" s="25">
        <v>281</v>
      </c>
    </row>
    <row r="17" spans="1:3">
      <c r="A17" s="14">
        <v>0.15</v>
      </c>
      <c r="B17" s="25">
        <v>270</v>
      </c>
    </row>
    <row r="18" spans="1:3">
      <c r="A18" s="14">
        <v>0.16</v>
      </c>
      <c r="B18" s="25">
        <v>259</v>
      </c>
    </row>
    <row r="19" spans="1:3">
      <c r="A19" s="14">
        <v>0.17</v>
      </c>
      <c r="B19" s="25">
        <v>249</v>
      </c>
    </row>
    <row r="22" spans="1:3">
      <c r="A22" s="5" t="s">
        <v>182</v>
      </c>
      <c r="B22" s="5" t="s">
        <v>173</v>
      </c>
    </row>
    <row r="23" spans="1:3">
      <c r="A23" s="14">
        <v>0.32</v>
      </c>
      <c r="B23" s="25">
        <v>253</v>
      </c>
    </row>
    <row r="24" spans="1:3">
      <c r="A24" s="14">
        <v>0.33</v>
      </c>
      <c r="B24" s="25">
        <v>262</v>
      </c>
    </row>
    <row r="25" spans="1:3">
      <c r="A25" s="14">
        <v>0.34</v>
      </c>
      <c r="B25" s="25">
        <v>270</v>
      </c>
    </row>
    <row r="26" spans="1:3">
      <c r="A26" s="14">
        <v>0.35</v>
      </c>
      <c r="B26" s="25">
        <v>279</v>
      </c>
    </row>
    <row r="27" spans="1:3">
      <c r="A27" s="14">
        <v>0.36</v>
      </c>
      <c r="B27" s="25">
        <v>288</v>
      </c>
    </row>
    <row r="31" spans="1:3" ht="16.2">
      <c r="A31" s="3" t="s">
        <v>183</v>
      </c>
      <c r="B31" s="4"/>
      <c r="C31" s="4"/>
    </row>
    <row r="32" spans="1:3">
      <c r="A32" s="6" t="s">
        <v>184</v>
      </c>
      <c r="B32" s="14">
        <v>0.13404547040518081</v>
      </c>
    </row>
    <row r="33" spans="1:7">
      <c r="A33" s="6" t="s">
        <v>185</v>
      </c>
      <c r="B33" s="14">
        <v>0.14712374792441091</v>
      </c>
    </row>
    <row r="34" spans="1:7">
      <c r="A34" s="6" t="s">
        <v>186</v>
      </c>
      <c r="B34" s="14">
        <v>0.12213980572225649</v>
      </c>
    </row>
    <row r="36" spans="1:7" ht="16.2">
      <c r="A36" s="3" t="s">
        <v>187</v>
      </c>
      <c r="B36" s="4"/>
      <c r="C36" s="4"/>
      <c r="D36" s="4"/>
      <c r="E36" s="4"/>
      <c r="F36" s="4"/>
      <c r="G36" s="4"/>
    </row>
    <row r="37" spans="1:7">
      <c r="A37" s="5" t="s">
        <v>188</v>
      </c>
      <c r="B37" s="5" t="s">
        <v>189</v>
      </c>
      <c r="C37" s="5" t="s">
        <v>190</v>
      </c>
      <c r="D37" s="5" t="s">
        <v>191</v>
      </c>
      <c r="E37" s="5"/>
      <c r="F37" s="5"/>
      <c r="G37" s="5"/>
    </row>
    <row r="38" spans="1:7">
      <c r="A38" s="6" t="s">
        <v>192</v>
      </c>
      <c r="B38" s="25">
        <v>270</v>
      </c>
      <c r="C38" s="25">
        <v>283</v>
      </c>
      <c r="D38" s="25">
        <v>296</v>
      </c>
    </row>
    <row r="39" spans="1:7">
      <c r="A39" s="6" t="s">
        <v>193</v>
      </c>
      <c r="B39" s="25">
        <v>283</v>
      </c>
      <c r="C39" s="25">
        <v>296</v>
      </c>
      <c r="D39" s="25">
        <v>308</v>
      </c>
    </row>
    <row r="40" spans="1:7">
      <c r="A40" s="6" t="s">
        <v>194</v>
      </c>
      <c r="B40" s="25">
        <v>296</v>
      </c>
      <c r="C40" s="25">
        <v>308</v>
      </c>
      <c r="D40" s="25">
        <v>321</v>
      </c>
    </row>
    <row r="41" spans="1:7">
      <c r="A41" s="6" t="s">
        <v>195</v>
      </c>
      <c r="B41" s="25">
        <v>309</v>
      </c>
      <c r="C41" s="25">
        <v>321</v>
      </c>
      <c r="D41" s="25">
        <v>334</v>
      </c>
    </row>
    <row r="43" spans="1:7">
      <c r="A43" s="30" t="s">
        <v>196</v>
      </c>
      <c r="B43" s="31"/>
      <c r="C43" s="31"/>
      <c r="D43" s="31"/>
      <c r="E43" s="31"/>
      <c r="F43" s="31"/>
      <c r="G43" s="32"/>
    </row>
  </sheetData>
  <mergeCells count="1">
    <mergeCell ref="A43:G43"/>
  </mergeCells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50" customWidth="1"/>
  </cols>
  <sheetData>
    <row r="1" spans="1:4" ht="23.4">
      <c r="A1" s="1" t="s">
        <v>197</v>
      </c>
    </row>
    <row r="2" spans="1:4" ht="15.6">
      <c r="A2" s="2" t="s">
        <v>198</v>
      </c>
    </row>
    <row r="4" spans="1:4">
      <c r="A4" s="5" t="s">
        <v>199</v>
      </c>
      <c r="B4" s="5" t="s">
        <v>200</v>
      </c>
      <c r="C4" s="5" t="s">
        <v>201</v>
      </c>
      <c r="D4" s="5" t="s">
        <v>202</v>
      </c>
    </row>
    <row r="5" spans="1:4">
      <c r="A5" s="6" t="s">
        <v>203</v>
      </c>
      <c r="B5" s="6" t="s">
        <v>204</v>
      </c>
      <c r="C5" s="20" t="s">
        <v>205</v>
      </c>
      <c r="D5" s="6" t="s">
        <v>206</v>
      </c>
    </row>
    <row r="6" spans="1:4">
      <c r="A6" s="6" t="s">
        <v>207</v>
      </c>
      <c r="B6" s="6" t="s">
        <v>208</v>
      </c>
      <c r="C6" s="20" t="s">
        <v>209</v>
      </c>
      <c r="D6" s="6" t="s">
        <v>210</v>
      </c>
    </row>
    <row r="7" spans="1:4">
      <c r="A7" s="6" t="s">
        <v>211</v>
      </c>
      <c r="B7" s="6" t="s">
        <v>212</v>
      </c>
      <c r="C7" s="20" t="s">
        <v>209</v>
      </c>
      <c r="D7" s="6" t="s">
        <v>213</v>
      </c>
    </row>
    <row r="8" spans="1:4">
      <c r="A8" s="6" t="s">
        <v>214</v>
      </c>
      <c r="B8" s="6" t="s">
        <v>215</v>
      </c>
      <c r="C8" s="20" t="s">
        <v>209</v>
      </c>
      <c r="D8" s="6" t="s">
        <v>216</v>
      </c>
    </row>
    <row r="9" spans="1:4">
      <c r="A9" s="6" t="s">
        <v>217</v>
      </c>
      <c r="B9" s="6" t="s">
        <v>218</v>
      </c>
      <c r="C9" s="20" t="s">
        <v>219</v>
      </c>
      <c r="D9" s="6" t="s">
        <v>220</v>
      </c>
    </row>
    <row r="10" spans="1:4">
      <c r="A10" s="6" t="s">
        <v>221</v>
      </c>
      <c r="B10" s="6" t="s">
        <v>222</v>
      </c>
      <c r="C10" s="20" t="s">
        <v>209</v>
      </c>
      <c r="D10" s="6" t="s">
        <v>223</v>
      </c>
    </row>
    <row r="11" spans="1:4">
      <c r="A11" s="6" t="s">
        <v>224</v>
      </c>
      <c r="B11" s="6" t="s">
        <v>225</v>
      </c>
      <c r="C11" s="20" t="s">
        <v>209</v>
      </c>
      <c r="D11" s="6" t="s">
        <v>226</v>
      </c>
    </row>
    <row r="12" spans="1:4">
      <c r="A12" s="6" t="s">
        <v>227</v>
      </c>
      <c r="B12" s="6" t="s">
        <v>228</v>
      </c>
      <c r="C12" s="20" t="s">
        <v>229</v>
      </c>
      <c r="D12" s="6" t="s">
        <v>230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结论</vt:lpstr>
      <vt:lpstr>历史财务</vt:lpstr>
      <vt:lpstr>分部</vt:lpstr>
      <vt:lpstr>FCFF桥</vt:lpstr>
      <vt:lpstr>DCF</vt:lpstr>
      <vt:lpstr>敏感性</vt:lpstr>
      <vt:lpstr>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2026-10-29T06:23:17Z</dcterms:created>
  <dcterms:modified xsi:type="dcterms:W3CDTF">2026-10-29T10:34:26Z</dcterms:modified>
</cp:coreProperties>
</file>