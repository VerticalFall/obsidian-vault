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MSFT-2026-10-29\"/>
    </mc:Choice>
  </mc:AlternateContent>
  <xr:revisionPtr revIDLastSave="0" documentId="13_ncr:1_{9984610B-E5A2-4B20-B77D-5C5704A1E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A15" i="4"/>
  <c r="A12" i="4"/>
  <c r="B7" i="4"/>
  <c r="B12" i="4" s="1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28" i="1"/>
  <c r="B26" i="1"/>
  <c r="B25" i="1"/>
  <c r="B13" i="1"/>
  <c r="B16" i="4" l="1"/>
  <c r="C64" i="5"/>
  <c r="E63" i="5"/>
  <c r="F63" i="5" s="1"/>
  <c r="K63" i="5"/>
  <c r="J63" i="5"/>
  <c r="H63" i="5"/>
  <c r="C41" i="5"/>
  <c r="J40" i="5"/>
  <c r="H40" i="5"/>
  <c r="K40" i="5"/>
  <c r="E40" i="5"/>
  <c r="F40" i="5" s="1"/>
  <c r="L40" i="5" s="1"/>
  <c r="N40" i="5" s="1"/>
  <c r="C18" i="5"/>
  <c r="K17" i="5"/>
  <c r="J17" i="5"/>
  <c r="H17" i="5"/>
  <c r="E17" i="5"/>
  <c r="F17" i="5" s="1"/>
  <c r="B27" i="1"/>
  <c r="B15" i="1"/>
  <c r="B24" i="1" s="1"/>
  <c r="E64" i="5" l="1"/>
  <c r="F64" i="5" s="1"/>
  <c r="L64" i="5" s="1"/>
  <c r="N64" i="5" s="1"/>
  <c r="H64" i="5"/>
  <c r="J64" i="5"/>
  <c r="K64" i="5"/>
  <c r="C65" i="5"/>
  <c r="H41" i="5"/>
  <c r="E41" i="5"/>
  <c r="F41" i="5" s="1"/>
  <c r="J41" i="5"/>
  <c r="K41" i="5"/>
  <c r="C42" i="5"/>
  <c r="E18" i="5"/>
  <c r="F18" i="5" s="1"/>
  <c r="H18" i="5"/>
  <c r="J18" i="5"/>
  <c r="K18" i="5"/>
  <c r="C19" i="5"/>
  <c r="L63" i="5"/>
  <c r="N63" i="5" s="1"/>
  <c r="L17" i="5"/>
  <c r="N17" i="5" s="1"/>
  <c r="H65" i="5" l="1"/>
  <c r="J65" i="5"/>
  <c r="K65" i="5"/>
  <c r="C66" i="5"/>
  <c r="E65" i="5"/>
  <c r="F65" i="5" s="1"/>
  <c r="E42" i="5"/>
  <c r="F42" i="5" s="1"/>
  <c r="H42" i="5"/>
  <c r="J42" i="5"/>
  <c r="K42" i="5"/>
  <c r="C43" i="5"/>
  <c r="E19" i="5"/>
  <c r="F19" i="5" s="1"/>
  <c r="H19" i="5"/>
  <c r="J19" i="5"/>
  <c r="K19" i="5"/>
  <c r="C20" i="5"/>
  <c r="L18" i="5"/>
  <c r="N18" i="5" s="1"/>
  <c r="L41" i="5"/>
  <c r="N41" i="5" s="1"/>
  <c r="L65" i="5" l="1"/>
  <c r="N65" i="5" s="1"/>
  <c r="H66" i="5"/>
  <c r="K66" i="5"/>
  <c r="C67" i="5"/>
  <c r="E66" i="5"/>
  <c r="F66" i="5" s="1"/>
  <c r="J66" i="5"/>
  <c r="E43" i="5"/>
  <c r="F43" i="5" s="1"/>
  <c r="H43" i="5"/>
  <c r="J43" i="5"/>
  <c r="K43" i="5"/>
  <c r="C44" i="5"/>
  <c r="E20" i="5"/>
  <c r="F20" i="5" s="1"/>
  <c r="H20" i="5"/>
  <c r="J20" i="5"/>
  <c r="K20" i="5"/>
  <c r="C21" i="5"/>
  <c r="L42" i="5"/>
  <c r="N42" i="5" s="1"/>
  <c r="L19" i="5"/>
  <c r="N19" i="5" s="1"/>
  <c r="E67" i="5" l="1"/>
  <c r="F67" i="5" s="1"/>
  <c r="H67" i="5"/>
  <c r="J67" i="5"/>
  <c r="K67" i="5"/>
  <c r="C68" i="5"/>
  <c r="E44" i="5"/>
  <c r="F44" i="5" s="1"/>
  <c r="H44" i="5"/>
  <c r="J44" i="5"/>
  <c r="K44" i="5"/>
  <c r="C45" i="5"/>
  <c r="E21" i="5"/>
  <c r="F21" i="5" s="1"/>
  <c r="H21" i="5"/>
  <c r="J21" i="5"/>
  <c r="K21" i="5"/>
  <c r="C22" i="5"/>
  <c r="L20" i="5"/>
  <c r="N20" i="5" s="1"/>
  <c r="L66" i="5"/>
  <c r="N66" i="5" s="1"/>
  <c r="L43" i="5"/>
  <c r="N43" i="5" s="1"/>
  <c r="L44" i="5" l="1"/>
  <c r="N44" i="5" s="1"/>
  <c r="L21" i="5"/>
  <c r="N21" i="5" s="1"/>
  <c r="E68" i="5"/>
  <c r="F68" i="5" s="1"/>
  <c r="H68" i="5"/>
  <c r="J68" i="5"/>
  <c r="K68" i="5"/>
  <c r="C69" i="5"/>
  <c r="E45" i="5"/>
  <c r="F45" i="5" s="1"/>
  <c r="H45" i="5"/>
  <c r="J45" i="5"/>
  <c r="K45" i="5"/>
  <c r="C46" i="5"/>
  <c r="E22" i="5"/>
  <c r="F22" i="5" s="1"/>
  <c r="H22" i="5"/>
  <c r="J22" i="5"/>
  <c r="K22" i="5"/>
  <c r="C23" i="5"/>
  <c r="L67" i="5"/>
  <c r="N67" i="5" s="1"/>
  <c r="E69" i="5" l="1"/>
  <c r="F69" i="5" s="1"/>
  <c r="H69" i="5"/>
  <c r="J69" i="5"/>
  <c r="K69" i="5"/>
  <c r="C70" i="5"/>
  <c r="E46" i="5"/>
  <c r="F46" i="5" s="1"/>
  <c r="H46" i="5"/>
  <c r="J46" i="5"/>
  <c r="K46" i="5"/>
  <c r="C47" i="5"/>
  <c r="E23" i="5"/>
  <c r="F23" i="5" s="1"/>
  <c r="J23" i="5"/>
  <c r="K23" i="5"/>
  <c r="C24" i="5"/>
  <c r="H23" i="5"/>
  <c r="L22" i="5"/>
  <c r="N22" i="5" s="1"/>
  <c r="L68" i="5"/>
  <c r="N68" i="5" s="1"/>
  <c r="L45" i="5"/>
  <c r="N45" i="5" s="1"/>
  <c r="E70" i="5" l="1"/>
  <c r="F70" i="5" s="1"/>
  <c r="H70" i="5"/>
  <c r="J70" i="5"/>
  <c r="K70" i="5"/>
  <c r="C71" i="5"/>
  <c r="E47" i="5"/>
  <c r="F47" i="5" s="1"/>
  <c r="H47" i="5"/>
  <c r="J47" i="5"/>
  <c r="K47" i="5"/>
  <c r="C48" i="5"/>
  <c r="H24" i="5"/>
  <c r="J24" i="5"/>
  <c r="K24" i="5"/>
  <c r="E24" i="5"/>
  <c r="F24" i="5" s="1"/>
  <c r="L24" i="5" s="1"/>
  <c r="N24" i="5" s="1"/>
  <c r="C25" i="5"/>
  <c r="L46" i="5"/>
  <c r="N46" i="5" s="1"/>
  <c r="L23" i="5"/>
  <c r="N23" i="5" s="1"/>
  <c r="L69" i="5"/>
  <c r="N69" i="5" s="1"/>
  <c r="E71" i="5" l="1"/>
  <c r="F71" i="5" s="1"/>
  <c r="L71" i="5" s="1"/>
  <c r="N71" i="5" s="1"/>
  <c r="H71" i="5"/>
  <c r="J71" i="5"/>
  <c r="K71" i="5"/>
  <c r="C72" i="5"/>
  <c r="E48" i="5"/>
  <c r="F48" i="5" s="1"/>
  <c r="H48" i="5"/>
  <c r="J48" i="5"/>
  <c r="K48" i="5"/>
  <c r="C49" i="5"/>
  <c r="E25" i="5"/>
  <c r="F25" i="5" s="1"/>
  <c r="H25" i="5"/>
  <c r="J25" i="5"/>
  <c r="K25" i="5"/>
  <c r="C26" i="5"/>
  <c r="L70" i="5"/>
  <c r="N70" i="5" s="1"/>
  <c r="L47" i="5"/>
  <c r="N47" i="5" s="1"/>
  <c r="L48" i="5" l="1"/>
  <c r="N48" i="5" s="1"/>
  <c r="E72" i="5"/>
  <c r="F72" i="5" s="1"/>
  <c r="H72" i="5"/>
  <c r="J72" i="5"/>
  <c r="K72" i="5"/>
  <c r="J49" i="5"/>
  <c r="E49" i="5"/>
  <c r="F49" i="5" s="1"/>
  <c r="H49" i="5"/>
  <c r="K49" i="5"/>
  <c r="E26" i="5"/>
  <c r="F26" i="5" s="1"/>
  <c r="L26" i="5" s="1"/>
  <c r="H26" i="5"/>
  <c r="J26" i="5"/>
  <c r="K26" i="5"/>
  <c r="L25" i="5"/>
  <c r="N25" i="5" s="1"/>
  <c r="N26" i="5" l="1"/>
  <c r="B27" i="5"/>
  <c r="B28" i="5" s="1"/>
  <c r="B29" i="5" s="1"/>
  <c r="B31" i="5" s="1"/>
  <c r="B32" i="5" s="1"/>
  <c r="B33" i="1" s="1"/>
  <c r="L72" i="5"/>
  <c r="L49" i="5"/>
  <c r="D33" i="1" l="1"/>
  <c r="C33" i="1"/>
  <c r="B73" i="5"/>
  <c r="B74" i="5" s="1"/>
  <c r="B75" i="5" s="1"/>
  <c r="B77" i="5" s="1"/>
  <c r="B78" i="5" s="1"/>
  <c r="B35" i="1" s="1"/>
  <c r="N72" i="5"/>
  <c r="B50" i="5"/>
  <c r="B51" i="5" s="1"/>
  <c r="B52" i="5" s="1"/>
  <c r="B54" i="5" s="1"/>
  <c r="B55" i="5" s="1"/>
  <c r="B34" i="1" s="1"/>
  <c r="N49" i="5"/>
  <c r="D35" i="1" l="1"/>
  <c r="C35" i="1"/>
  <c r="C34" i="1"/>
  <c r="D34" i="1"/>
</calcChain>
</file>

<file path=xl/sharedStrings.xml><?xml version="1.0" encoding="utf-8"?>
<sst xmlns="http://schemas.openxmlformats.org/spreadsheetml/2006/main" count="341" uniqueCount="254">
  <si>
    <t>微软（MSFT）巴菲特框架估值</t>
  </si>
  <si>
    <t>研究日 2026-10-29｜盘后参考价 $546.39｜10/28 收盘 $531.01｜最新财报：FY2027 Q1（2026-09-30）</t>
  </si>
  <si>
    <t>FY2026 10-K 与 FY2027 Q1 10-Q 均已提交；市值按 7.427B 股计算。</t>
  </si>
  <si>
    <t>一句话结论</t>
  </si>
  <si>
    <t>好生意，合理价格，但没有安全边际。Azure 加速证明 AI 需求是真的，但 FY2027 capex 约 170B 把 FCF 压在 60B 附近。结论：观察，等 FCF 拐点。</t>
  </si>
  <si>
    <t>关键数据（十亿美元 / 倍 / 百分比）</t>
  </si>
  <si>
    <t>项目</t>
  </si>
  <si>
    <t>数值</t>
  </si>
  <si>
    <t>备注</t>
  </si>
  <si>
    <t>盘后参考价（美元）</t>
  </si>
  <si>
    <t>2026-10-28 盘后，约 +2.9%</t>
  </si>
  <si>
    <t>10/28 收盘价（美元）</t>
  </si>
  <si>
    <t>财报前收盘</t>
  </si>
  <si>
    <t>期末股数（十亿股）</t>
  </si>
  <si>
    <t>2026-09-30</t>
  </si>
  <si>
    <t>市值 @ 盘后（十亿美元）</t>
  </si>
  <si>
    <t>价格 × 股数</t>
  </si>
  <si>
    <t>净负债（含融资租赁）</t>
  </si>
  <si>
    <t>债务 35.5 + 融资租赁 71.0 − 现金 64.5</t>
  </si>
  <si>
    <t>企业价值 @ 盘后</t>
  </si>
  <si>
    <t>市值 + 净负债</t>
  </si>
  <si>
    <t>TTM 收入</t>
  </si>
  <si>
    <t>FY2026Q2–FY2027Q1</t>
  </si>
  <si>
    <t>TTM 经营利润</t>
  </si>
  <si>
    <t>经营利润，剔除 OI&amp;E</t>
  </si>
  <si>
    <t>TTM NOPAT</t>
  </si>
  <si>
    <t>经营利润 × (1−19%)</t>
  </si>
  <si>
    <t>TTM 自由现金流</t>
  </si>
  <si>
    <t>CFO − 现金 capex</t>
  </si>
  <si>
    <t>NTM 收入（2026-10 至 2027-09）</t>
  </si>
  <si>
    <t>TTM × (1+17.2%)，DCF 第 1 年</t>
  </si>
  <si>
    <t>DCF 第 2 年收入</t>
  </si>
  <si>
    <t>NTM × (1+16%)</t>
  </si>
  <si>
    <t>FY2027E 调整后 EPS（美元）</t>
  </si>
  <si>
    <t>本文估计，非一致预期</t>
  </si>
  <si>
    <t>FY2028E 调整后 EPS（美元）</t>
  </si>
  <si>
    <t>一致预期 23.69</t>
  </si>
  <si>
    <t>EV / TTM EBIT</t>
  </si>
  <si>
    <t>盘后价</t>
  </si>
  <si>
    <t>P/E FY2027E</t>
  </si>
  <si>
    <t>盘后价 / 调整后 EPS</t>
  </si>
  <si>
    <t>P/E FY2028E</t>
  </si>
  <si>
    <t>FCF 收益率</t>
  </si>
  <si>
    <t>TTM FCF / 市值</t>
  </si>
  <si>
    <t>股息率</t>
  </si>
  <si>
    <t>年化股息 $3.64</t>
  </si>
  <si>
    <t>三情景 DCF（FCFF，WACC 折现，减净负债）</t>
  </si>
  <si>
    <t>情景</t>
  </si>
  <si>
    <t>每股价值（美元）</t>
  </si>
  <si>
    <t>较盘后价</t>
  </si>
  <si>
    <t>安全边际（1−价/值）</t>
  </si>
  <si>
    <t>10 年 IRR</t>
  </si>
  <si>
    <t>悲观</t>
  </si>
  <si>
    <t>基准</t>
  </si>
  <si>
    <t>乐观</t>
  </si>
  <si>
    <t>—</t>
  </si>
  <si>
    <t>结论与观察条件</t>
  </si>
  <si>
    <t>• 基准价值约 540 美元，与盘后价 546.39 几乎持平（高 1%）；收盘价 531.01 低 2%。</t>
  </si>
  <si>
    <t>• 悲观 244；基准 540；乐观 839；概率加权（25/50/25）约 540.8。</t>
  </si>
  <si>
    <t>• 反推：盘后价隐含未来 10 年收入 CAGR 约 10.9%，基准 10.35%，只差 0.5pp。</t>
  </si>
  <si>
    <t>• 若要求 20% 安全边际：基准观察价约 433 美元；按 CAPM 9.3% 的基准 489 美元，观察价约 391 美元。</t>
  </si>
  <si>
    <t>• 结论是“观察”，不是“卖出”。已持有不必因一个季度超预期追高；未持有可等 FCF 拐点或回调。</t>
  </si>
  <si>
    <t>• 这不是投资建议；估值对 capex 正常化速度、Azure 增速和 WACC 高度敏感。</t>
  </si>
  <si>
    <t>微软五年财务与现金流（十亿美元，除每股数据）</t>
  </si>
  <si>
    <t>FY2022–FY2026 来自 10-K；TTM = FY2026 + FY2027Q1 − FY2026Q1。</t>
  </si>
  <si>
    <t>FY2022</t>
  </si>
  <si>
    <t>FY2023</t>
  </si>
  <si>
    <t>FY2024</t>
  </si>
  <si>
    <t>FY2025</t>
  </si>
  <si>
    <t>FY2026</t>
  </si>
  <si>
    <t>TTM</t>
  </si>
  <si>
    <t>收入</t>
  </si>
  <si>
    <t>经营利润</t>
  </si>
  <si>
    <t>净利润</t>
  </si>
  <si>
    <t>经营现金流</t>
  </si>
  <si>
    <t>资本开支（现金）</t>
  </si>
  <si>
    <t>自由现金流</t>
  </si>
  <si>
    <t>稀释 EPS（美元）</t>
  </si>
  <si>
    <t>稀释股数（十亿）</t>
  </si>
  <si>
    <t>收入增速</t>
  </si>
  <si>
    <t>经营利润率</t>
  </si>
  <si>
    <t>净利率</t>
  </si>
  <si>
    <t>FCF 利润率</t>
  </si>
  <si>
    <t>Capex / 收入</t>
  </si>
  <si>
    <t>FCF / NOPAT</t>
  </si>
  <si>
    <t>关键读数</t>
  </si>
  <si>
    <t>• FY2022–FY2026 收入 CAGR 约 13.8%；经营利润 CAGR 约 16.8%；EPS CAGR 约 16.8%。</t>
  </si>
  <si>
    <t>• FY2026 收入 +17.8%，经营利润 +20.8%，GAAP EPS +31.6%；调整后 EPS +22.3%（剔除 OpenAI 投资损益）。</t>
  </si>
  <si>
    <t>• FY2026 经营利润率 46.8%；TTM 47.1%。Q1 FY2027 升至 49.8%，主因收入超预期与费用纪律。</t>
  </si>
  <si>
    <t>• FY2026 FCF 67.0B，同比 -6.5%；capex 115.9B，同比 +80%，占收入 34.9%。</t>
  </si>
  <si>
    <t>• TTM FCF 60.0B，FCF/NOPAT 45%；capex 135.9B，capex/D&amp;A 3.2x。</t>
  </si>
  <si>
    <t>• FY2026 现金口径回购 22.3B（含员工税 5.6B；公开市场 16.7B）+ 股息 26.4B = 48.7B，占 FCF 73%；截至 2026-09-30 回购授权剩余 37.7B。</t>
  </si>
  <si>
    <t>微软分部：Agents &amp; Infra 是利润引擎，Devices &amp; Consumer 在收缩</t>
  </si>
  <si>
    <t>Q1 FY2027 新分部口径（2026-09 重组）；FY2026 为旧分部口径，不可直接比较。单位：十亿美元。</t>
  </si>
  <si>
    <t>Q1 FY2027 分部</t>
  </si>
  <si>
    <t>同比</t>
  </si>
  <si>
    <t>Agents and Infra</t>
  </si>
  <si>
    <t>Azure/M365 cloud/LinkedIn/Dynamics</t>
  </si>
  <si>
    <t>Devices and Consumer</t>
  </si>
  <si>
    <t>Windows/Xbox/Search/consumer</t>
  </si>
  <si>
    <t>Total</t>
  </si>
  <si>
    <t>收入 +19%，经营利润 +21%</t>
  </si>
  <si>
    <t>Q1 FY2027 产品/服务收入</t>
  </si>
  <si>
    <t>产品/服务</t>
  </si>
  <si>
    <t>Azure</t>
  </si>
  <si>
    <t>首次披露绝对收入；增速 48%</t>
  </si>
  <si>
    <t>Microsoft 365 cloud</t>
  </si>
  <si>
    <t>商业云 +17%</t>
  </si>
  <si>
    <t>Productivity/server licensing</t>
  </si>
  <si>
    <t>传统许可承压</t>
  </si>
  <si>
    <t>Search and advertising</t>
  </si>
  <si>
    <t>ex-TAC +12%</t>
  </si>
  <si>
    <t>XBOX</t>
  </si>
  <si>
    <t>内容与服务 -2%</t>
  </si>
  <si>
    <t>Industry solutions</t>
  </si>
  <si>
    <t>行业云 +10%</t>
  </si>
  <si>
    <t>Windows OEM and devices</t>
  </si>
  <si>
    <t>OEM -22%</t>
  </si>
  <si>
    <t>Frontier and support</t>
  </si>
  <si>
    <t>支持服务</t>
  </si>
  <si>
    <t>FY2026 旧分部（仅供历史对比）</t>
  </si>
  <si>
    <t>Productivity and Business Processes</t>
  </si>
  <si>
    <t>M365/LinkedIn/Dynamics</t>
  </si>
  <si>
    <t>Intelligent Cloud</t>
  </si>
  <si>
    <t>Azure/服务器</t>
  </si>
  <si>
    <t>More Personal Computing</t>
  </si>
  <si>
    <t>Windows/Xbox/Search</t>
  </si>
  <si>
    <t>Cloud / AI 关键事实</t>
  </si>
  <si>
    <t>• Microsoft Cloud FY2026 收入 214.4B，+27%，占收入 64.6%；Q1 FY2027 63.9B，+30%。</t>
  </si>
  <si>
    <t>• Azure FY2026 +41%；Q1 FY2027 +48%，绝对收入 33.165B；Q2 指引 49–50% cc。</t>
  </si>
  <si>
    <t>• 商业 RPO 677B，+73%；FY2026 678B，+84%，加权平均期限约 2.3 年。</t>
  </si>
  <si>
    <t>• Microsoft Cloud 毛利率 FY2026 66%，低于 FY2025 的 69%；Q1 FY2027 66%，低于上年同期 68%。</t>
  </si>
  <si>
    <t>• Copilot 付费席位 30M+（2026-06），约占 450M+ M365 商业席位的 7%；目标 2027 年中 60M。</t>
  </si>
  <si>
    <t>• FY2026 capex 115.9B，+80%；FY2027 指引约 170B，Q1 45.2B，Q2 &gt;50B，下半年加速。</t>
  </si>
  <si>
    <t>• OpenAI：约 27% 股权（2025-10 重组），当时估值 135B；IP 权利至 2032；20% 收入分成；250B Azure 采购承诺。</t>
  </si>
  <si>
    <t>TTM FCFF 桥：为什么 132B 的 NOPAT 只变成 60B 的 FCF</t>
  </si>
  <si>
    <t>单位：十亿美元。TTM = FY2026Q2–FY2027Q1；经营利润已扣除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</si>
  <si>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</si>
  <si>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</si>
  <si>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</si>
  <si>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</si>
  <si>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</si>
  <si>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</si>
  <si>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</si>
  <si>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</si>
  <si>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</si>
  <si>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</si>
  <si>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TTM，含 AI 基础设施</t>
  </si>
  <si>
    <t>+ 营运资金及其他</t>
  </si>
  <si>
    <t>RPO/预收款带来的现金流入</t>
  </si>
  <si>
    <t>与报告 FCF 对齐</t>
  </si>
  <si>
    <t>报告 CFO</t>
  </si>
  <si>
    <t>现金转化率</t>
  </si>
  <si>
    <t>Capex / D&amp;A</t>
  </si>
  <si>
    <t>资本开支是折旧的 3.2 倍</t>
  </si>
  <si>
    <t>解读</t>
  </si>
  <si>
    <t>• TTM NOPAT 132B，但 capex 136B，资本开支已经超过全部 NOPAT；这是 FCF 只有 60B 的主因。</t>
  </si>
  <si>
    <t>• D&amp;A 42B，capex 136B，差额 94B；这些新增产能会在未来 3–5 年转化为折旧，压制利润率。</t>
  </si>
  <si>
    <t>• FY2027 capex 指引约 170B，是 FY2026 的 1.47 倍；公司仍预计全年 FCF 为正。</t>
  </si>
  <si>
    <t>• 营运资金贡献 +9B，主要来自 RPO/预收款；这部分不是可持续的自由现金流，估值时应打折。</t>
  </si>
  <si>
    <t>• SBC 12.6B 加回后 FCF 才与报告口径一致；公开市场回购 16.7B &gt; SBC，净稀释为负。</t>
  </si>
  <si>
    <t>三情景 FCFF DCF（未来 12 个月起算，10 年明确预测）</t>
  </si>
  <si>
    <t>单位：十亿美元，除每股数据。第 1 年约为 FY2027Q2–FY2028Q1；终值用永续增长。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</si>
  <si>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</si>
  <si>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</si>
  <si>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</si>
  <si>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</si>
  <si>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</si>
  <si>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</si>
  <si>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35.481 + 70.973 − 64.509 = 41.945；股权投资 37.808 仅用于 SOTP，DCF/IRR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</si>
  <si>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</si>
  <si>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</si>
  <si>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</si>
  <si>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</si>
  <si>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</si>
  <si>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</si>
  <si>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</si>
  <si>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</si>
  <si>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</si>
  <si>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</si>
  <si>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</si>
  <si>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</si>
  <si>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</si>
  <si>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</si>
  <si>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</si>
  <si>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</si>
  <si>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</si>
  <si>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</si>
  <si>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</si>
  <si>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</si>
  <si>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63%；终值 FCF 173B；终值收入 622B</t>
  </si>
  <si>
    <t>基准情景</t>
  </si>
  <si>
    <t>TV 占比 69%；终值 FCF 332B；终值收入 927B</t>
  </si>
  <si>
    <t>乐观情景</t>
  </si>
  <si>
    <t>TV 占比 75%；终值 FCF 416B；终值收入 1058B</t>
  </si>
  <si>
    <t>估值敏感性：WACC、终值 capex、终值利润率</t>
  </si>
  <si>
    <t>基准情景；每股价值（美元）。由 Python 独立计算，Excel 表为静态值。</t>
  </si>
  <si>
    <t>终值 Capex / 收入</t>
  </si>
  <si>
    <t>终值 EBIT 利润率</t>
  </si>
  <si>
    <t>反推：当前价格隐含的 10 年收入 CAGR</t>
  </si>
  <si>
    <t>盘后价 $546.39</t>
  </si>
  <si>
    <t>收盘价 $531.01</t>
  </si>
  <si>
    <t>基准情景 10 年 CAGR</t>
  </si>
  <si>
    <t>SOTP 交叉检查（每股美元）</t>
  </si>
  <si>
    <t>Agents &amp; Infra EBIT 倍数</t>
  </si>
  <si>
    <t>D&amp;C 10x</t>
  </si>
  <si>
    <t>D&amp;C 11.5x</t>
  </si>
  <si>
    <t>D&amp;C 13x</t>
  </si>
  <si>
    <t>25x</t>
  </si>
  <si>
    <t>28x</t>
  </si>
  <si>
    <t>30x</t>
  </si>
  <si>
    <t>32x</t>
  </si>
  <si>
    <t>注：A&amp;I/DC 用 TTM EBIT 按 Q1 分部利润占比拆分；净负债扣除；股权投资按账面 37.8B 加回。</t>
  </si>
  <si>
    <t>数据来源与日期</t>
  </si>
  <si>
    <t>研究截止 2026-10-29；价格、一致预期、目标价均为当日或前一交易日数据。</t>
  </si>
  <si>
    <t>数据</t>
  </si>
  <si>
    <t>来源</t>
  </si>
  <si>
    <t>日期</t>
  </si>
  <si>
    <t>链接/备注</t>
  </si>
  <si>
    <t>FY2026 10-K</t>
  </si>
  <si>
    <t>SEC EDGAR, Microsoft Corp.</t>
  </si>
  <si>
    <t>2026-07-29</t>
  </si>
  <si>
    <t>https://www.sec.gov/Archives/edgar/data/789019/000119312526323660/msft-20260630.htm</t>
  </si>
  <si>
    <t>Q1 FY2027 业绩</t>
  </si>
  <si>
    <t>SEC 8-K Exhibit 99.1</t>
  </si>
  <si>
    <t>2026-10-28</t>
  </si>
  <si>
    <t>https://www.sec.gov/Archives/edgar/data/789019/000119312526436122/msft-ex99_1.htm</t>
  </si>
  <si>
    <t>Q1 FY2027 10-Q</t>
  </si>
  <si>
    <t>https://www.sec.gov/Archives/edgar/data/789019/000119312526436133/msft-20260930.htm</t>
  </si>
  <si>
    <t>Q1 FY2027 电话会</t>
  </si>
  <si>
    <t>Microsoft IR / 媒体整理</t>
  </si>
  <si>
    <t>FY2027 capex ~170B；Q2 收入 96.0–97.1B；Azure 49–50% cc；FCF 为正</t>
  </si>
  <si>
    <t>价格/市值</t>
  </si>
  <si>
    <t>Yahoo Finance / StockAnalysis / 媒体</t>
  </si>
  <si>
    <t>收盘 531.01；盘后 546.39（19:59 ET）</t>
  </si>
  <si>
    <t>一致预期</t>
  </si>
  <si>
    <t>Yahoo Finance / Investing.com / TipRanks</t>
  </si>
  <si>
    <t>2026-10</t>
  </si>
  <si>
    <t>FY2028 EPS 23.69；FY2027 EPS 19.38（Q1 前）</t>
  </si>
  <si>
    <t>目标价</t>
  </si>
  <si>
    <t>S&amp;P Global / JPMorgan / CNBC</t>
  </si>
  <si>
    <t>2026-10-29</t>
  </si>
  <si>
    <t>均值 605.12；JPM 625；CNBC 580</t>
  </si>
  <si>
    <t>10Y 美债</t>
  </si>
  <si>
    <t>YCharts / CNBC</t>
  </si>
  <si>
    <t>5.03%</t>
  </si>
  <si>
    <t>OpenAI 股权</t>
  </si>
  <si>
    <t>TMTPost / Nasdaq / 媒体</t>
  </si>
  <si>
    <t>2025-10 至 2026-10</t>
  </si>
  <si>
    <t>27% 股权，135B 估值；2026-03 融资 852B post-money；可能稀释</t>
  </si>
  <si>
    <t>反垄断</t>
  </si>
  <si>
    <t>The Register / Samexpert / AInvest</t>
  </si>
  <si>
    <t>2026</t>
  </si>
  <si>
    <t>EU Teams 承诺具约束力；FTC 云许可调查；UK 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</si>
</sst>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$#,##0.00"/>
    <numFmt numFmtId="177" formatCode="0.000"/>
    <numFmt numFmtId="178" formatCode="#,##0.0"/>
    <numFmt numFmtId="179" formatCode="0.0&quot;x&quot;"/>
    <numFmt numFmtId="180" formatCode="0.0%"/>
    <numFmt numFmtId="181" formatCode="#,##0.000"/>
    <numFmt numFmtId="182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4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  <border>
      <left/>
      <right/>
      <top style="thin">
        <color rgb="FFD8D2C4"/>
      </top>
      <bottom style="thin">
        <color rgb="FFD8D2C4"/>
      </bottom>
      <diagonal/>
    </border>
    <border>
      <left/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82" fontId="6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0" fontId="0" fillId="0" borderId="0" xfId="0"/>
    <xf numFmtId="0" fontId="9" fillId="0" borderId="0" xfId="0" applyFont="1" applyAlignment="1">
      <alignment vertical="center" wrapText="1"/>
    </xf>
    <xf numFmtId="0" fontId="10" fillId="0" borderId="0" xfId="0" applyFont="1"/>
    <xf numFmtId="0" fontId="10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每股价值：三情景 </a:t>
            </a:r>
            <a:r>
              <a:rPr lang="en-US"/>
              <a:t>vs </a:t>
            </a:r>
            <a:r>
              <a:rPr lang="zh-CN" altLang="en-US"/>
              <a:t>盘后价（美元）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盘后价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243.85376671612053</c:v>
                </c:pt>
                <c:pt idx="1">
                  <c:v>540.33579940458162</c:v>
                </c:pt>
                <c:pt idx="2">
                  <c:v>838.66115801779586</c:v>
                </c:pt>
                <c:pt idx="3">
                  <c:v>546.39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B-4A61-B5FF-477FF8DB3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美元</a:t>
                </a:r>
                <a:r>
                  <a:rPr lang="en-US" altLang="zh-CN"/>
                  <a:t>/</a:t>
                </a:r>
                <a:r>
                  <a:rPr lang="zh-CN" altLang="en-US"/>
                  <a:t>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57.967315978000016</c:v>
                </c:pt>
                <c:pt idx="1">
                  <c:v>96.032616679559993</c:v>
                </c:pt>
                <c:pt idx="2">
                  <c:v>141.85592162845839</c:v>
                </c:pt>
                <c:pt idx="3">
                  <c:v>185.55744211904482</c:v>
                </c:pt>
                <c:pt idx="4">
                  <c:v>220.23724231692691</c:v>
                </c:pt>
                <c:pt idx="5">
                  <c:v>250.30954100420581</c:v>
                </c:pt>
                <c:pt idx="6">
                  <c:v>274.36024528369558</c:v>
                </c:pt>
                <c:pt idx="7">
                  <c:v>297.87586535682442</c:v>
                </c:pt>
                <c:pt idx="8">
                  <c:v>315.90416284984758</c:v>
                </c:pt>
                <c:pt idx="9">
                  <c:v>331.86601875396667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53-4FDD-B137-241DFA232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0" customWidth="1"/>
    <col min="4" max="4" width="22" customWidth="1"/>
    <col min="5" max="5" width="14" customWidth="1"/>
  </cols>
  <sheetData>
    <row r="1" spans="1:5" ht="23.4">
      <c r="A1" s="1" t="s">
        <v>0</v>
      </c>
    </row>
    <row r="2" spans="1:5" ht="15.6">
      <c r="A2" s="2" t="s">
        <v>1</v>
      </c>
    </row>
    <row r="3" spans="1:5" ht="15.6">
      <c r="A3" s="2" t="s">
        <v>2</v>
      </c>
    </row>
    <row r="5" spans="1:5" ht="16.2">
      <c r="A5" s="3" t="s">
        <v>3</v>
      </c>
      <c r="B5" s="4"/>
      <c r="C5" s="4"/>
      <c r="D5" s="4"/>
      <c r="E5" s="4"/>
    </row>
    <row r="6" spans="1:5" ht="43.95" customHeight="1">
      <c r="A6" s="25" t="s">
        <v>4</v>
      </c>
      <c r="B6" s="26"/>
      <c r="C6" s="26"/>
      <c r="D6" s="26"/>
      <c r="E6" s="26"/>
    </row>
    <row r="8" spans="1:5" ht="16.2">
      <c r="A8" s="3" t="s">
        <v>5</v>
      </c>
      <c r="B8" s="4"/>
      <c r="C8" s="4"/>
      <c r="D8" s="4"/>
      <c r="E8" s="4"/>
    </row>
    <row r="9" spans="1:5">
      <c r="A9" s="5" t="s">
        <v>6</v>
      </c>
      <c r="B9" s="5" t="s">
        <v>7</v>
      </c>
      <c r="C9" s="5" t="s">
        <v>8</v>
      </c>
    </row>
    <row r="10" spans="1:5">
      <c r="A10" s="6" t="s">
        <v>9</v>
      </c>
      <c r="B10" s="7">
        <v>546.39</v>
      </c>
      <c r="C10" s="6" t="s">
        <v>10</v>
      </c>
    </row>
    <row r="11" spans="1:5">
      <c r="A11" s="6" t="s">
        <v>11</v>
      </c>
      <c r="B11" s="7">
        <v>531.01</v>
      </c>
      <c r="C11" s="6" t="s">
        <v>12</v>
      </c>
    </row>
    <row r="12" spans="1:5">
      <c r="A12" s="6" t="s">
        <v>13</v>
      </c>
      <c r="B12" s="8">
        <v>7.4269999999999996</v>
      </c>
      <c r="C12" s="6" t="s">
        <v>14</v>
      </c>
    </row>
    <row r="13" spans="1:5">
      <c r="A13" s="6" t="s">
        <v>15</v>
      </c>
      <c r="B13" s="9">
        <f>B10*B12</f>
        <v>4058.0385299999998</v>
      </c>
      <c r="C13" s="6" t="s">
        <v>16</v>
      </c>
    </row>
    <row r="14" spans="1:5">
      <c r="A14" s="6" t="s">
        <v>17</v>
      </c>
      <c r="B14" s="10">
        <v>41.945</v>
      </c>
      <c r="C14" s="6" t="s">
        <v>18</v>
      </c>
    </row>
    <row r="15" spans="1:5">
      <c r="A15" s="6" t="s">
        <v>19</v>
      </c>
      <c r="B15" s="9">
        <f>B13+B14</f>
        <v>4099.9835299999995</v>
      </c>
      <c r="C15" s="6" t="s">
        <v>20</v>
      </c>
    </row>
    <row r="16" spans="1:5">
      <c r="A16" s="6" t="s">
        <v>21</v>
      </c>
      <c r="B16" s="10">
        <v>346.44499999999999</v>
      </c>
      <c r="C16" s="6" t="s">
        <v>22</v>
      </c>
    </row>
    <row r="17" spans="1:5">
      <c r="A17" s="6" t="s">
        <v>23</v>
      </c>
      <c r="B17" s="10">
        <v>163.191</v>
      </c>
      <c r="C17" s="6" t="s">
        <v>24</v>
      </c>
    </row>
    <row r="18" spans="1:5">
      <c r="A18" s="6" t="s">
        <v>25</v>
      </c>
      <c r="B18" s="10">
        <v>132.185</v>
      </c>
      <c r="C18" s="6" t="s">
        <v>26</v>
      </c>
    </row>
    <row r="19" spans="1:5">
      <c r="A19" s="6" t="s">
        <v>27</v>
      </c>
      <c r="B19" s="10">
        <v>59.957000000000001</v>
      </c>
      <c r="C19" s="6" t="s">
        <v>28</v>
      </c>
    </row>
    <row r="20" spans="1:5">
      <c r="A20" s="6" t="s">
        <v>29</v>
      </c>
      <c r="B20" s="10">
        <v>406</v>
      </c>
      <c r="C20" s="6" t="s">
        <v>30</v>
      </c>
    </row>
    <row r="21" spans="1:5">
      <c r="A21" s="6" t="s">
        <v>31</v>
      </c>
      <c r="B21" s="10">
        <v>471</v>
      </c>
      <c r="C21" s="6" t="s">
        <v>32</v>
      </c>
    </row>
    <row r="22" spans="1:5">
      <c r="A22" s="6" t="s">
        <v>33</v>
      </c>
      <c r="B22" s="11">
        <v>20</v>
      </c>
      <c r="C22" s="6" t="s">
        <v>34</v>
      </c>
    </row>
    <row r="23" spans="1:5">
      <c r="A23" s="6" t="s">
        <v>35</v>
      </c>
      <c r="B23" s="11">
        <v>23.69</v>
      </c>
      <c r="C23" s="6" t="s">
        <v>36</v>
      </c>
    </row>
    <row r="24" spans="1:5">
      <c r="A24" s="6" t="s">
        <v>37</v>
      </c>
      <c r="B24" s="12">
        <f>B15/B17</f>
        <v>25.123833606019936</v>
      </c>
      <c r="C24" s="6" t="s">
        <v>38</v>
      </c>
    </row>
    <row r="25" spans="1:5">
      <c r="A25" s="6" t="s">
        <v>39</v>
      </c>
      <c r="B25" s="12">
        <f>B10/B22</f>
        <v>27.319499999999998</v>
      </c>
      <c r="C25" s="6" t="s">
        <v>40</v>
      </c>
    </row>
    <row r="26" spans="1:5">
      <c r="A26" s="6" t="s">
        <v>41</v>
      </c>
      <c r="B26" s="12">
        <f>B10/B23</f>
        <v>23.064162093710426</v>
      </c>
      <c r="C26" s="6" t="s">
        <v>40</v>
      </c>
    </row>
    <row r="27" spans="1:5">
      <c r="A27" s="6" t="s">
        <v>42</v>
      </c>
      <c r="B27" s="13">
        <f>B19/B13</f>
        <v>1.4774872036515632E-2</v>
      </c>
      <c r="C27" s="6" t="s">
        <v>43</v>
      </c>
    </row>
    <row r="28" spans="1:5">
      <c r="A28" s="6" t="s">
        <v>44</v>
      </c>
      <c r="B28" s="13">
        <f>3.64/B10</f>
        <v>6.6619081608374972E-3</v>
      </c>
      <c r="C28" s="6" t="s">
        <v>45</v>
      </c>
    </row>
    <row r="31" spans="1:5" ht="16.2">
      <c r="A31" s="3" t="s">
        <v>46</v>
      </c>
      <c r="B31" s="4"/>
      <c r="C31" s="4"/>
      <c r="D31" s="4"/>
      <c r="E31" s="4"/>
    </row>
    <row r="32" spans="1:5">
      <c r="A32" s="5" t="s">
        <v>47</v>
      </c>
      <c r="B32" s="5" t="s">
        <v>48</v>
      </c>
      <c r="C32" s="5" t="s">
        <v>49</v>
      </c>
      <c r="D32" s="5" t="s">
        <v>50</v>
      </c>
      <c r="E32" s="5" t="s">
        <v>51</v>
      </c>
    </row>
    <row r="33" spans="1:5">
      <c r="A33" s="6" t="s">
        <v>52</v>
      </c>
      <c r="B33" s="7">
        <f>DCF!B32</f>
        <v>243.85376671612053</v>
      </c>
      <c r="C33" s="14">
        <f>B33/$B$10-1</f>
        <v>-0.55370016523706411</v>
      </c>
      <c r="D33" s="14">
        <f>1-$B$10/B33</f>
        <v>-1.2406461354196487</v>
      </c>
      <c r="E33" s="15">
        <v>6.0299999999999999E-2</v>
      </c>
    </row>
    <row r="34" spans="1:5">
      <c r="A34" s="16" t="s">
        <v>53</v>
      </c>
      <c r="B34" s="17">
        <f>DCF!B55</f>
        <v>540.33579940458162</v>
      </c>
      <c r="C34" s="14">
        <f>B34/$B$10-1</f>
        <v>-1.1080364932407938E-2</v>
      </c>
      <c r="D34" s="14">
        <f>1-$B$10/B34</f>
        <v>-1.1204515048030661E-2</v>
      </c>
      <c r="E34" s="15">
        <v>8.7499999999999994E-2</v>
      </c>
    </row>
    <row r="35" spans="1:5">
      <c r="A35" s="6" t="s">
        <v>54</v>
      </c>
      <c r="B35" s="7">
        <f>DCF!B78</f>
        <v>838.66115801779586</v>
      </c>
      <c r="C35" s="14">
        <f>B35/$B$10-1</f>
        <v>0.53491308043301644</v>
      </c>
      <c r="D35" s="14">
        <f>1-$B$10/B35</f>
        <v>0.34849731053312238</v>
      </c>
      <c r="E35" s="15">
        <v>0.10150000000000001</v>
      </c>
    </row>
    <row r="36" spans="1:5">
      <c r="A36" s="18" t="s">
        <v>38</v>
      </c>
      <c r="B36" s="19">
        <v>546.39</v>
      </c>
      <c r="C36" s="14">
        <v>0</v>
      </c>
      <c r="D36" s="14">
        <v>0</v>
      </c>
      <c r="E36" s="20" t="s">
        <v>55</v>
      </c>
    </row>
    <row r="38" spans="1:5" ht="16.2">
      <c r="A38" s="3" t="s">
        <v>56</v>
      </c>
      <c r="B38" s="4"/>
      <c r="C38" s="4"/>
      <c r="D38" s="4"/>
      <c r="E38" s="4"/>
    </row>
    <row r="39" spans="1:5" ht="24" customHeight="1">
      <c r="A39" s="27" t="s">
        <v>57</v>
      </c>
      <c r="B39" s="26"/>
      <c r="C39" s="26"/>
      <c r="D39" s="26"/>
      <c r="E39" s="26"/>
    </row>
    <row r="40" spans="1:5" ht="24" customHeight="1">
      <c r="A40" s="27" t="s">
        <v>58</v>
      </c>
      <c r="B40" s="26"/>
      <c r="C40" s="26"/>
      <c r="D40" s="26"/>
      <c r="E40" s="26"/>
    </row>
    <row r="41" spans="1:5" ht="24" customHeight="1">
      <c r="A41" s="27" t="s">
        <v>59</v>
      </c>
      <c r="B41" s="26"/>
      <c r="C41" s="26"/>
      <c r="D41" s="26"/>
      <c r="E41" s="26"/>
    </row>
    <row r="42" spans="1:5" ht="24" customHeight="1">
      <c r="A42" s="27" t="s">
        <v>60</v>
      </c>
      <c r="B42" s="26"/>
      <c r="C42" s="26"/>
      <c r="D42" s="26"/>
      <c r="E42" s="26"/>
    </row>
    <row r="43" spans="1:5" ht="24" customHeight="1">
      <c r="A43" s="27" t="s">
        <v>61</v>
      </c>
      <c r="B43" s="26"/>
      <c r="C43" s="26"/>
      <c r="D43" s="26"/>
      <c r="E43" s="26"/>
    </row>
    <row r="44" spans="1:5" ht="24" customHeight="1">
      <c r="A44" s="27" t="s">
        <v>62</v>
      </c>
      <c r="B44" s="26"/>
      <c r="C44" s="26"/>
      <c r="D44" s="26"/>
      <c r="E44" s="26"/>
    </row>
  </sheetData>
  <mergeCells count="7">
    <mergeCell ref="A44:E44"/>
    <mergeCell ref="A6:E6"/>
    <mergeCell ref="A40:E40"/>
    <mergeCell ref="A39:E39"/>
    <mergeCell ref="A43:E43"/>
    <mergeCell ref="A42:E42"/>
    <mergeCell ref="A41:E41"/>
  </mergeCells>
  <phoneticPr fontId="1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showGridLines="0" workbookViewId="0"/>
  </sheetViews>
  <sheetFormatPr defaultRowHeight="14.4"/>
  <cols>
    <col min="1" max="1" width="28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63</v>
      </c>
    </row>
    <row r="2" spans="1:8" ht="15.6">
      <c r="A2" s="2" t="s">
        <v>64</v>
      </c>
    </row>
    <row r="4" spans="1:8">
      <c r="A4" s="5" t="s">
        <v>6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  <c r="H4" s="5" t="s">
        <v>8</v>
      </c>
    </row>
    <row r="5" spans="1:8">
      <c r="A5" s="6" t="s">
        <v>71</v>
      </c>
      <c r="B5" s="10">
        <v>198.27</v>
      </c>
      <c r="C5" s="10">
        <v>211.91499999999999</v>
      </c>
      <c r="D5" s="10">
        <v>245.12200000000001</v>
      </c>
      <c r="E5" s="10">
        <v>281.72399999999999</v>
      </c>
      <c r="F5" s="10">
        <v>331.839</v>
      </c>
      <c r="G5" s="10">
        <v>346.44499999999999</v>
      </c>
    </row>
    <row r="6" spans="1:8">
      <c r="A6" s="6" t="s">
        <v>72</v>
      </c>
      <c r="B6" s="10">
        <v>83.382999999999996</v>
      </c>
      <c r="C6" s="10">
        <v>88.522999999999996</v>
      </c>
      <c r="D6" s="10">
        <v>109.43300000000001</v>
      </c>
      <c r="E6" s="10">
        <v>128.52799999999999</v>
      </c>
      <c r="F6" s="10">
        <v>155.23699999999999</v>
      </c>
      <c r="G6" s="10">
        <v>163.191</v>
      </c>
    </row>
    <row r="7" spans="1:8">
      <c r="A7" s="6" t="s">
        <v>73</v>
      </c>
      <c r="B7" s="10">
        <v>72.738</v>
      </c>
      <c r="C7" s="10">
        <v>72.361000000000004</v>
      </c>
      <c r="D7" s="10">
        <v>88.135999999999996</v>
      </c>
      <c r="E7" s="10">
        <v>101.83199999999999</v>
      </c>
      <c r="F7" s="10">
        <v>133.749</v>
      </c>
      <c r="G7" s="10">
        <v>142.631</v>
      </c>
    </row>
    <row r="8" spans="1:8">
      <c r="A8" s="6" t="s">
        <v>74</v>
      </c>
      <c r="B8" s="10">
        <v>89.034999999999997</v>
      </c>
      <c r="C8" s="10">
        <v>87.581999999999994</v>
      </c>
      <c r="D8" s="10">
        <v>118.548</v>
      </c>
      <c r="E8" s="10">
        <v>136.16200000000001</v>
      </c>
      <c r="F8" s="10">
        <v>182.935</v>
      </c>
      <c r="G8" s="10">
        <v>195.87799999999999</v>
      </c>
    </row>
    <row r="9" spans="1:8">
      <c r="A9" s="6" t="s">
        <v>75</v>
      </c>
      <c r="B9" s="10">
        <v>23.885999999999999</v>
      </c>
      <c r="C9" s="10">
        <v>28.106999999999999</v>
      </c>
      <c r="D9" s="10">
        <v>44.476999999999997</v>
      </c>
      <c r="E9" s="10">
        <v>64.551000000000002</v>
      </c>
      <c r="F9" s="10">
        <v>115.94799999999999</v>
      </c>
      <c r="G9" s="10">
        <v>135.92099999999999</v>
      </c>
    </row>
    <row r="10" spans="1:8">
      <c r="A10" s="6" t="s">
        <v>76</v>
      </c>
      <c r="B10" s="10">
        <v>65.149000000000001</v>
      </c>
      <c r="C10" s="10">
        <v>59.475000000000001</v>
      </c>
      <c r="D10" s="10">
        <v>74.070999999999998</v>
      </c>
      <c r="E10" s="10">
        <v>71.611000000000004</v>
      </c>
      <c r="F10" s="10">
        <v>66.986999999999995</v>
      </c>
      <c r="G10" s="10">
        <v>59.957000000000001</v>
      </c>
    </row>
    <row r="11" spans="1:8">
      <c r="A11" s="6" t="s">
        <v>77</v>
      </c>
      <c r="B11" s="11">
        <v>9.65</v>
      </c>
      <c r="C11" s="11">
        <v>9.68</v>
      </c>
      <c r="D11" s="11">
        <v>11.8</v>
      </c>
      <c r="E11" s="11">
        <v>13.64</v>
      </c>
      <c r="F11" s="11">
        <v>17.95</v>
      </c>
      <c r="G11" s="11">
        <v>19.149999999999999</v>
      </c>
    </row>
    <row r="12" spans="1:8">
      <c r="A12" s="6" t="s">
        <v>78</v>
      </c>
      <c r="B12" s="8">
        <v>7.54</v>
      </c>
      <c r="C12" s="8">
        <v>7.4720000000000004</v>
      </c>
      <c r="D12" s="8">
        <v>7.4690000000000003</v>
      </c>
      <c r="E12" s="8">
        <v>7.4649999999999999</v>
      </c>
      <c r="F12" s="8">
        <v>7.4530000000000003</v>
      </c>
      <c r="G12" s="8">
        <v>7.44</v>
      </c>
    </row>
    <row r="13" spans="1:8">
      <c r="A13" s="6" t="s">
        <v>79</v>
      </c>
      <c r="C13" s="14">
        <f>C5/B5-1</f>
        <v>6.8820295556564215E-2</v>
      </c>
      <c r="D13" s="14">
        <f>D5/C5-1</f>
        <v>0.15669962013071292</v>
      </c>
      <c r="E13" s="14">
        <f>E5/D5-1</f>
        <v>0.14932156232406713</v>
      </c>
      <c r="F13" s="14">
        <f>F5/E5-1</f>
        <v>0.17788686799846665</v>
      </c>
      <c r="G13" s="14">
        <f>G5/F5-1</f>
        <v>4.4015320682620152E-2</v>
      </c>
    </row>
    <row r="14" spans="1:8">
      <c r="A14" s="6" t="s">
        <v>80</v>
      </c>
      <c r="B14" s="14">
        <f t="shared" ref="B14:G14" si="0">B6/B5</f>
        <v>0.42055278156049825</v>
      </c>
      <c r="C14" s="14">
        <f t="shared" si="0"/>
        <v>0.41772880636104098</v>
      </c>
      <c r="D14" s="14">
        <f t="shared" si="0"/>
        <v>0.44644299573273716</v>
      </c>
      <c r="E14" s="14">
        <f t="shared" si="0"/>
        <v>0.45621956240859846</v>
      </c>
      <c r="F14" s="14">
        <f t="shared" si="0"/>
        <v>0.46780818408927222</v>
      </c>
      <c r="G14" s="14">
        <f t="shared" si="0"/>
        <v>0.4710444659325434</v>
      </c>
    </row>
    <row r="15" spans="1:8">
      <c r="A15" s="6" t="s">
        <v>81</v>
      </c>
      <c r="B15" s="14">
        <f t="shared" ref="B15:G15" si="1">B7/B5</f>
        <v>0.36686336813436221</v>
      </c>
      <c r="C15" s="14">
        <f t="shared" si="1"/>
        <v>0.34146237878394642</v>
      </c>
      <c r="D15" s="14">
        <f t="shared" si="1"/>
        <v>0.35955972944084985</v>
      </c>
      <c r="E15" s="14">
        <f t="shared" si="1"/>
        <v>0.36146015248967073</v>
      </c>
      <c r="F15" s="14">
        <f t="shared" si="1"/>
        <v>0.4030538905915218</v>
      </c>
      <c r="G15" s="14">
        <f t="shared" si="1"/>
        <v>0.41169882665358137</v>
      </c>
    </row>
    <row r="16" spans="1:8">
      <c r="A16" s="6" t="s">
        <v>82</v>
      </c>
      <c r="B16" s="14">
        <f t="shared" ref="B16:G16" si="2">B10/B5</f>
        <v>0.32858727997175569</v>
      </c>
      <c r="C16" s="14">
        <f t="shared" si="2"/>
        <v>0.28065497959087371</v>
      </c>
      <c r="D16" s="14">
        <f t="shared" si="2"/>
        <v>0.30218013886962408</v>
      </c>
      <c r="E16" s="14">
        <f t="shared" si="2"/>
        <v>0.25418849654271558</v>
      </c>
      <c r="F16" s="14">
        <f t="shared" si="2"/>
        <v>0.20186596512164029</v>
      </c>
      <c r="G16" s="14">
        <f t="shared" si="2"/>
        <v>0.17306354544011315</v>
      </c>
    </row>
    <row r="17" spans="1:8">
      <c r="A17" s="6" t="s">
        <v>83</v>
      </c>
      <c r="B17" s="14">
        <f t="shared" ref="B17:G17" si="3">B9/B5</f>
        <v>0.12047208352246935</v>
      </c>
      <c r="C17" s="14">
        <f t="shared" si="3"/>
        <v>0.13263336715192411</v>
      </c>
      <c r="D17" s="14">
        <f t="shared" si="3"/>
        <v>0.18144842160230412</v>
      </c>
      <c r="E17" s="14">
        <f t="shared" si="3"/>
        <v>0.22912850875324786</v>
      </c>
      <c r="F17" s="14">
        <f t="shared" si="3"/>
        <v>0.34941040685392616</v>
      </c>
      <c r="G17" s="14">
        <f t="shared" si="3"/>
        <v>0.3923306729783948</v>
      </c>
    </row>
    <row r="18" spans="1:8">
      <c r="A18" s="6" t="s">
        <v>84</v>
      </c>
      <c r="B18" s="14">
        <f t="shared" ref="B18:G18" si="4">B10/(B6*0.81)</f>
        <v>0.96459547146937474</v>
      </c>
      <c r="C18" s="14">
        <f t="shared" si="4"/>
        <v>0.82945591457503609</v>
      </c>
      <c r="D18" s="14">
        <f t="shared" si="4"/>
        <v>0.83563165601185818</v>
      </c>
      <c r="E18" s="14">
        <f t="shared" si="4"/>
        <v>0.6878551130906001</v>
      </c>
      <c r="F18" s="14">
        <f t="shared" si="4"/>
        <v>0.53273381990118329</v>
      </c>
      <c r="G18" s="14">
        <f t="shared" si="4"/>
        <v>0.45358498725003815</v>
      </c>
    </row>
    <row r="20" spans="1:8" ht="16.2">
      <c r="A20" s="3" t="s">
        <v>85</v>
      </c>
      <c r="B20" s="4"/>
      <c r="C20" s="4"/>
      <c r="D20" s="4"/>
      <c r="E20" s="4"/>
      <c r="F20" s="4"/>
      <c r="G20" s="4"/>
      <c r="H20" s="4"/>
    </row>
    <row r="21" spans="1:8" ht="25.95" customHeight="1">
      <c r="A21" s="27" t="s">
        <v>86</v>
      </c>
      <c r="B21" s="26"/>
      <c r="C21" s="26"/>
      <c r="D21" s="26"/>
      <c r="E21" s="26"/>
      <c r="F21" s="26"/>
      <c r="G21" s="26"/>
      <c r="H21" s="26"/>
    </row>
    <row r="22" spans="1:8" ht="25.95" customHeight="1">
      <c r="A22" s="27" t="s">
        <v>87</v>
      </c>
      <c r="B22" s="26"/>
      <c r="C22" s="26"/>
      <c r="D22" s="26"/>
      <c r="E22" s="26"/>
      <c r="F22" s="26"/>
      <c r="G22" s="26"/>
      <c r="H22" s="26"/>
    </row>
    <row r="23" spans="1:8" ht="25.95" customHeight="1">
      <c r="A23" s="27" t="s">
        <v>88</v>
      </c>
      <c r="B23" s="26"/>
      <c r="C23" s="26"/>
      <c r="D23" s="26"/>
      <c r="E23" s="26"/>
      <c r="F23" s="26"/>
      <c r="G23" s="26"/>
      <c r="H23" s="26"/>
    </row>
    <row r="24" spans="1:8" ht="25.95" customHeight="1">
      <c r="A24" s="27" t="s">
        <v>89</v>
      </c>
      <c r="B24" s="26"/>
      <c r="C24" s="26"/>
      <c r="D24" s="26"/>
      <c r="E24" s="26"/>
      <c r="F24" s="26"/>
      <c r="G24" s="26"/>
      <c r="H24" s="26"/>
    </row>
    <row r="25" spans="1:8" ht="25.95" customHeight="1">
      <c r="A25" s="27" t="s">
        <v>90</v>
      </c>
      <c r="B25" s="26"/>
      <c r="C25" s="26"/>
      <c r="D25" s="26"/>
      <c r="E25" s="26"/>
      <c r="F25" s="26"/>
      <c r="G25" s="26"/>
      <c r="H25" s="26"/>
    </row>
    <row r="26" spans="1:8" ht="25.95" customHeight="1">
      <c r="A26" s="27" t="s">
        <v>91</v>
      </c>
      <c r="B26" s="26"/>
      <c r="C26" s="26"/>
      <c r="D26" s="26"/>
      <c r="E26" s="26"/>
      <c r="F26" s="26"/>
      <c r="G26" s="26"/>
      <c r="H26" s="26"/>
    </row>
  </sheetData>
  <mergeCells count="6">
    <mergeCell ref="A26:H26"/>
    <mergeCell ref="A21:H21"/>
    <mergeCell ref="A25:H25"/>
    <mergeCell ref="A24:H24"/>
    <mergeCell ref="A23:H23"/>
    <mergeCell ref="A22:H22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workbookViewId="0"/>
  </sheetViews>
  <sheetFormatPr defaultRowHeight="14.4"/>
  <cols>
    <col min="1" max="1" width="30" customWidth="1"/>
    <col min="2" max="5" width="14" customWidth="1"/>
    <col min="6" max="6" width="34" customWidth="1"/>
  </cols>
  <sheetData>
    <row r="1" spans="1:6" ht="23.4">
      <c r="A1" s="1" t="s">
        <v>92</v>
      </c>
    </row>
    <row r="2" spans="1:6" ht="15.6">
      <c r="A2" s="2" t="s">
        <v>93</v>
      </c>
    </row>
    <row r="4" spans="1:6">
      <c r="A4" s="5" t="s">
        <v>94</v>
      </c>
      <c r="B4" s="5" t="s">
        <v>71</v>
      </c>
      <c r="C4" s="5" t="s">
        <v>95</v>
      </c>
      <c r="D4" s="5" t="s">
        <v>72</v>
      </c>
      <c r="E4" s="5" t="s">
        <v>80</v>
      </c>
      <c r="F4" s="5" t="s">
        <v>8</v>
      </c>
    </row>
    <row r="5" spans="1:6">
      <c r="A5" s="6" t="s">
        <v>96</v>
      </c>
      <c r="B5" s="10">
        <v>76.795000000000002</v>
      </c>
      <c r="C5" s="14">
        <v>0.245</v>
      </c>
      <c r="D5" s="10">
        <v>40.558</v>
      </c>
      <c r="E5" s="14">
        <v>0.52800000000000002</v>
      </c>
      <c r="F5" s="6" t="s">
        <v>97</v>
      </c>
    </row>
    <row r="6" spans="1:6">
      <c r="A6" s="6" t="s">
        <v>98</v>
      </c>
      <c r="B6" s="10">
        <v>15.484</v>
      </c>
      <c r="C6" s="14">
        <v>-3.2000000000000001E-2</v>
      </c>
      <c r="D6" s="10">
        <v>5.3570000000000002</v>
      </c>
      <c r="E6" s="14">
        <v>0.34599999999999997</v>
      </c>
      <c r="F6" s="6" t="s">
        <v>99</v>
      </c>
    </row>
    <row r="7" spans="1:6">
      <c r="A7" s="16" t="s">
        <v>100</v>
      </c>
      <c r="B7" s="10">
        <v>92.278999999999996</v>
      </c>
      <c r="C7" s="14">
        <v>0.188</v>
      </c>
      <c r="D7" s="10">
        <v>45.914999999999999</v>
      </c>
      <c r="E7" s="14">
        <v>0.498</v>
      </c>
      <c r="F7" s="6" t="s">
        <v>101</v>
      </c>
    </row>
    <row r="9" spans="1:6" ht="16.2">
      <c r="A9" s="3" t="s">
        <v>102</v>
      </c>
      <c r="B9" s="4"/>
      <c r="C9" s="4"/>
      <c r="D9" s="4"/>
      <c r="E9" s="4"/>
      <c r="F9" s="4"/>
    </row>
    <row r="10" spans="1:6">
      <c r="A10" s="5" t="s">
        <v>103</v>
      </c>
      <c r="B10" s="5" t="s">
        <v>71</v>
      </c>
      <c r="C10" s="5" t="s">
        <v>95</v>
      </c>
      <c r="D10" s="5"/>
      <c r="E10" s="5"/>
      <c r="F10" s="5" t="s">
        <v>8</v>
      </c>
    </row>
    <row r="11" spans="1:6">
      <c r="A11" s="6" t="s">
        <v>104</v>
      </c>
      <c r="B11" s="10">
        <v>33.164999999999999</v>
      </c>
      <c r="C11" s="14">
        <v>0.48199999999999998</v>
      </c>
      <c r="F11" s="6" t="s">
        <v>105</v>
      </c>
    </row>
    <row r="12" spans="1:6">
      <c r="A12" s="6" t="s">
        <v>106</v>
      </c>
      <c r="B12" s="10">
        <v>27.777999999999999</v>
      </c>
      <c r="C12" s="14">
        <v>0.17199999999999999</v>
      </c>
      <c r="F12" s="6" t="s">
        <v>107</v>
      </c>
    </row>
    <row r="13" spans="1:6">
      <c r="A13" s="6" t="s">
        <v>108</v>
      </c>
      <c r="B13" s="10">
        <v>8.407</v>
      </c>
      <c r="C13" s="14">
        <v>-3.1E-2</v>
      </c>
      <c r="F13" s="6" t="s">
        <v>109</v>
      </c>
    </row>
    <row r="14" spans="1:6">
      <c r="A14" s="6" t="s">
        <v>110</v>
      </c>
      <c r="B14" s="10">
        <v>6.5540000000000003</v>
      </c>
      <c r="C14" s="14">
        <v>0.10299999999999999</v>
      </c>
      <c r="F14" s="6" t="s">
        <v>111</v>
      </c>
    </row>
    <row r="15" spans="1:6">
      <c r="A15" s="6" t="s">
        <v>112</v>
      </c>
      <c r="B15" s="10">
        <v>5.3789999999999996</v>
      </c>
      <c r="C15" s="14">
        <v>-2.3E-2</v>
      </c>
      <c r="F15" s="6" t="s">
        <v>113</v>
      </c>
    </row>
    <row r="16" spans="1:6">
      <c r="A16" s="6" t="s">
        <v>114</v>
      </c>
      <c r="B16" s="10">
        <v>5.3369999999999997</v>
      </c>
      <c r="C16" s="14">
        <v>9.0999999999999998E-2</v>
      </c>
      <c r="F16" s="6" t="s">
        <v>115</v>
      </c>
    </row>
    <row r="17" spans="1:6">
      <c r="A17" s="6" t="s">
        <v>116</v>
      </c>
      <c r="B17" s="10">
        <v>3.5510000000000002</v>
      </c>
      <c r="C17" s="14">
        <v>-0.22</v>
      </c>
      <c r="F17" s="6" t="s">
        <v>117</v>
      </c>
    </row>
    <row r="18" spans="1:6">
      <c r="A18" s="6" t="s">
        <v>118</v>
      </c>
      <c r="B18" s="10">
        <v>2.1080000000000001</v>
      </c>
      <c r="C18" s="14">
        <v>4.2999999999999997E-2</v>
      </c>
      <c r="F18" s="6" t="s">
        <v>119</v>
      </c>
    </row>
    <row r="19" spans="1:6">
      <c r="A19" s="16" t="s">
        <v>100</v>
      </c>
      <c r="B19" s="10">
        <v>92.278999999999996</v>
      </c>
      <c r="C19" s="14">
        <v>0.188</v>
      </c>
      <c r="F19" s="6"/>
    </row>
    <row r="21" spans="1:6" ht="16.2">
      <c r="A21" s="3" t="s">
        <v>120</v>
      </c>
      <c r="B21" s="4"/>
      <c r="C21" s="4"/>
      <c r="D21" s="4"/>
      <c r="E21" s="4"/>
      <c r="F21" s="4"/>
    </row>
    <row r="22" spans="1:6">
      <c r="A22" s="5" t="s">
        <v>69</v>
      </c>
      <c r="B22" s="5" t="s">
        <v>71</v>
      </c>
      <c r="C22" s="5" t="s">
        <v>95</v>
      </c>
      <c r="D22" s="5" t="s">
        <v>72</v>
      </c>
      <c r="E22" s="5" t="s">
        <v>80</v>
      </c>
      <c r="F22" s="5" t="s">
        <v>8</v>
      </c>
    </row>
    <row r="23" spans="1:6">
      <c r="A23" s="6" t="s">
        <v>121</v>
      </c>
      <c r="B23" s="10">
        <v>139.99600000000001</v>
      </c>
      <c r="C23" s="14">
        <v>0.16</v>
      </c>
      <c r="D23" s="10">
        <v>83.879000000000005</v>
      </c>
      <c r="E23" s="14">
        <v>0.59899999999999998</v>
      </c>
      <c r="F23" s="6" t="s">
        <v>122</v>
      </c>
    </row>
    <row r="24" spans="1:6">
      <c r="A24" s="6" t="s">
        <v>123</v>
      </c>
      <c r="B24" s="10">
        <v>137.791</v>
      </c>
      <c r="C24" s="14">
        <v>0.3</v>
      </c>
      <c r="D24" s="10">
        <v>56.972000000000001</v>
      </c>
      <c r="E24" s="14">
        <v>0.41299999999999998</v>
      </c>
      <c r="F24" s="6" t="s">
        <v>124</v>
      </c>
    </row>
    <row r="25" spans="1:6">
      <c r="A25" s="6" t="s">
        <v>125</v>
      </c>
      <c r="B25" s="10">
        <v>54.052</v>
      </c>
      <c r="C25" s="14">
        <v>-0.01</v>
      </c>
      <c r="D25" s="10">
        <v>14.385999999999999</v>
      </c>
      <c r="E25" s="14">
        <v>0.26600000000000001</v>
      </c>
      <c r="F25" s="6" t="s">
        <v>126</v>
      </c>
    </row>
    <row r="26" spans="1:6">
      <c r="A26" s="16" t="s">
        <v>100</v>
      </c>
      <c r="B26" s="10">
        <v>331.839</v>
      </c>
      <c r="C26" s="14">
        <v>0.17799999999999999</v>
      </c>
      <c r="D26" s="10">
        <v>155.23699999999999</v>
      </c>
      <c r="E26" s="14">
        <v>0.46800000000000003</v>
      </c>
      <c r="F26" s="6"/>
    </row>
    <row r="29" spans="1:6" ht="16.2">
      <c r="A29" s="3" t="s">
        <v>127</v>
      </c>
      <c r="B29" s="4"/>
      <c r="C29" s="4"/>
      <c r="D29" s="4"/>
      <c r="E29" s="4"/>
      <c r="F29" s="4"/>
    </row>
    <row r="30" spans="1:6" ht="28.05" customHeight="1">
      <c r="A30" s="27" t="s">
        <v>128</v>
      </c>
      <c r="B30" s="26"/>
      <c r="C30" s="26"/>
      <c r="D30" s="26"/>
      <c r="E30" s="26"/>
      <c r="F30" s="26"/>
    </row>
    <row r="31" spans="1:6" ht="28.05" customHeight="1">
      <c r="A31" s="27" t="s">
        <v>129</v>
      </c>
      <c r="B31" s="26"/>
      <c r="C31" s="26"/>
      <c r="D31" s="26"/>
      <c r="E31" s="26"/>
      <c r="F31" s="26"/>
    </row>
    <row r="32" spans="1:6" ht="28.05" customHeight="1">
      <c r="A32" s="27" t="s">
        <v>130</v>
      </c>
      <c r="B32" s="26"/>
      <c r="C32" s="26"/>
      <c r="D32" s="26"/>
      <c r="E32" s="26"/>
      <c r="F32" s="26"/>
    </row>
    <row r="33" spans="1:6" ht="28.05" customHeight="1">
      <c r="A33" s="27" t="s">
        <v>131</v>
      </c>
      <c r="B33" s="26"/>
      <c r="C33" s="26"/>
      <c r="D33" s="26"/>
      <c r="E33" s="26"/>
      <c r="F33" s="26"/>
    </row>
    <row r="34" spans="1:6" ht="28.05" customHeight="1">
      <c r="A34" s="27" t="s">
        <v>132</v>
      </c>
      <c r="B34" s="26"/>
      <c r="C34" s="26"/>
      <c r="D34" s="26"/>
      <c r="E34" s="26"/>
      <c r="F34" s="26"/>
    </row>
    <row r="35" spans="1:6" ht="28.05" customHeight="1">
      <c r="A35" s="27" t="s">
        <v>133</v>
      </c>
      <c r="B35" s="26"/>
      <c r="C35" s="26"/>
      <c r="D35" s="26"/>
      <c r="E35" s="26"/>
      <c r="F35" s="26"/>
    </row>
    <row r="36" spans="1:6" ht="28.05" customHeight="1">
      <c r="A36" s="27" t="s">
        <v>134</v>
      </c>
      <c r="B36" s="26"/>
      <c r="C36" s="26"/>
      <c r="D36" s="26"/>
      <c r="E36" s="26"/>
      <c r="F36" s="26"/>
    </row>
  </sheetData>
  <mergeCells count="7">
    <mergeCell ref="A30:F30"/>
    <mergeCell ref="A33:F33"/>
    <mergeCell ref="A36:F36"/>
    <mergeCell ref="A32:F32"/>
    <mergeCell ref="A31:F31"/>
    <mergeCell ref="A34:F34"/>
    <mergeCell ref="A35:F35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46" customWidth="1"/>
  </cols>
  <sheetData>
    <row r="1" spans="1:3" ht="23.4">
      <c r="A1" s="1" t="s">
        <v>135</v>
      </c>
    </row>
    <row r="2" spans="1:3" ht="15.6">
      <c r="A2" s="2" t="s">
        <v>136</v>
      </c>
    </row>
    <row r="4" spans="1:3">
      <c r="A4" s="5" t="s">
        <v>6</v>
      </c>
      <c r="B4" s="5" t="s">
        <v>7</v>
      </c>
      <c r="C4" s="5" t="s">
        <v>137</v>
      </c>
    </row>
    <row r="5" spans="1:3">
      <c r="A5" s="6" t="s">
        <v>138</v>
      </c>
      <c r="B5" s="10">
        <v>163.191</v>
      </c>
      <c r="C5" s="6" t="s">
        <v>70</v>
      </c>
    </row>
    <row r="6" spans="1:3">
      <c r="A6" s="6" t="s">
        <v>139</v>
      </c>
      <c r="B6" s="14">
        <v>0.19</v>
      </c>
      <c r="C6" s="6" t="s">
        <v>140</v>
      </c>
    </row>
    <row r="7" spans="1:3">
      <c r="A7" s="6" t="s">
        <v>141</v>
      </c>
      <c r="B7" s="9">
        <f>B5*(1-B6)</f>
        <v>132.18471000000002</v>
      </c>
      <c r="C7" s="6" t="s">
        <v>142</v>
      </c>
    </row>
    <row r="8" spans="1:3">
      <c r="A8" s="6" t="s">
        <v>143</v>
      </c>
      <c r="B8" s="10">
        <v>42.131</v>
      </c>
      <c r="C8" s="6" t="s">
        <v>70</v>
      </c>
    </row>
    <row r="9" spans="1:3">
      <c r="A9" s="6" t="s">
        <v>144</v>
      </c>
      <c r="B9" s="10">
        <v>12.555999999999999</v>
      </c>
      <c r="C9" s="6" t="s">
        <v>145</v>
      </c>
    </row>
    <row r="10" spans="1:3">
      <c r="A10" s="6" t="s">
        <v>146</v>
      </c>
      <c r="B10" s="10">
        <v>135.92099999999999</v>
      </c>
      <c r="C10" s="6" t="s">
        <v>147</v>
      </c>
    </row>
    <row r="11" spans="1:3">
      <c r="A11" s="6" t="s">
        <v>148</v>
      </c>
      <c r="B11" s="10">
        <v>9.0060000000000002</v>
      </c>
      <c r="C11" s="6" t="s">
        <v>149</v>
      </c>
    </row>
    <row r="12" spans="1:3">
      <c r="A12" s="16" t="e">
        <f ca="1">自由现金流(FCFF 口径)</f>
        <v>#NAME?</v>
      </c>
      <c r="B12" s="9">
        <f>B7+B8+B9-B10+B11</f>
        <v>59.956710000000044</v>
      </c>
      <c r="C12" s="6" t="s">
        <v>150</v>
      </c>
    </row>
    <row r="13" spans="1:3">
      <c r="A13" s="6" t="s">
        <v>151</v>
      </c>
      <c r="B13" s="10">
        <v>195.87799999999999</v>
      </c>
      <c r="C13" s="6" t="s">
        <v>70</v>
      </c>
    </row>
    <row r="14" spans="1:3">
      <c r="A14" s="6" t="s">
        <v>146</v>
      </c>
      <c r="B14" s="10">
        <v>135.92099999999999</v>
      </c>
      <c r="C14" s="6" t="s">
        <v>70</v>
      </c>
    </row>
    <row r="15" spans="1:3">
      <c r="A15" s="16" t="e">
        <f>报告 FCF</f>
        <v>#NAME?</v>
      </c>
      <c r="B15" s="9">
        <f>B13-B14</f>
        <v>59.956999999999994</v>
      </c>
      <c r="C15" s="6" t="s">
        <v>70</v>
      </c>
    </row>
    <row r="16" spans="1:3">
      <c r="A16" s="6" t="s">
        <v>84</v>
      </c>
      <c r="B16" s="21">
        <f>B15/B7</f>
        <v>0.4535849872500381</v>
      </c>
      <c r="C16" s="6" t="s">
        <v>152</v>
      </c>
    </row>
    <row r="17" spans="1:3">
      <c r="A17" s="6" t="s">
        <v>83</v>
      </c>
      <c r="B17" s="21">
        <f>B10/346.445</f>
        <v>0.3923306729783948</v>
      </c>
      <c r="C17" s="6" t="s">
        <v>70</v>
      </c>
    </row>
    <row r="18" spans="1:3">
      <c r="A18" s="6" t="s">
        <v>153</v>
      </c>
      <c r="B18" s="12">
        <f>B10/B8</f>
        <v>3.2261517647338063</v>
      </c>
      <c r="C18" s="6" t="s">
        <v>154</v>
      </c>
    </row>
    <row r="20" spans="1:3" ht="16.2">
      <c r="A20" s="3" t="s">
        <v>155</v>
      </c>
      <c r="B20" s="4"/>
      <c r="C20" s="4"/>
    </row>
    <row r="21" spans="1:3" ht="28.05" customHeight="1">
      <c r="A21" s="27" t="s">
        <v>156</v>
      </c>
      <c r="B21" s="26"/>
      <c r="C21" s="26"/>
    </row>
    <row r="22" spans="1:3" ht="28.05" customHeight="1">
      <c r="A22" s="27" t="s">
        <v>157</v>
      </c>
      <c r="B22" s="26"/>
      <c r="C22" s="26"/>
    </row>
    <row r="23" spans="1:3" ht="28.05" customHeight="1">
      <c r="A23" s="27" t="s">
        <v>158</v>
      </c>
      <c r="B23" s="26"/>
      <c r="C23" s="26"/>
    </row>
    <row r="24" spans="1:3" ht="28.05" customHeight="1">
      <c r="A24" s="27" t="s">
        <v>159</v>
      </c>
      <c r="B24" s="26"/>
      <c r="C24" s="26"/>
    </row>
    <row r="25" spans="1:3" ht="28.05" customHeight="1">
      <c r="A25" s="27" t="s">
        <v>160</v>
      </c>
      <c r="B25" s="26"/>
      <c r="C25" s="26"/>
    </row>
  </sheetData>
  <mergeCells count="5">
    <mergeCell ref="A25:C25"/>
    <mergeCell ref="A23:C23"/>
    <mergeCell ref="A22:C22"/>
    <mergeCell ref="A21:C21"/>
    <mergeCell ref="A24:C24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8"/>
  <sheetViews>
    <sheetView showGridLines="0" workbookViewId="0"/>
  </sheetViews>
  <sheetFormatPr defaultRowHeight="14.4"/>
  <cols>
    <col min="1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161</v>
      </c>
    </row>
    <row r="2" spans="1:14" ht="15.6">
      <c r="A2" s="2" t="s">
        <v>162</v>
      </c>
    </row>
    <row r="4" spans="1:14" ht="16.2">
      <c r="A4" s="3" t="s">
        <v>163</v>
      </c>
      <c r="B4" s="4"/>
      <c r="C4" s="4"/>
      <c r="D4" s="4"/>
      <c r="E4" s="4"/>
    </row>
    <row r="5" spans="1:14">
      <c r="A5" s="6" t="s">
        <v>164</v>
      </c>
      <c r="B5" s="10">
        <v>346.44499999999999</v>
      </c>
    </row>
    <row r="6" spans="1:14">
      <c r="A6" s="6" t="s">
        <v>165</v>
      </c>
      <c r="B6" s="22">
        <v>0.19</v>
      </c>
    </row>
    <row r="7" spans="1:14">
      <c r="A7" s="6" t="s">
        <v>166</v>
      </c>
      <c r="B7" s="22">
        <v>0.02</v>
      </c>
    </row>
    <row r="8" spans="1:14">
      <c r="A8" s="6" t="s">
        <v>17</v>
      </c>
      <c r="B8" s="10">
        <v>41.945000000000007</v>
      </c>
    </row>
    <row r="9" spans="1:14">
      <c r="A9" s="6" t="s">
        <v>167</v>
      </c>
      <c r="B9" s="10">
        <v>37.808</v>
      </c>
    </row>
    <row r="10" spans="1:14">
      <c r="A10" s="6" t="s">
        <v>168</v>
      </c>
      <c r="B10" s="22">
        <v>7.4269999999999996</v>
      </c>
    </row>
    <row r="11" spans="1:14" ht="15">
      <c r="A11" s="28" t="s">
        <v>169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3" spans="1:14" ht="16.2">
      <c r="A13" s="3" t="s">
        <v>170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171</v>
      </c>
      <c r="B14" s="14">
        <v>9.2999999999999999E-2</v>
      </c>
      <c r="C14" s="6" t="s">
        <v>172</v>
      </c>
      <c r="D14" s="14">
        <v>0.03</v>
      </c>
    </row>
    <row r="16" spans="1:14">
      <c r="A16" s="5" t="s">
        <v>173</v>
      </c>
      <c r="B16" s="5" t="s">
        <v>79</v>
      </c>
      <c r="C16" s="5" t="s">
        <v>71</v>
      </c>
      <c r="D16" s="5" t="s">
        <v>174</v>
      </c>
      <c r="E16" s="5" t="s">
        <v>175</v>
      </c>
      <c r="F16" s="5" t="s">
        <v>141</v>
      </c>
      <c r="G16" s="5" t="s">
        <v>176</v>
      </c>
      <c r="H16" s="5" t="s">
        <v>177</v>
      </c>
      <c r="I16" s="5" t="s">
        <v>178</v>
      </c>
      <c r="J16" s="5" t="s">
        <v>179</v>
      </c>
      <c r="K16" s="5" t="s">
        <v>180</v>
      </c>
      <c r="L16" s="5" t="s">
        <v>181</v>
      </c>
      <c r="M16" s="5" t="s">
        <v>182</v>
      </c>
      <c r="N16" s="5" t="s">
        <v>183</v>
      </c>
    </row>
    <row r="17" spans="1:14">
      <c r="A17" s="23">
        <v>1</v>
      </c>
      <c r="B17" s="14">
        <v>0.14000000000000001</v>
      </c>
      <c r="C17" s="10">
        <f>$B$5*(1+B17)</f>
        <v>394.94730000000004</v>
      </c>
      <c r="D17" s="14">
        <v>0.45500000000000002</v>
      </c>
      <c r="E17" s="10">
        <f t="shared" ref="E17:E26" si="0">C17*D17</f>
        <v>179.70102150000002</v>
      </c>
      <c r="F17" s="10">
        <f t="shared" ref="F17:F26" si="1">E17*(1-$B$6)</f>
        <v>145.55782741500002</v>
      </c>
      <c r="G17" s="14">
        <v>0.13500000000000001</v>
      </c>
      <c r="H17" s="10">
        <f t="shared" ref="H17:H26" si="2">C17*G17</f>
        <v>53.31788550000001</v>
      </c>
      <c r="I17" s="14">
        <v>0.375</v>
      </c>
      <c r="J17" s="10">
        <f t="shared" ref="J17:J26" si="3">C17*I17</f>
        <v>148.10523750000002</v>
      </c>
      <c r="K17" s="10">
        <f>(C17-$B$5)*$B$7</f>
        <v>0.97004600000000096</v>
      </c>
      <c r="L17" s="10">
        <f t="shared" ref="L17:L26" si="4">F17+H17-J17-K17</f>
        <v>49.800429415000018</v>
      </c>
      <c r="M17" s="8">
        <f>1/(1+$B$14)^1</f>
        <v>0.91491308325709064</v>
      </c>
      <c r="N17" s="10">
        <f t="shared" ref="N17:N26" si="5">L17*M17</f>
        <v>45.563064423604779</v>
      </c>
    </row>
    <row r="18" spans="1:14">
      <c r="A18" s="23">
        <v>2</v>
      </c>
      <c r="B18" s="14">
        <v>0.12</v>
      </c>
      <c r="C18" s="10">
        <f t="shared" ref="C18:C26" si="6">C17*(1+B18)</f>
        <v>442.34097600000007</v>
      </c>
      <c r="D18" s="14">
        <v>0.44</v>
      </c>
      <c r="E18" s="10">
        <f t="shared" si="0"/>
        <v>194.63002944000004</v>
      </c>
      <c r="F18" s="10">
        <f t="shared" si="1"/>
        <v>157.65032384640006</v>
      </c>
      <c r="G18" s="14">
        <v>0.155</v>
      </c>
      <c r="H18" s="10">
        <f t="shared" si="2"/>
        <v>68.562851280000004</v>
      </c>
      <c r="I18" s="14">
        <v>0.36</v>
      </c>
      <c r="J18" s="10">
        <f t="shared" si="3"/>
        <v>159.24275136000003</v>
      </c>
      <c r="K18" s="10">
        <f t="shared" ref="K18:K26" si="7">(C18-C17)*$B$7</f>
        <v>0.94787352000000058</v>
      </c>
      <c r="L18" s="10">
        <f t="shared" si="4"/>
        <v>66.022550246400044</v>
      </c>
      <c r="M18" s="8">
        <f>1/(1+$B$14)^2</f>
        <v>0.83706594991499605</v>
      </c>
      <c r="N18" s="10">
        <f t="shared" si="5"/>
        <v>55.265228737813409</v>
      </c>
    </row>
    <row r="19" spans="1:14">
      <c r="A19" s="23">
        <v>3</v>
      </c>
      <c r="B19" s="14">
        <v>0.09</v>
      </c>
      <c r="C19" s="10">
        <f t="shared" si="6"/>
        <v>482.15166384000008</v>
      </c>
      <c r="D19" s="14">
        <v>0.43</v>
      </c>
      <c r="E19" s="10">
        <f t="shared" si="0"/>
        <v>207.32521545120002</v>
      </c>
      <c r="F19" s="10">
        <f t="shared" si="1"/>
        <v>167.93342451547204</v>
      </c>
      <c r="G19" s="14">
        <v>0.16500000000000001</v>
      </c>
      <c r="H19" s="10">
        <f t="shared" si="2"/>
        <v>79.555024533600019</v>
      </c>
      <c r="I19" s="14">
        <v>0.33</v>
      </c>
      <c r="J19" s="10">
        <f t="shared" si="3"/>
        <v>159.11004906720004</v>
      </c>
      <c r="K19" s="10">
        <f t="shared" si="7"/>
        <v>0.79621375680000028</v>
      </c>
      <c r="L19" s="10">
        <f t="shared" si="4"/>
        <v>87.582186225072036</v>
      </c>
      <c r="M19" s="8">
        <f>1/(1+$B$14)^3</f>
        <v>0.76584258912625436</v>
      </c>
      <c r="N19" s="10">
        <f t="shared" si="5"/>
        <v>67.074168259946944</v>
      </c>
    </row>
    <row r="20" spans="1:14">
      <c r="A20" s="23">
        <v>4</v>
      </c>
      <c r="B20" s="14">
        <v>7.0000000000000007E-2</v>
      </c>
      <c r="C20" s="10">
        <f t="shared" si="6"/>
        <v>515.90228030880007</v>
      </c>
      <c r="D20" s="14">
        <v>0.42499999999999999</v>
      </c>
      <c r="E20" s="10">
        <f t="shared" si="0"/>
        <v>219.25846913124002</v>
      </c>
      <c r="F20" s="10">
        <f t="shared" si="1"/>
        <v>177.59935999630443</v>
      </c>
      <c r="G20" s="14">
        <v>0.16500000000000001</v>
      </c>
      <c r="H20" s="10">
        <f t="shared" si="2"/>
        <v>85.123876250952023</v>
      </c>
      <c r="I20" s="14">
        <v>0.3</v>
      </c>
      <c r="J20" s="10">
        <f t="shared" si="3"/>
        <v>154.77068409264001</v>
      </c>
      <c r="K20" s="10">
        <f t="shared" si="7"/>
        <v>0.67501232937599986</v>
      </c>
      <c r="L20" s="10">
        <f t="shared" si="4"/>
        <v>107.27753982524045</v>
      </c>
      <c r="M20" s="8">
        <f>1/(1+$B$14)^4</f>
        <v>0.70067940450709465</v>
      </c>
      <c r="N20" s="10">
        <f t="shared" si="5"/>
        <v>75.167162721735608</v>
      </c>
    </row>
    <row r="21" spans="1:14">
      <c r="A21" s="23">
        <v>5</v>
      </c>
      <c r="B21" s="14">
        <v>0.05</v>
      </c>
      <c r="C21" s="10">
        <f t="shared" si="6"/>
        <v>541.69739432424012</v>
      </c>
      <c r="D21" s="14">
        <v>0.42499999999999999</v>
      </c>
      <c r="E21" s="10">
        <f t="shared" si="0"/>
        <v>230.22139258780206</v>
      </c>
      <c r="F21" s="10">
        <f t="shared" si="1"/>
        <v>186.47932799611968</v>
      </c>
      <c r="G21" s="14">
        <v>0.155</v>
      </c>
      <c r="H21" s="10">
        <f t="shared" si="2"/>
        <v>83.963096120257219</v>
      </c>
      <c r="I21" s="14">
        <v>0.28000000000000003</v>
      </c>
      <c r="J21" s="10">
        <f t="shared" si="3"/>
        <v>151.67527041078725</v>
      </c>
      <c r="K21" s="10">
        <f t="shared" si="7"/>
        <v>0.51590228030880103</v>
      </c>
      <c r="L21" s="10">
        <f t="shared" si="4"/>
        <v>118.25125142528086</v>
      </c>
      <c r="M21" s="8">
        <f>1/(1+$B$14)^5</f>
        <v>0.64106075435232812</v>
      </c>
      <c r="N21" s="10">
        <f t="shared" si="5"/>
        <v>75.806236441797367</v>
      </c>
    </row>
    <row r="22" spans="1:14">
      <c r="A22" s="23">
        <v>6</v>
      </c>
      <c r="B22" s="14">
        <v>0.04</v>
      </c>
      <c r="C22" s="10">
        <f t="shared" si="6"/>
        <v>563.36529009720971</v>
      </c>
      <c r="D22" s="14">
        <v>0.42499999999999999</v>
      </c>
      <c r="E22" s="10">
        <f t="shared" si="0"/>
        <v>239.43024829131411</v>
      </c>
      <c r="F22" s="10">
        <f t="shared" si="1"/>
        <v>193.93850111596444</v>
      </c>
      <c r="G22" s="14">
        <v>0.14499999999999999</v>
      </c>
      <c r="H22" s="10">
        <f t="shared" si="2"/>
        <v>81.687967064095403</v>
      </c>
      <c r="I22" s="14">
        <v>0.26</v>
      </c>
      <c r="J22" s="10">
        <f t="shared" si="3"/>
        <v>146.47497542527452</v>
      </c>
      <c r="K22" s="10">
        <f t="shared" si="7"/>
        <v>0.43335791545939173</v>
      </c>
      <c r="L22" s="10">
        <f t="shared" si="4"/>
        <v>128.71813483932596</v>
      </c>
      <c r="M22" s="8">
        <f>1/(1+$B$14)^6</f>
        <v>0.586514871319605</v>
      </c>
      <c r="N22" s="10">
        <f t="shared" si="5"/>
        <v>75.495100291786827</v>
      </c>
    </row>
    <row r="23" spans="1:14">
      <c r="A23" s="23">
        <v>7</v>
      </c>
      <c r="B23" s="14">
        <v>0.03</v>
      </c>
      <c r="C23" s="10">
        <f t="shared" si="6"/>
        <v>580.26624880012605</v>
      </c>
      <c r="D23" s="14">
        <v>0.42499999999999999</v>
      </c>
      <c r="E23" s="10">
        <f t="shared" si="0"/>
        <v>246.61315574005357</v>
      </c>
      <c r="F23" s="10">
        <f t="shared" si="1"/>
        <v>199.75665614944342</v>
      </c>
      <c r="G23" s="14">
        <v>0.13500000000000001</v>
      </c>
      <c r="H23" s="10">
        <f t="shared" si="2"/>
        <v>78.335943588017017</v>
      </c>
      <c r="I23" s="14">
        <v>0.24</v>
      </c>
      <c r="J23" s="10">
        <f t="shared" si="3"/>
        <v>139.26389971203025</v>
      </c>
      <c r="K23" s="10">
        <f t="shared" si="7"/>
        <v>0.33801917405832682</v>
      </c>
      <c r="L23" s="10">
        <f t="shared" si="4"/>
        <v>138.49068085137185</v>
      </c>
      <c r="M23" s="8">
        <f>1/(1+$B$14)^7</f>
        <v>0.5366101292951555</v>
      </c>
      <c r="N23" s="10">
        <f t="shared" si="5"/>
        <v>74.31550215782876</v>
      </c>
    </row>
    <row r="24" spans="1:14">
      <c r="A24" s="23">
        <v>8</v>
      </c>
      <c r="B24" s="14">
        <v>0.03</v>
      </c>
      <c r="C24" s="10">
        <f t="shared" si="6"/>
        <v>597.67423626412983</v>
      </c>
      <c r="D24" s="14">
        <v>0.42499999999999999</v>
      </c>
      <c r="E24" s="10">
        <f t="shared" si="0"/>
        <v>254.01155041225516</v>
      </c>
      <c r="F24" s="10">
        <f t="shared" si="1"/>
        <v>205.7493558339267</v>
      </c>
      <c r="G24" s="14">
        <v>0.13</v>
      </c>
      <c r="H24" s="10">
        <f t="shared" si="2"/>
        <v>77.697650714336888</v>
      </c>
      <c r="I24" s="14">
        <v>0.22</v>
      </c>
      <c r="J24" s="10">
        <f t="shared" si="3"/>
        <v>131.48833197810856</v>
      </c>
      <c r="K24" s="10">
        <f t="shared" si="7"/>
        <v>0.34815974928007565</v>
      </c>
      <c r="L24" s="10">
        <f t="shared" si="4"/>
        <v>151.61051482087493</v>
      </c>
      <c r="M24" s="8">
        <f>1/(1+$B$14)^8</f>
        <v>0.4909516279004168</v>
      </c>
      <c r="N24" s="10">
        <f t="shared" si="5"/>
        <v>74.433429058128809</v>
      </c>
    </row>
    <row r="25" spans="1:14">
      <c r="A25" s="23">
        <v>9</v>
      </c>
      <c r="B25" s="14">
        <v>0.02</v>
      </c>
      <c r="C25" s="10">
        <f t="shared" si="6"/>
        <v>609.62772098941241</v>
      </c>
      <c r="D25" s="14">
        <v>0.42499999999999999</v>
      </c>
      <c r="E25" s="10">
        <f t="shared" si="0"/>
        <v>259.09178142050024</v>
      </c>
      <c r="F25" s="10">
        <f t="shared" si="1"/>
        <v>209.86434295060522</v>
      </c>
      <c r="G25" s="14">
        <v>0.125</v>
      </c>
      <c r="H25" s="10">
        <f t="shared" si="2"/>
        <v>76.203465123676551</v>
      </c>
      <c r="I25" s="14">
        <v>0.2</v>
      </c>
      <c r="J25" s="10">
        <f t="shared" si="3"/>
        <v>121.92554419788249</v>
      </c>
      <c r="K25" s="10">
        <f t="shared" si="7"/>
        <v>0.23906969450565158</v>
      </c>
      <c r="L25" s="10">
        <f t="shared" si="4"/>
        <v>163.90319418189361</v>
      </c>
      <c r="M25" s="8">
        <f>1/(1+$B$14)^9</f>
        <v>0.44917806761245821</v>
      </c>
      <c r="N25" s="10">
        <f t="shared" si="5"/>
        <v>73.62172003813248</v>
      </c>
    </row>
    <row r="26" spans="1:14">
      <c r="A26" s="23">
        <v>10</v>
      </c>
      <c r="B26" s="14">
        <v>0.02</v>
      </c>
      <c r="C26" s="10">
        <f t="shared" si="6"/>
        <v>621.82027540920069</v>
      </c>
      <c r="D26" s="14">
        <v>0.42499999999999999</v>
      </c>
      <c r="E26" s="10">
        <f t="shared" si="0"/>
        <v>264.2736170489103</v>
      </c>
      <c r="F26" s="10">
        <f t="shared" si="1"/>
        <v>214.06162980961736</v>
      </c>
      <c r="G26" s="14">
        <v>0.12</v>
      </c>
      <c r="H26" s="10">
        <f t="shared" si="2"/>
        <v>74.618433049104084</v>
      </c>
      <c r="I26" s="14">
        <v>0.185</v>
      </c>
      <c r="J26" s="10">
        <f t="shared" si="3"/>
        <v>115.03675095070213</v>
      </c>
      <c r="K26" s="10">
        <f t="shared" si="7"/>
        <v>0.24385108839576561</v>
      </c>
      <c r="L26" s="10">
        <f t="shared" si="4"/>
        <v>173.39946081962356</v>
      </c>
      <c r="M26" s="8">
        <f>1/(1+$B$14)^10</f>
        <v>0.41095889077077608</v>
      </c>
      <c r="N26" s="10">
        <f t="shared" si="5"/>
        <v>71.260050078683136</v>
      </c>
    </row>
    <row r="27" spans="1:14">
      <c r="A27" s="16" t="s">
        <v>184</v>
      </c>
      <c r="B27" s="10">
        <f>L26*(1+$D$14)/($B$14-$D$14)</f>
        <v>2834.9435657811473</v>
      </c>
    </row>
    <row r="28" spans="1:14">
      <c r="A28" s="6" t="s">
        <v>185</v>
      </c>
      <c r="B28" s="10">
        <f>B27/(1+$B$14)^10</f>
        <v>1165.0452631911689</v>
      </c>
    </row>
    <row r="29" spans="1:14">
      <c r="A29" s="16" t="s">
        <v>186</v>
      </c>
      <c r="B29" s="10">
        <f>SUM(N17:N26)+B28</f>
        <v>1853.0469254006271</v>
      </c>
    </row>
    <row r="30" spans="1:14">
      <c r="A30" s="6" t="s">
        <v>187</v>
      </c>
      <c r="B30" s="10">
        <f>$B$8</f>
        <v>41.945000000000007</v>
      </c>
    </row>
    <row r="31" spans="1:14">
      <c r="A31" s="16" t="s">
        <v>188</v>
      </c>
      <c r="B31" s="10">
        <f>B29-B30</f>
        <v>1811.1019254006271</v>
      </c>
    </row>
    <row r="32" spans="1:14">
      <c r="A32" s="16" t="s">
        <v>189</v>
      </c>
      <c r="B32" s="7">
        <f>B31/$B$10</f>
        <v>243.85376671612053</v>
      </c>
      <c r="C32" s="6" t="s">
        <v>190</v>
      </c>
    </row>
    <row r="36" spans="1:14" ht="16.2">
      <c r="A36" s="3" t="s">
        <v>191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171</v>
      </c>
      <c r="B37" s="14">
        <v>8.7999999999999995E-2</v>
      </c>
      <c r="C37" s="6" t="s">
        <v>172</v>
      </c>
      <c r="D37" s="14">
        <v>3.5000000000000003E-2</v>
      </c>
    </row>
    <row r="39" spans="1:14">
      <c r="A39" s="5" t="s">
        <v>173</v>
      </c>
      <c r="B39" s="5" t="s">
        <v>79</v>
      </c>
      <c r="C39" s="5" t="s">
        <v>71</v>
      </c>
      <c r="D39" s="5" t="s">
        <v>174</v>
      </c>
      <c r="E39" s="5" t="s">
        <v>175</v>
      </c>
      <c r="F39" s="5" t="s">
        <v>141</v>
      </c>
      <c r="G39" s="5" t="s">
        <v>176</v>
      </c>
      <c r="H39" s="5" t="s">
        <v>177</v>
      </c>
      <c r="I39" s="5" t="s">
        <v>178</v>
      </c>
      <c r="J39" s="5" t="s">
        <v>179</v>
      </c>
      <c r="K39" s="5" t="s">
        <v>180</v>
      </c>
      <c r="L39" s="5" t="s">
        <v>181</v>
      </c>
      <c r="M39" s="5" t="s">
        <v>182</v>
      </c>
      <c r="N39" s="5" t="s">
        <v>183</v>
      </c>
    </row>
    <row r="40" spans="1:14">
      <c r="A40" s="23">
        <v>1</v>
      </c>
      <c r="B40" s="14">
        <v>0.17199999999999999</v>
      </c>
      <c r="C40" s="10">
        <f>$B$5*(1+B40)</f>
        <v>406.03353999999996</v>
      </c>
      <c r="D40" s="14">
        <v>0.47</v>
      </c>
      <c r="E40" s="10">
        <f t="shared" ref="E40:E49" si="8">C40*D40</f>
        <v>190.83576379999997</v>
      </c>
      <c r="F40" s="10">
        <f t="shared" ref="F40:F49" si="9">E40*(1-$B$6)</f>
        <v>154.57696867799999</v>
      </c>
      <c r="G40" s="14">
        <v>0.13</v>
      </c>
      <c r="H40" s="10">
        <f t="shared" ref="H40:H49" si="10">C40*G40</f>
        <v>52.784360199999995</v>
      </c>
      <c r="I40" s="14">
        <v>0.36499999999999999</v>
      </c>
      <c r="J40" s="10">
        <f t="shared" ref="J40:J49" si="11">C40*I40</f>
        <v>148.20224209999998</v>
      </c>
      <c r="K40" s="10">
        <f>(C40-$B$5)*$B$7</f>
        <v>1.1917707999999994</v>
      </c>
      <c r="L40" s="10">
        <f t="shared" ref="L40:L49" si="12">F40+H40-J40-K40</f>
        <v>57.967315978000016</v>
      </c>
      <c r="M40" s="8">
        <f>1/(1+$B$37)^1</f>
        <v>0.91911764705882348</v>
      </c>
      <c r="N40" s="10">
        <f t="shared" ref="N40:N49" si="13">L40*M40</f>
        <v>53.278783068014718</v>
      </c>
    </row>
    <row r="41" spans="1:14">
      <c r="A41" s="23">
        <v>2</v>
      </c>
      <c r="B41" s="14">
        <v>0.16</v>
      </c>
      <c r="C41" s="10">
        <f t="shared" ref="C41:C49" si="14">C40*(1+B41)</f>
        <v>470.9989063999999</v>
      </c>
      <c r="D41" s="14">
        <v>0.46500000000000002</v>
      </c>
      <c r="E41" s="10">
        <f t="shared" si="8"/>
        <v>219.01449147599996</v>
      </c>
      <c r="F41" s="10">
        <f t="shared" si="9"/>
        <v>177.40173809555998</v>
      </c>
      <c r="G41" s="14">
        <v>0.15</v>
      </c>
      <c r="H41" s="10">
        <f t="shared" si="10"/>
        <v>70.649835959999976</v>
      </c>
      <c r="I41" s="14">
        <v>0.32</v>
      </c>
      <c r="J41" s="10">
        <f t="shared" si="11"/>
        <v>150.71965004799998</v>
      </c>
      <c r="K41" s="10">
        <f t="shared" ref="K41:K49" si="15">(C41-C40)*$B$7</f>
        <v>1.2993073279999987</v>
      </c>
      <c r="L41" s="10">
        <f t="shared" si="12"/>
        <v>96.032616679559993</v>
      </c>
      <c r="M41" s="8">
        <f>1/(1+$B$37)^2</f>
        <v>0.84477724913494801</v>
      </c>
      <c r="N41" s="10">
        <f t="shared" si="13"/>
        <v>81.12616974578961</v>
      </c>
    </row>
    <row r="42" spans="1:14">
      <c r="A42" s="23">
        <v>3</v>
      </c>
      <c r="B42" s="14">
        <v>0.14000000000000001</v>
      </c>
      <c r="C42" s="10">
        <f t="shared" si="14"/>
        <v>536.93875329599996</v>
      </c>
      <c r="D42" s="14">
        <v>0.46500000000000002</v>
      </c>
      <c r="E42" s="10">
        <f t="shared" si="8"/>
        <v>249.67652028263998</v>
      </c>
      <c r="F42" s="10">
        <f t="shared" si="9"/>
        <v>202.23798142893841</v>
      </c>
      <c r="G42" s="14">
        <v>0.16</v>
      </c>
      <c r="H42" s="10">
        <f t="shared" si="10"/>
        <v>85.91020052735999</v>
      </c>
      <c r="I42" s="14">
        <v>0.27</v>
      </c>
      <c r="J42" s="10">
        <f t="shared" si="11"/>
        <v>144.97346338992</v>
      </c>
      <c r="K42" s="10">
        <f t="shared" si="15"/>
        <v>1.3187969379200013</v>
      </c>
      <c r="L42" s="10">
        <f t="shared" si="12"/>
        <v>141.85592162845839</v>
      </c>
      <c r="M42" s="8">
        <f>1/(1+$B$37)^3</f>
        <v>0.77644967751373895</v>
      </c>
      <c r="N42" s="10">
        <f t="shared" si="13"/>
        <v>110.14398460183074</v>
      </c>
    </row>
    <row r="43" spans="1:14">
      <c r="A43" s="23">
        <v>4</v>
      </c>
      <c r="B43" s="14">
        <v>0.12</v>
      </c>
      <c r="C43" s="10">
        <f t="shared" si="14"/>
        <v>601.37140369151996</v>
      </c>
      <c r="D43" s="14">
        <v>0.47</v>
      </c>
      <c r="E43" s="10">
        <f t="shared" si="8"/>
        <v>282.64455973501435</v>
      </c>
      <c r="F43" s="10">
        <f t="shared" si="9"/>
        <v>228.94209338536163</v>
      </c>
      <c r="G43" s="14">
        <v>0.16</v>
      </c>
      <c r="H43" s="10">
        <f t="shared" si="10"/>
        <v>96.2194245906432</v>
      </c>
      <c r="I43" s="14">
        <v>0.23</v>
      </c>
      <c r="J43" s="10">
        <f t="shared" si="11"/>
        <v>138.31542284904958</v>
      </c>
      <c r="K43" s="10">
        <f t="shared" si="15"/>
        <v>1.2886530079103999</v>
      </c>
      <c r="L43" s="10">
        <f t="shared" si="12"/>
        <v>185.55744211904482</v>
      </c>
      <c r="M43" s="8">
        <f>1/(1+$B$37)^4</f>
        <v>0.71364860065600999</v>
      </c>
      <c r="N43" s="10">
        <f t="shared" si="13"/>
        <v>132.42280890956491</v>
      </c>
    </row>
    <row r="44" spans="1:14">
      <c r="A44" s="23">
        <v>5</v>
      </c>
      <c r="B44" s="14">
        <v>0.1</v>
      </c>
      <c r="C44" s="10">
        <f t="shared" si="14"/>
        <v>661.50854406067197</v>
      </c>
      <c r="D44" s="14">
        <v>0.47499999999999998</v>
      </c>
      <c r="E44" s="10">
        <f t="shared" si="8"/>
        <v>314.21655842881916</v>
      </c>
      <c r="F44" s="10">
        <f t="shared" si="9"/>
        <v>254.51541232734354</v>
      </c>
      <c r="G44" s="14">
        <v>0.15</v>
      </c>
      <c r="H44" s="10">
        <f t="shared" si="10"/>
        <v>99.226281609100795</v>
      </c>
      <c r="I44" s="14">
        <v>0.2</v>
      </c>
      <c r="J44" s="10">
        <f t="shared" si="11"/>
        <v>132.30170881213439</v>
      </c>
      <c r="K44" s="10">
        <f t="shared" si="15"/>
        <v>1.2027428073830402</v>
      </c>
      <c r="L44" s="10">
        <f t="shared" si="12"/>
        <v>220.23724231692691</v>
      </c>
      <c r="M44" s="8">
        <f>1/(1+$B$37)^5</f>
        <v>0.65592702266177383</v>
      </c>
      <c r="N44" s="10">
        <f t="shared" si="13"/>
        <v>144.45955863218148</v>
      </c>
    </row>
    <row r="45" spans="1:14">
      <c r="A45" s="23">
        <v>6</v>
      </c>
      <c r="B45" s="14">
        <v>0.09</v>
      </c>
      <c r="C45" s="10">
        <f t="shared" si="14"/>
        <v>721.0443130261325</v>
      </c>
      <c r="D45" s="14">
        <v>0.48</v>
      </c>
      <c r="E45" s="10">
        <f t="shared" si="8"/>
        <v>346.1012702525436</v>
      </c>
      <c r="F45" s="10">
        <f t="shared" si="9"/>
        <v>280.34202890456032</v>
      </c>
      <c r="G45" s="14">
        <v>0.14000000000000001</v>
      </c>
      <c r="H45" s="10">
        <f t="shared" si="10"/>
        <v>100.94620382365856</v>
      </c>
      <c r="I45" s="14">
        <v>0.18</v>
      </c>
      <c r="J45" s="10">
        <f t="shared" si="11"/>
        <v>129.78797634470385</v>
      </c>
      <c r="K45" s="10">
        <f t="shared" si="15"/>
        <v>1.1907153793092107</v>
      </c>
      <c r="L45" s="10">
        <f t="shared" si="12"/>
        <v>250.30954100420581</v>
      </c>
      <c r="M45" s="8">
        <f>1/(1+$B$37)^6</f>
        <v>0.60287410171118916</v>
      </c>
      <c r="N45" s="10">
        <f t="shared" si="13"/>
        <v>150.90513968265066</v>
      </c>
    </row>
    <row r="46" spans="1:14">
      <c r="A46" s="23">
        <v>7</v>
      </c>
      <c r="B46" s="14">
        <v>0.08</v>
      </c>
      <c r="C46" s="10">
        <f t="shared" si="14"/>
        <v>778.7278580682231</v>
      </c>
      <c r="D46" s="14">
        <v>0.48</v>
      </c>
      <c r="E46" s="10">
        <f t="shared" si="8"/>
        <v>373.7893718727471</v>
      </c>
      <c r="F46" s="10">
        <f t="shared" si="9"/>
        <v>302.76939121692516</v>
      </c>
      <c r="G46" s="14">
        <v>0.13</v>
      </c>
      <c r="H46" s="10">
        <f t="shared" si="10"/>
        <v>101.234621548869</v>
      </c>
      <c r="I46" s="14">
        <v>0.16500000000000001</v>
      </c>
      <c r="J46" s="10">
        <f t="shared" si="11"/>
        <v>128.49009658125681</v>
      </c>
      <c r="K46" s="10">
        <f t="shared" si="15"/>
        <v>1.153670900841812</v>
      </c>
      <c r="L46" s="10">
        <f t="shared" si="12"/>
        <v>274.36024528369558</v>
      </c>
      <c r="M46" s="8">
        <f>1/(1+$B$37)^7</f>
        <v>0.55411222583748998</v>
      </c>
      <c r="N46" s="10">
        <f t="shared" si="13"/>
        <v>152.02636619546826</v>
      </c>
    </row>
    <row r="47" spans="1:14">
      <c r="A47" s="23">
        <v>8</v>
      </c>
      <c r="B47" s="14">
        <v>7.0000000000000007E-2</v>
      </c>
      <c r="C47" s="10">
        <f t="shared" si="14"/>
        <v>833.23880813299877</v>
      </c>
      <c r="D47" s="14">
        <v>0.48</v>
      </c>
      <c r="E47" s="10">
        <f t="shared" si="8"/>
        <v>399.95462790383937</v>
      </c>
      <c r="F47" s="10">
        <f t="shared" si="9"/>
        <v>323.9632486021099</v>
      </c>
      <c r="G47" s="14">
        <v>0.125</v>
      </c>
      <c r="H47" s="10">
        <f t="shared" si="10"/>
        <v>104.15485101662485</v>
      </c>
      <c r="I47" s="14">
        <v>0.155</v>
      </c>
      <c r="J47" s="10">
        <f t="shared" si="11"/>
        <v>129.1520152606148</v>
      </c>
      <c r="K47" s="10">
        <f t="shared" si="15"/>
        <v>1.0902190012955135</v>
      </c>
      <c r="L47" s="10">
        <f t="shared" si="12"/>
        <v>297.87586535682442</v>
      </c>
      <c r="M47" s="8">
        <f>1/(1+$B$37)^8</f>
        <v>0.50929432521828111</v>
      </c>
      <c r="N47" s="10">
        <f t="shared" si="13"/>
        <v>151.70648784571546</v>
      </c>
    </row>
    <row r="48" spans="1:14">
      <c r="A48" s="23">
        <v>9</v>
      </c>
      <c r="B48" s="14">
        <v>0.06</v>
      </c>
      <c r="C48" s="10">
        <f t="shared" si="14"/>
        <v>883.23313662097871</v>
      </c>
      <c r="D48" s="14">
        <v>0.48</v>
      </c>
      <c r="E48" s="10">
        <f t="shared" si="8"/>
        <v>423.95190557806978</v>
      </c>
      <c r="F48" s="10">
        <f t="shared" si="9"/>
        <v>343.40104351823652</v>
      </c>
      <c r="G48" s="14">
        <v>0.12</v>
      </c>
      <c r="H48" s="10">
        <f t="shared" si="10"/>
        <v>105.98797639451745</v>
      </c>
      <c r="I48" s="14">
        <v>0.15</v>
      </c>
      <c r="J48" s="10">
        <f t="shared" si="11"/>
        <v>132.48497049314679</v>
      </c>
      <c r="K48" s="10">
        <f t="shared" si="15"/>
        <v>0.99988656975959889</v>
      </c>
      <c r="L48" s="10">
        <f t="shared" si="12"/>
        <v>315.90416284984758</v>
      </c>
      <c r="M48" s="8">
        <f>1/(1+$B$37)^9</f>
        <v>0.46810140185503785</v>
      </c>
      <c r="N48" s="10">
        <f t="shared" si="13"/>
        <v>147.87518148185583</v>
      </c>
    </row>
    <row r="49" spans="1:14">
      <c r="A49" s="23">
        <v>10</v>
      </c>
      <c r="B49" s="14">
        <v>0.05</v>
      </c>
      <c r="C49" s="10">
        <f t="shared" si="14"/>
        <v>927.39479345202767</v>
      </c>
      <c r="D49" s="14">
        <v>0.48</v>
      </c>
      <c r="E49" s="10">
        <f t="shared" si="8"/>
        <v>445.14950085697325</v>
      </c>
      <c r="F49" s="10">
        <f t="shared" si="9"/>
        <v>360.57109569414837</v>
      </c>
      <c r="G49" s="14">
        <v>0.115</v>
      </c>
      <c r="H49" s="10">
        <f t="shared" si="10"/>
        <v>106.65040124698319</v>
      </c>
      <c r="I49" s="14">
        <v>0.14499999999999999</v>
      </c>
      <c r="J49" s="10">
        <f t="shared" si="11"/>
        <v>134.47224505054399</v>
      </c>
      <c r="K49" s="10">
        <f t="shared" si="15"/>
        <v>0.88323313662097913</v>
      </c>
      <c r="L49" s="10">
        <f t="shared" si="12"/>
        <v>331.86601875396667</v>
      </c>
      <c r="M49" s="8">
        <f>1/(1+$B$37)^10</f>
        <v>0.43024025905793917</v>
      </c>
      <c r="N49" s="10">
        <f t="shared" si="13"/>
        <v>142.78212188123351</v>
      </c>
    </row>
    <row r="50" spans="1:14">
      <c r="A50" s="16" t="s">
        <v>184</v>
      </c>
      <c r="B50" s="10">
        <f>L49*(1+$D$37)/($B$37-$D$37)</f>
        <v>6480.7798001953879</v>
      </c>
    </row>
    <row r="51" spans="1:14">
      <c r="A51" s="6" t="s">
        <v>185</v>
      </c>
      <c r="B51" s="10">
        <f>B50/(1+$B$37)^10</f>
        <v>2788.2923801335228</v>
      </c>
    </row>
    <row r="52" spans="1:14">
      <c r="A52" s="16" t="s">
        <v>186</v>
      </c>
      <c r="B52" s="10">
        <f>SUM(N40:N49)+B51</f>
        <v>4055.0189821778276</v>
      </c>
    </row>
    <row r="53" spans="1:14">
      <c r="A53" s="6" t="s">
        <v>187</v>
      </c>
      <c r="B53" s="10">
        <f>$B$8</f>
        <v>41.945000000000007</v>
      </c>
    </row>
    <row r="54" spans="1:14">
      <c r="A54" s="16" t="s">
        <v>188</v>
      </c>
      <c r="B54" s="10">
        <f>B52-B53</f>
        <v>4013.0739821778275</v>
      </c>
    </row>
    <row r="55" spans="1:14">
      <c r="A55" s="16" t="s">
        <v>189</v>
      </c>
      <c r="B55" s="7">
        <f>B54/$B$10</f>
        <v>540.33579940458162</v>
      </c>
      <c r="C55" s="6" t="s">
        <v>192</v>
      </c>
    </row>
    <row r="59" spans="1:14" ht="16.2">
      <c r="A59" s="3" t="s">
        <v>193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171</v>
      </c>
      <c r="B60" s="14">
        <v>8.2000000000000003E-2</v>
      </c>
      <c r="C60" s="6" t="s">
        <v>172</v>
      </c>
      <c r="D60" s="14">
        <v>0.04</v>
      </c>
    </row>
    <row r="62" spans="1:14">
      <c r="A62" s="5" t="s">
        <v>173</v>
      </c>
      <c r="B62" s="5" t="s">
        <v>79</v>
      </c>
      <c r="C62" s="5" t="s">
        <v>71</v>
      </c>
      <c r="D62" s="5" t="s">
        <v>174</v>
      </c>
      <c r="E62" s="5" t="s">
        <v>175</v>
      </c>
      <c r="F62" s="5" t="s">
        <v>141</v>
      </c>
      <c r="G62" s="5" t="s">
        <v>176</v>
      </c>
      <c r="H62" s="5" t="s">
        <v>177</v>
      </c>
      <c r="I62" s="5" t="s">
        <v>178</v>
      </c>
      <c r="J62" s="5" t="s">
        <v>179</v>
      </c>
      <c r="K62" s="5" t="s">
        <v>180</v>
      </c>
      <c r="L62" s="5" t="s">
        <v>181</v>
      </c>
      <c r="M62" s="5" t="s">
        <v>182</v>
      </c>
      <c r="N62" s="5" t="s">
        <v>183</v>
      </c>
    </row>
    <row r="63" spans="1:14">
      <c r="A63" s="23">
        <v>1</v>
      </c>
      <c r="B63" s="14">
        <v>0.19</v>
      </c>
      <c r="C63" s="10">
        <f>$B$5*(1+B63)</f>
        <v>412.26954999999998</v>
      </c>
      <c r="D63" s="14">
        <v>0.48</v>
      </c>
      <c r="E63" s="10">
        <f t="shared" ref="E63:E72" si="16">C63*D63</f>
        <v>197.88938399999998</v>
      </c>
      <c r="F63" s="10">
        <f t="shared" ref="F63:F72" si="17">E63*(1-$B$6)</f>
        <v>160.29040104000001</v>
      </c>
      <c r="G63" s="14">
        <v>0.13</v>
      </c>
      <c r="H63" s="10">
        <f t="shared" ref="H63:H72" si="18">C63*G63</f>
        <v>53.595041500000001</v>
      </c>
      <c r="I63" s="14">
        <v>0.35499999999999998</v>
      </c>
      <c r="J63" s="10">
        <f t="shared" ref="J63:J72" si="19">C63*I63</f>
        <v>146.35569024999998</v>
      </c>
      <c r="K63" s="10">
        <f>(C63-$B$5)*$B$7</f>
        <v>1.3164909999999999</v>
      </c>
      <c r="L63" s="10">
        <f t="shared" ref="L63:L72" si="20">F63+H63-J63-K63</f>
        <v>66.213261290000034</v>
      </c>
      <c r="M63" s="8">
        <f>1/(1+$B$60)^1</f>
        <v>0.92421441774491675</v>
      </c>
      <c r="N63" s="10">
        <f t="shared" ref="N63:N72" si="21">L63*M63</f>
        <v>61.195250730129416</v>
      </c>
    </row>
    <row r="64" spans="1:14">
      <c r="A64" s="23">
        <v>2</v>
      </c>
      <c r="B64" s="14">
        <v>0.18</v>
      </c>
      <c r="C64" s="10">
        <f t="shared" ref="C64:C72" si="22">C63*(1+B64)</f>
        <v>486.47806899999995</v>
      </c>
      <c r="D64" s="14">
        <v>0.48499999999999999</v>
      </c>
      <c r="E64" s="10">
        <f t="shared" si="16"/>
        <v>235.94186346499995</v>
      </c>
      <c r="F64" s="10">
        <f t="shared" si="17"/>
        <v>191.11290940664998</v>
      </c>
      <c r="G64" s="14">
        <v>0.15</v>
      </c>
      <c r="H64" s="10">
        <f t="shared" si="18"/>
        <v>72.971710349999995</v>
      </c>
      <c r="I64" s="14">
        <v>0.30499999999999999</v>
      </c>
      <c r="J64" s="10">
        <f t="shared" si="19"/>
        <v>148.37581104499998</v>
      </c>
      <c r="K64" s="10">
        <f t="shared" ref="K64:K72" si="23">(C64-C63)*$B$7</f>
        <v>1.4841703799999995</v>
      </c>
      <c r="L64" s="10">
        <f t="shared" si="20"/>
        <v>114.22463833165003</v>
      </c>
      <c r="M64" s="8">
        <f>1/(1+$B$60)^2</f>
        <v>0.85417228996757555</v>
      </c>
      <c r="N64" s="10">
        <f t="shared" si="21"/>
        <v>97.567520894463613</v>
      </c>
    </row>
    <row r="65" spans="1:14">
      <c r="A65" s="23">
        <v>3</v>
      </c>
      <c r="B65" s="14">
        <v>0.16</v>
      </c>
      <c r="C65" s="10">
        <f t="shared" si="22"/>
        <v>564.31456003999995</v>
      </c>
      <c r="D65" s="14">
        <v>0.49</v>
      </c>
      <c r="E65" s="10">
        <f t="shared" si="16"/>
        <v>276.51413441959994</v>
      </c>
      <c r="F65" s="10">
        <f t="shared" si="17"/>
        <v>223.97644887987596</v>
      </c>
      <c r="G65" s="14">
        <v>0.16</v>
      </c>
      <c r="H65" s="10">
        <f t="shared" si="18"/>
        <v>90.290329606399993</v>
      </c>
      <c r="I65" s="14">
        <v>0.25</v>
      </c>
      <c r="J65" s="10">
        <f t="shared" si="19"/>
        <v>141.07864000999999</v>
      </c>
      <c r="K65" s="10">
        <f t="shared" si="23"/>
        <v>1.5567298208</v>
      </c>
      <c r="L65" s="10">
        <f t="shared" si="20"/>
        <v>171.63140865547595</v>
      </c>
      <c r="M65" s="8">
        <f>1/(1+$B$60)^3</f>
        <v>0.78943834562622495</v>
      </c>
      <c r="N65" s="10">
        <f t="shared" si="21"/>
        <v>135.49241530647748</v>
      </c>
    </row>
    <row r="66" spans="1:14">
      <c r="A66" s="23">
        <v>4</v>
      </c>
      <c r="B66" s="14">
        <v>0.14000000000000001</v>
      </c>
      <c r="C66" s="10">
        <f t="shared" si="22"/>
        <v>643.31859844560006</v>
      </c>
      <c r="D66" s="14">
        <v>0.495</v>
      </c>
      <c r="E66" s="10">
        <f t="shared" si="16"/>
        <v>318.44270623057201</v>
      </c>
      <c r="F66" s="10">
        <f t="shared" si="17"/>
        <v>257.93859204676335</v>
      </c>
      <c r="G66" s="14">
        <v>0.16</v>
      </c>
      <c r="H66" s="10">
        <f t="shared" si="18"/>
        <v>102.93097575129602</v>
      </c>
      <c r="I66" s="14">
        <v>0.21</v>
      </c>
      <c r="J66" s="10">
        <f t="shared" si="19"/>
        <v>135.096905673576</v>
      </c>
      <c r="K66" s="10">
        <f t="shared" si="23"/>
        <v>1.5800807681120024</v>
      </c>
      <c r="L66" s="10">
        <f t="shared" si="20"/>
        <v>224.19258135637139</v>
      </c>
      <c r="M66" s="8">
        <f>1/(1+$B$60)^4</f>
        <v>0.72961030094845203</v>
      </c>
      <c r="N66" s="10">
        <f t="shared" si="21"/>
        <v>163.57321675383244</v>
      </c>
    </row>
    <row r="67" spans="1:14">
      <c r="A67" s="23">
        <v>5</v>
      </c>
      <c r="B67" s="14">
        <v>0.12</v>
      </c>
      <c r="C67" s="10">
        <f t="shared" si="22"/>
        <v>720.51683025907209</v>
      </c>
      <c r="D67" s="14">
        <v>0.495</v>
      </c>
      <c r="E67" s="10">
        <f t="shared" si="16"/>
        <v>356.65583097824066</v>
      </c>
      <c r="F67" s="10">
        <f t="shared" si="17"/>
        <v>288.89122309237496</v>
      </c>
      <c r="G67" s="14">
        <v>0.15</v>
      </c>
      <c r="H67" s="10">
        <f t="shared" si="18"/>
        <v>108.07752453886081</v>
      </c>
      <c r="I67" s="14">
        <v>0.18</v>
      </c>
      <c r="J67" s="10">
        <f t="shared" si="19"/>
        <v>129.69302944663298</v>
      </c>
      <c r="K67" s="10">
        <f t="shared" si="23"/>
        <v>1.5439646362694408</v>
      </c>
      <c r="L67" s="10">
        <f t="shared" si="20"/>
        <v>265.73175354833336</v>
      </c>
      <c r="M67" s="8">
        <f>1/(1+$B$60)^5</f>
        <v>0.67431635947176705</v>
      </c>
      <c r="N67" s="10">
        <f t="shared" si="21"/>
        <v>179.18726864876098</v>
      </c>
    </row>
    <row r="68" spans="1:14">
      <c r="A68" s="23">
        <v>6</v>
      </c>
      <c r="B68" s="14">
        <v>0.1</v>
      </c>
      <c r="C68" s="10">
        <f t="shared" si="22"/>
        <v>792.56851328497942</v>
      </c>
      <c r="D68" s="14">
        <v>0.495</v>
      </c>
      <c r="E68" s="10">
        <f t="shared" si="16"/>
        <v>392.3214140760648</v>
      </c>
      <c r="F68" s="10">
        <f t="shared" si="17"/>
        <v>317.78034540161252</v>
      </c>
      <c r="G68" s="14">
        <v>0.14000000000000001</v>
      </c>
      <c r="H68" s="10">
        <f t="shared" si="18"/>
        <v>110.95959185989713</v>
      </c>
      <c r="I68" s="14">
        <v>0.16</v>
      </c>
      <c r="J68" s="10">
        <f t="shared" si="19"/>
        <v>126.8109621255967</v>
      </c>
      <c r="K68" s="10">
        <f t="shared" si="23"/>
        <v>1.4410336605181464</v>
      </c>
      <c r="L68" s="10">
        <f t="shared" si="20"/>
        <v>300.48794147539485</v>
      </c>
      <c r="M68" s="8">
        <f>1/(1+$B$60)^6</f>
        <v>0.62321290154507114</v>
      </c>
      <c r="N68" s="10">
        <f t="shared" si="21"/>
        <v>187.26796188618636</v>
      </c>
    </row>
    <row r="69" spans="1:14">
      <c r="A69" s="23">
        <v>7</v>
      </c>
      <c r="B69" s="14">
        <v>0.09</v>
      </c>
      <c r="C69" s="10">
        <f t="shared" si="22"/>
        <v>863.89967948062758</v>
      </c>
      <c r="D69" s="14">
        <v>0.495</v>
      </c>
      <c r="E69" s="10">
        <f t="shared" si="16"/>
        <v>427.63034134291064</v>
      </c>
      <c r="F69" s="10">
        <f t="shared" si="17"/>
        <v>346.38057648775765</v>
      </c>
      <c r="G69" s="14">
        <v>0.13</v>
      </c>
      <c r="H69" s="10">
        <f t="shared" si="18"/>
        <v>112.30695833248159</v>
      </c>
      <c r="I69" s="14">
        <v>0.14499999999999999</v>
      </c>
      <c r="J69" s="10">
        <f t="shared" si="19"/>
        <v>125.265453524691</v>
      </c>
      <c r="K69" s="10">
        <f t="shared" si="23"/>
        <v>1.4266233239129633</v>
      </c>
      <c r="L69" s="10">
        <f t="shared" si="20"/>
        <v>331.99545797163529</v>
      </c>
      <c r="M69" s="8">
        <f>1/(1+$B$60)^7</f>
        <v>0.57598234893259814</v>
      </c>
      <c r="N69" s="10">
        <f t="shared" si="21"/>
        <v>191.22352371745615</v>
      </c>
    </row>
    <row r="70" spans="1:14">
      <c r="A70" s="23">
        <v>8</v>
      </c>
      <c r="B70" s="14">
        <v>0.08</v>
      </c>
      <c r="C70" s="10">
        <f t="shared" si="22"/>
        <v>933.01165383907789</v>
      </c>
      <c r="D70" s="14">
        <v>0.495</v>
      </c>
      <c r="E70" s="10">
        <f t="shared" si="16"/>
        <v>461.84076865034353</v>
      </c>
      <c r="F70" s="10">
        <f t="shared" si="17"/>
        <v>374.09102260677827</v>
      </c>
      <c r="G70" s="14">
        <v>0.125</v>
      </c>
      <c r="H70" s="10">
        <f t="shared" si="18"/>
        <v>116.62645672988474</v>
      </c>
      <c r="I70" s="14">
        <v>0.13500000000000001</v>
      </c>
      <c r="J70" s="10">
        <f t="shared" si="19"/>
        <v>125.95657326827552</v>
      </c>
      <c r="K70" s="10">
        <f t="shared" si="23"/>
        <v>1.3822394871690062</v>
      </c>
      <c r="L70" s="10">
        <f t="shared" si="20"/>
        <v>363.37866658121851</v>
      </c>
      <c r="M70" s="8">
        <f>1/(1+$B$60)^8</f>
        <v>0.53233119125009065</v>
      </c>
      <c r="N70" s="10">
        <f t="shared" si="21"/>
        <v>193.43779845604956</v>
      </c>
    </row>
    <row r="71" spans="1:14">
      <c r="A71" s="23">
        <v>9</v>
      </c>
      <c r="B71" s="14">
        <v>7.0000000000000007E-2</v>
      </c>
      <c r="C71" s="10">
        <f t="shared" si="22"/>
        <v>998.32246960781345</v>
      </c>
      <c r="D71" s="14">
        <v>0.495</v>
      </c>
      <c r="E71" s="10">
        <f t="shared" si="16"/>
        <v>494.16962245586762</v>
      </c>
      <c r="F71" s="10">
        <f t="shared" si="17"/>
        <v>400.27739418925279</v>
      </c>
      <c r="G71" s="14">
        <v>0.12</v>
      </c>
      <c r="H71" s="10">
        <f t="shared" si="18"/>
        <v>119.79869635293761</v>
      </c>
      <c r="I71" s="14">
        <v>0.128</v>
      </c>
      <c r="J71" s="10">
        <f t="shared" si="19"/>
        <v>127.78527610980012</v>
      </c>
      <c r="K71" s="10">
        <f t="shared" si="23"/>
        <v>1.3062163153747111</v>
      </c>
      <c r="L71" s="10">
        <f t="shared" si="20"/>
        <v>390.98459811701559</v>
      </c>
      <c r="M71" s="8">
        <f>1/(1+$B$60)^9</f>
        <v>0.49198816196866046</v>
      </c>
      <c r="N71" s="10">
        <f t="shared" si="21"/>
        <v>192.35979378564588</v>
      </c>
    </row>
    <row r="72" spans="1:14">
      <c r="A72" s="23">
        <v>10</v>
      </c>
      <c r="B72" s="14">
        <v>0.06</v>
      </c>
      <c r="C72" s="10">
        <f t="shared" si="22"/>
        <v>1058.2218177842824</v>
      </c>
      <c r="D72" s="14">
        <v>0.495</v>
      </c>
      <c r="E72" s="10">
        <f t="shared" si="16"/>
        <v>523.81979980321978</v>
      </c>
      <c r="F72" s="10">
        <f t="shared" si="17"/>
        <v>424.29403784060804</v>
      </c>
      <c r="G72" s="14">
        <v>0.115</v>
      </c>
      <c r="H72" s="10">
        <f t="shared" si="18"/>
        <v>121.69550904519248</v>
      </c>
      <c r="I72" s="14">
        <v>0.122</v>
      </c>
      <c r="J72" s="10">
        <f t="shared" si="19"/>
        <v>129.10306176968245</v>
      </c>
      <c r="K72" s="10">
        <f t="shared" si="23"/>
        <v>1.1979869635293789</v>
      </c>
      <c r="L72" s="10">
        <f t="shared" si="20"/>
        <v>415.68849815258875</v>
      </c>
      <c r="M72" s="8">
        <f>1/(1+$B$60)^10</f>
        <v>0.45470255265125731</v>
      </c>
      <c r="N72" s="10">
        <f t="shared" si="21"/>
        <v>189.01462121774955</v>
      </c>
    </row>
    <row r="73" spans="1:14">
      <c r="A73" s="16" t="s">
        <v>184</v>
      </c>
      <c r="B73" s="10">
        <f>L72*(1+$D$60)/($B$60-$D$60)</f>
        <v>10293.239001873626</v>
      </c>
    </row>
    <row r="74" spans="1:14">
      <c r="A74" s="6" t="s">
        <v>185</v>
      </c>
      <c r="B74" s="10">
        <f>B73/(1+$B$60)^10</f>
        <v>4680.3620492014179</v>
      </c>
    </row>
    <row r="75" spans="1:14">
      <c r="A75" s="16" t="s">
        <v>186</v>
      </c>
      <c r="B75" s="10">
        <f>SUM(N63:N72)+B74</f>
        <v>6270.6814205981691</v>
      </c>
    </row>
    <row r="76" spans="1:14">
      <c r="A76" s="6" t="s">
        <v>187</v>
      </c>
      <c r="B76" s="10">
        <f>$B$8</f>
        <v>41.945000000000007</v>
      </c>
    </row>
    <row r="77" spans="1:14">
      <c r="A77" s="16" t="s">
        <v>188</v>
      </c>
      <c r="B77" s="10">
        <f>B75-B76</f>
        <v>6228.7364205981694</v>
      </c>
    </row>
    <row r="78" spans="1:14">
      <c r="A78" s="16" t="s">
        <v>189</v>
      </c>
      <c r="B78" s="7">
        <f>B77/$B$10</f>
        <v>838.66115801779586</v>
      </c>
      <c r="C78" s="6" t="s">
        <v>194</v>
      </c>
    </row>
  </sheetData>
  <mergeCells count="1">
    <mergeCell ref="A11:N11"/>
  </mergeCells>
  <phoneticPr fontId="1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showGridLines="0" workbookViewId="0"/>
  </sheetViews>
  <sheetFormatPr defaultRowHeight="14.4"/>
  <cols>
    <col min="1" max="1" width="26" customWidth="1"/>
    <col min="2" max="7" width="14" customWidth="1"/>
  </cols>
  <sheetData>
    <row r="1" spans="1:2" ht="23.4">
      <c r="A1" s="1" t="s">
        <v>195</v>
      </c>
    </row>
    <row r="2" spans="1:2" ht="15.6">
      <c r="A2" s="2" t="s">
        <v>196</v>
      </c>
    </row>
    <row r="4" spans="1:2">
      <c r="A4" s="5" t="s">
        <v>171</v>
      </c>
      <c r="B4" s="5" t="s">
        <v>189</v>
      </c>
    </row>
    <row r="5" spans="1:2">
      <c r="A5" s="14">
        <v>0.08</v>
      </c>
      <c r="B5" s="24">
        <v>649</v>
      </c>
    </row>
    <row r="6" spans="1:2">
      <c r="A6" s="14">
        <v>8.3000000000000004E-2</v>
      </c>
      <c r="B6" s="24">
        <v>604</v>
      </c>
    </row>
    <row r="7" spans="1:2">
      <c r="A7" s="14">
        <v>8.5999999999999993E-2</v>
      </c>
      <c r="B7" s="24">
        <v>564</v>
      </c>
    </row>
    <row r="8" spans="1:2">
      <c r="A8" s="14">
        <v>8.7999999999999995E-2</v>
      </c>
      <c r="B8" s="24">
        <v>540</v>
      </c>
    </row>
    <row r="9" spans="1:2">
      <c r="A9" s="14">
        <v>0.09</v>
      </c>
      <c r="B9" s="24">
        <v>518</v>
      </c>
    </row>
    <row r="10" spans="1:2">
      <c r="A10" s="14">
        <v>9.2999999999999999E-2</v>
      </c>
      <c r="B10" s="24">
        <v>488</v>
      </c>
    </row>
    <row r="11" spans="1:2">
      <c r="A11" s="14">
        <v>9.6000000000000002E-2</v>
      </c>
      <c r="B11" s="24">
        <v>461</v>
      </c>
    </row>
    <row r="12" spans="1:2">
      <c r="A12" s="14">
        <v>0.1</v>
      </c>
      <c r="B12" s="24">
        <v>428</v>
      </c>
    </row>
    <row r="14" spans="1:2">
      <c r="A14" s="5" t="s">
        <v>197</v>
      </c>
      <c r="B14" s="5" t="s">
        <v>189</v>
      </c>
    </row>
    <row r="15" spans="1:2">
      <c r="A15" s="14">
        <v>0.13</v>
      </c>
      <c r="B15" s="24">
        <v>557</v>
      </c>
    </row>
    <row r="16" spans="1:2">
      <c r="A16" s="14">
        <v>0.14000000000000001</v>
      </c>
      <c r="B16" s="24">
        <v>546</v>
      </c>
    </row>
    <row r="17" spans="1:2">
      <c r="A17" s="14">
        <v>0.15</v>
      </c>
      <c r="B17" s="24">
        <v>535</v>
      </c>
    </row>
    <row r="18" spans="1:2">
      <c r="A18" s="14">
        <v>0.16</v>
      </c>
      <c r="B18" s="24">
        <v>524</v>
      </c>
    </row>
    <row r="19" spans="1:2">
      <c r="A19" s="14">
        <v>0.17</v>
      </c>
      <c r="B19" s="24">
        <v>513</v>
      </c>
    </row>
    <row r="20" spans="1:2">
      <c r="A20" s="14">
        <v>0.18</v>
      </c>
      <c r="B20" s="24">
        <v>502</v>
      </c>
    </row>
    <row r="23" spans="1:2">
      <c r="A23" s="5" t="s">
        <v>198</v>
      </c>
      <c r="B23" s="5" t="s">
        <v>189</v>
      </c>
    </row>
    <row r="24" spans="1:2">
      <c r="A24" s="14">
        <v>0.44</v>
      </c>
      <c r="B24" s="24">
        <v>505</v>
      </c>
    </row>
    <row r="25" spans="1:2">
      <c r="A25" s="14">
        <v>0.45</v>
      </c>
      <c r="B25" s="24">
        <v>514</v>
      </c>
    </row>
    <row r="26" spans="1:2">
      <c r="A26" s="14">
        <v>0.46</v>
      </c>
      <c r="B26" s="24">
        <v>522</v>
      </c>
    </row>
    <row r="27" spans="1:2">
      <c r="A27" s="14">
        <v>0.47</v>
      </c>
      <c r="B27" s="24">
        <v>531</v>
      </c>
    </row>
    <row r="28" spans="1:2">
      <c r="A28" s="14">
        <v>0.48</v>
      </c>
      <c r="B28" s="24">
        <v>540</v>
      </c>
    </row>
    <row r="29" spans="1:2">
      <c r="A29" s="14">
        <v>0.49</v>
      </c>
      <c r="B29" s="24">
        <v>549</v>
      </c>
    </row>
    <row r="30" spans="1:2">
      <c r="A30" s="14">
        <v>0.5</v>
      </c>
      <c r="B30" s="24">
        <v>558</v>
      </c>
    </row>
    <row r="33" spans="1:7" ht="16.2">
      <c r="A33" s="3" t="s">
        <v>199</v>
      </c>
      <c r="B33" s="4"/>
      <c r="C33" s="4"/>
    </row>
    <row r="34" spans="1:7">
      <c r="A34" s="6" t="s">
        <v>200</v>
      </c>
      <c r="B34" s="14">
        <v>0.10896066155781341</v>
      </c>
    </row>
    <row r="35" spans="1:7">
      <c r="A35" s="6" t="s">
        <v>201</v>
      </c>
      <c r="B35" s="14">
        <v>0.1054276568833927</v>
      </c>
    </row>
    <row r="36" spans="1:7">
      <c r="A36" s="6" t="s">
        <v>202</v>
      </c>
      <c r="B36" s="14">
        <v>0.103476364915047</v>
      </c>
    </row>
    <row r="38" spans="1:7" ht="16.2">
      <c r="A38" s="3" t="s">
        <v>203</v>
      </c>
      <c r="B38" s="4"/>
      <c r="C38" s="4"/>
      <c r="D38" s="4"/>
      <c r="E38" s="4"/>
      <c r="F38" s="4"/>
      <c r="G38" s="4"/>
    </row>
    <row r="39" spans="1:7">
      <c r="A39" s="5" t="s">
        <v>204</v>
      </c>
      <c r="B39" s="5" t="s">
        <v>205</v>
      </c>
      <c r="C39" s="5" t="s">
        <v>206</v>
      </c>
      <c r="D39" s="5" t="s">
        <v>207</v>
      </c>
      <c r="E39" s="5"/>
      <c r="F39" s="5"/>
      <c r="G39" s="5"/>
    </row>
    <row r="40" spans="1:7">
      <c r="A40" s="6" t="s">
        <v>208</v>
      </c>
      <c r="B40" s="24">
        <v>510</v>
      </c>
      <c r="C40" s="24">
        <v>514</v>
      </c>
      <c r="D40" s="24">
        <v>518</v>
      </c>
    </row>
    <row r="41" spans="1:7">
      <c r="A41" s="6" t="s">
        <v>209</v>
      </c>
      <c r="B41" s="24">
        <v>569</v>
      </c>
      <c r="C41" s="24">
        <v>572</v>
      </c>
      <c r="D41" s="24">
        <v>576</v>
      </c>
    </row>
    <row r="42" spans="1:7">
      <c r="A42" s="6" t="s">
        <v>210</v>
      </c>
      <c r="B42" s="24">
        <v>607</v>
      </c>
      <c r="C42" s="24">
        <v>611</v>
      </c>
      <c r="D42" s="24">
        <v>615</v>
      </c>
    </row>
    <row r="43" spans="1:7">
      <c r="A43" s="6" t="s">
        <v>211</v>
      </c>
      <c r="B43" s="24">
        <v>646</v>
      </c>
      <c r="C43" s="24">
        <v>650</v>
      </c>
      <c r="D43" s="24">
        <v>654</v>
      </c>
    </row>
    <row r="45" spans="1:7">
      <c r="A45" s="29" t="s">
        <v>212</v>
      </c>
      <c r="B45" s="30"/>
      <c r="C45" s="30"/>
      <c r="D45" s="30"/>
      <c r="E45" s="30"/>
      <c r="F45" s="30"/>
      <c r="G45" s="31"/>
    </row>
  </sheetData>
  <mergeCells count="1">
    <mergeCell ref="A45:G45"/>
  </mergeCells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60" customWidth="1"/>
  </cols>
  <sheetData>
    <row r="1" spans="1:4" ht="23.4">
      <c r="A1" s="1" t="s">
        <v>213</v>
      </c>
    </row>
    <row r="2" spans="1:4" ht="15.6">
      <c r="A2" s="2" t="s">
        <v>214</v>
      </c>
    </row>
    <row r="4" spans="1:4">
      <c r="A4" s="5" t="s">
        <v>215</v>
      </c>
      <c r="B4" s="5" t="s">
        <v>216</v>
      </c>
      <c r="C4" s="5" t="s">
        <v>217</v>
      </c>
      <c r="D4" s="5" t="s">
        <v>218</v>
      </c>
    </row>
    <row r="5" spans="1:4">
      <c r="A5" s="6" t="s">
        <v>219</v>
      </c>
      <c r="B5" s="6" t="s">
        <v>220</v>
      </c>
      <c r="C5" s="20" t="s">
        <v>221</v>
      </c>
      <c r="D5" s="6" t="s">
        <v>222</v>
      </c>
    </row>
    <row r="6" spans="1:4">
      <c r="A6" s="6" t="s">
        <v>223</v>
      </c>
      <c r="B6" s="6" t="s">
        <v>224</v>
      </c>
      <c r="C6" s="20" t="s">
        <v>225</v>
      </c>
      <c r="D6" s="6" t="s">
        <v>226</v>
      </c>
    </row>
    <row r="7" spans="1:4">
      <c r="A7" s="6" t="s">
        <v>227</v>
      </c>
      <c r="B7" s="6" t="s">
        <v>220</v>
      </c>
      <c r="C7" s="20" t="s">
        <v>225</v>
      </c>
      <c r="D7" s="6" t="s">
        <v>228</v>
      </c>
    </row>
    <row r="8" spans="1:4">
      <c r="A8" s="6" t="s">
        <v>229</v>
      </c>
      <c r="B8" s="6" t="s">
        <v>230</v>
      </c>
      <c r="C8" s="20" t="s">
        <v>225</v>
      </c>
      <c r="D8" s="6" t="s">
        <v>231</v>
      </c>
    </row>
    <row r="9" spans="1:4">
      <c r="A9" s="6" t="s">
        <v>232</v>
      </c>
      <c r="B9" s="6" t="s">
        <v>233</v>
      </c>
      <c r="C9" s="20" t="s">
        <v>225</v>
      </c>
      <c r="D9" s="6" t="s">
        <v>234</v>
      </c>
    </row>
    <row r="10" spans="1:4">
      <c r="A10" s="6" t="s">
        <v>235</v>
      </c>
      <c r="B10" s="6" t="s">
        <v>236</v>
      </c>
      <c r="C10" s="20" t="s">
        <v>237</v>
      </c>
      <c r="D10" s="6" t="s">
        <v>238</v>
      </c>
    </row>
    <row r="11" spans="1:4">
      <c r="A11" s="6" t="s">
        <v>239</v>
      </c>
      <c r="B11" s="6" t="s">
        <v>240</v>
      </c>
      <c r="C11" s="20" t="s">
        <v>241</v>
      </c>
      <c r="D11" s="6" t="s">
        <v>242</v>
      </c>
    </row>
    <row r="12" spans="1:4">
      <c r="A12" s="6" t="s">
        <v>243</v>
      </c>
      <c r="B12" s="6" t="s">
        <v>244</v>
      </c>
      <c r="C12" s="20" t="s">
        <v>225</v>
      </c>
      <c r="D12" s="6" t="s">
        <v>245</v>
      </c>
    </row>
    <row r="13" spans="1:4">
      <c r="A13" s="6" t="s">
        <v>246</v>
      </c>
      <c r="B13" s="6" t="s">
        <v>247</v>
      </c>
      <c r="C13" s="20" t="s">
        <v>248</v>
      </c>
      <c r="D13" s="6" t="s">
        <v>249</v>
      </c>
    </row>
    <row r="14" spans="1:4">
      <c r="A14" s="6" t="s">
        <v>250</v>
      </c>
      <c r="B14" s="6" t="s">
        <v>251</v>
      </c>
      <c r="C14" s="20" t="s">
        <v>252</v>
      </c>
      <c r="D14" s="6" t="s">
        <v>253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结论</vt:lpstr>
      <vt:lpstr>历史财务</vt:lpstr>
      <vt:lpstr>分部</vt:lpstr>
      <vt:lpstr>FCFF桥</vt:lpstr>
      <vt:lpstr>DCF</vt:lpstr>
      <vt:lpstr>敏感性</vt:lpstr>
      <vt:lpstr>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2026-10-29T07:49:47Z</dcterms:created>
  <dcterms:modified xsi:type="dcterms:W3CDTF">2026-10-29T10:34:34Z</dcterms:modified>
</cp:coreProperties>
</file>