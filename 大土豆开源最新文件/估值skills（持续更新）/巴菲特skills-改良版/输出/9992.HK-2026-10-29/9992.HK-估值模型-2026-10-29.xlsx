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9992.HK-2026-10-29\"/>
    </mc:Choice>
  </mc:AlternateContent>
  <xr:revisionPtr revIDLastSave="0" documentId="13_ncr:1_{97100EE3-66BB-497B-B637-066975B6B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FCFF桥!$A$1:$C$24</definedName>
    <definedName name="_xlnm.Print_Area" localSheetId="2">分部!$A$1:$F$21</definedName>
    <definedName name="_xlnm.Print_Area" localSheetId="0">结论!$A$1:$M$47</definedName>
    <definedName name="_xlnm.Print_Area" localSheetId="6">来源!$A$1:$D$14</definedName>
    <definedName name="_xlnm.Print_Area" localSheetId="1">历史财务!$A$1:$H$28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B76" i="5"/>
  <c r="M72" i="5"/>
  <c r="M71" i="5"/>
  <c r="M70" i="5"/>
  <c r="M69" i="5"/>
  <c r="M68" i="5"/>
  <c r="M67" i="5"/>
  <c r="M66" i="5"/>
  <c r="M65" i="5"/>
  <c r="M64" i="5"/>
  <c r="M63" i="5"/>
  <c r="C63" i="5"/>
  <c r="B54" i="5"/>
  <c r="B53" i="5"/>
  <c r="M49" i="5"/>
  <c r="M48" i="5"/>
  <c r="M47" i="5"/>
  <c r="M46" i="5"/>
  <c r="M45" i="5"/>
  <c r="M44" i="5"/>
  <c r="M43" i="5"/>
  <c r="M42" i="5"/>
  <c r="M41" i="5"/>
  <c r="M40" i="5"/>
  <c r="C40" i="5"/>
  <c r="B31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L63" i="5" s="1"/>
  <c r="N63" i="5" s="1"/>
  <c r="C41" i="5"/>
  <c r="K40" i="5"/>
  <c r="J40" i="5"/>
  <c r="H40" i="5"/>
  <c r="E40" i="5"/>
  <c r="F40" i="5" s="1"/>
  <c r="L40" i="5" s="1"/>
  <c r="N40" i="5" s="1"/>
  <c r="K17" i="5"/>
  <c r="E17" i="5"/>
  <c r="F17" i="5" s="1"/>
  <c r="L17" i="5" s="1"/>
  <c r="N17" i="5" s="1"/>
  <c r="C18" i="5"/>
  <c r="J17" i="5"/>
  <c r="H17" i="5"/>
  <c r="B25" i="1"/>
  <c r="B14" i="1"/>
  <c r="E64" i="5" l="1"/>
  <c r="F64" i="5" s="1"/>
  <c r="L64" i="5" s="1"/>
  <c r="N64" i="5" s="1"/>
  <c r="H64" i="5"/>
  <c r="J64" i="5"/>
  <c r="K64" i="5"/>
  <c r="C65" i="5"/>
  <c r="E41" i="5"/>
  <c r="F41" i="5" s="1"/>
  <c r="H41" i="5"/>
  <c r="J41" i="5"/>
  <c r="K41" i="5"/>
  <c r="C42" i="5"/>
  <c r="K18" i="5"/>
  <c r="E18" i="5"/>
  <c r="F18" i="5" s="1"/>
  <c r="H18" i="5"/>
  <c r="J18" i="5"/>
  <c r="C19" i="5"/>
  <c r="B22" i="1"/>
  <c r="B26" i="1"/>
  <c r="E65" i="5" l="1"/>
  <c r="F65" i="5" s="1"/>
  <c r="H65" i="5"/>
  <c r="J65" i="5"/>
  <c r="K65" i="5"/>
  <c r="C66" i="5"/>
  <c r="E42" i="5"/>
  <c r="F42" i="5" s="1"/>
  <c r="L42" i="5" s="1"/>
  <c r="N42" i="5" s="1"/>
  <c r="H42" i="5"/>
  <c r="J42" i="5"/>
  <c r="C43" i="5"/>
  <c r="K42" i="5"/>
  <c r="H19" i="5"/>
  <c r="C20" i="5"/>
  <c r="E19" i="5"/>
  <c r="F19" i="5" s="1"/>
  <c r="J19" i="5"/>
  <c r="K19" i="5"/>
  <c r="L41" i="5"/>
  <c r="N41" i="5" s="1"/>
  <c r="L18" i="5"/>
  <c r="N18" i="5" s="1"/>
  <c r="E66" i="5" l="1"/>
  <c r="F66" i="5" s="1"/>
  <c r="H66" i="5"/>
  <c r="J66" i="5"/>
  <c r="K66" i="5"/>
  <c r="C67" i="5"/>
  <c r="H43" i="5"/>
  <c r="K43" i="5"/>
  <c r="C44" i="5"/>
  <c r="E43" i="5"/>
  <c r="F43" i="5" s="1"/>
  <c r="L43" i="5" s="1"/>
  <c r="N43" i="5" s="1"/>
  <c r="J43" i="5"/>
  <c r="H20" i="5"/>
  <c r="J20" i="5"/>
  <c r="K20" i="5"/>
  <c r="C21" i="5"/>
  <c r="E20" i="5"/>
  <c r="F20" i="5" s="1"/>
  <c r="L19" i="5"/>
  <c r="N19" i="5" s="1"/>
  <c r="L65" i="5"/>
  <c r="N65" i="5" s="1"/>
  <c r="L20" i="5" l="1"/>
  <c r="N20" i="5" s="1"/>
  <c r="E67" i="5"/>
  <c r="F67" i="5" s="1"/>
  <c r="H67" i="5"/>
  <c r="J67" i="5"/>
  <c r="K67" i="5"/>
  <c r="C68" i="5"/>
  <c r="J44" i="5"/>
  <c r="E44" i="5"/>
  <c r="F44" i="5" s="1"/>
  <c r="L44" i="5" s="1"/>
  <c r="N44" i="5" s="1"/>
  <c r="H44" i="5"/>
  <c r="K44" i="5"/>
  <c r="C45" i="5"/>
  <c r="E21" i="5"/>
  <c r="F21" i="5" s="1"/>
  <c r="H21" i="5"/>
  <c r="J21" i="5"/>
  <c r="K21" i="5"/>
  <c r="C22" i="5"/>
  <c r="L66" i="5"/>
  <c r="N66" i="5" s="1"/>
  <c r="L67" i="5" l="1"/>
  <c r="N67" i="5" s="1"/>
  <c r="J68" i="5"/>
  <c r="E68" i="5"/>
  <c r="F68" i="5" s="1"/>
  <c r="H68" i="5"/>
  <c r="K68" i="5"/>
  <c r="C69" i="5"/>
  <c r="E45" i="5"/>
  <c r="F45" i="5" s="1"/>
  <c r="H45" i="5"/>
  <c r="J45" i="5"/>
  <c r="K45" i="5"/>
  <c r="C46" i="5"/>
  <c r="E22" i="5"/>
  <c r="F22" i="5" s="1"/>
  <c r="H22" i="5"/>
  <c r="J22" i="5"/>
  <c r="K22" i="5"/>
  <c r="C23" i="5"/>
  <c r="L21" i="5"/>
  <c r="N21" i="5" s="1"/>
  <c r="L22" i="5" l="1"/>
  <c r="N22" i="5" s="1"/>
  <c r="J69" i="5"/>
  <c r="C70" i="5"/>
  <c r="E69" i="5"/>
  <c r="F69" i="5" s="1"/>
  <c r="L69" i="5" s="1"/>
  <c r="N69" i="5" s="1"/>
  <c r="H69" i="5"/>
  <c r="K69" i="5"/>
  <c r="E46" i="5"/>
  <c r="F46" i="5" s="1"/>
  <c r="L46" i="5" s="1"/>
  <c r="N46" i="5" s="1"/>
  <c r="H46" i="5"/>
  <c r="J46" i="5"/>
  <c r="K46" i="5"/>
  <c r="C47" i="5"/>
  <c r="E23" i="5"/>
  <c r="F23" i="5" s="1"/>
  <c r="H23" i="5"/>
  <c r="J23" i="5"/>
  <c r="K23" i="5"/>
  <c r="C24" i="5"/>
  <c r="L45" i="5"/>
  <c r="N45" i="5" s="1"/>
  <c r="L68" i="5"/>
  <c r="N68" i="5" s="1"/>
  <c r="J70" i="5" l="1"/>
  <c r="C71" i="5"/>
  <c r="E70" i="5"/>
  <c r="F70" i="5" s="1"/>
  <c r="L70" i="5" s="1"/>
  <c r="N70" i="5" s="1"/>
  <c r="H70" i="5"/>
  <c r="K70" i="5"/>
  <c r="E47" i="5"/>
  <c r="F47" i="5" s="1"/>
  <c r="H47" i="5"/>
  <c r="J47" i="5"/>
  <c r="K47" i="5"/>
  <c r="C48" i="5"/>
  <c r="E24" i="5"/>
  <c r="F24" i="5" s="1"/>
  <c r="H24" i="5"/>
  <c r="J24" i="5"/>
  <c r="K24" i="5"/>
  <c r="C25" i="5"/>
  <c r="L23" i="5"/>
  <c r="N23" i="5" s="1"/>
  <c r="E71" i="5" l="1"/>
  <c r="F71" i="5" s="1"/>
  <c r="H71" i="5"/>
  <c r="J71" i="5"/>
  <c r="K71" i="5"/>
  <c r="C72" i="5"/>
  <c r="E48" i="5"/>
  <c r="F48" i="5" s="1"/>
  <c r="L48" i="5" s="1"/>
  <c r="N48" i="5" s="1"/>
  <c r="H48" i="5"/>
  <c r="J48" i="5"/>
  <c r="K48" i="5"/>
  <c r="C49" i="5"/>
  <c r="E25" i="5"/>
  <c r="F25" i="5" s="1"/>
  <c r="H25" i="5"/>
  <c r="J25" i="5"/>
  <c r="K25" i="5"/>
  <c r="C26" i="5"/>
  <c r="L47" i="5"/>
  <c r="N47" i="5" s="1"/>
  <c r="L24" i="5"/>
  <c r="N24" i="5" s="1"/>
  <c r="L25" i="5" l="1"/>
  <c r="N25" i="5" s="1"/>
  <c r="E72" i="5"/>
  <c r="F72" i="5" s="1"/>
  <c r="H72" i="5"/>
  <c r="J72" i="5"/>
  <c r="K72" i="5"/>
  <c r="E49" i="5"/>
  <c r="F49" i="5" s="1"/>
  <c r="H49" i="5"/>
  <c r="J49" i="5"/>
  <c r="K49" i="5"/>
  <c r="E26" i="5"/>
  <c r="F26" i="5" s="1"/>
  <c r="H26" i="5"/>
  <c r="J26" i="5"/>
  <c r="K26" i="5"/>
  <c r="L71" i="5"/>
  <c r="N71" i="5" s="1"/>
  <c r="L72" i="5" l="1"/>
  <c r="N72" i="5"/>
  <c r="B73" i="5"/>
  <c r="B74" i="5" s="1"/>
  <c r="B75" i="5" s="1"/>
  <c r="B78" i="5" s="1"/>
  <c r="B79" i="5" s="1"/>
  <c r="L49" i="5"/>
  <c r="L26" i="5"/>
  <c r="B50" i="5" l="1"/>
  <c r="B51" i="5" s="1"/>
  <c r="N49" i="5"/>
  <c r="B27" i="5"/>
  <c r="B28" i="5" s="1"/>
  <c r="N26" i="5"/>
  <c r="B29" i="5" l="1"/>
  <c r="B32" i="5" s="1"/>
  <c r="B33" i="5" s="1"/>
  <c r="B52" i="5"/>
  <c r="B55" i="5" s="1"/>
  <c r="B56" i="5" s="1"/>
</calcChain>
</file>

<file path=xl/sharedStrings.xml><?xml version="1.0" encoding="utf-8"?>
<sst xmlns="http://schemas.openxmlformats.org/spreadsheetml/2006/main" count="320" uniqueCount="232">
  <si>
    <t>泡泡玛特（9992.HK）巴菲特框架估值</t>
  </si>
  <si>
    <t>研究日 2026-10-29｜本地收盘 HK$128.70｜折人民币 ¥110.17（HKD/CNY 0.856）｜最新财报：2026 中报（2026-08-20）</t>
  </si>
  <si>
    <t>市值按 13.3178 亿股计算；净负债 = 债务 + 融资租赁 − 现金；数据边界见报告第 1 节。</t>
  </si>
  <si>
    <t>一句话结论</t>
  </si>
  <si>
    <t>合理偏低：基准 HK$139，现价 HK$128.7；IP 周期风险高。</t>
  </si>
  <si>
    <t>关键数据（亿元 / 倍 / 百分比）</t>
  </si>
  <si>
    <t>项目</t>
  </si>
  <si>
    <t>数值</t>
  </si>
  <si>
    <t>备注</t>
  </si>
  <si>
    <t>收盘价（元）</t>
  </si>
  <si>
    <t>2026-10-29 收盘 128.70 港元，按 0.856 折 ¥110.17</t>
  </si>
  <si>
    <t>总股本（亿股）</t>
  </si>
  <si>
    <t>最新总股本</t>
  </si>
  <si>
    <t>市值（亿元）</t>
  </si>
  <si>
    <t>价格 × 股数</t>
  </si>
  <si>
    <t>净负债（亿元）</t>
  </si>
  <si>
    <t>负数 = 净现金</t>
  </si>
  <si>
    <t>企业价值（亿元）</t>
  </si>
  <si>
    <t>市值 + 净负债</t>
  </si>
  <si>
    <t>TTM 收入</t>
  </si>
  <si>
    <t>最近四个季度/半年年化</t>
  </si>
  <si>
    <t>TTM 经营利润</t>
  </si>
  <si>
    <t>剔除利息与投资收益</t>
  </si>
  <si>
    <t>TTM NOPAT</t>
  </si>
  <si>
    <t>经营利润 × (1−25%)</t>
  </si>
  <si>
    <t>TTM 自由现金流</t>
  </si>
  <si>
    <t>CFO − 现金 capex</t>
  </si>
  <si>
    <t>DCF 起始收入（2026E）</t>
  </si>
  <si>
    <t>基准情景第 1 年起点</t>
  </si>
  <si>
    <t>TTM EPS（元）</t>
  </si>
  <si>
    <t>最近四个季度</t>
  </si>
  <si>
    <t>2026E EPS（元）</t>
  </si>
  <si>
    <t>本文估计/一致预期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</si>
  <si>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</si>
  <si>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</si>
  <si>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</si>
  <si>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</si>
  <si>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</si>
  <si>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</si>
  <si>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</si>
  <si>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</si>
  <si>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</si>
  <si>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</si>
  <si>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</si>
  <si>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</si>
  <si>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</si>
  <si>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</si>
  <si>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</si>
  <si>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</si>
  <si>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</si>
  <si>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</si>
  <si>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</si>
  <si>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</si>
  <si>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</si>
  <si>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</si>
  <si>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</si>
  <si>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</si>
  <si>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</si>
  <si>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</si>
  <si>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</si>
  <si>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¥119，现价 ¥110.17；现价低于基准 7.5%。</t>
  </si>
  <si>
    <t>• 悲观 ¥53；基准 ¥119；乐观 ¥203；概率加权约 ¥124（25%/50%/25%）。</t>
  </si>
  <si>
    <t>• 反推：现价隐含未来 10 年收入 CAGR 约 4.7%，基准情景约 5.1%。</t>
  </si>
  <si>
    <t>• 若要求 20% 安全边际，观察价约 ¥95（基准价值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</si>
  <si>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</si>
  <si>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</si>
  <si>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泡泡玛特五年财务与现金流（亿元，除每股数据）</t>
  </si>
  <si>
    <t>来源：公司年报/中报；2026H1 为半年数据，不与年度直接比较。</t>
  </si>
  <si>
    <t>2021</t>
  </si>
  <si>
    <t>2022</t>
  </si>
  <si>
    <t>2023</t>
  </si>
  <si>
    <t>2024</t>
  </si>
  <si>
    <t>2025</t>
  </si>
  <si>
    <t>2026H1</t>
  </si>
  <si>
    <t>收入</t>
  </si>
  <si>
    <t>年度 / 半年报</t>
  </si>
  <si>
    <t>经营利润</t>
  </si>
  <si>
    <t>净利润</t>
  </si>
  <si>
    <t>经营现金流</t>
  </si>
  <si>
    <t>资本开支（估算）</t>
  </si>
  <si>
    <t>自由现金流</t>
  </si>
  <si>
    <t>EPS（元）</t>
  </si>
  <si>
    <t>股本（亿股）</t>
  </si>
  <si>
    <t>收入增速</t>
  </si>
  <si>
    <t>经营利润率</t>
  </si>
  <si>
    <t>净利率</t>
  </si>
  <si>
    <t>FCF 利润率</t>
  </si>
  <si>
    <t>关键读数</t>
  </si>
  <si>
    <t>• 2021–2025 年收入 CAGR 69.5%、净利润 CAGR 97%；2025 年是峰值年：收入 +184.7%、净利 +308.8%。</t>
  </si>
  <si>
    <t>• 2026H1 收入 +23.8%、净利 +10.1%，增速断崖式放缓；市场预期营收约 199.8 亿、净利约 59.8 亿，实际双双 miss。</t>
  </si>
  <si>
    <t>• 毛利率 69.7%（-0.6pct）、净利率 29.3%；ROE 44.5%（年化），仍高但下行。</t>
  </si>
  <si>
    <t>• THE MONSTERS（Labubu）收入 44.54 亿、-7.5%，占比从 34.7% 降至 26.0%；星星人 26.5 亿、+580.6% 接棒。</t>
  </si>
  <si>
    <t>• 海外收入 49.72 亿、-11.6%，占比从 43.8% 降至 29%；亚太线上 -39.8%、美洲线上 -45.6%、欧洲线上 -59.0%。</t>
  </si>
  <si>
    <t>• 库存周转天数从 123 天升至 201 天；经营现金流 36.4 亿，低于净利 50.4 亿，现金转化恶化。</t>
  </si>
  <si>
    <t>泡泡玛特：分部与关键运营数据</t>
  </si>
  <si>
    <t>单位：亿元，另有注明除外；同比为公开披露口径。</t>
  </si>
  <si>
    <t>2026H1 IP 与地区</t>
  </si>
  <si>
    <t>单位：亿元；同比为 2026H1 对 2025H1。</t>
  </si>
  <si>
    <t>板块</t>
  </si>
  <si>
    <t>同比</t>
  </si>
  <si>
    <t>占比</t>
  </si>
  <si>
    <t>THE MONSTERS（Labubu）</t>
  </si>
  <si>
    <t>首次转负；仍是第一大 IP</t>
  </si>
  <si>
    <t>星星人</t>
  </si>
  <si>
    <t>接棒，成为第二大 IP</t>
  </si>
  <si>
    <t>其他 IP</t>
  </si>
  <si>
    <t>Molly、Skullpanda 等</t>
  </si>
  <si>
    <t>中国内地</t>
  </si>
  <si>
    <t>线下稳、线上调整</t>
  </si>
  <si>
    <t>亚太</t>
  </si>
  <si>
    <t>线上 -39.8%</t>
  </si>
  <si>
    <t>美洲</t>
  </si>
  <si>
    <t>线上 -45.6%</t>
  </si>
  <si>
    <t>欧洲及其他</t>
  </si>
  <si>
    <t>唯一增长区域</t>
  </si>
  <si>
    <t>合计</t>
  </si>
  <si>
    <t>海外占比 29%</t>
  </si>
  <si>
    <t>解读</t>
  </si>
  <si>
    <t>9992.HK TTM FCFF 桥：从经营利润到自由现金流</t>
  </si>
  <si>
    <t>单位：亿元；TTM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</si>
  <si>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</si>
  <si>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</si>
  <si>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</si>
  <si>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</si>
  <si>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</si>
  <si>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</si>
  <si>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</si>
  <si>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</si>
  <si>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</si>
  <si>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</si>
  <si>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</si>
  <si>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</si>
  <si>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</si>
  <si>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</si>
  <si>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</si>
  <si>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-25.0 亿（四舍五入）</t>
  </si>
  <si>
    <t>现金转化率</t>
  </si>
  <si>
    <t>Capex / D&amp;A</t>
  </si>
  <si>
    <t>资本开支是折旧的倍数</t>
  </si>
  <si>
    <t>• 2026H1 经营现金流 36.4 亿，低于净利 50.4 亿；存货增加与海外库存积压是主因。</t>
  </si>
  <si>
    <t>• 资本开支约 25 亿（TTM 估算），主要用于门店、机器人商店与供应链；D&amp;A 12 亿。</t>
  </si>
  <si>
    <t>• FCF 约 85 亿，FCF/NOPAT 约 65%；但库存周转 201 天，现金转化可能继续恶化。</t>
  </si>
  <si>
    <t>三情景 FCFF DCF（2026E 起算，10 年明确预测）</t>
  </si>
  <si>
    <t>单位：亿元，除每股数据；终值用永续增长；股权价值 = EV − 净负债 + 非经营投资。</t>
  </si>
  <si>
    <t>起始收入 2026E 390 亿元；净现金 105 亿元；DCF 不含 IP 授权等表外价值。</t>
  </si>
  <si>
    <t>全局输入</t>
  </si>
  <si>
    <t>起始收入（2026E）</t>
  </si>
  <si>
    <t>税率</t>
  </si>
  <si>
    <t>营运资金/增量收入</t>
  </si>
  <si>
    <t>净负债（含融资租赁）</t>
  </si>
  <si>
    <t>非经营投资/理财</t>
  </si>
  <si>
    <t>股数（亿股）</t>
  </si>
  <si>
    <t>注：净负债 = 0.00 + 37.28 − 142.36 = -105.08 亿元；非经营投资/理财 0.00 亿元单独加回，避免与 FCFF 重复。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</si>
  <si>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</si>
  <si>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</si>
  <si>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</si>
  <si>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</si>
  <si>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</si>
  <si>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</si>
  <si>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</si>
  <si>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</si>
  <si>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</si>
  <si>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</si>
  <si>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</si>
  <si>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</si>
  <si>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</si>
  <si>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</si>
  <si>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</si>
  <si>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</si>
  <si>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</si>
  <si>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</si>
  <si>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+ 非经营投资</t>
  </si>
  <si>
    <t>股权价值</t>
  </si>
  <si>
    <t>每股价值</t>
  </si>
  <si>
    <t>TV 占比 37%；终值 FCF 76.9 亿；终值收入 392 亿</t>
  </si>
  <si>
    <t>基准情景</t>
  </si>
  <si>
    <t>TV 占比 47%；终值 FCF 170.2 亿；终值收入 665 亿</t>
  </si>
  <si>
    <t>乐观情景</t>
  </si>
  <si>
    <t>TV 占比 56%；终值 FCF 254.6 亿；终值收入 914 亿</t>
  </si>
  <si>
    <t>估值敏感性：WACC、终值 capex、终值利润率</t>
  </si>
  <si>
    <t>基准情景；每股价值（元）；由 Python 独立计算。</t>
  </si>
  <si>
    <t>终值 Capex / 收入</t>
  </si>
  <si>
    <t>终值 EBIT 利润率</t>
  </si>
  <si>
    <t>反推：现价隐含的 10 年收入 CAGR</t>
  </si>
  <si>
    <t>现价 ¥110.17</t>
  </si>
  <si>
    <t>基准情景 10 年 CAGR</t>
  </si>
  <si>
    <t>交叉检查：DCF、倍数、现金</t>
  </si>
  <si>
    <t>方法</t>
  </si>
  <si>
    <t>相对现价</t>
  </si>
  <si>
    <t>读数</t>
  </si>
  <si>
    <t>DCF 基准（2026E 起算）</t>
  </si>
  <si>
    <t>¥119</t>
  </si>
  <si>
    <t>现价低 7%</t>
  </si>
  <si>
    <t>合理偏低</t>
  </si>
  <si>
    <t>P/E TTM 11.1x vs 全球 IP 玩具 18–25x</t>
  </si>
  <si>
    <t>折价</t>
  </si>
  <si>
    <t>Labubu 退潮压制倍数</t>
  </si>
  <si>
    <t>EV/EBIT 8.9x</t>
  </si>
  <si>
    <t>低于消费成长股</t>
  </si>
  <si>
    <t>市场定价负增长</t>
  </si>
  <si>
    <t>FCF 收益率 5.8%</t>
  </si>
  <si>
    <t>一般</t>
  </si>
  <si>
    <t>存货周转 201 天</t>
  </si>
  <si>
    <t>DCF 略高于现价，但三情景跨度 53–203 元；IP 周期使估值区间极宽，只适合小仓位、强风险承受力。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</si>
  <si>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</si>
  <si>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</si>
  <si>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</si>
  <si>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</si>
  <si>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</si>
  <si>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</si>
  <si>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年半年度报告</t>
  </si>
  <si>
    <t>泡泡玛特 / 港交所</t>
  </si>
  <si>
    <t>2026-08-20</t>
  </si>
  <si>
    <t>营收 171.7 亿、净利 50.4 亿；毛利率 69.7%</t>
  </si>
  <si>
    <t>2026 中报解读</t>
  </si>
  <si>
    <t>中新网 / 36 氪 / 证券时报</t>
  </si>
  <si>
    <t>2026-08-22</t>
  </si>
  <si>
    <t>THE MONSTERS -7.5%；海外 -11.6%；库存周转 201 天</t>
  </si>
  <si>
    <t>2025 年年度报告</t>
  </si>
  <si>
    <t>2026-03</t>
  </si>
  <si>
    <t>FY2025 营收 371.2 亿、净利 127.8 亿；THE MONSTERS 141.6 亿</t>
  </si>
  <si>
    <t>回购计划</t>
  </si>
  <si>
    <t>公司公告</t>
  </si>
  <si>
    <t>未来 6 个月 20–50 亿港元回购</t>
  </si>
  <si>
    <t>股价与估值</t>
  </si>
  <si>
    <t>东方财富 / 腾讯行情</t>
  </si>
  <si>
    <t>2026-10-29</t>
  </si>
  <si>
    <t>128.70 港元；PE TTM 11.5–12.1x</t>
  </si>
  <si>
    <t>汇率</t>
  </si>
  <si>
    <t>中国货币网</t>
  </si>
  <si>
    <t>HKD/CNY 0.85596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</si>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</sst>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¥#,##0.00"/>
    <numFmt numFmtId="177" formatCode="0.000"/>
    <numFmt numFmtId="178" formatCode="#,##0.0"/>
    <numFmt numFmtId="179" formatCode="0.0&quot;x&quot;"/>
    <numFmt numFmtId="180" formatCode="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</font>
    <font>
      <sz val="10"/>
      <color rgb="FF5B6770"/>
      <name val="Microsoft YaHei"/>
    </font>
    <font>
      <b/>
      <sz val="11"/>
      <color rgb="FF1F2933"/>
      <name val="Microsoft YaHei"/>
    </font>
    <font>
      <b/>
      <sz val="11"/>
      <color rgb="FFB23A2E"/>
      <name val="Microsoft YaHei"/>
    </font>
    <font>
      <b/>
      <sz val="9"/>
      <color rgb="FFFFFFFF"/>
      <name val="Microsoft YaHei"/>
    </font>
    <font>
      <sz val="9"/>
      <color rgb="FF1F2933"/>
      <name val="Microsoft YaHei"/>
    </font>
    <font>
      <b/>
      <sz val="9"/>
      <color rgb="FF1F2933"/>
      <name val="Microsoft YaHei"/>
    </font>
    <font>
      <b/>
      <sz val="9"/>
      <color rgb="FFB23A2E"/>
      <name val="Microsoft YaHei"/>
    </font>
    <font>
      <sz val="10"/>
      <color rgb="FF1F2933"/>
      <name val="Microsoft YaHei"/>
    </font>
    <font>
      <sz val="9"/>
      <color rgb="FF5B6770"/>
      <name val="Microsoft YaHe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9992.HK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15-43DC-BF29-352B642A9F06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15-43DC-BF29-352B642A9F06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15-43DC-BF29-352B642A9F06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115-43DC-BF29-352B642A9F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\¥#,##0.00</c:formatCode>
                <c:ptCount val="4"/>
                <c:pt idx="0">
                  <c:v>53.373709173621727</c:v>
                </c:pt>
                <c:pt idx="1">
                  <c:v>119.0793453671378</c:v>
                </c:pt>
                <c:pt idx="2">
                  <c:v>202.57706328890129</c:v>
                </c:pt>
                <c:pt idx="3">
                  <c:v>110.17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15-43DC-BF29-352B642A9F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路径（亿元）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108.51750000000001</c:v>
                </c:pt>
                <c:pt idx="1">
                  <c:v>117.58890000000001</c:v>
                </c:pt>
                <c:pt idx="2">
                  <c:v>126.03462300000001</c:v>
                </c:pt>
                <c:pt idx="3">
                  <c:v>133.82836038000005</c:v>
                </c:pt>
                <c:pt idx="4">
                  <c:v>140.76765459900005</c:v>
                </c:pt>
                <c:pt idx="5">
                  <c:v>147.80603732895003</c:v>
                </c:pt>
                <c:pt idx="6">
                  <c:v>153.99416503270805</c:v>
                </c:pt>
                <c:pt idx="7">
                  <c:v>160.1539316340164</c:v>
                </c:pt>
                <c:pt idx="8">
                  <c:v>165.25981732501211</c:v>
                </c:pt>
                <c:pt idx="9">
                  <c:v>170.21761184476244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E2-40FD-88D3-F397FF299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0" customWidth="1"/>
    <col min="4" max="4" width="18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05" customHeight="1">
      <c r="A10" s="6" t="s">
        <v>9</v>
      </c>
      <c r="B10" s="7">
        <v>110.17</v>
      </c>
      <c r="C10" s="8" t="s">
        <v>10</v>
      </c>
    </row>
    <row r="11" spans="1:13" ht="22.05" customHeight="1">
      <c r="A11" s="6" t="s">
        <v>11</v>
      </c>
      <c r="B11" s="9">
        <v>13.3178</v>
      </c>
      <c r="C11" s="8" t="s">
        <v>12</v>
      </c>
    </row>
    <row r="12" spans="1:13" ht="22.05" customHeight="1">
      <c r="A12" s="6" t="s">
        <v>13</v>
      </c>
      <c r="B12" s="10">
        <f>B10*B11</f>
        <v>1467.2220260000001</v>
      </c>
      <c r="C12" s="8" t="s">
        <v>14</v>
      </c>
    </row>
    <row r="13" spans="1:13" ht="22.05" customHeight="1">
      <c r="A13" s="6" t="s">
        <v>15</v>
      </c>
      <c r="B13" s="11">
        <v>-105.08</v>
      </c>
      <c r="C13" s="8" t="s">
        <v>16</v>
      </c>
    </row>
    <row r="14" spans="1:13" ht="22.05" customHeight="1">
      <c r="A14" s="6" t="s">
        <v>17</v>
      </c>
      <c r="B14" s="10">
        <f>B12+B13</f>
        <v>1362.1420260000002</v>
      </c>
      <c r="C14" s="8" t="s">
        <v>18</v>
      </c>
    </row>
    <row r="15" spans="1:13" ht="22.05" customHeight="1">
      <c r="A15" s="6" t="s">
        <v>19</v>
      </c>
      <c r="B15" s="11">
        <v>404.1</v>
      </c>
      <c r="C15" s="8" t="s">
        <v>20</v>
      </c>
    </row>
    <row r="16" spans="1:13" ht="22.05" customHeight="1">
      <c r="A16" s="6" t="s">
        <v>21</v>
      </c>
      <c r="B16" s="11">
        <v>175.7</v>
      </c>
      <c r="C16" s="8" t="s">
        <v>22</v>
      </c>
    </row>
    <row r="17" spans="1:5" ht="22.05" customHeight="1">
      <c r="A17" s="6" t="s">
        <v>23</v>
      </c>
      <c r="B17" s="11">
        <v>131.77000000000001</v>
      </c>
      <c r="C17" s="8" t="s">
        <v>24</v>
      </c>
    </row>
    <row r="18" spans="1:5" ht="22.05" customHeight="1">
      <c r="A18" s="6" t="s">
        <v>25</v>
      </c>
      <c r="B18" s="11">
        <v>85.3</v>
      </c>
      <c r="C18" s="8" t="s">
        <v>26</v>
      </c>
    </row>
    <row r="19" spans="1:5" ht="22.05" customHeight="1">
      <c r="A19" s="6" t="s">
        <v>27</v>
      </c>
      <c r="B19" s="11">
        <v>390</v>
      </c>
      <c r="C19" s="8" t="s">
        <v>28</v>
      </c>
    </row>
    <row r="20" spans="1:5" ht="22.05" customHeight="1">
      <c r="A20" s="6" t="s">
        <v>29</v>
      </c>
      <c r="B20" s="12">
        <v>9.94</v>
      </c>
      <c r="C20" s="8" t="s">
        <v>30</v>
      </c>
    </row>
    <row r="21" spans="1:5" ht="22.05" customHeight="1">
      <c r="A21" s="6" t="s">
        <v>31</v>
      </c>
      <c r="B21" s="12">
        <v>8.3000000000000007</v>
      </c>
      <c r="C21" s="8" t="s">
        <v>32</v>
      </c>
    </row>
    <row r="22" spans="1:5" ht="22.05" customHeight="1">
      <c r="A22" s="6" t="s">
        <v>33</v>
      </c>
      <c r="B22" s="13">
        <f>B14/B16</f>
        <v>7.7526580876494045</v>
      </c>
      <c r="C22" s="8" t="s">
        <v>34</v>
      </c>
    </row>
    <row r="23" spans="1:5" ht="22.05" customHeight="1">
      <c r="A23" s="6" t="s">
        <v>35</v>
      </c>
      <c r="B23" s="13">
        <f>B10/B20</f>
        <v>11.083501006036219</v>
      </c>
      <c r="C23" s="8" t="s">
        <v>36</v>
      </c>
    </row>
    <row r="24" spans="1:5" ht="22.05" customHeight="1">
      <c r="A24" s="6" t="s">
        <v>37</v>
      </c>
      <c r="B24" s="13">
        <f>B10/B21</f>
        <v>13.273493975903614</v>
      </c>
      <c r="C24" s="8" t="s">
        <v>38</v>
      </c>
    </row>
    <row r="25" spans="1:5" ht="22.05" customHeight="1">
      <c r="A25" s="6" t="s">
        <v>39</v>
      </c>
      <c r="B25" s="14">
        <f>B18/B12</f>
        <v>5.8137077067025977E-2</v>
      </c>
      <c r="C25" s="8" t="s">
        <v>40</v>
      </c>
    </row>
    <row r="26" spans="1:5" ht="22.05" customHeight="1">
      <c r="A26" s="6" t="s">
        <v>41</v>
      </c>
      <c r="B26" s="13">
        <f>B14/B18</f>
        <v>15.968839695193438</v>
      </c>
      <c r="C26" s="8" t="s">
        <v>42</v>
      </c>
    </row>
    <row r="27" spans="1:5" ht="22.05" customHeight="1">
      <c r="A27" s="6" t="s">
        <v>43</v>
      </c>
      <c r="B27" s="15">
        <v>6.1865874783469443E-2</v>
      </c>
      <c r="C27" s="8" t="s">
        <v>44</v>
      </c>
    </row>
    <row r="28" spans="1:5" ht="22.05" customHeight="1">
      <c r="A28" s="6" t="s">
        <v>45</v>
      </c>
      <c r="B28" s="16">
        <f>B18/B17</f>
        <v>0.64734006222964247</v>
      </c>
      <c r="C28" s="8" t="s">
        <v>46</v>
      </c>
    </row>
    <row r="29" spans="1:5" ht="22.05" customHeight="1">
      <c r="A29" s="6" t="s">
        <v>47</v>
      </c>
      <c r="B29" s="17">
        <v>2.1149133157846969E-2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53.373709173621727</v>
      </c>
      <c r="C33" s="15">
        <f>B33/$B$10-1</f>
        <v>-0.51553318350166355</v>
      </c>
      <c r="D33" s="15">
        <f>1-$B$10/B33</f>
        <v>-1.0641248604556051</v>
      </c>
      <c r="E33" s="17">
        <v>7.0999999999999994E-2</v>
      </c>
    </row>
    <row r="34" spans="1:5">
      <c r="A34" s="18" t="s">
        <v>55</v>
      </c>
      <c r="B34" s="19">
        <v>119.0793453671378</v>
      </c>
      <c r="C34" s="15">
        <f>B34/$B$10-1</f>
        <v>8.0869069321392484E-2</v>
      </c>
      <c r="D34" s="15">
        <f>1-$B$10/B34</f>
        <v>7.4818561856122789E-2</v>
      </c>
      <c r="E34" s="17">
        <v>0.1222</v>
      </c>
    </row>
    <row r="35" spans="1:5">
      <c r="A35" s="6" t="s">
        <v>56</v>
      </c>
      <c r="B35" s="7">
        <v>202.57706328890129</v>
      </c>
      <c r="C35" s="15">
        <f>B35/$B$10-1</f>
        <v>0.83876793400110095</v>
      </c>
      <c r="D35" s="15">
        <f>1-$B$10/B35</f>
        <v>0.45615758165630416</v>
      </c>
      <c r="E35" s="17">
        <v>0.15959999999999999</v>
      </c>
    </row>
    <row r="36" spans="1:5">
      <c r="A36" s="20" t="s">
        <v>57</v>
      </c>
      <c r="B36" s="21">
        <v>110.17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30" customHeight="1">
      <c r="A39" s="26" t="s">
        <v>60</v>
      </c>
      <c r="B39" s="27"/>
      <c r="C39" s="27"/>
      <c r="D39" s="27"/>
      <c r="E39" s="27"/>
    </row>
    <row r="40" spans="1:5" ht="30" customHeight="1">
      <c r="A40" s="26" t="s">
        <v>61</v>
      </c>
      <c r="B40" s="27"/>
      <c r="C40" s="27"/>
      <c r="D40" s="27"/>
      <c r="E40" s="27"/>
    </row>
    <row r="41" spans="1:5" ht="30" customHeight="1">
      <c r="A41" s="26" t="s">
        <v>62</v>
      </c>
      <c r="B41" s="27"/>
      <c r="C41" s="27"/>
      <c r="D41" s="27"/>
      <c r="E41" s="27"/>
    </row>
    <row r="42" spans="1:5" ht="30" customHeight="1">
      <c r="A42" s="26" t="s">
        <v>63</v>
      </c>
      <c r="B42" s="27"/>
      <c r="C42" s="27"/>
      <c r="D42" s="27"/>
      <c r="E42" s="27"/>
    </row>
    <row r="43" spans="1:5" ht="30" customHeight="1">
      <c r="A43" s="26" t="s">
        <v>64</v>
      </c>
      <c r="B43" s="27"/>
      <c r="C43" s="27"/>
      <c r="D43" s="27"/>
      <c r="E43" s="27"/>
    </row>
    <row r="44" spans="1:5" ht="30" customHeight="1">
      <c r="A44" s="26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8</v>
      </c>
    </row>
    <row r="5" spans="1:8">
      <c r="A5" s="6" t="s">
        <v>74</v>
      </c>
      <c r="B5" s="11">
        <v>44.9</v>
      </c>
      <c r="C5" s="11">
        <v>46.2</v>
      </c>
      <c r="D5" s="11">
        <v>63</v>
      </c>
      <c r="E5" s="11">
        <v>130.4</v>
      </c>
      <c r="F5" s="11">
        <v>371.2</v>
      </c>
      <c r="G5" s="11">
        <v>171.7</v>
      </c>
      <c r="H5" s="6" t="s">
        <v>75</v>
      </c>
    </row>
    <row r="6" spans="1:8">
      <c r="A6" s="6" t="s">
        <v>76</v>
      </c>
      <c r="B6" s="11">
        <v>11.5</v>
      </c>
      <c r="C6" s="11">
        <v>5.8</v>
      </c>
      <c r="D6" s="11">
        <v>12.3</v>
      </c>
      <c r="E6" s="11">
        <v>41.5</v>
      </c>
      <c r="F6" s="11">
        <v>168.9</v>
      </c>
      <c r="G6" s="11">
        <v>67.2</v>
      </c>
      <c r="H6" s="6" t="s">
        <v>75</v>
      </c>
    </row>
    <row r="7" spans="1:8">
      <c r="A7" s="6" t="s">
        <v>77</v>
      </c>
      <c r="B7" s="11">
        <v>8.5</v>
      </c>
      <c r="C7" s="11">
        <v>4.8</v>
      </c>
      <c r="D7" s="11">
        <v>10.8</v>
      </c>
      <c r="E7" s="11">
        <v>31.3</v>
      </c>
      <c r="F7" s="11">
        <v>127.8</v>
      </c>
      <c r="G7" s="11">
        <v>50.4</v>
      </c>
      <c r="H7" s="6" t="s">
        <v>75</v>
      </c>
    </row>
    <row r="8" spans="1:8">
      <c r="A8" s="6" t="s">
        <v>78</v>
      </c>
      <c r="B8" s="11">
        <v>7.8</v>
      </c>
      <c r="C8" s="11">
        <v>8.9</v>
      </c>
      <c r="D8" s="11">
        <v>19.899999999999999</v>
      </c>
      <c r="E8" s="11">
        <v>49.5</v>
      </c>
      <c r="F8" s="11">
        <v>108.7</v>
      </c>
      <c r="G8" s="11">
        <v>36.4</v>
      </c>
      <c r="H8" s="6" t="s">
        <v>75</v>
      </c>
    </row>
    <row r="9" spans="1:8">
      <c r="A9" s="6" t="s">
        <v>79</v>
      </c>
      <c r="B9" s="11">
        <v>2.5</v>
      </c>
      <c r="C9" s="11">
        <v>3</v>
      </c>
      <c r="D9" s="11">
        <v>4.5</v>
      </c>
      <c r="E9" s="11">
        <v>12</v>
      </c>
      <c r="F9" s="11">
        <v>25</v>
      </c>
      <c r="G9" s="11">
        <v>12</v>
      </c>
      <c r="H9" s="6" t="s">
        <v>75</v>
      </c>
    </row>
    <row r="10" spans="1:8">
      <c r="A10" s="6" t="s">
        <v>80</v>
      </c>
      <c r="B10" s="11">
        <v>5.3</v>
      </c>
      <c r="C10" s="11">
        <v>5.9</v>
      </c>
      <c r="D10" s="11">
        <v>15.4</v>
      </c>
      <c r="E10" s="11">
        <v>37.5</v>
      </c>
      <c r="F10" s="11">
        <v>83.7</v>
      </c>
      <c r="G10" s="11">
        <v>24.4</v>
      </c>
      <c r="H10" s="6" t="s">
        <v>75</v>
      </c>
    </row>
    <row r="11" spans="1:8">
      <c r="A11" s="6" t="s">
        <v>81</v>
      </c>
      <c r="B11" s="12">
        <v>0.62</v>
      </c>
      <c r="C11" s="12">
        <v>0.35</v>
      </c>
      <c r="D11" s="12">
        <v>0.81</v>
      </c>
      <c r="E11" s="12">
        <v>2.36</v>
      </c>
      <c r="F11" s="12">
        <v>9.61</v>
      </c>
      <c r="G11" s="12">
        <v>3.8</v>
      </c>
      <c r="H11" s="6" t="s">
        <v>75</v>
      </c>
    </row>
    <row r="12" spans="1:8">
      <c r="A12" s="6" t="s">
        <v>82</v>
      </c>
      <c r="B12" s="11">
        <v>13.4</v>
      </c>
      <c r="C12" s="11">
        <v>13.4</v>
      </c>
      <c r="D12" s="11">
        <v>13.4</v>
      </c>
      <c r="E12" s="11">
        <v>13.4</v>
      </c>
      <c r="F12" s="11">
        <v>13.3</v>
      </c>
      <c r="G12" s="11">
        <v>13.3</v>
      </c>
      <c r="H12" s="6" t="s">
        <v>75</v>
      </c>
    </row>
    <row r="14" spans="1:8">
      <c r="A14" s="6" t="s">
        <v>83</v>
      </c>
      <c r="C14" s="15">
        <f>C5/B5-1</f>
        <v>2.8953229398663849E-2</v>
      </c>
      <c r="D14" s="15">
        <f>D5/C5-1</f>
        <v>0.36363636363636354</v>
      </c>
      <c r="E14" s="15">
        <f>E5/D5-1</f>
        <v>1.06984126984127</v>
      </c>
      <c r="F14" s="15">
        <f>F5/E5-1</f>
        <v>1.8466257668711656</v>
      </c>
      <c r="G14" s="15">
        <f>G5/F5-1</f>
        <v>-0.53744612068965525</v>
      </c>
    </row>
    <row r="15" spans="1:8">
      <c r="A15" s="6" t="s">
        <v>84</v>
      </c>
      <c r="B15" s="15">
        <f t="shared" ref="B15:G15" si="0">B6/B5</f>
        <v>0.25612472160356348</v>
      </c>
      <c r="C15" s="15">
        <f t="shared" si="0"/>
        <v>0.12554112554112554</v>
      </c>
      <c r="D15" s="15">
        <f t="shared" si="0"/>
        <v>0.19523809523809524</v>
      </c>
      <c r="E15" s="15">
        <f t="shared" si="0"/>
        <v>0.31825153374233128</v>
      </c>
      <c r="F15" s="15">
        <f t="shared" si="0"/>
        <v>0.45501077586206901</v>
      </c>
      <c r="G15" s="15">
        <f t="shared" si="0"/>
        <v>0.39138031450203847</v>
      </c>
    </row>
    <row r="16" spans="1:8">
      <c r="A16" s="6" t="s">
        <v>85</v>
      </c>
      <c r="B16" s="15">
        <f t="shared" ref="B16:G16" si="1">B7/B5</f>
        <v>0.18930957683741648</v>
      </c>
      <c r="C16" s="15">
        <f t="shared" si="1"/>
        <v>0.10389610389610389</v>
      </c>
      <c r="D16" s="15">
        <f t="shared" si="1"/>
        <v>0.17142857142857143</v>
      </c>
      <c r="E16" s="15">
        <f t="shared" si="1"/>
        <v>0.24003067484662577</v>
      </c>
      <c r="F16" s="15">
        <f t="shared" si="1"/>
        <v>0.34428879310344829</v>
      </c>
      <c r="G16" s="15">
        <f t="shared" si="1"/>
        <v>0.29353523587652885</v>
      </c>
    </row>
    <row r="17" spans="1:8">
      <c r="A17" s="6" t="s">
        <v>86</v>
      </c>
      <c r="B17" s="15">
        <f t="shared" ref="B17:G17" si="2">B10/B5</f>
        <v>0.11804008908685969</v>
      </c>
      <c r="C17" s="15">
        <f t="shared" si="2"/>
        <v>0.12770562770562771</v>
      </c>
      <c r="D17" s="15">
        <f t="shared" si="2"/>
        <v>0.24444444444444444</v>
      </c>
      <c r="E17" s="15">
        <f t="shared" si="2"/>
        <v>0.28757668711656442</v>
      </c>
      <c r="F17" s="15">
        <f t="shared" si="2"/>
        <v>0.22548491379310345</v>
      </c>
      <c r="G17" s="15">
        <f t="shared" si="2"/>
        <v>0.14210832847990681</v>
      </c>
    </row>
    <row r="18" spans="1:8">
      <c r="A18" s="6" t="s">
        <v>43</v>
      </c>
      <c r="B18" s="15">
        <f t="shared" ref="B18:G18" si="3">B9/B5</f>
        <v>5.5679287305122498E-2</v>
      </c>
      <c r="C18" s="15">
        <f t="shared" si="3"/>
        <v>6.4935064935064929E-2</v>
      </c>
      <c r="D18" s="15">
        <f t="shared" si="3"/>
        <v>7.1428571428571425E-2</v>
      </c>
      <c r="E18" s="15">
        <f t="shared" si="3"/>
        <v>9.202453987730061E-2</v>
      </c>
      <c r="F18" s="15">
        <f t="shared" si="3"/>
        <v>6.7349137931034489E-2</v>
      </c>
      <c r="G18" s="15">
        <f t="shared" si="3"/>
        <v>6.9889341875364011E-2</v>
      </c>
    </row>
    <row r="19" spans="1:8">
      <c r="A19" s="6" t="s">
        <v>45</v>
      </c>
      <c r="B19" s="15">
        <f t="shared" ref="B19:G19" si="4">B10/(B6*(1-0.25))</f>
        <v>0.61449275362318834</v>
      </c>
      <c r="C19" s="15">
        <f t="shared" si="4"/>
        <v>1.3563218390804599</v>
      </c>
      <c r="D19" s="15">
        <f t="shared" si="4"/>
        <v>1.6693766937669374</v>
      </c>
      <c r="E19" s="15">
        <f t="shared" si="4"/>
        <v>1.2048192771084338</v>
      </c>
      <c r="F19" s="15">
        <f t="shared" si="4"/>
        <v>0.66074600355239788</v>
      </c>
      <c r="G19" s="15">
        <f t="shared" si="4"/>
        <v>0.48412698412698402</v>
      </c>
    </row>
    <row r="21" spans="1:8" ht="16.2">
      <c r="A21" s="3" t="s">
        <v>87</v>
      </c>
      <c r="B21" s="4"/>
      <c r="C21" s="4"/>
      <c r="D21" s="4"/>
      <c r="E21" s="4"/>
      <c r="F21" s="4"/>
      <c r="G21" s="4"/>
      <c r="H21" s="4"/>
    </row>
    <row r="22" spans="1:8" ht="30" customHeight="1">
      <c r="A22" s="26" t="s">
        <v>88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6" t="s">
        <v>89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6" t="s">
        <v>90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6" t="s">
        <v>91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6" t="s">
        <v>92</v>
      </c>
      <c r="B26" s="27"/>
      <c r="C26" s="27"/>
      <c r="D26" s="27"/>
      <c r="E26" s="27"/>
      <c r="F26" s="27"/>
      <c r="G26" s="27"/>
      <c r="H26" s="27"/>
    </row>
    <row r="27" spans="1:8" ht="30" customHeight="1">
      <c r="A27" s="26" t="s">
        <v>93</v>
      </c>
      <c r="B27" s="27"/>
      <c r="C27" s="27"/>
      <c r="D27" s="27"/>
      <c r="E27" s="27"/>
      <c r="F27" s="27"/>
      <c r="G27" s="27"/>
      <c r="H27" s="27"/>
    </row>
  </sheetData>
  <mergeCells count="7">
    <mergeCell ref="A27:H27"/>
    <mergeCell ref="A22:H22"/>
    <mergeCell ref="A26:H26"/>
    <mergeCell ref="A25:H25"/>
    <mergeCell ref="A24:H24"/>
    <mergeCell ref="A2:H2"/>
    <mergeCell ref="A23:H23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94</v>
      </c>
    </row>
    <row r="2" spans="1:6" ht="15.6">
      <c r="A2" s="28" t="s">
        <v>95</v>
      </c>
      <c r="B2" s="27"/>
      <c r="C2" s="27"/>
      <c r="D2" s="27"/>
      <c r="E2" s="27"/>
      <c r="F2" s="27"/>
    </row>
    <row r="4" spans="1:6" ht="16.2">
      <c r="A4" s="3" t="s">
        <v>96</v>
      </c>
      <c r="B4" s="4"/>
      <c r="C4" s="4"/>
      <c r="D4" s="4"/>
      <c r="E4" s="4"/>
      <c r="F4" s="4"/>
    </row>
    <row r="5" spans="1:6" ht="15.6">
      <c r="A5" s="2" t="s">
        <v>97</v>
      </c>
    </row>
    <row r="6" spans="1:6">
      <c r="A6" s="5" t="s">
        <v>98</v>
      </c>
      <c r="B6" s="5" t="s">
        <v>74</v>
      </c>
      <c r="C6" s="5" t="s">
        <v>99</v>
      </c>
      <c r="D6" s="5" t="s">
        <v>100</v>
      </c>
      <c r="E6" s="5" t="s">
        <v>8</v>
      </c>
    </row>
    <row r="7" spans="1:6">
      <c r="A7" s="6" t="s">
        <v>101</v>
      </c>
      <c r="B7" s="11">
        <v>44.54</v>
      </c>
      <c r="C7" s="15">
        <v>-7.4999999999999997E-2</v>
      </c>
      <c r="D7" s="15">
        <v>0.26</v>
      </c>
      <c r="E7" s="6" t="s">
        <v>102</v>
      </c>
    </row>
    <row r="8" spans="1:6">
      <c r="A8" s="6" t="s">
        <v>103</v>
      </c>
      <c r="B8" s="11">
        <v>26.5</v>
      </c>
      <c r="C8" s="15">
        <v>5.806</v>
      </c>
      <c r="D8" s="15">
        <v>0.154</v>
      </c>
      <c r="E8" s="6" t="s">
        <v>104</v>
      </c>
    </row>
    <row r="9" spans="1:6">
      <c r="A9" s="6" t="s">
        <v>105</v>
      </c>
      <c r="B9" s="11">
        <v>100.66</v>
      </c>
      <c r="C9" s="15">
        <v>0.35</v>
      </c>
      <c r="D9" s="15">
        <v>0.58599999999999997</v>
      </c>
      <c r="E9" s="6" t="s">
        <v>106</v>
      </c>
    </row>
    <row r="10" spans="1:6">
      <c r="A10" s="6" t="s">
        <v>107</v>
      </c>
      <c r="B10" s="11">
        <v>121.98</v>
      </c>
      <c r="C10" s="15">
        <v>0.45</v>
      </c>
      <c r="D10" s="15">
        <v>0.71</v>
      </c>
      <c r="E10" s="6" t="s">
        <v>108</v>
      </c>
    </row>
    <row r="11" spans="1:6">
      <c r="A11" s="6" t="s">
        <v>109</v>
      </c>
      <c r="B11" s="11">
        <v>25.75</v>
      </c>
      <c r="C11" s="15">
        <v>-9.7000000000000003E-2</v>
      </c>
      <c r="D11" s="15">
        <v>0.15</v>
      </c>
      <c r="E11" s="6" t="s">
        <v>110</v>
      </c>
    </row>
    <row r="12" spans="1:6">
      <c r="A12" s="6" t="s">
        <v>111</v>
      </c>
      <c r="B12" s="11">
        <v>18.920000000000002</v>
      </c>
      <c r="C12" s="15">
        <v>-0.16500000000000001</v>
      </c>
      <c r="D12" s="15">
        <v>0.11</v>
      </c>
      <c r="E12" s="6" t="s">
        <v>112</v>
      </c>
    </row>
    <row r="13" spans="1:6">
      <c r="A13" s="6" t="s">
        <v>113</v>
      </c>
      <c r="B13" s="11">
        <v>5.0599999999999996</v>
      </c>
      <c r="C13" s="15">
        <v>5.8999999999999997E-2</v>
      </c>
      <c r="D13" s="15">
        <v>2.9000000000000001E-2</v>
      </c>
      <c r="E13" s="6" t="s">
        <v>114</v>
      </c>
    </row>
    <row r="14" spans="1:6">
      <c r="A14" s="6" t="s">
        <v>115</v>
      </c>
      <c r="B14" s="11">
        <v>171.73</v>
      </c>
      <c r="C14" s="15">
        <v>0.23799999999999999</v>
      </c>
      <c r="D14" s="15">
        <v>1</v>
      </c>
      <c r="E14" s="6" t="s">
        <v>116</v>
      </c>
    </row>
    <row r="17" spans="1:6" ht="16.2">
      <c r="A17" s="3" t="s">
        <v>117</v>
      </c>
      <c r="B17" s="4"/>
      <c r="C17" s="4"/>
      <c r="D17" s="4"/>
      <c r="E17" s="4"/>
      <c r="F17" s="4"/>
    </row>
    <row r="18" spans="1:6" ht="31.95" customHeight="1">
      <c r="A18" s="26" t="s">
        <v>88</v>
      </c>
      <c r="B18" s="27"/>
      <c r="C18" s="27"/>
      <c r="D18" s="27"/>
      <c r="E18" s="27"/>
      <c r="F18" s="27"/>
    </row>
    <row r="19" spans="1:6" ht="31.95" customHeight="1">
      <c r="A19" s="26" t="s">
        <v>93</v>
      </c>
      <c r="B19" s="27"/>
      <c r="C19" s="27"/>
      <c r="D19" s="27"/>
      <c r="E19" s="27"/>
      <c r="F19" s="27"/>
    </row>
  </sheetData>
  <mergeCells count="3">
    <mergeCell ref="A19:F19"/>
    <mergeCell ref="A2:F2"/>
    <mergeCell ref="A18:F18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3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118</v>
      </c>
    </row>
    <row r="2" spans="1:3" ht="15.6">
      <c r="A2" s="28" t="s">
        <v>119</v>
      </c>
      <c r="B2" s="27"/>
      <c r="C2" s="27"/>
    </row>
    <row r="4" spans="1:3">
      <c r="A4" s="5" t="s">
        <v>6</v>
      </c>
      <c r="B4" s="5" t="s">
        <v>7</v>
      </c>
      <c r="C4" s="5" t="s">
        <v>120</v>
      </c>
    </row>
    <row r="5" spans="1:3">
      <c r="A5" s="6" t="s">
        <v>121</v>
      </c>
      <c r="B5" s="11">
        <v>175.7</v>
      </c>
      <c r="C5" s="8" t="s">
        <v>44</v>
      </c>
    </row>
    <row r="6" spans="1:3">
      <c r="A6" s="6" t="s">
        <v>122</v>
      </c>
      <c r="B6" s="15">
        <v>0.25</v>
      </c>
      <c r="C6" s="8" t="s">
        <v>123</v>
      </c>
    </row>
    <row r="7" spans="1:3">
      <c r="A7" s="6" t="s">
        <v>124</v>
      </c>
      <c r="B7" s="23">
        <f>B5*(1-B6)</f>
        <v>131.77499999999998</v>
      </c>
      <c r="C7" s="8" t="s">
        <v>125</v>
      </c>
    </row>
    <row r="8" spans="1:3">
      <c r="A8" s="6" t="s">
        <v>126</v>
      </c>
      <c r="B8" s="11">
        <v>12</v>
      </c>
      <c r="C8" s="8" t="s">
        <v>44</v>
      </c>
    </row>
    <row r="9" spans="1:3">
      <c r="A9" s="6" t="s">
        <v>127</v>
      </c>
      <c r="B9" s="11">
        <v>5</v>
      </c>
      <c r="C9" s="8" t="s">
        <v>128</v>
      </c>
    </row>
    <row r="10" spans="1:3">
      <c r="A10" s="6" t="s">
        <v>129</v>
      </c>
      <c r="B10" s="11">
        <v>25</v>
      </c>
      <c r="C10" s="8" t="s">
        <v>44</v>
      </c>
    </row>
    <row r="11" spans="1:3">
      <c r="A11" s="6" t="s">
        <v>130</v>
      </c>
      <c r="B11" s="11">
        <v>-38.5</v>
      </c>
      <c r="C11" s="8" t="s">
        <v>131</v>
      </c>
    </row>
    <row r="12" spans="1:3">
      <c r="A12" s="18" t="s">
        <v>132</v>
      </c>
      <c r="B12" s="23">
        <f>B7+B8+B9-B10+B11</f>
        <v>85.274999999999977</v>
      </c>
      <c r="C12" s="8" t="s">
        <v>133</v>
      </c>
    </row>
    <row r="13" spans="1:3">
      <c r="A13" s="6" t="s">
        <v>134</v>
      </c>
      <c r="B13" s="11">
        <v>85.3</v>
      </c>
      <c r="C13" s="8" t="s">
        <v>44</v>
      </c>
    </row>
    <row r="14" spans="1:3">
      <c r="A14" s="6" t="s">
        <v>129</v>
      </c>
      <c r="B14" s="11">
        <v>25</v>
      </c>
      <c r="C14" s="8" t="s">
        <v>44</v>
      </c>
    </row>
    <row r="15" spans="1:3">
      <c r="A15" s="18" t="s">
        <v>26</v>
      </c>
      <c r="B15" s="23">
        <f>B13-B14</f>
        <v>60.3</v>
      </c>
      <c r="C15" s="8" t="s">
        <v>135</v>
      </c>
    </row>
    <row r="16" spans="1:3">
      <c r="A16" s="6" t="s">
        <v>45</v>
      </c>
      <c r="B16" s="16">
        <f>B12/B7</f>
        <v>0.64712578258394982</v>
      </c>
      <c r="C16" s="8" t="s">
        <v>136</v>
      </c>
    </row>
    <row r="17" spans="1:3">
      <c r="A17" s="6" t="s">
        <v>43</v>
      </c>
      <c r="B17" s="16">
        <f>B10/404.1</f>
        <v>6.1865874783469436E-2</v>
      </c>
      <c r="C17" s="8" t="s">
        <v>44</v>
      </c>
    </row>
    <row r="18" spans="1:3">
      <c r="A18" s="6" t="s">
        <v>137</v>
      </c>
      <c r="B18" s="13">
        <f>B10/B8</f>
        <v>2.0833333333333335</v>
      </c>
      <c r="C18" s="8" t="s">
        <v>138</v>
      </c>
    </row>
    <row r="20" spans="1:3" ht="16.2">
      <c r="A20" s="3" t="s">
        <v>117</v>
      </c>
      <c r="B20" s="4"/>
      <c r="C20" s="4"/>
    </row>
    <row r="21" spans="1:3" ht="34.049999999999997" customHeight="1">
      <c r="A21" s="26" t="s">
        <v>139</v>
      </c>
      <c r="B21" s="27"/>
      <c r="C21" s="27"/>
    </row>
    <row r="22" spans="1:3" ht="34.049999999999997" customHeight="1">
      <c r="A22" s="26" t="s">
        <v>140</v>
      </c>
      <c r="B22" s="27"/>
      <c r="C22" s="27"/>
    </row>
    <row r="23" spans="1:3" ht="34.049999999999997" customHeight="1">
      <c r="A23" s="26" t="s">
        <v>141</v>
      </c>
      <c r="B23" s="27"/>
      <c r="C23" s="27"/>
    </row>
  </sheetData>
  <mergeCells count="4">
    <mergeCell ref="A23:C23"/>
    <mergeCell ref="A2:C2"/>
    <mergeCell ref="A21:C21"/>
    <mergeCell ref="A22:C2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9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142</v>
      </c>
    </row>
    <row r="2" spans="1:14" ht="15.6">
      <c r="A2" s="28" t="s">
        <v>143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8" t="s">
        <v>144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145</v>
      </c>
      <c r="B4" s="4"/>
      <c r="C4" s="4"/>
      <c r="D4" s="4"/>
      <c r="E4" s="4"/>
    </row>
    <row r="5" spans="1:14">
      <c r="A5" s="6" t="s">
        <v>146</v>
      </c>
      <c r="B5" s="11">
        <v>390</v>
      </c>
    </row>
    <row r="6" spans="1:14">
      <c r="A6" s="6" t="s">
        <v>147</v>
      </c>
      <c r="B6" s="15">
        <v>0.25</v>
      </c>
    </row>
    <row r="7" spans="1:14">
      <c r="A7" s="6" t="s">
        <v>148</v>
      </c>
      <c r="B7" s="15">
        <v>0.05</v>
      </c>
    </row>
    <row r="8" spans="1:14">
      <c r="A8" s="6" t="s">
        <v>149</v>
      </c>
      <c r="B8" s="11">
        <v>-105.08</v>
      </c>
    </row>
    <row r="9" spans="1:14">
      <c r="A9" s="6" t="s">
        <v>150</v>
      </c>
      <c r="B9" s="11">
        <v>0</v>
      </c>
    </row>
    <row r="10" spans="1:14">
      <c r="A10" s="6" t="s">
        <v>151</v>
      </c>
      <c r="B10" s="9">
        <v>13.3178</v>
      </c>
    </row>
    <row r="11" spans="1:14" ht="15">
      <c r="A11" s="30" t="s">
        <v>152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153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154</v>
      </c>
      <c r="B14" s="15">
        <v>0.13</v>
      </c>
      <c r="C14" s="6" t="s">
        <v>155</v>
      </c>
      <c r="D14" s="15">
        <v>2.5000000000000001E-2</v>
      </c>
    </row>
    <row r="16" spans="1:14">
      <c r="A16" s="5" t="s">
        <v>156</v>
      </c>
      <c r="B16" s="5" t="s">
        <v>83</v>
      </c>
      <c r="C16" s="5" t="s">
        <v>74</v>
      </c>
      <c r="D16" s="5" t="s">
        <v>157</v>
      </c>
      <c r="E16" s="5" t="s">
        <v>158</v>
      </c>
      <c r="F16" s="5" t="s">
        <v>124</v>
      </c>
      <c r="G16" s="5" t="s">
        <v>159</v>
      </c>
      <c r="H16" s="5" t="s">
        <v>160</v>
      </c>
      <c r="I16" s="5" t="s">
        <v>161</v>
      </c>
      <c r="J16" s="5" t="s">
        <v>162</v>
      </c>
      <c r="K16" s="5" t="s">
        <v>163</v>
      </c>
      <c r="L16" s="5" t="s">
        <v>164</v>
      </c>
      <c r="M16" s="5" t="s">
        <v>165</v>
      </c>
      <c r="N16" s="5" t="s">
        <v>166</v>
      </c>
    </row>
    <row r="17" spans="1:14">
      <c r="A17" s="24">
        <v>1</v>
      </c>
      <c r="B17" s="15">
        <v>-0.08</v>
      </c>
      <c r="C17" s="11">
        <f>$B$5*(1+B17)</f>
        <v>358.8</v>
      </c>
      <c r="D17" s="15">
        <v>0.27</v>
      </c>
      <c r="E17" s="11">
        <f t="shared" ref="E17:E26" si="0">C17*D17</f>
        <v>96.876000000000005</v>
      </c>
      <c r="F17" s="11">
        <f t="shared" ref="F17:F26" si="1">E17*(1-$B$6)</f>
        <v>72.657000000000011</v>
      </c>
      <c r="G17" s="15">
        <v>0.03</v>
      </c>
      <c r="H17" s="11">
        <f t="shared" ref="H17:H26" si="2">C17*G17</f>
        <v>10.763999999999999</v>
      </c>
      <c r="I17" s="15">
        <v>3.5000000000000003E-2</v>
      </c>
      <c r="J17" s="11">
        <f t="shared" ref="J17:J26" si="3">C17*I17</f>
        <v>12.558000000000002</v>
      </c>
      <c r="K17" s="11">
        <f>(C17-$B$5)*$B$7</f>
        <v>-1.5599999999999996</v>
      </c>
      <c r="L17" s="11">
        <f t="shared" ref="L17:L26" si="4">F17+H17-J17-K17</f>
        <v>72.423000000000002</v>
      </c>
      <c r="M17" s="9">
        <f>1/(1+$B$14)^1</f>
        <v>0.88495575221238942</v>
      </c>
      <c r="N17" s="11">
        <f t="shared" ref="N17:N26" si="5">L17*M17</f>
        <v>64.091150442477883</v>
      </c>
    </row>
    <row r="18" spans="1:14">
      <c r="A18" s="24">
        <v>2</v>
      </c>
      <c r="B18" s="15">
        <v>-0.05</v>
      </c>
      <c r="C18" s="11">
        <f t="shared" ref="C18:C26" si="6">C17*(1+B18)</f>
        <v>340.86</v>
      </c>
      <c r="D18" s="15">
        <v>0.27</v>
      </c>
      <c r="E18" s="11">
        <f t="shared" si="0"/>
        <v>92.032200000000003</v>
      </c>
      <c r="F18" s="11">
        <f t="shared" si="1"/>
        <v>69.024150000000006</v>
      </c>
      <c r="G18" s="15">
        <v>0.03</v>
      </c>
      <c r="H18" s="11">
        <f t="shared" si="2"/>
        <v>10.2258</v>
      </c>
      <c r="I18" s="15">
        <v>3.5000000000000003E-2</v>
      </c>
      <c r="J18" s="11">
        <f t="shared" si="3"/>
        <v>11.930100000000001</v>
      </c>
      <c r="K18" s="11">
        <f t="shared" ref="K18:K26" si="7">(C18-C17)*$B$7</f>
        <v>-0.89699999999999991</v>
      </c>
      <c r="L18" s="11">
        <f t="shared" si="4"/>
        <v>68.216850000000022</v>
      </c>
      <c r="M18" s="9">
        <f>1/(1+$B$14)^2</f>
        <v>0.78314668337379612</v>
      </c>
      <c r="N18" s="11">
        <f t="shared" si="5"/>
        <v>53.423799827707761</v>
      </c>
    </row>
    <row r="19" spans="1:14">
      <c r="A19" s="24">
        <v>3</v>
      </c>
      <c r="B19" s="15">
        <v>0</v>
      </c>
      <c r="C19" s="11">
        <f t="shared" si="6"/>
        <v>340.86</v>
      </c>
      <c r="D19" s="15">
        <v>0.27</v>
      </c>
      <c r="E19" s="11">
        <f t="shared" si="0"/>
        <v>92.032200000000003</v>
      </c>
      <c r="F19" s="11">
        <f t="shared" si="1"/>
        <v>69.024150000000006</v>
      </c>
      <c r="G19" s="15">
        <v>0.03</v>
      </c>
      <c r="H19" s="11">
        <f t="shared" si="2"/>
        <v>10.2258</v>
      </c>
      <c r="I19" s="15">
        <v>3.5000000000000003E-2</v>
      </c>
      <c r="J19" s="11">
        <f t="shared" si="3"/>
        <v>11.930100000000001</v>
      </c>
      <c r="K19" s="11">
        <f t="shared" si="7"/>
        <v>0</v>
      </c>
      <c r="L19" s="11">
        <f t="shared" si="4"/>
        <v>67.319850000000017</v>
      </c>
      <c r="M19" s="9">
        <f>1/(1+$B$14)^3</f>
        <v>0.69305016227769578</v>
      </c>
      <c r="N19" s="11">
        <f t="shared" si="5"/>
        <v>46.656032967010148</v>
      </c>
    </row>
    <row r="20" spans="1:14">
      <c r="A20" s="24">
        <v>4</v>
      </c>
      <c r="B20" s="15">
        <v>0.02</v>
      </c>
      <c r="C20" s="11">
        <f t="shared" si="6"/>
        <v>347.67720000000003</v>
      </c>
      <c r="D20" s="15">
        <v>0.27</v>
      </c>
      <c r="E20" s="11">
        <f t="shared" si="0"/>
        <v>93.872844000000015</v>
      </c>
      <c r="F20" s="11">
        <f t="shared" si="1"/>
        <v>70.404633000000018</v>
      </c>
      <c r="G20" s="15">
        <v>0.03</v>
      </c>
      <c r="H20" s="11">
        <f t="shared" si="2"/>
        <v>10.430316000000001</v>
      </c>
      <c r="I20" s="15">
        <v>3.5000000000000003E-2</v>
      </c>
      <c r="J20" s="11">
        <f t="shared" si="3"/>
        <v>12.168702000000001</v>
      </c>
      <c r="K20" s="11">
        <f t="shared" si="7"/>
        <v>0.34086000000000072</v>
      </c>
      <c r="L20" s="11">
        <f t="shared" si="4"/>
        <v>68.325387000000021</v>
      </c>
      <c r="M20" s="9">
        <f>1/(1+$B$14)^4</f>
        <v>0.61331872767937679</v>
      </c>
      <c r="N20" s="11">
        <f t="shared" si="5"/>
        <v>41.905239423041046</v>
      </c>
    </row>
    <row r="21" spans="1:14">
      <c r="A21" s="24">
        <v>5</v>
      </c>
      <c r="B21" s="15">
        <v>0.02</v>
      </c>
      <c r="C21" s="11">
        <f t="shared" si="6"/>
        <v>354.63074400000005</v>
      </c>
      <c r="D21" s="15">
        <v>0.27</v>
      </c>
      <c r="E21" s="11">
        <f t="shared" si="0"/>
        <v>95.750300880000026</v>
      </c>
      <c r="F21" s="11">
        <f t="shared" si="1"/>
        <v>71.812725660000012</v>
      </c>
      <c r="G21" s="15">
        <v>0.03</v>
      </c>
      <c r="H21" s="11">
        <f t="shared" si="2"/>
        <v>10.638922320000001</v>
      </c>
      <c r="I21" s="15">
        <v>3.5000000000000003E-2</v>
      </c>
      <c r="J21" s="11">
        <f t="shared" si="3"/>
        <v>12.412076040000002</v>
      </c>
      <c r="K21" s="11">
        <f t="shared" si="7"/>
        <v>0.34767720000000113</v>
      </c>
      <c r="L21" s="11">
        <f t="shared" si="4"/>
        <v>69.691894740000009</v>
      </c>
      <c r="M21" s="9">
        <f>1/(1+$B$14)^5</f>
        <v>0.54275993599944861</v>
      </c>
      <c r="N21" s="11">
        <f t="shared" si="5"/>
        <v>37.825968328762713</v>
      </c>
    </row>
    <row r="22" spans="1:14">
      <c r="A22" s="24">
        <v>6</v>
      </c>
      <c r="B22" s="15">
        <v>0.02</v>
      </c>
      <c r="C22" s="11">
        <f t="shared" si="6"/>
        <v>361.72335888000003</v>
      </c>
      <c r="D22" s="15">
        <v>0.27</v>
      </c>
      <c r="E22" s="11">
        <f t="shared" si="0"/>
        <v>97.665306897600018</v>
      </c>
      <c r="F22" s="11">
        <f t="shared" si="1"/>
        <v>73.24898017320001</v>
      </c>
      <c r="G22" s="15">
        <v>0.03</v>
      </c>
      <c r="H22" s="11">
        <f t="shared" si="2"/>
        <v>10.8517007664</v>
      </c>
      <c r="I22" s="15">
        <v>3.5000000000000003E-2</v>
      </c>
      <c r="J22" s="11">
        <f t="shared" si="3"/>
        <v>12.660317560800003</v>
      </c>
      <c r="K22" s="11">
        <f t="shared" si="7"/>
        <v>0.35463074399999928</v>
      </c>
      <c r="L22" s="11">
        <f t="shared" si="4"/>
        <v>71.08573263480001</v>
      </c>
      <c r="M22" s="9">
        <f>1/(1+$B$14)^6</f>
        <v>0.48031852743314046</v>
      </c>
      <c r="N22" s="11">
        <f t="shared" si="5"/>
        <v>34.14379442065308</v>
      </c>
    </row>
    <row r="23" spans="1:14">
      <c r="A23" s="24">
        <v>7</v>
      </c>
      <c r="B23" s="15">
        <v>0.02</v>
      </c>
      <c r="C23" s="11">
        <f t="shared" si="6"/>
        <v>368.95782605760002</v>
      </c>
      <c r="D23" s="15">
        <v>0.27</v>
      </c>
      <c r="E23" s="11">
        <f t="shared" si="0"/>
        <v>99.618613035552016</v>
      </c>
      <c r="F23" s="11">
        <f t="shared" si="1"/>
        <v>74.713959776664012</v>
      </c>
      <c r="G23" s="15">
        <v>0.03</v>
      </c>
      <c r="H23" s="11">
        <f t="shared" si="2"/>
        <v>11.068734781728001</v>
      </c>
      <c r="I23" s="15">
        <v>3.5000000000000003E-2</v>
      </c>
      <c r="J23" s="11">
        <f t="shared" si="3"/>
        <v>12.913523912016002</v>
      </c>
      <c r="K23" s="11">
        <f t="shared" si="7"/>
        <v>0.36172335887999907</v>
      </c>
      <c r="L23" s="11">
        <f t="shared" si="4"/>
        <v>72.507447287496007</v>
      </c>
      <c r="M23" s="9">
        <f>1/(1+$B$14)^7</f>
        <v>0.425060643746142</v>
      </c>
      <c r="N23" s="11">
        <f t="shared" si="5"/>
        <v>30.82006222041251</v>
      </c>
    </row>
    <row r="24" spans="1:14">
      <c r="A24" s="24">
        <v>8</v>
      </c>
      <c r="B24" s="15">
        <v>0.02</v>
      </c>
      <c r="C24" s="11">
        <f t="shared" si="6"/>
        <v>376.33698257875204</v>
      </c>
      <c r="D24" s="15">
        <v>0.27</v>
      </c>
      <c r="E24" s="11">
        <f t="shared" si="0"/>
        <v>101.61098529626305</v>
      </c>
      <c r="F24" s="11">
        <f t="shared" si="1"/>
        <v>76.208238972197293</v>
      </c>
      <c r="G24" s="15">
        <v>0.03</v>
      </c>
      <c r="H24" s="11">
        <f t="shared" si="2"/>
        <v>11.290109477362561</v>
      </c>
      <c r="I24" s="15">
        <v>3.5000000000000003E-2</v>
      </c>
      <c r="J24" s="11">
        <f t="shared" si="3"/>
        <v>13.171794390256323</v>
      </c>
      <c r="K24" s="11">
        <f t="shared" si="7"/>
        <v>0.36895782605760136</v>
      </c>
      <c r="L24" s="11">
        <f t="shared" si="4"/>
        <v>73.957596233245937</v>
      </c>
      <c r="M24" s="9">
        <f>1/(1+$B$14)^8</f>
        <v>0.37615986172224958</v>
      </c>
      <c r="N24" s="11">
        <f t="shared" si="5"/>
        <v>27.819879172407759</v>
      </c>
    </row>
    <row r="25" spans="1:14">
      <c r="A25" s="24">
        <v>9</v>
      </c>
      <c r="B25" s="15">
        <v>0.02</v>
      </c>
      <c r="C25" s="11">
        <f t="shared" si="6"/>
        <v>383.86372223032708</v>
      </c>
      <c r="D25" s="15">
        <v>0.27</v>
      </c>
      <c r="E25" s="11">
        <f t="shared" si="0"/>
        <v>103.64320500218832</v>
      </c>
      <c r="F25" s="11">
        <f t="shared" si="1"/>
        <v>77.732403751641243</v>
      </c>
      <c r="G25" s="15">
        <v>0.03</v>
      </c>
      <c r="H25" s="11">
        <f t="shared" si="2"/>
        <v>11.515911666909812</v>
      </c>
      <c r="I25" s="15">
        <v>3.5000000000000003E-2</v>
      </c>
      <c r="J25" s="11">
        <f t="shared" si="3"/>
        <v>13.43523027806145</v>
      </c>
      <c r="K25" s="11">
        <f t="shared" si="7"/>
        <v>0.37633698257875214</v>
      </c>
      <c r="L25" s="11">
        <f t="shared" si="4"/>
        <v>75.436748157910856</v>
      </c>
      <c r="M25" s="9">
        <f>1/(1+$B$14)^9</f>
        <v>0.33288483338252178</v>
      </c>
      <c r="N25" s="11">
        <f t="shared" si="5"/>
        <v>25.111749341465412</v>
      </c>
    </row>
    <row r="26" spans="1:14">
      <c r="A26" s="24">
        <v>10</v>
      </c>
      <c r="B26" s="15">
        <v>0.02</v>
      </c>
      <c r="C26" s="11">
        <f t="shared" si="6"/>
        <v>391.54099667493364</v>
      </c>
      <c r="D26" s="15">
        <v>0.27</v>
      </c>
      <c r="E26" s="11">
        <f t="shared" si="0"/>
        <v>105.71606910223208</v>
      </c>
      <c r="F26" s="11">
        <f t="shared" si="1"/>
        <v>79.287051826674059</v>
      </c>
      <c r="G26" s="15">
        <v>0.03</v>
      </c>
      <c r="H26" s="11">
        <f t="shared" si="2"/>
        <v>11.746229900248009</v>
      </c>
      <c r="I26" s="15">
        <v>3.5000000000000003E-2</v>
      </c>
      <c r="J26" s="11">
        <f t="shared" si="3"/>
        <v>13.703934883622679</v>
      </c>
      <c r="K26" s="11">
        <f t="shared" si="7"/>
        <v>0.38386372223032766</v>
      </c>
      <c r="L26" s="11">
        <f t="shared" si="4"/>
        <v>76.94548312106906</v>
      </c>
      <c r="M26" s="9">
        <f>1/(1+$B$14)^10</f>
        <v>0.2945883481261255</v>
      </c>
      <c r="N26" s="11">
        <f t="shared" si="5"/>
        <v>22.667242768402406</v>
      </c>
    </row>
    <row r="27" spans="1:14">
      <c r="A27" s="18" t="s">
        <v>167</v>
      </c>
      <c r="B27" s="11">
        <f>L26*(1+$D$14)/($B$14-$D$14)</f>
        <v>751.13447808662636</v>
      </c>
    </row>
    <row r="28" spans="1:14">
      <c r="A28" s="6" t="s">
        <v>168</v>
      </c>
      <c r="B28" s="11">
        <f>B27/(1+$B$14)^10</f>
        <v>221.2754651201187</v>
      </c>
    </row>
    <row r="29" spans="1:14">
      <c r="A29" s="18" t="s">
        <v>169</v>
      </c>
      <c r="B29" s="11">
        <f>SUM(N17:N26)+B28</f>
        <v>605.74038403245947</v>
      </c>
    </row>
    <row r="30" spans="1:14">
      <c r="A30" s="6" t="s">
        <v>170</v>
      </c>
      <c r="B30" s="11">
        <f>$B$8</f>
        <v>-105.08</v>
      </c>
    </row>
    <row r="31" spans="1:14">
      <c r="A31" s="6" t="s">
        <v>171</v>
      </c>
      <c r="B31" s="11">
        <f>$B$9</f>
        <v>0</v>
      </c>
    </row>
    <row r="32" spans="1:14">
      <c r="A32" s="18" t="s">
        <v>172</v>
      </c>
      <c r="B32" s="11">
        <f>B29-B30+B31</f>
        <v>710.82038403245951</v>
      </c>
    </row>
    <row r="33" spans="1:14">
      <c r="A33" s="18" t="s">
        <v>173</v>
      </c>
      <c r="B33" s="7">
        <f>B32/$B$10</f>
        <v>53.373709173621734</v>
      </c>
      <c r="C33" s="6" t="s">
        <v>174</v>
      </c>
    </row>
    <row r="36" spans="1:14" ht="16.2">
      <c r="A36" s="3" t="s">
        <v>175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154</v>
      </c>
      <c r="B37" s="15">
        <v>0.115</v>
      </c>
      <c r="C37" s="6" t="s">
        <v>155</v>
      </c>
      <c r="D37" s="15">
        <v>0.03</v>
      </c>
    </row>
    <row r="39" spans="1:14">
      <c r="A39" s="5" t="s">
        <v>156</v>
      </c>
      <c r="B39" s="5" t="s">
        <v>83</v>
      </c>
      <c r="C39" s="5" t="s">
        <v>74</v>
      </c>
      <c r="D39" s="5" t="s">
        <v>157</v>
      </c>
      <c r="E39" s="5" t="s">
        <v>158</v>
      </c>
      <c r="F39" s="5" t="s">
        <v>124</v>
      </c>
      <c r="G39" s="5" t="s">
        <v>159</v>
      </c>
      <c r="H39" s="5" t="s">
        <v>160</v>
      </c>
      <c r="I39" s="5" t="s">
        <v>161</v>
      </c>
      <c r="J39" s="5" t="s">
        <v>162</v>
      </c>
      <c r="K39" s="5" t="s">
        <v>163</v>
      </c>
      <c r="L39" s="5" t="s">
        <v>164</v>
      </c>
      <c r="M39" s="5" t="s">
        <v>165</v>
      </c>
      <c r="N39" s="5" t="s">
        <v>166</v>
      </c>
    </row>
    <row r="40" spans="1:14">
      <c r="A40" s="24">
        <v>1</v>
      </c>
      <c r="B40" s="15">
        <v>0.1</v>
      </c>
      <c r="C40" s="11">
        <f>$B$5*(1+B40)</f>
        <v>429.00000000000006</v>
      </c>
      <c r="D40" s="15">
        <v>0.35</v>
      </c>
      <c r="E40" s="11">
        <f t="shared" ref="E40:E49" si="8">C40*D40</f>
        <v>150.15</v>
      </c>
      <c r="F40" s="11">
        <f t="shared" ref="F40:F49" si="9">E40*(1-$B$6)</f>
        <v>112.61250000000001</v>
      </c>
      <c r="G40" s="15">
        <v>0.03</v>
      </c>
      <c r="H40" s="11">
        <f t="shared" ref="H40:H49" si="10">C40*G40</f>
        <v>12.870000000000001</v>
      </c>
      <c r="I40" s="15">
        <v>3.5000000000000003E-2</v>
      </c>
      <c r="J40" s="11">
        <f t="shared" ref="J40:J49" si="11">C40*I40</f>
        <v>15.015000000000004</v>
      </c>
      <c r="K40" s="11">
        <f>(C40-$B$5)*$B$7</f>
        <v>1.9500000000000028</v>
      </c>
      <c r="L40" s="11">
        <f t="shared" ref="L40:L49" si="12">F40+H40-J40-K40</f>
        <v>108.51750000000001</v>
      </c>
      <c r="M40" s="9">
        <f>1/(1+$B$37)^1</f>
        <v>0.89686098654708524</v>
      </c>
      <c r="N40" s="11">
        <f t="shared" ref="N40:N49" si="13">L40*M40</f>
        <v>97.32511210762334</v>
      </c>
    </row>
    <row r="41" spans="1:14">
      <c r="A41" s="24">
        <v>2</v>
      </c>
      <c r="B41" s="15">
        <v>0.08</v>
      </c>
      <c r="C41" s="11">
        <f t="shared" ref="C41:C49" si="14">C40*(1+B41)</f>
        <v>463.32000000000011</v>
      </c>
      <c r="D41" s="15">
        <v>0.35</v>
      </c>
      <c r="E41" s="11">
        <f t="shared" si="8"/>
        <v>162.16200000000003</v>
      </c>
      <c r="F41" s="11">
        <f t="shared" si="9"/>
        <v>121.62150000000003</v>
      </c>
      <c r="G41" s="15">
        <v>0.03</v>
      </c>
      <c r="H41" s="11">
        <f t="shared" si="10"/>
        <v>13.899600000000003</v>
      </c>
      <c r="I41" s="15">
        <v>3.5000000000000003E-2</v>
      </c>
      <c r="J41" s="11">
        <f t="shared" si="11"/>
        <v>16.216200000000004</v>
      </c>
      <c r="K41" s="11">
        <f t="shared" ref="K41:K49" si="15">(C41-C40)*$B$7</f>
        <v>1.7160000000000026</v>
      </c>
      <c r="L41" s="11">
        <f t="shared" si="12"/>
        <v>117.58890000000001</v>
      </c>
      <c r="M41" s="9">
        <f>1/(1+$B$37)^2</f>
        <v>0.80435962919021098</v>
      </c>
      <c r="N41" s="11">
        <f t="shared" si="13"/>
        <v>94.583764000884813</v>
      </c>
    </row>
    <row r="42" spans="1:14">
      <c r="A42" s="24">
        <v>3</v>
      </c>
      <c r="B42" s="15">
        <v>7.0000000000000007E-2</v>
      </c>
      <c r="C42" s="11">
        <f t="shared" si="14"/>
        <v>495.75240000000014</v>
      </c>
      <c r="D42" s="15">
        <v>0.35</v>
      </c>
      <c r="E42" s="11">
        <f t="shared" si="8"/>
        <v>173.51334000000003</v>
      </c>
      <c r="F42" s="11">
        <f t="shared" si="9"/>
        <v>130.13500500000004</v>
      </c>
      <c r="G42" s="15">
        <v>0.03</v>
      </c>
      <c r="H42" s="11">
        <f t="shared" si="10"/>
        <v>14.872572000000003</v>
      </c>
      <c r="I42" s="15">
        <v>3.5000000000000003E-2</v>
      </c>
      <c r="J42" s="11">
        <f t="shared" si="11"/>
        <v>17.351334000000005</v>
      </c>
      <c r="K42" s="11">
        <f t="shared" si="15"/>
        <v>1.6216200000000016</v>
      </c>
      <c r="L42" s="11">
        <f t="shared" si="12"/>
        <v>126.03462300000001</v>
      </c>
      <c r="M42" s="9">
        <f>1/(1+$B$37)^3</f>
        <v>0.72139877057418023</v>
      </c>
      <c r="N42" s="11">
        <f t="shared" si="13"/>
        <v>90.921222081980304</v>
      </c>
    </row>
    <row r="43" spans="1:14">
      <c r="A43" s="24">
        <v>4</v>
      </c>
      <c r="B43" s="15">
        <v>0.06</v>
      </c>
      <c r="C43" s="11">
        <f t="shared" si="14"/>
        <v>525.49754400000018</v>
      </c>
      <c r="D43" s="15">
        <v>0.35</v>
      </c>
      <c r="E43" s="11">
        <f t="shared" si="8"/>
        <v>183.92414040000006</v>
      </c>
      <c r="F43" s="11">
        <f t="shared" si="9"/>
        <v>137.94310530000004</v>
      </c>
      <c r="G43" s="15">
        <v>0.03</v>
      </c>
      <c r="H43" s="11">
        <f t="shared" si="10"/>
        <v>15.764926320000004</v>
      </c>
      <c r="I43" s="15">
        <v>3.5000000000000003E-2</v>
      </c>
      <c r="J43" s="11">
        <f t="shared" si="11"/>
        <v>18.392414040000009</v>
      </c>
      <c r="K43" s="11">
        <f t="shared" si="15"/>
        <v>1.4872572000000019</v>
      </c>
      <c r="L43" s="11">
        <f t="shared" si="12"/>
        <v>133.82836038000005</v>
      </c>
      <c r="M43" s="9">
        <f>1/(1+$B$37)^4</f>
        <v>0.64699441307101357</v>
      </c>
      <c r="N43" s="11">
        <f t="shared" si="13"/>
        <v>86.586201476314216</v>
      </c>
    </row>
    <row r="44" spans="1:14">
      <c r="A44" s="24">
        <v>5</v>
      </c>
      <c r="B44" s="15">
        <v>0.05</v>
      </c>
      <c r="C44" s="11">
        <f t="shared" si="14"/>
        <v>551.77242120000017</v>
      </c>
      <c r="D44" s="15">
        <v>0.35</v>
      </c>
      <c r="E44" s="11">
        <f t="shared" si="8"/>
        <v>193.12034742000006</v>
      </c>
      <c r="F44" s="11">
        <f t="shared" si="9"/>
        <v>144.84026056500005</v>
      </c>
      <c r="G44" s="15">
        <v>0.03</v>
      </c>
      <c r="H44" s="11">
        <f t="shared" si="10"/>
        <v>16.553172636000003</v>
      </c>
      <c r="I44" s="15">
        <v>3.5000000000000003E-2</v>
      </c>
      <c r="J44" s="11">
        <f t="shared" si="11"/>
        <v>19.312034742000009</v>
      </c>
      <c r="K44" s="11">
        <f t="shared" si="15"/>
        <v>1.3137438599999998</v>
      </c>
      <c r="L44" s="11">
        <f t="shared" si="12"/>
        <v>140.76765459900005</v>
      </c>
      <c r="M44" s="9">
        <f>1/(1+$B$37)^5</f>
        <v>0.58026404759732153</v>
      </c>
      <c r="N44" s="11">
        <f t="shared" si="13"/>
        <v>81.682409028397487</v>
      </c>
    </row>
    <row r="45" spans="1:14">
      <c r="A45" s="24">
        <v>6</v>
      </c>
      <c r="B45" s="15">
        <v>0.05</v>
      </c>
      <c r="C45" s="11">
        <f t="shared" si="14"/>
        <v>579.3610422600002</v>
      </c>
      <c r="D45" s="15">
        <v>0.35</v>
      </c>
      <c r="E45" s="11">
        <f t="shared" si="8"/>
        <v>202.77636479100005</v>
      </c>
      <c r="F45" s="11">
        <f t="shared" si="9"/>
        <v>152.08227359325002</v>
      </c>
      <c r="G45" s="15">
        <v>0.03</v>
      </c>
      <c r="H45" s="11">
        <f t="shared" si="10"/>
        <v>17.380831267800005</v>
      </c>
      <c r="I45" s="15">
        <v>3.5000000000000003E-2</v>
      </c>
      <c r="J45" s="11">
        <f t="shared" si="11"/>
        <v>20.277636479100011</v>
      </c>
      <c r="K45" s="11">
        <f t="shared" si="15"/>
        <v>1.379431053000002</v>
      </c>
      <c r="L45" s="11">
        <f t="shared" si="12"/>
        <v>147.80603732895003</v>
      </c>
      <c r="M45" s="9">
        <f>1/(1+$B$37)^6</f>
        <v>0.52041618618593866</v>
      </c>
      <c r="N45" s="11">
        <f t="shared" si="13"/>
        <v>76.920654241988657</v>
      </c>
    </row>
    <row r="46" spans="1:14">
      <c r="A46" s="24">
        <v>7</v>
      </c>
      <c r="B46" s="15">
        <v>0.04</v>
      </c>
      <c r="C46" s="11">
        <f t="shared" si="14"/>
        <v>602.53548395040025</v>
      </c>
      <c r="D46" s="15">
        <v>0.35</v>
      </c>
      <c r="E46" s="11">
        <f t="shared" si="8"/>
        <v>210.88741938264008</v>
      </c>
      <c r="F46" s="11">
        <f t="shared" si="9"/>
        <v>158.16556453698007</v>
      </c>
      <c r="G46" s="15">
        <v>0.03</v>
      </c>
      <c r="H46" s="11">
        <f t="shared" si="10"/>
        <v>18.076064518512005</v>
      </c>
      <c r="I46" s="15">
        <v>3.5000000000000003E-2</v>
      </c>
      <c r="J46" s="11">
        <f t="shared" si="11"/>
        <v>21.088741938264011</v>
      </c>
      <c r="K46" s="11">
        <f t="shared" si="15"/>
        <v>1.1587220845200024</v>
      </c>
      <c r="L46" s="11">
        <f t="shared" si="12"/>
        <v>153.99416503270805</v>
      </c>
      <c r="M46" s="9">
        <f>1/(1+$B$37)^7</f>
        <v>0.46674097415779248</v>
      </c>
      <c r="N46" s="11">
        <f t="shared" si="13"/>
        <v>71.875386601982015</v>
      </c>
    </row>
    <row r="47" spans="1:14">
      <c r="A47" s="24">
        <v>8</v>
      </c>
      <c r="B47" s="15">
        <v>0.04</v>
      </c>
      <c r="C47" s="11">
        <f t="shared" si="14"/>
        <v>626.63690330841632</v>
      </c>
      <c r="D47" s="15">
        <v>0.35</v>
      </c>
      <c r="E47" s="11">
        <f t="shared" si="8"/>
        <v>219.32291615794571</v>
      </c>
      <c r="F47" s="11">
        <f t="shared" si="9"/>
        <v>164.4921871184593</v>
      </c>
      <c r="G47" s="15">
        <v>0.03</v>
      </c>
      <c r="H47" s="11">
        <f t="shared" si="10"/>
        <v>18.799107099252488</v>
      </c>
      <c r="I47" s="15">
        <v>3.5000000000000003E-2</v>
      </c>
      <c r="J47" s="11">
        <f t="shared" si="11"/>
        <v>21.932291615794572</v>
      </c>
      <c r="K47" s="11">
        <f t="shared" si="15"/>
        <v>1.2050709679008038</v>
      </c>
      <c r="L47" s="11">
        <f t="shared" si="12"/>
        <v>160.1539316340164</v>
      </c>
      <c r="M47" s="9">
        <f>1/(1+$B$37)^8</f>
        <v>0.41860177054510533</v>
      </c>
      <c r="N47" s="11">
        <f t="shared" si="13"/>
        <v>67.040719341759015</v>
      </c>
    </row>
    <row r="48" spans="1:14">
      <c r="A48" s="24">
        <v>9</v>
      </c>
      <c r="B48" s="15">
        <v>0.03</v>
      </c>
      <c r="C48" s="11">
        <f t="shared" si="14"/>
        <v>645.43601040766885</v>
      </c>
      <c r="D48" s="15">
        <v>0.35</v>
      </c>
      <c r="E48" s="11">
        <f t="shared" si="8"/>
        <v>225.90260364268408</v>
      </c>
      <c r="F48" s="11">
        <f t="shared" si="9"/>
        <v>169.42695273201306</v>
      </c>
      <c r="G48" s="15">
        <v>0.03</v>
      </c>
      <c r="H48" s="11">
        <f t="shared" si="10"/>
        <v>19.363080312230064</v>
      </c>
      <c r="I48" s="15">
        <v>3.5000000000000003E-2</v>
      </c>
      <c r="J48" s="11">
        <f t="shared" si="11"/>
        <v>22.590260364268413</v>
      </c>
      <c r="K48" s="11">
        <f t="shared" si="15"/>
        <v>0.93995535496262628</v>
      </c>
      <c r="L48" s="11">
        <f t="shared" si="12"/>
        <v>165.25981732501211</v>
      </c>
      <c r="M48" s="9">
        <f>1/(1+$B$37)^9</f>
        <v>0.37542759690143979</v>
      </c>
      <c r="N48" s="11">
        <f t="shared" si="13"/>
        <v>62.043096082700224</v>
      </c>
    </row>
    <row r="49" spans="1:14">
      <c r="A49" s="24">
        <v>10</v>
      </c>
      <c r="B49" s="15">
        <v>0.03</v>
      </c>
      <c r="C49" s="11">
        <f t="shared" si="14"/>
        <v>664.79909071989891</v>
      </c>
      <c r="D49" s="15">
        <v>0.35</v>
      </c>
      <c r="E49" s="11">
        <f t="shared" si="8"/>
        <v>232.67968175196461</v>
      </c>
      <c r="F49" s="11">
        <f t="shared" si="9"/>
        <v>174.50976131397346</v>
      </c>
      <c r="G49" s="15">
        <v>0.03</v>
      </c>
      <c r="H49" s="11">
        <f t="shared" si="10"/>
        <v>19.943972721596968</v>
      </c>
      <c r="I49" s="15">
        <v>3.5000000000000003E-2</v>
      </c>
      <c r="J49" s="11">
        <f t="shared" si="11"/>
        <v>23.267968175196465</v>
      </c>
      <c r="K49" s="11">
        <f t="shared" si="15"/>
        <v>0.96815401561150338</v>
      </c>
      <c r="L49" s="11">
        <f t="shared" si="12"/>
        <v>170.21761184476244</v>
      </c>
      <c r="M49" s="9">
        <f>1/(1+$B$37)^10</f>
        <v>0.33670636493402667</v>
      </c>
      <c r="N49" s="11">
        <f t="shared" si="13"/>
        <v>57.313353332001086</v>
      </c>
    </row>
    <row r="50" spans="1:14">
      <c r="A50" s="18" t="s">
        <v>167</v>
      </c>
      <c r="B50" s="11">
        <f>L49*(1+$D$37)/($B$37-$D$37)</f>
        <v>2062.6369435306506</v>
      </c>
    </row>
    <row r="51" spans="1:14">
      <c r="A51" s="6" t="s">
        <v>168</v>
      </c>
      <c r="B51" s="11">
        <f>B50/(1+$B$37)^10</f>
        <v>694.50298743483665</v>
      </c>
    </row>
    <row r="52" spans="1:14">
      <c r="A52" s="18" t="s">
        <v>169</v>
      </c>
      <c r="B52" s="11">
        <f>SUM(N40:N49)+B51</f>
        <v>1480.7949057304677</v>
      </c>
    </row>
    <row r="53" spans="1:14">
      <c r="A53" s="6" t="s">
        <v>170</v>
      </c>
      <c r="B53" s="11">
        <f>$B$8</f>
        <v>-105.08</v>
      </c>
    </row>
    <row r="54" spans="1:14">
      <c r="A54" s="6" t="s">
        <v>171</v>
      </c>
      <c r="B54" s="11">
        <f>$B$9</f>
        <v>0</v>
      </c>
    </row>
    <row r="55" spans="1:14">
      <c r="A55" s="18" t="s">
        <v>172</v>
      </c>
      <c r="B55" s="11">
        <f>B52-B53+B54</f>
        <v>1585.8749057304676</v>
      </c>
    </row>
    <row r="56" spans="1:14">
      <c r="A56" s="18" t="s">
        <v>173</v>
      </c>
      <c r="B56" s="7">
        <f>B55/$B$10</f>
        <v>119.07934536713779</v>
      </c>
      <c r="C56" s="6" t="s">
        <v>176</v>
      </c>
    </row>
    <row r="59" spans="1:14" ht="16.2">
      <c r="A59" s="3" t="s">
        <v>177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154</v>
      </c>
      <c r="B60" s="15">
        <v>0.10299999999999999</v>
      </c>
      <c r="C60" s="6" t="s">
        <v>155</v>
      </c>
      <c r="D60" s="15">
        <v>3.5000000000000003E-2</v>
      </c>
    </row>
    <row r="62" spans="1:14">
      <c r="A62" s="5" t="s">
        <v>156</v>
      </c>
      <c r="B62" s="5" t="s">
        <v>83</v>
      </c>
      <c r="C62" s="5" t="s">
        <v>74</v>
      </c>
      <c r="D62" s="5" t="s">
        <v>157</v>
      </c>
      <c r="E62" s="5" t="s">
        <v>158</v>
      </c>
      <c r="F62" s="5" t="s">
        <v>124</v>
      </c>
      <c r="G62" s="5" t="s">
        <v>159</v>
      </c>
      <c r="H62" s="5" t="s">
        <v>160</v>
      </c>
      <c r="I62" s="5" t="s">
        <v>161</v>
      </c>
      <c r="J62" s="5" t="s">
        <v>162</v>
      </c>
      <c r="K62" s="5" t="s">
        <v>163</v>
      </c>
      <c r="L62" s="5" t="s">
        <v>164</v>
      </c>
      <c r="M62" s="5" t="s">
        <v>165</v>
      </c>
      <c r="N62" s="5" t="s">
        <v>166</v>
      </c>
    </row>
    <row r="63" spans="1:14">
      <c r="A63" s="24">
        <v>1</v>
      </c>
      <c r="B63" s="15">
        <v>0.18</v>
      </c>
      <c r="C63" s="11">
        <f>$B$5*(1+B63)</f>
        <v>460.2</v>
      </c>
      <c r="D63" s="15">
        <v>0.38</v>
      </c>
      <c r="E63" s="11">
        <f t="shared" ref="E63:E72" si="16">C63*D63</f>
        <v>174.876</v>
      </c>
      <c r="F63" s="11">
        <f t="shared" ref="F63:F72" si="17">E63*(1-$B$6)</f>
        <v>131.15700000000001</v>
      </c>
      <c r="G63" s="15">
        <v>0.03</v>
      </c>
      <c r="H63" s="11">
        <f t="shared" ref="H63:H72" si="18">C63*G63</f>
        <v>13.805999999999999</v>
      </c>
      <c r="I63" s="15">
        <v>3.5000000000000003E-2</v>
      </c>
      <c r="J63" s="11">
        <f t="shared" ref="J63:J72" si="19">C63*I63</f>
        <v>16.107000000000003</v>
      </c>
      <c r="K63" s="11">
        <f>(C63-$B$5)*$B$7</f>
        <v>3.51</v>
      </c>
      <c r="L63" s="11">
        <f t="shared" ref="L63:L72" si="20">F63+H63-J63-K63</f>
        <v>125.34600000000002</v>
      </c>
      <c r="M63" s="9">
        <f>1/(1+$B$60)^1</f>
        <v>0.90661831368993651</v>
      </c>
      <c r="N63" s="11">
        <f t="shared" ref="N63:N72" si="21">L63*M63</f>
        <v>113.64097914777879</v>
      </c>
    </row>
    <row r="64" spans="1:14">
      <c r="A64" s="24">
        <v>2</v>
      </c>
      <c r="B64" s="15">
        <v>0.16</v>
      </c>
      <c r="C64" s="11">
        <f t="shared" ref="C64:C72" si="22">C63*(1+B64)</f>
        <v>533.83199999999999</v>
      </c>
      <c r="D64" s="15">
        <v>0.38</v>
      </c>
      <c r="E64" s="11">
        <f t="shared" si="16"/>
        <v>202.85615999999999</v>
      </c>
      <c r="F64" s="11">
        <f t="shared" si="17"/>
        <v>152.14211999999998</v>
      </c>
      <c r="G64" s="15">
        <v>0.03</v>
      </c>
      <c r="H64" s="11">
        <f t="shared" si="18"/>
        <v>16.014959999999999</v>
      </c>
      <c r="I64" s="15">
        <v>3.5000000000000003E-2</v>
      </c>
      <c r="J64" s="11">
        <f t="shared" si="19"/>
        <v>18.68412</v>
      </c>
      <c r="K64" s="11">
        <f t="shared" ref="K64:K72" si="23">(C64-C63)*$B$7</f>
        <v>3.6816000000000004</v>
      </c>
      <c r="L64" s="11">
        <f t="shared" si="20"/>
        <v>145.79135999999997</v>
      </c>
      <c r="M64" s="9">
        <f>1/(1+$B$60)^2</f>
        <v>0.82195676671798412</v>
      </c>
      <c r="N64" s="11">
        <f t="shared" si="21"/>
        <v>119.83419488101761</v>
      </c>
    </row>
    <row r="65" spans="1:14">
      <c r="A65" s="24">
        <v>3</v>
      </c>
      <c r="B65" s="15">
        <v>0.13</v>
      </c>
      <c r="C65" s="11">
        <f t="shared" si="22"/>
        <v>603.23015999999996</v>
      </c>
      <c r="D65" s="15">
        <v>0.38</v>
      </c>
      <c r="E65" s="11">
        <f t="shared" si="16"/>
        <v>229.22746079999999</v>
      </c>
      <c r="F65" s="11">
        <f t="shared" si="17"/>
        <v>171.92059559999998</v>
      </c>
      <c r="G65" s="15">
        <v>0.03</v>
      </c>
      <c r="H65" s="11">
        <f t="shared" si="18"/>
        <v>18.096904799999997</v>
      </c>
      <c r="I65" s="15">
        <v>3.5000000000000003E-2</v>
      </c>
      <c r="J65" s="11">
        <f t="shared" si="19"/>
        <v>21.113055599999999</v>
      </c>
      <c r="K65" s="11">
        <f t="shared" si="23"/>
        <v>3.4699079999999984</v>
      </c>
      <c r="L65" s="11">
        <f t="shared" si="20"/>
        <v>165.43453679999999</v>
      </c>
      <c r="M65" s="9">
        <f>1/(1+$B$60)^3</f>
        <v>0.74520105776789136</v>
      </c>
      <c r="N65" s="11">
        <f t="shared" si="21"/>
        <v>123.28199181470114</v>
      </c>
    </row>
    <row r="66" spans="1:14">
      <c r="A66" s="24">
        <v>4</v>
      </c>
      <c r="B66" s="15">
        <v>0.1</v>
      </c>
      <c r="C66" s="11">
        <f t="shared" si="22"/>
        <v>663.55317600000001</v>
      </c>
      <c r="D66" s="15">
        <v>0.38</v>
      </c>
      <c r="E66" s="11">
        <f t="shared" si="16"/>
        <v>252.15020688000001</v>
      </c>
      <c r="F66" s="11">
        <f t="shared" si="17"/>
        <v>189.11265516</v>
      </c>
      <c r="G66" s="15">
        <v>0.03</v>
      </c>
      <c r="H66" s="11">
        <f t="shared" si="18"/>
        <v>19.906595280000001</v>
      </c>
      <c r="I66" s="15">
        <v>3.5000000000000003E-2</v>
      </c>
      <c r="J66" s="11">
        <f t="shared" si="19"/>
        <v>23.224361160000001</v>
      </c>
      <c r="K66" s="11">
        <f t="shared" si="23"/>
        <v>3.0161508000000028</v>
      </c>
      <c r="L66" s="11">
        <f t="shared" si="20"/>
        <v>182.77873848000002</v>
      </c>
      <c r="M66" s="9">
        <f>1/(1+$B$60)^4</f>
        <v>0.67561292635348258</v>
      </c>
      <c r="N66" s="11">
        <f t="shared" si="21"/>
        <v>123.4876783796707</v>
      </c>
    </row>
    <row r="67" spans="1:14">
      <c r="A67" s="24">
        <v>5</v>
      </c>
      <c r="B67" s="15">
        <v>0.08</v>
      </c>
      <c r="C67" s="11">
        <f t="shared" si="22"/>
        <v>716.63743008000006</v>
      </c>
      <c r="D67" s="15">
        <v>0.38</v>
      </c>
      <c r="E67" s="11">
        <f t="shared" si="16"/>
        <v>272.32222343040002</v>
      </c>
      <c r="F67" s="11">
        <f t="shared" si="17"/>
        <v>204.2416675728</v>
      </c>
      <c r="G67" s="15">
        <v>0.03</v>
      </c>
      <c r="H67" s="11">
        <f t="shared" si="18"/>
        <v>21.4991229024</v>
      </c>
      <c r="I67" s="15">
        <v>3.5000000000000003E-2</v>
      </c>
      <c r="J67" s="11">
        <f t="shared" si="19"/>
        <v>25.082310052800004</v>
      </c>
      <c r="K67" s="11">
        <f t="shared" si="23"/>
        <v>2.6542127040000025</v>
      </c>
      <c r="L67" s="11">
        <f t="shared" si="20"/>
        <v>198.00426771839997</v>
      </c>
      <c r="M67" s="9">
        <f>1/(1+$B$60)^5</f>
        <v>0.61252305199771773</v>
      </c>
      <c r="N67" s="11">
        <f t="shared" si="21"/>
        <v>121.28217837144753</v>
      </c>
    </row>
    <row r="68" spans="1:14">
      <c r="A68" s="24">
        <v>6</v>
      </c>
      <c r="B68" s="15">
        <v>7.0000000000000007E-2</v>
      </c>
      <c r="C68" s="11">
        <f t="shared" si="22"/>
        <v>766.80205018560014</v>
      </c>
      <c r="D68" s="15">
        <v>0.38</v>
      </c>
      <c r="E68" s="11">
        <f t="shared" si="16"/>
        <v>291.38477907052805</v>
      </c>
      <c r="F68" s="11">
        <f t="shared" si="17"/>
        <v>218.53858430289603</v>
      </c>
      <c r="G68" s="15">
        <v>0.03</v>
      </c>
      <c r="H68" s="11">
        <f t="shared" si="18"/>
        <v>23.004061505568004</v>
      </c>
      <c r="I68" s="15">
        <v>3.5000000000000003E-2</v>
      </c>
      <c r="J68" s="11">
        <f t="shared" si="19"/>
        <v>26.838071756496007</v>
      </c>
      <c r="K68" s="11">
        <f t="shared" si="23"/>
        <v>2.5082310052800043</v>
      </c>
      <c r="L68" s="11">
        <f t="shared" si="20"/>
        <v>212.19634304668804</v>
      </c>
      <c r="M68" s="9">
        <f>1/(1+$B$60)^6</f>
        <v>0.55532461649838405</v>
      </c>
      <c r="N68" s="11">
        <f t="shared" si="21"/>
        <v>117.83785282476158</v>
      </c>
    </row>
    <row r="69" spans="1:14">
      <c r="A69" s="24">
        <v>7</v>
      </c>
      <c r="B69" s="15">
        <v>0.06</v>
      </c>
      <c r="C69" s="11">
        <f t="shared" si="22"/>
        <v>812.81017319673617</v>
      </c>
      <c r="D69" s="15">
        <v>0.38</v>
      </c>
      <c r="E69" s="11">
        <f t="shared" si="16"/>
        <v>308.86786581475974</v>
      </c>
      <c r="F69" s="11">
        <f t="shared" si="17"/>
        <v>231.6508993610698</v>
      </c>
      <c r="G69" s="15">
        <v>0.03</v>
      </c>
      <c r="H69" s="11">
        <f t="shared" si="18"/>
        <v>24.384305195902083</v>
      </c>
      <c r="I69" s="15">
        <v>3.5000000000000003E-2</v>
      </c>
      <c r="J69" s="11">
        <f t="shared" si="19"/>
        <v>28.448356061885768</v>
      </c>
      <c r="K69" s="11">
        <f t="shared" si="23"/>
        <v>2.3004061505568019</v>
      </c>
      <c r="L69" s="11">
        <f t="shared" si="20"/>
        <v>225.28644234452935</v>
      </c>
      <c r="M69" s="9">
        <f>1/(1+$B$60)^7</f>
        <v>0.5034674673602757</v>
      </c>
      <c r="N69" s="11">
        <f t="shared" si="21"/>
        <v>113.42439455780696</v>
      </c>
    </row>
    <row r="70" spans="1:14">
      <c r="A70" s="24">
        <v>8</v>
      </c>
      <c r="B70" s="15">
        <v>0.05</v>
      </c>
      <c r="C70" s="11">
        <f t="shared" si="22"/>
        <v>853.45068185657306</v>
      </c>
      <c r="D70" s="15">
        <v>0.38</v>
      </c>
      <c r="E70" s="11">
        <f t="shared" si="16"/>
        <v>324.31125910549775</v>
      </c>
      <c r="F70" s="11">
        <f t="shared" si="17"/>
        <v>243.2334443291233</v>
      </c>
      <c r="G70" s="15">
        <v>0.03</v>
      </c>
      <c r="H70" s="11">
        <f t="shared" si="18"/>
        <v>25.60352045569719</v>
      </c>
      <c r="I70" s="15">
        <v>3.5000000000000003E-2</v>
      </c>
      <c r="J70" s="11">
        <f t="shared" si="19"/>
        <v>29.870773864980059</v>
      </c>
      <c r="K70" s="11">
        <f t="shared" si="23"/>
        <v>2.0320254329918441</v>
      </c>
      <c r="L70" s="11">
        <f t="shared" si="20"/>
        <v>236.9341654868486</v>
      </c>
      <c r="M70" s="9">
        <f>1/(1+$B$60)^8</f>
        <v>0.45645282625591627</v>
      </c>
      <c r="N70" s="11">
        <f t="shared" si="21"/>
        <v>108.14926947305902</v>
      </c>
    </row>
    <row r="71" spans="1:14">
      <c r="A71" s="24">
        <v>9</v>
      </c>
      <c r="B71" s="15">
        <v>0.04</v>
      </c>
      <c r="C71" s="11">
        <f t="shared" si="22"/>
        <v>887.58870913083604</v>
      </c>
      <c r="D71" s="15">
        <v>0.38</v>
      </c>
      <c r="E71" s="11">
        <f t="shared" si="16"/>
        <v>337.28370946971768</v>
      </c>
      <c r="F71" s="11">
        <f t="shared" si="17"/>
        <v>252.96278210228826</v>
      </c>
      <c r="G71" s="15">
        <v>0.03</v>
      </c>
      <c r="H71" s="11">
        <f t="shared" si="18"/>
        <v>26.627661273925082</v>
      </c>
      <c r="I71" s="15">
        <v>3.5000000000000003E-2</v>
      </c>
      <c r="J71" s="11">
        <f t="shared" si="19"/>
        <v>31.065604819579264</v>
      </c>
      <c r="K71" s="11">
        <f t="shared" si="23"/>
        <v>1.7069013637131492</v>
      </c>
      <c r="L71" s="11">
        <f t="shared" si="20"/>
        <v>246.81793719292091</v>
      </c>
      <c r="M71" s="9">
        <f>1/(1+$B$60)^9</f>
        <v>0.41382849161914442</v>
      </c>
      <c r="N71" s="11">
        <f t="shared" si="21"/>
        <v>102.14029465309518</v>
      </c>
    </row>
    <row r="72" spans="1:14">
      <c r="A72" s="24">
        <v>10</v>
      </c>
      <c r="B72" s="15">
        <v>0.03</v>
      </c>
      <c r="C72" s="11">
        <f t="shared" si="22"/>
        <v>914.21637040476116</v>
      </c>
      <c r="D72" s="15">
        <v>0.38</v>
      </c>
      <c r="E72" s="11">
        <f t="shared" si="16"/>
        <v>347.40222075380927</v>
      </c>
      <c r="F72" s="11">
        <f t="shared" si="17"/>
        <v>260.55166556535698</v>
      </c>
      <c r="G72" s="15">
        <v>0.03</v>
      </c>
      <c r="H72" s="11">
        <f t="shared" si="18"/>
        <v>27.426491112142834</v>
      </c>
      <c r="I72" s="15">
        <v>3.5000000000000003E-2</v>
      </c>
      <c r="J72" s="11">
        <f t="shared" si="19"/>
        <v>31.997572964166643</v>
      </c>
      <c r="K72" s="11">
        <f t="shared" si="23"/>
        <v>1.3313830636962565</v>
      </c>
      <c r="L72" s="11">
        <f t="shared" si="20"/>
        <v>254.64920064963695</v>
      </c>
      <c r="M72" s="9">
        <f>1/(1+$B$60)^10</f>
        <v>0.37518448922859871</v>
      </c>
      <c r="N72" s="11">
        <f t="shared" si="21"/>
        <v>95.54043027820498</v>
      </c>
    </row>
    <row r="73" spans="1:14">
      <c r="A73" s="18" t="s">
        <v>167</v>
      </c>
      <c r="B73" s="11">
        <f>L72*(1+$D$60)/($B$60-$D$60)</f>
        <v>3875.9106275349159</v>
      </c>
    </row>
    <row r="74" spans="1:14">
      <c r="A74" s="6" t="s">
        <v>168</v>
      </c>
      <c r="B74" s="11">
        <f>B73/(1+$B$60)^10</f>
        <v>1454.1815490873851</v>
      </c>
    </row>
    <row r="75" spans="1:14">
      <c r="A75" s="18" t="s">
        <v>169</v>
      </c>
      <c r="B75" s="11">
        <f>SUM(N63:N72)+B74</f>
        <v>2592.8008134689285</v>
      </c>
    </row>
    <row r="76" spans="1:14">
      <c r="A76" s="6" t="s">
        <v>170</v>
      </c>
      <c r="B76" s="11">
        <f>$B$8</f>
        <v>-105.08</v>
      </c>
    </row>
    <row r="77" spans="1:14">
      <c r="A77" s="6" t="s">
        <v>171</v>
      </c>
      <c r="B77" s="11">
        <f>$B$9</f>
        <v>0</v>
      </c>
    </row>
    <row r="78" spans="1:14">
      <c r="A78" s="18" t="s">
        <v>172</v>
      </c>
      <c r="B78" s="11">
        <f>B75-B76+B77</f>
        <v>2697.8808134689284</v>
      </c>
    </row>
    <row r="79" spans="1:14">
      <c r="A79" s="18" t="s">
        <v>173</v>
      </c>
      <c r="B79" s="7">
        <f>B78/$B$10</f>
        <v>202.5770632889012</v>
      </c>
      <c r="C79" s="6" t="s">
        <v>178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179</v>
      </c>
    </row>
    <row r="2" spans="1:7" ht="15.6">
      <c r="A2" s="28" t="s">
        <v>180</v>
      </c>
      <c r="B2" s="27"/>
      <c r="C2" s="27"/>
      <c r="D2" s="27"/>
      <c r="E2" s="27"/>
      <c r="F2" s="27"/>
      <c r="G2" s="27"/>
    </row>
    <row r="4" spans="1:7">
      <c r="A4" s="5" t="s">
        <v>154</v>
      </c>
      <c r="B4" s="5" t="s">
        <v>173</v>
      </c>
    </row>
    <row r="5" spans="1:7">
      <c r="A5" s="15">
        <v>9.9000000000000005E-2</v>
      </c>
      <c r="B5" s="7">
        <v>145.66</v>
      </c>
    </row>
    <row r="6" spans="1:7">
      <c r="A6" s="15">
        <v>0.10199999999999999</v>
      </c>
      <c r="B6" s="7">
        <v>139.77000000000001</v>
      </c>
    </row>
    <row r="7" spans="1:7">
      <c r="A7" s="15">
        <v>0.105</v>
      </c>
      <c r="B7" s="7">
        <v>134.36000000000001</v>
      </c>
    </row>
    <row r="8" spans="1:7">
      <c r="A8" s="15">
        <v>0.11</v>
      </c>
      <c r="B8" s="7">
        <v>126.24</v>
      </c>
    </row>
    <row r="9" spans="1:7">
      <c r="A9" s="15">
        <v>0.115</v>
      </c>
      <c r="B9" s="7">
        <v>119.08</v>
      </c>
    </row>
    <row r="10" spans="1:7">
      <c r="A10" s="15">
        <v>0.12</v>
      </c>
      <c r="B10" s="7">
        <v>112.72</v>
      </c>
    </row>
    <row r="11" spans="1:7">
      <c r="A11" s="15">
        <v>0.125</v>
      </c>
      <c r="B11" s="7">
        <v>107.03</v>
      </c>
    </row>
    <row r="12" spans="1:7">
      <c r="A12" s="15">
        <v>0.13</v>
      </c>
      <c r="B12" s="7">
        <v>101.92</v>
      </c>
    </row>
    <row r="14" spans="1:7">
      <c r="A14" s="5" t="s">
        <v>181</v>
      </c>
      <c r="B14" s="5" t="s">
        <v>173</v>
      </c>
    </row>
    <row r="15" spans="1:7">
      <c r="A15" s="15">
        <v>5.0000000000000001E-3</v>
      </c>
      <c r="B15" s="7">
        <v>125.69</v>
      </c>
    </row>
    <row r="16" spans="1:7">
      <c r="A16" s="15">
        <v>1.4999999999999999E-2</v>
      </c>
      <c r="B16" s="7">
        <v>123.49</v>
      </c>
    </row>
    <row r="17" spans="1:3">
      <c r="A17" s="15">
        <v>2.5000000000000001E-2</v>
      </c>
      <c r="B17" s="7">
        <v>121.28</v>
      </c>
    </row>
    <row r="18" spans="1:3">
      <c r="A18" s="15">
        <v>3.5000000000000003E-2</v>
      </c>
      <c r="B18" s="7">
        <v>119.08</v>
      </c>
    </row>
    <row r="19" spans="1:3">
      <c r="A19" s="15">
        <v>4.4999999999999998E-2</v>
      </c>
      <c r="B19" s="7">
        <v>116.87</v>
      </c>
    </row>
    <row r="20" spans="1:3">
      <c r="A20" s="15">
        <v>5.5E-2</v>
      </c>
      <c r="B20" s="7">
        <v>114.67</v>
      </c>
    </row>
    <row r="23" spans="1:3">
      <c r="A23" s="5" t="s">
        <v>182</v>
      </c>
      <c r="B23" s="5" t="s">
        <v>173</v>
      </c>
    </row>
    <row r="24" spans="1:3">
      <c r="A24" s="15">
        <v>0.28999999999999998</v>
      </c>
      <c r="B24" s="7">
        <v>109.16</v>
      </c>
    </row>
    <row r="25" spans="1:3">
      <c r="A25" s="15">
        <v>0.31</v>
      </c>
      <c r="B25" s="7">
        <v>112.47</v>
      </c>
    </row>
    <row r="26" spans="1:3">
      <c r="A26" s="15">
        <v>0.33</v>
      </c>
      <c r="B26" s="7">
        <v>115.77</v>
      </c>
    </row>
    <row r="27" spans="1:3">
      <c r="A27" s="15">
        <v>0.35</v>
      </c>
      <c r="B27" s="7">
        <v>119.08</v>
      </c>
    </row>
    <row r="28" spans="1:3">
      <c r="A28" s="15">
        <v>0.37</v>
      </c>
      <c r="B28" s="7">
        <v>122.39</v>
      </c>
    </row>
    <row r="29" spans="1:3">
      <c r="A29" s="15">
        <v>0.39</v>
      </c>
      <c r="B29" s="7">
        <v>125.69</v>
      </c>
    </row>
    <row r="30" spans="1:3">
      <c r="A30" s="15">
        <v>0.41</v>
      </c>
      <c r="B30" s="7">
        <v>129</v>
      </c>
    </row>
    <row r="32" spans="1:3" ht="16.2">
      <c r="A32" s="3" t="s">
        <v>183</v>
      </c>
      <c r="B32" s="4"/>
      <c r="C32" s="4"/>
    </row>
    <row r="33" spans="1:7">
      <c r="A33" s="6" t="s">
        <v>184</v>
      </c>
      <c r="B33" s="15">
        <v>4.7361893280162819E-2</v>
      </c>
    </row>
    <row r="34" spans="1:7">
      <c r="A34" s="6" t="s">
        <v>185</v>
      </c>
      <c r="B34" s="15">
        <v>5.104220740554033E-2</v>
      </c>
    </row>
    <row r="36" spans="1:7" ht="16.2">
      <c r="A36" s="3" t="s">
        <v>186</v>
      </c>
      <c r="B36" s="4"/>
      <c r="C36" s="4"/>
      <c r="D36" s="4"/>
      <c r="E36" s="4"/>
      <c r="F36" s="4"/>
      <c r="G36" s="4"/>
    </row>
    <row r="37" spans="1:7">
      <c r="A37" s="5" t="s">
        <v>187</v>
      </c>
      <c r="B37" s="5" t="s">
        <v>173</v>
      </c>
      <c r="C37" s="5" t="s">
        <v>188</v>
      </c>
      <c r="D37" s="5" t="s">
        <v>189</v>
      </c>
    </row>
    <row r="38" spans="1:7">
      <c r="A38" s="6" t="s">
        <v>190</v>
      </c>
      <c r="B38" s="25" t="s">
        <v>191</v>
      </c>
      <c r="C38" s="25" t="s">
        <v>192</v>
      </c>
      <c r="D38" s="25" t="s">
        <v>193</v>
      </c>
    </row>
    <row r="39" spans="1:7">
      <c r="A39" s="6" t="s">
        <v>194</v>
      </c>
      <c r="B39" s="25" t="s">
        <v>58</v>
      </c>
      <c r="C39" s="25" t="s">
        <v>195</v>
      </c>
      <c r="D39" s="25" t="s">
        <v>196</v>
      </c>
    </row>
    <row r="40" spans="1:7">
      <c r="A40" s="6" t="s">
        <v>197</v>
      </c>
      <c r="B40" s="25" t="s">
        <v>58</v>
      </c>
      <c r="C40" s="25" t="s">
        <v>198</v>
      </c>
      <c r="D40" s="25" t="s">
        <v>199</v>
      </c>
    </row>
    <row r="41" spans="1:7">
      <c r="A41" s="6" t="s">
        <v>200</v>
      </c>
      <c r="B41" s="25" t="s">
        <v>58</v>
      </c>
      <c r="C41" s="25" t="s">
        <v>201</v>
      </c>
      <c r="D41" s="25" t="s">
        <v>202</v>
      </c>
    </row>
    <row r="42" spans="1:7" ht="40.049999999999997" customHeight="1">
      <c r="A42" s="31" t="s">
        <v>203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204</v>
      </c>
    </row>
    <row r="2" spans="1:4" ht="15.6">
      <c r="A2" s="28" t="s">
        <v>205</v>
      </c>
      <c r="B2" s="27"/>
      <c r="C2" s="27"/>
      <c r="D2" s="27"/>
    </row>
    <row r="4" spans="1:4">
      <c r="A4" s="5" t="s">
        <v>206</v>
      </c>
      <c r="B4" s="5" t="s">
        <v>207</v>
      </c>
      <c r="C4" s="5" t="s">
        <v>208</v>
      </c>
      <c r="D4" s="5" t="s">
        <v>209</v>
      </c>
    </row>
    <row r="5" spans="1:4">
      <c r="A5" s="6" t="s">
        <v>210</v>
      </c>
      <c r="B5" s="6" t="s">
        <v>211</v>
      </c>
      <c r="C5" s="22" t="s">
        <v>212</v>
      </c>
      <c r="D5" s="8" t="s">
        <v>213</v>
      </c>
    </row>
    <row r="6" spans="1:4">
      <c r="A6" s="6" t="s">
        <v>214</v>
      </c>
      <c r="B6" s="6" t="s">
        <v>215</v>
      </c>
      <c r="C6" s="22" t="s">
        <v>216</v>
      </c>
      <c r="D6" s="8" t="s">
        <v>217</v>
      </c>
    </row>
    <row r="7" spans="1:4">
      <c r="A7" s="6" t="s">
        <v>218</v>
      </c>
      <c r="B7" s="6" t="s">
        <v>211</v>
      </c>
      <c r="C7" s="22" t="s">
        <v>219</v>
      </c>
      <c r="D7" s="8" t="s">
        <v>220</v>
      </c>
    </row>
    <row r="8" spans="1:4">
      <c r="A8" s="6" t="s">
        <v>221</v>
      </c>
      <c r="B8" s="6" t="s">
        <v>222</v>
      </c>
      <c r="C8" s="22" t="s">
        <v>212</v>
      </c>
      <c r="D8" s="8" t="s">
        <v>223</v>
      </c>
    </row>
    <row r="9" spans="1:4">
      <c r="A9" s="6" t="s">
        <v>224</v>
      </c>
      <c r="B9" s="6" t="s">
        <v>225</v>
      </c>
      <c r="C9" s="22" t="s">
        <v>226</v>
      </c>
      <c r="D9" s="8" t="s">
        <v>227</v>
      </c>
    </row>
    <row r="10" spans="1:4">
      <c r="A10" s="6" t="s">
        <v>228</v>
      </c>
      <c r="B10" s="6" t="s">
        <v>229</v>
      </c>
      <c r="C10" s="22" t="s">
        <v>226</v>
      </c>
      <c r="D10" s="8" t="s">
        <v>230</v>
      </c>
    </row>
    <row r="13" spans="1:4" ht="15">
      <c r="A13" s="30" t="s">
        <v>231</v>
      </c>
      <c r="B13" s="27"/>
      <c r="C13" s="27"/>
      <c r="D13" s="27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2026-10-29T10:39:59Z</dcterms:created>
  <dcterms:modified xsi:type="dcterms:W3CDTF">2026-10-29T10:40:12Z</dcterms:modified>
</cp:coreProperties>
</file>