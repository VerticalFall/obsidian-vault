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600519.SH-2026-10-29\"/>
    </mc:Choice>
  </mc:AlternateContent>
  <xr:revisionPtr revIDLastSave="0" documentId="13_ncr:1_{8F665356-C6B5-4028-912B-AF36A391E2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definedNames>
    <definedName name="_xlnm.Print_Area" localSheetId="4">DCF!$A$1:$N$78</definedName>
    <definedName name="_xlnm.Print_Area" localSheetId="3">FCFF桥!$A$1:$C$24</definedName>
    <definedName name="_xlnm.Print_Area" localSheetId="2">分部!$A$1:$F$19</definedName>
    <definedName name="_xlnm.Print_Area" localSheetId="0">结论!$A$1:$M$47</definedName>
    <definedName name="_xlnm.Print_Area" localSheetId="6">来源!$A$1:$D$14</definedName>
    <definedName name="_xlnm.Print_Area" localSheetId="1">历史财务!$A$1:$H$28</definedName>
    <definedName name="_xlnm.Print_Area" localSheetId="5">敏感性!$A$1:$G$43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5" l="1"/>
  <c r="B76" i="5"/>
  <c r="M72" i="5"/>
  <c r="M71" i="5"/>
  <c r="M70" i="5"/>
  <c r="M69" i="5"/>
  <c r="M68" i="5"/>
  <c r="M67" i="5"/>
  <c r="M66" i="5"/>
  <c r="M65" i="5"/>
  <c r="M64" i="5"/>
  <c r="M63" i="5"/>
  <c r="C63" i="5"/>
  <c r="B54" i="5"/>
  <c r="B53" i="5"/>
  <c r="M49" i="5"/>
  <c r="M48" i="5"/>
  <c r="M47" i="5"/>
  <c r="M46" i="5"/>
  <c r="M45" i="5"/>
  <c r="M44" i="5"/>
  <c r="M43" i="5"/>
  <c r="M42" i="5"/>
  <c r="M41" i="5"/>
  <c r="M40" i="5"/>
  <c r="C40" i="5"/>
  <c r="B31" i="5"/>
  <c r="B30" i="5"/>
  <c r="M26" i="5"/>
  <c r="M25" i="5"/>
  <c r="M24" i="5"/>
  <c r="M23" i="5"/>
  <c r="M22" i="5"/>
  <c r="M21" i="5"/>
  <c r="M20" i="5"/>
  <c r="M19" i="5"/>
  <c r="M18" i="5"/>
  <c r="M17" i="5"/>
  <c r="K17" i="5"/>
  <c r="C17" i="5"/>
  <c r="B18" i="4"/>
  <c r="B17" i="4"/>
  <c r="B15" i="4"/>
  <c r="B7" i="4"/>
  <c r="B12" i="4" s="1"/>
  <c r="B16" i="4" s="1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D35" i="1"/>
  <c r="C35" i="1"/>
  <c r="D34" i="1"/>
  <c r="C34" i="1"/>
  <c r="D33" i="1"/>
  <c r="C33" i="1"/>
  <c r="B28" i="1"/>
  <c r="B24" i="1"/>
  <c r="B23" i="1"/>
  <c r="B12" i="1"/>
  <c r="E17" i="5" l="1"/>
  <c r="F17" i="5" s="1"/>
  <c r="C18" i="5"/>
  <c r="J17" i="5"/>
  <c r="H17" i="5"/>
  <c r="L17" i="5" s="1"/>
  <c r="N17" i="5" s="1"/>
  <c r="C64" i="5"/>
  <c r="K63" i="5"/>
  <c r="J63" i="5"/>
  <c r="H63" i="5"/>
  <c r="E63" i="5"/>
  <c r="F63" i="5" s="1"/>
  <c r="L63" i="5" s="1"/>
  <c r="N63" i="5" s="1"/>
  <c r="H40" i="5"/>
  <c r="C41" i="5"/>
  <c r="K40" i="5"/>
  <c r="E40" i="5"/>
  <c r="F40" i="5" s="1"/>
  <c r="L40" i="5" s="1"/>
  <c r="N40" i="5" s="1"/>
  <c r="J40" i="5"/>
  <c r="K18" i="5"/>
  <c r="B14" i="1"/>
  <c r="B25" i="1"/>
  <c r="J18" i="5" l="1"/>
  <c r="E18" i="5"/>
  <c r="F18" i="5" s="1"/>
  <c r="H18" i="5"/>
  <c r="C19" i="5"/>
  <c r="E64" i="5"/>
  <c r="F64" i="5" s="1"/>
  <c r="H64" i="5"/>
  <c r="J64" i="5"/>
  <c r="K64" i="5"/>
  <c r="C65" i="5"/>
  <c r="C42" i="5"/>
  <c r="H41" i="5"/>
  <c r="J41" i="5"/>
  <c r="K41" i="5"/>
  <c r="E41" i="5"/>
  <c r="F41" i="5" s="1"/>
  <c r="L41" i="5" s="1"/>
  <c r="N41" i="5" s="1"/>
  <c r="K19" i="5"/>
  <c r="C20" i="5"/>
  <c r="H19" i="5"/>
  <c r="J19" i="5"/>
  <c r="E19" i="5"/>
  <c r="F19" i="5" s="1"/>
  <c r="B22" i="1"/>
  <c r="B26" i="1"/>
  <c r="L19" i="5" l="1"/>
  <c r="N19" i="5" s="1"/>
  <c r="L18" i="5"/>
  <c r="N18" i="5" s="1"/>
  <c r="E65" i="5"/>
  <c r="F65" i="5" s="1"/>
  <c r="H65" i="5"/>
  <c r="J65" i="5"/>
  <c r="K65" i="5"/>
  <c r="C66" i="5"/>
  <c r="E42" i="5"/>
  <c r="F42" i="5" s="1"/>
  <c r="H42" i="5"/>
  <c r="J42" i="5"/>
  <c r="K42" i="5"/>
  <c r="C43" i="5"/>
  <c r="C21" i="5"/>
  <c r="J20" i="5"/>
  <c r="H20" i="5"/>
  <c r="E20" i="5"/>
  <c r="F20" i="5" s="1"/>
  <c r="L20" i="5" s="1"/>
  <c r="N20" i="5" s="1"/>
  <c r="K20" i="5"/>
  <c r="L64" i="5"/>
  <c r="N64" i="5" s="1"/>
  <c r="E66" i="5" l="1"/>
  <c r="F66" i="5" s="1"/>
  <c r="H66" i="5"/>
  <c r="J66" i="5"/>
  <c r="K66" i="5"/>
  <c r="C67" i="5"/>
  <c r="J43" i="5"/>
  <c r="K43" i="5"/>
  <c r="C44" i="5"/>
  <c r="E43" i="5"/>
  <c r="F43" i="5" s="1"/>
  <c r="H43" i="5"/>
  <c r="J21" i="5"/>
  <c r="C22" i="5"/>
  <c r="E21" i="5"/>
  <c r="F21" i="5" s="1"/>
  <c r="L21" i="5" s="1"/>
  <c r="N21" i="5" s="1"/>
  <c r="H21" i="5"/>
  <c r="K21" i="5"/>
  <c r="L42" i="5"/>
  <c r="N42" i="5" s="1"/>
  <c r="L65" i="5"/>
  <c r="N65" i="5" s="1"/>
  <c r="L66" i="5" l="1"/>
  <c r="N66" i="5" s="1"/>
  <c r="L43" i="5"/>
  <c r="N43" i="5" s="1"/>
  <c r="E67" i="5"/>
  <c r="F67" i="5" s="1"/>
  <c r="H67" i="5"/>
  <c r="J67" i="5"/>
  <c r="K67" i="5"/>
  <c r="C68" i="5"/>
  <c r="E44" i="5"/>
  <c r="F44" i="5" s="1"/>
  <c r="H44" i="5"/>
  <c r="J44" i="5"/>
  <c r="K44" i="5"/>
  <c r="C45" i="5"/>
  <c r="C23" i="5"/>
  <c r="E22" i="5"/>
  <c r="F22" i="5" s="1"/>
  <c r="K22" i="5"/>
  <c r="H22" i="5"/>
  <c r="J22" i="5"/>
  <c r="L67" i="5" l="1"/>
  <c r="N67" i="5" s="1"/>
  <c r="H68" i="5"/>
  <c r="J68" i="5"/>
  <c r="K68" i="5"/>
  <c r="E68" i="5"/>
  <c r="F68" i="5" s="1"/>
  <c r="C69" i="5"/>
  <c r="E45" i="5"/>
  <c r="F45" i="5" s="1"/>
  <c r="H45" i="5"/>
  <c r="J45" i="5"/>
  <c r="C46" i="5"/>
  <c r="K45" i="5"/>
  <c r="J23" i="5"/>
  <c r="H23" i="5"/>
  <c r="K23" i="5"/>
  <c r="C24" i="5"/>
  <c r="E23" i="5"/>
  <c r="F23" i="5" s="1"/>
  <c r="L23" i="5" s="1"/>
  <c r="N23" i="5" s="1"/>
  <c r="L44" i="5"/>
  <c r="N44" i="5" s="1"/>
  <c r="L22" i="5"/>
  <c r="N22" i="5" s="1"/>
  <c r="C70" i="5" l="1"/>
  <c r="E69" i="5"/>
  <c r="F69" i="5" s="1"/>
  <c r="H69" i="5"/>
  <c r="J69" i="5"/>
  <c r="K69" i="5"/>
  <c r="C47" i="5"/>
  <c r="E46" i="5"/>
  <c r="F46" i="5" s="1"/>
  <c r="H46" i="5"/>
  <c r="J46" i="5"/>
  <c r="K46" i="5"/>
  <c r="H24" i="5"/>
  <c r="C25" i="5"/>
  <c r="K24" i="5"/>
  <c r="E24" i="5"/>
  <c r="F24" i="5" s="1"/>
  <c r="J24" i="5"/>
  <c r="L45" i="5"/>
  <c r="N45" i="5" s="1"/>
  <c r="L68" i="5"/>
  <c r="N68" i="5" s="1"/>
  <c r="L24" i="5" l="1"/>
  <c r="N24" i="5" s="1"/>
  <c r="J70" i="5"/>
  <c r="K70" i="5"/>
  <c r="E70" i="5"/>
  <c r="F70" i="5" s="1"/>
  <c r="L70" i="5" s="1"/>
  <c r="N70" i="5" s="1"/>
  <c r="H70" i="5"/>
  <c r="C71" i="5"/>
  <c r="J47" i="5"/>
  <c r="K47" i="5"/>
  <c r="E47" i="5"/>
  <c r="F47" i="5" s="1"/>
  <c r="H47" i="5"/>
  <c r="C48" i="5"/>
  <c r="K25" i="5"/>
  <c r="E25" i="5"/>
  <c r="F25" i="5" s="1"/>
  <c r="L25" i="5" s="1"/>
  <c r="N25" i="5" s="1"/>
  <c r="H25" i="5"/>
  <c r="C26" i="5"/>
  <c r="J25" i="5"/>
  <c r="L46" i="5"/>
  <c r="N46" i="5" s="1"/>
  <c r="L69" i="5"/>
  <c r="N69" i="5" s="1"/>
  <c r="H71" i="5" l="1"/>
  <c r="J71" i="5"/>
  <c r="K71" i="5"/>
  <c r="E71" i="5"/>
  <c r="F71" i="5" s="1"/>
  <c r="L71" i="5" s="1"/>
  <c r="N71" i="5" s="1"/>
  <c r="C72" i="5"/>
  <c r="E48" i="5"/>
  <c r="F48" i="5" s="1"/>
  <c r="H48" i="5"/>
  <c r="J48" i="5"/>
  <c r="K48" i="5"/>
  <c r="C49" i="5"/>
  <c r="J26" i="5"/>
  <c r="E26" i="5"/>
  <c r="F26" i="5" s="1"/>
  <c r="K26" i="5"/>
  <c r="H26" i="5"/>
  <c r="L47" i="5"/>
  <c r="N47" i="5" s="1"/>
  <c r="E72" i="5" l="1"/>
  <c r="F72" i="5" s="1"/>
  <c r="H72" i="5"/>
  <c r="J72" i="5"/>
  <c r="K72" i="5"/>
  <c r="J49" i="5"/>
  <c r="K49" i="5"/>
  <c r="E49" i="5"/>
  <c r="F49" i="5" s="1"/>
  <c r="H49" i="5"/>
  <c r="L48" i="5"/>
  <c r="N48" i="5" s="1"/>
  <c r="L26" i="5"/>
  <c r="B27" i="5" l="1"/>
  <c r="B28" i="5" s="1"/>
  <c r="N26" i="5"/>
  <c r="L49" i="5"/>
  <c r="L72" i="5"/>
  <c r="B50" i="5" l="1"/>
  <c r="B51" i="5" s="1"/>
  <c r="B52" i="5" s="1"/>
  <c r="B55" i="5" s="1"/>
  <c r="B56" i="5" s="1"/>
  <c r="N49" i="5"/>
  <c r="N72" i="5"/>
  <c r="B73" i="5"/>
  <c r="B74" i="5" s="1"/>
  <c r="B75" i="5" s="1"/>
  <c r="B78" i="5" s="1"/>
  <c r="B79" i="5" s="1"/>
  <c r="B29" i="5"/>
  <c r="B32" i="5" s="1"/>
  <c r="B33" i="5" s="1"/>
</calcChain>
</file>

<file path=xl/sharedStrings.xml><?xml version="1.0" encoding="utf-8"?>
<sst xmlns="http://schemas.openxmlformats.org/spreadsheetml/2006/main" count="316" uniqueCount="230">
  <si>
    <t>贵州茅台（600519.SH）巴菲特框架估值</t>
  </si>
  <si>
    <t>研究日 2026-10-29｜收盘价 ¥1,354.00｜最新财报：2026 中报（2026-08-14）</t>
  </si>
  <si>
    <t>市值按 12.5008 亿股计算；净负债 = 债务 + 融资租赁 − 现金；数据边界见报告第 1 节。</t>
  </si>
  <si>
    <t>一句话结论</t>
  </si>
  <si>
    <t>合理：基准 1,384 元，现价 1,354 元；等待批价与增长拐点。</t>
  </si>
  <si>
    <t>关键数据（亿元 / 倍 / 百分比）</t>
  </si>
  <si>
    <t>项目</t>
  </si>
  <si>
    <t>数值</t>
  </si>
  <si>
    <t>备注</t>
  </si>
  <si>
    <t>收盘价（元）</t>
  </si>
  <si>
    <t>2026-10-29 收盘 1,354.00 元</t>
  </si>
  <si>
    <t>总股本（亿股）</t>
  </si>
  <si>
    <t>最新总股本</t>
  </si>
  <si>
    <t>市值（亿元）</t>
  </si>
  <si>
    <t>价格 × 股数</t>
  </si>
  <si>
    <t>净负债（亿元）</t>
  </si>
  <si>
    <t>负数 = 净现金</t>
  </si>
  <si>
    <t>企业价值（亿元）</t>
  </si>
  <si>
    <t>市值 + 净负债</t>
  </si>
  <si>
    <t>TTM 收入</t>
  </si>
  <si>
    <t>最近四个季度/半年年化</t>
  </si>
  <si>
    <t>TTM 经营利润</t>
  </si>
  <si>
    <t>剔除利息与投资收益</t>
  </si>
  <si>
    <t>TTM NOPAT</t>
  </si>
  <si>
    <t>经营利润 × (1−25%)</t>
  </si>
  <si>
    <t>TTM 自由现金流</t>
  </si>
  <si>
    <t>CFO − 现金 capex</t>
  </si>
  <si>
    <t>DCF 起始收入（2026E）</t>
  </si>
  <si>
    <t>基准情景第 1 年起点</t>
  </si>
  <si>
    <t>TTM EPS（元）</t>
  </si>
  <si>
    <t>最近四个季度</t>
  </si>
  <si>
    <t>2026E EPS（元）</t>
  </si>
  <si>
    <t>本文估计/一致预期</t>
  </si>
  <si>
    <t>EV / TTM EBIT</t>
  </si>
  <si>
    <t>企业价值 / 经营利润</t>
  </si>
  <si>
    <t>P/E TTM</t>
  </si>
  <si>
    <t>价格 / TTM EPS</t>
  </si>
  <si>
    <t>P/E 前瞻</t>
  </si>
  <si>
    <t>价格 / 前瞻 EPS</t>
  </si>
  <si>
    <t>FCF 收益率</t>
  </si>
  <si>
    <t>TTM FCF / 市值</t>
  </si>
  <si>
    <t>EV / TTM FCF</t>
  </si>
  <si>
    <t>企业价值 / TTM FCF</t>
  </si>
  <si>
    <t>Capex / 收入</t>
  </si>
  <si>
    <t>TTM</t>
  </si>
  <si>
    <t>FCF / NOPAT</t>
  </si>
  <si>
    <t>现金转化率；&gt;100% 说明营运资金贡献</t>
  </si>
  <si>
    <t>股息率</t>
  </si>
  <si>
    <t>年化股息 / 价格</t>
  </si>
  <si>
    <t>情景</t>
  </si>
  <si>
    <t>每股价值（元）</t>
  </si>
  <si>
    <t>较现价</t>
  </si>
  <si>
    <t>安全边际（1−价/值）</t>
  </si>
  <si>
    <t>10 年 IRR</t>
  </si>
  <si>
    <t>悲观</t>
  </si>
  <si>
    <t>基准</t>
  </si>
  <si>
    <t>乐观</t>
  </si>
  <si>
    <t>现价</t>
  </si>
  <si>
    <t>—</t>
  </si>
  <si>
    <t>结论与观察条件</t>
  </si>
  <si>
    <t>• 基准价值 ¥1,384，现价 ¥1,354.00；现价低于基准 2.2%。</t>
  </si>
  <si>
    <t>• 悲观 ¥1,005；基准 ¥1,384；乐观 ¥1,848；概率加权约 ¥1,364（30%/50%/20%）。</t>
  </si>
  <si>
    <t>• 反推：现价隐含未来 10 年收入 CAGR 约 3.0%，基准情景约 3.3%。</t>
  </si>
  <si>
    <t>• 若要求 20% 安全边际，观察价约 ¥1,108（基准价值 × 0.8）。</t>
  </si>
  <si>
    <t>• 结论是“观察/不追高”，不是个性化买卖指令；估值对增速、利润率和 WACC 高度敏感。</t>
  </si>
  <si>
    <t>• 这不是投资建议；所有假设与数据边界见报告。</t>
  </si>
  <si>
    <t>贵州茅台五年财务与现金流（亿元，除每股数据）</t>
  </si>
  <si>
    <t>来源：公司年报/中报；2026H1 为半年数据，不与年度直接比较。</t>
  </si>
  <si>
    <t>2021</t>
  </si>
  <si>
    <t>2022</t>
  </si>
  <si>
    <t>2023</t>
  </si>
  <si>
    <t>2024</t>
  </si>
  <si>
    <t>2025</t>
  </si>
  <si>
    <t>2026H1</t>
  </si>
  <si>
    <t>收入</t>
  </si>
  <si>
    <t>年度 / 半年报</t>
  </si>
  <si>
    <t>经营利润</t>
  </si>
  <si>
    <t>净利润</t>
  </si>
  <si>
    <t>经营现金流</t>
  </si>
  <si>
    <t>资本开支</t>
  </si>
  <si>
    <t>自由现金流</t>
  </si>
  <si>
    <t>EPS（元）</t>
  </si>
  <si>
    <t>股本（亿股）</t>
  </si>
  <si>
    <t>收入增速</t>
  </si>
  <si>
    <t>经营利润率</t>
  </si>
  <si>
    <t>净利率</t>
  </si>
  <si>
    <t>FCF 利润率</t>
  </si>
  <si>
    <t>关键读数</t>
  </si>
  <si>
    <t>• 2021–2024 年收入 CAGR 16.7%、净利润 CAGR 18.0%；2025 年收入 -1.2%、净利润 -4.5%，为多年来首次年度下滑。</t>
  </si>
  <si>
    <t>• 2026H1 收入 +1.3%、归母净利 -1.95%，是近十年首次半年报净利负增长；Q2 收入 -5.2%、净利 -6.9%，但降幅较 Q1 收窄。</t>
  </si>
  <si>
    <t>• 毛利率 89.6%、净利率 50.8%，仍是白酒行业最高；2026H1 ROE 16.75%（半年），年化约 33%。</t>
  </si>
  <si>
    <t>• 经营现金流波动大：2022 年低（367 亿）受金融公司存款影响；2026H1 706.9 亿（+438.8%）受渠道改革、回款前置影响，不能简单外推。</t>
  </si>
  <si>
    <t>• 分红率 79%，2025 年另完成 30 亿元注销式回购，分红+回购约占净利 86%；当前股息率约 3.8%。</t>
  </si>
  <si>
    <t>• 合同负债 2026H1 约 31.8 亿元，同比明显下降，反映预收款政策调整；批价企稳是核心领先指标。</t>
  </si>
  <si>
    <t>贵州茅台：分部与关键运营数据</t>
  </si>
  <si>
    <t>单位：亿元，另有注明除外；同比为公开披露口径。</t>
  </si>
  <si>
    <t>2026H1 产品与渠道</t>
  </si>
  <si>
    <t>单位：亿元；同比为 2026H1 对 2025H1。</t>
  </si>
  <si>
    <t>板块</t>
  </si>
  <si>
    <t>同比</t>
  </si>
  <si>
    <t>占比</t>
  </si>
  <si>
    <t>茅台酒</t>
  </si>
  <si>
    <t>飞天是增量；非标承压</t>
  </si>
  <si>
    <t>系列酒</t>
  </si>
  <si>
    <t>主动调整、去库存</t>
  </si>
  <si>
    <t>其他业务</t>
  </si>
  <si>
    <t>冰淇淋、酒店等</t>
  </si>
  <si>
    <t>直销</t>
  </si>
  <si>
    <t>i茅台 H1 收入 403 亿</t>
  </si>
  <si>
    <t>批发代理</t>
  </si>
  <si>
    <t>渠道改革、控量</t>
  </si>
  <si>
    <t>合计</t>
  </si>
  <si>
    <t>营业总收入口径</t>
  </si>
  <si>
    <t>解读</t>
  </si>
  <si>
    <t>600519.SH TTM FCFF 桥：从经营利润到自由现金流</t>
  </si>
  <si>
    <t>单位：亿元；TTM = 最近四个季度；经营利润已扣除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</si>
  <si>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</si>
  <si>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</si>
  <si>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</si>
  <si>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</si>
  <si>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</si>
  <si>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</si>
  <si>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</si>
  <si>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</si>
  <si>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</si>
  <si>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</si>
  <si>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+ 营运资金及其他</t>
  </si>
  <si>
    <t>应收账款、存货、预收款等</t>
  </si>
  <si>
    <t>自由现金流（FCFF 口径）</t>
  </si>
  <si>
    <t>与报告 FCF 对齐</t>
  </si>
  <si>
    <t>报告 CFO</t>
  </si>
  <si>
    <t>与 FCFF 差 -31.3 亿（四舍五入）</t>
  </si>
  <si>
    <t>现金转化率</t>
  </si>
  <si>
    <t>Capex / D&amp;A</t>
  </si>
  <si>
    <t>资本开支是折旧的倍数</t>
  </si>
  <si>
    <t>• 2026H1 经营现金流 706.9 亿，远高于净利 445.2 亿，主要来自渠道改革后的回款前置与预收款政策调整；这部分现金不可持续。</t>
  </si>
  <si>
    <t>• 资本开支仅 31 亿（2025 年），占收入 1.8%，是典型轻资产；D&amp;A 22.6 亿，capex/D&amp;A 约 1.4x。</t>
  </si>
  <si>
    <t>• FCF/NOPAT 约 72%，现金转化率高；但需扣除金融公司存款变动，正常化 FCF 约 600–700 亿。</t>
  </si>
  <si>
    <t>三情景 FCFF DCF（2026E 起算，10 年明确预测）</t>
  </si>
  <si>
    <t>单位：亿元，除每股数据；终值用永续增长；股权价值 = EV − 净负债 + 非经营投资。</t>
  </si>
  <si>
    <t>起始收入为 2026E 1,749 亿元；净现金/理财 1,983 亿元单独加回；DCF 不含利息收入。</t>
  </si>
  <si>
    <t>全局输入</t>
  </si>
  <si>
    <t>起始收入（2026E）</t>
  </si>
  <si>
    <t>税率</t>
  </si>
  <si>
    <t>营运资金/增量收入</t>
  </si>
  <si>
    <t>净负债（含融资租赁）</t>
  </si>
  <si>
    <t>非经营投资/理财</t>
  </si>
  <si>
    <t>股数（亿股）</t>
  </si>
  <si>
    <t>注：净负债 = 1.87 + 0.00 − 535.19 = -533.32 亿元；非经营投资/理财 1450.00 亿元单独加回，避免与 FCFF 重复。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</si>
  <si>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</si>
  <si>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</si>
  <si>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</si>
  <si>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</si>
  <si>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</si>
  <si>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</si>
  <si>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</si>
  <si>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</si>
  <si>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</si>
  <si>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</si>
  <si>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</si>
  <si>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</si>
  <si>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</si>
  <si>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</si>
  <si>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</si>
  <si>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</si>
  <si>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</si>
  <si>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</si>
  <si>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+ 非经营投资</t>
  </si>
  <si>
    <t>股权价值</t>
  </si>
  <si>
    <t>每股价值</t>
  </si>
  <si>
    <t>TV 占比 50%；终值 FCF 862.2 亿；终值收入 1875 亿</t>
  </si>
  <si>
    <t>基准情景</t>
  </si>
  <si>
    <t>TV 占比 57%；终值 FCF 1160.6 亿；终值收入 2408 亿</t>
  </si>
  <si>
    <t>乐观情景</t>
  </si>
  <si>
    <t>TV 占比 64%；终值 FCF 1342.6 亿；终值收入 2702 亿</t>
  </si>
  <si>
    <t>估值敏感性：WACC、终值 capex、终值利润率</t>
  </si>
  <si>
    <t>基准情景；每股价值（元）；由 Python 独立计算。</t>
  </si>
  <si>
    <t>终值 Capex / 收入</t>
  </si>
  <si>
    <t>终值 EBIT 利润率</t>
  </si>
  <si>
    <t>反推：现价隐含的 10 年收入 CAGR</t>
  </si>
  <si>
    <t>现价 ¥1,354.00</t>
  </si>
  <si>
    <t>基准情景 10 年 CAGR</t>
  </si>
  <si>
    <t>交叉检查：DCF、股息贴现、倍数</t>
  </si>
  <si>
    <t>方法</t>
  </si>
  <si>
    <t>相对现价</t>
  </si>
  <si>
    <t>读数</t>
  </si>
  <si>
    <t>DCF 基准（2026E 起算，含净现金/理财）</t>
  </si>
  <si>
    <t>¥1,384</t>
  </si>
  <si>
    <t>现价低 2%</t>
  </si>
  <si>
    <t>合理</t>
  </si>
  <si>
    <t>股息贴现：DPS 51.98，g 4%，r 8.0%</t>
  </si>
  <si>
    <t>¥1,300</t>
  </si>
  <si>
    <t>现价高 4%</t>
  </si>
  <si>
    <t>股息视角略贵</t>
  </si>
  <si>
    <t>P/E TTM 20.8x vs 10 年 25–35x</t>
  </si>
  <si>
    <t>处于低位</t>
  </si>
  <si>
    <t>已反映降速</t>
  </si>
  <si>
    <t>EV/EBIT 13.2x vs 全球烈酒 18–22x</t>
  </si>
  <si>
    <t>折价</t>
  </si>
  <si>
    <t>A 股流动性/增长折价</t>
  </si>
  <si>
    <t>DCF 与股息贴现相差 6%，现价位于两者之间；估值合理，向上需要批价与增长修复。</t>
  </si>
  <si>
    <t>数据来源与日期</t>
  </si>
  <si>
    <t>研究截止 2026-10-29；财务数据来自公司公告与交易所。</t>
  </si>
  <si>
    <t>数据</t>
  </si>
  <si>
    <t>来源</t>
  </si>
  <si>
    <t>日期</t>
  </si>
  <si>
    <t>链接/备注</t>
  </si>
  <si>
    <t>2026 年半年度报告</t>
  </si>
  <si>
    <t>上交所 / 贵州茅台</t>
  </si>
  <si>
    <t>2026-08-14</t>
  </si>
  <si>
    <t>营收 922.78 亿、归母净利 445.17 亿；直销占比 57%</t>
  </si>
  <si>
    <t>2025 年年度报告</t>
  </si>
  <si>
    <t>2026-04</t>
  </si>
  <si>
    <t>FY2025 营收 1,720.5 亿、归母净利 823.2 亿；分红率 79%</t>
  </si>
  <si>
    <t>2026 中报点评</t>
  </si>
  <si>
    <t>浙商证券 / 西南证券</t>
  </si>
  <si>
    <t>2026-08-21</t>
  </si>
  <si>
    <t>H2 低基数、提价；2026–2028 EPS 69.83/75.82/83.83 元</t>
  </si>
  <si>
    <t>批价与渠道跟踪</t>
  </si>
  <si>
    <t>华创证券 / 上海证券报</t>
  </si>
  <si>
    <t>2026-08 至 2026-10</t>
  </si>
  <si>
    <t>飞天散装/原箱约 1,700/1,720 元；渠道库存下降</t>
  </si>
  <si>
    <t>股价与估值</t>
  </si>
  <si>
    <t>东方财富行情</t>
  </si>
  <si>
    <t>2026-10-29</t>
  </si>
  <si>
    <t>收盘 1,354.00 元；PE TTM 20.79x、PB 6.74x</t>
  </si>
  <si>
    <t>中国 10 年期国债</t>
  </si>
  <si>
    <t>中国货币网</t>
  </si>
  <si>
    <t>1.61%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</si>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</sst>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¥#,##0.00"/>
    <numFmt numFmtId="177" formatCode="0.000"/>
    <numFmt numFmtId="178" formatCode="#,##0.0"/>
    <numFmt numFmtId="179" formatCode="0.0&quot;x&quot;"/>
    <numFmt numFmtId="180" formatCode="0.0%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  <family val="2"/>
      <charset val="134"/>
    </font>
    <font>
      <sz val="10"/>
      <color rgb="FF5B6770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11"/>
      <color rgb="FFB23A2E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b/>
      <sz val="9"/>
      <color rgb="FF1F2933"/>
      <name val="Microsoft YaHei"/>
      <family val="2"/>
      <charset val="134"/>
    </font>
    <font>
      <b/>
      <sz val="9"/>
      <color rgb="FFB23A2E"/>
      <name val="Microsoft YaHei"/>
      <family val="2"/>
      <charset val="134"/>
    </font>
    <font>
      <sz val="10"/>
      <color rgb="FF1F2933"/>
      <name val="Microsoft YaHei"/>
      <family val="2"/>
      <charset val="134"/>
    </font>
    <font>
      <sz val="9"/>
      <color rgb="FF5B677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600519.SH 三情景每股价值 vs 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每股价值（元）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65A-4653-8468-30B09F9F29E8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65A-4653-8468-30B09F9F29E8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65A-4653-8468-30B09F9F29E8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65A-4653-8468-30B09F9F29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结论!$B$33:$B$36</c:f>
              <c:numCache>
                <c:formatCode>\¥#,##0.00</c:formatCode>
                <c:ptCount val="4"/>
                <c:pt idx="0">
                  <c:v>1005.430230029502</c:v>
                </c:pt>
                <c:pt idx="1">
                  <c:v>1384.413625821423</c:v>
                </c:pt>
                <c:pt idx="2">
                  <c:v>1848.398424421785</c:v>
                </c:pt>
                <c:pt idx="3">
                  <c:v>1354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5A-4653-8468-30B09F9F29E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元/股</a:t>
                </a:r>
              </a:p>
            </c:rich>
          </c:tx>
          <c:overlay val="1"/>
        </c:title>
        <c:numFmt formatCode="\¥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路径（亿元）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868.15987500000006</c:v>
                </c:pt>
                <c:pt idx="1">
                  <c:v>902.53647000000001</c:v>
                </c:pt>
                <c:pt idx="2">
                  <c:v>938.63792880000017</c:v>
                </c:pt>
                <c:pt idx="3">
                  <c:v>976.18344595199994</c:v>
                </c:pt>
                <c:pt idx="4">
                  <c:v>1010.54471355552</c:v>
                </c:pt>
                <c:pt idx="5">
                  <c:v>1041.0636958371936</c:v>
                </c:pt>
                <c:pt idx="6">
                  <c:v>1072.2956067123096</c:v>
                </c:pt>
                <c:pt idx="7">
                  <c:v>1104.4644749136787</c:v>
                </c:pt>
                <c:pt idx="8">
                  <c:v>1132.2985928504672</c:v>
                </c:pt>
                <c:pt idx="9">
                  <c:v>1160.6060576717289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40-415C-A8DD-DB1175A49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showGridLines="0" tabSelected="1" workbookViewId="0"/>
  </sheetViews>
  <sheetFormatPr defaultRowHeight="14.4"/>
  <cols>
    <col min="1" max="1" width="30" customWidth="1"/>
    <col min="2" max="2" width="18" customWidth="1"/>
    <col min="3" max="3" width="40" customWidth="1"/>
    <col min="4" max="4" width="18" customWidth="1"/>
    <col min="5" max="5" width="14" customWidth="1"/>
  </cols>
  <sheetData>
    <row r="1" spans="1:13" ht="23.4">
      <c r="A1" s="1" t="s">
        <v>0</v>
      </c>
    </row>
    <row r="2" spans="1:13" ht="15.6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5.6">
      <c r="A3" s="28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spans="1:13" ht="16.2">
      <c r="A5" s="3" t="s">
        <v>3</v>
      </c>
      <c r="B5" s="4"/>
      <c r="C5" s="4"/>
      <c r="D5" s="4"/>
      <c r="E5" s="4"/>
    </row>
    <row r="6" spans="1:13" ht="54" customHeight="1">
      <c r="A6" s="29" t="s">
        <v>4</v>
      </c>
      <c r="B6" s="27"/>
      <c r="C6" s="27"/>
      <c r="D6" s="27"/>
      <c r="E6" s="27"/>
    </row>
    <row r="8" spans="1:13" ht="16.2">
      <c r="A8" s="3" t="s">
        <v>5</v>
      </c>
      <c r="B8" s="4"/>
      <c r="C8" s="4"/>
      <c r="D8" s="4"/>
      <c r="E8" s="4"/>
    </row>
    <row r="9" spans="1:13">
      <c r="A9" s="5" t="s">
        <v>6</v>
      </c>
      <c r="B9" s="5" t="s">
        <v>7</v>
      </c>
      <c r="C9" s="5" t="s">
        <v>8</v>
      </c>
    </row>
    <row r="10" spans="1:13" ht="22.05" customHeight="1">
      <c r="A10" s="6" t="s">
        <v>9</v>
      </c>
      <c r="B10" s="7">
        <v>1354</v>
      </c>
      <c r="C10" s="8" t="s">
        <v>10</v>
      </c>
    </row>
    <row r="11" spans="1:13" ht="22.05" customHeight="1">
      <c r="A11" s="6" t="s">
        <v>11</v>
      </c>
      <c r="B11" s="9">
        <v>12.5008</v>
      </c>
      <c r="C11" s="8" t="s">
        <v>12</v>
      </c>
    </row>
    <row r="12" spans="1:13" ht="22.05" customHeight="1">
      <c r="A12" s="6" t="s">
        <v>13</v>
      </c>
      <c r="B12" s="10">
        <f>B10*B11</f>
        <v>16926.083200000001</v>
      </c>
      <c r="C12" s="8" t="s">
        <v>14</v>
      </c>
    </row>
    <row r="13" spans="1:13" ht="22.05" customHeight="1">
      <c r="A13" s="6" t="s">
        <v>15</v>
      </c>
      <c r="B13" s="11">
        <v>-533.32000000000005</v>
      </c>
      <c r="C13" s="8" t="s">
        <v>16</v>
      </c>
    </row>
    <row r="14" spans="1:13" ht="22.05" customHeight="1">
      <c r="A14" s="6" t="s">
        <v>17</v>
      </c>
      <c r="B14" s="10">
        <f>B12+B13</f>
        <v>16392.763200000001</v>
      </c>
      <c r="C14" s="8" t="s">
        <v>18</v>
      </c>
    </row>
    <row r="15" spans="1:13" ht="22.05" customHeight="1">
      <c r="A15" s="6" t="s">
        <v>19</v>
      </c>
      <c r="B15" s="11">
        <v>1732.4</v>
      </c>
      <c r="C15" s="8" t="s">
        <v>20</v>
      </c>
    </row>
    <row r="16" spans="1:13" ht="22.05" customHeight="1">
      <c r="A16" s="6" t="s">
        <v>21</v>
      </c>
      <c r="B16" s="11">
        <v>1134.5</v>
      </c>
      <c r="C16" s="8" t="s">
        <v>22</v>
      </c>
    </row>
    <row r="17" spans="1:5" ht="22.05" customHeight="1">
      <c r="A17" s="6" t="s">
        <v>23</v>
      </c>
      <c r="B17" s="11">
        <v>850.88</v>
      </c>
      <c r="C17" s="8" t="s">
        <v>24</v>
      </c>
    </row>
    <row r="18" spans="1:5" ht="22.05" customHeight="1">
      <c r="A18" s="6" t="s">
        <v>25</v>
      </c>
      <c r="B18" s="11">
        <v>700</v>
      </c>
      <c r="C18" s="8" t="s">
        <v>26</v>
      </c>
    </row>
    <row r="19" spans="1:5" ht="22.05" customHeight="1">
      <c r="A19" s="6" t="s">
        <v>27</v>
      </c>
      <c r="B19" s="11">
        <v>1749</v>
      </c>
      <c r="C19" s="8" t="s">
        <v>28</v>
      </c>
    </row>
    <row r="20" spans="1:5" ht="22.05" customHeight="1">
      <c r="A20" s="6" t="s">
        <v>29</v>
      </c>
      <c r="B20" s="12">
        <v>65.150000000000006</v>
      </c>
      <c r="C20" s="8" t="s">
        <v>30</v>
      </c>
    </row>
    <row r="21" spans="1:5" ht="22.05" customHeight="1">
      <c r="A21" s="6" t="s">
        <v>31</v>
      </c>
      <c r="B21" s="12">
        <v>66.400000000000006</v>
      </c>
      <c r="C21" s="8" t="s">
        <v>32</v>
      </c>
    </row>
    <row r="22" spans="1:5" ht="22.05" customHeight="1">
      <c r="A22" s="6" t="s">
        <v>33</v>
      </c>
      <c r="B22" s="13">
        <f>B14/B16</f>
        <v>14.449328514764215</v>
      </c>
      <c r="C22" s="8" t="s">
        <v>34</v>
      </c>
    </row>
    <row r="23" spans="1:5" ht="22.05" customHeight="1">
      <c r="A23" s="6" t="s">
        <v>35</v>
      </c>
      <c r="B23" s="13">
        <f>B10/B20</f>
        <v>20.782808902532615</v>
      </c>
      <c r="C23" s="8" t="s">
        <v>36</v>
      </c>
    </row>
    <row r="24" spans="1:5" ht="22.05" customHeight="1">
      <c r="A24" s="6" t="s">
        <v>37</v>
      </c>
      <c r="B24" s="13">
        <f>B10/B21</f>
        <v>20.391566265060238</v>
      </c>
      <c r="C24" s="8" t="s">
        <v>38</v>
      </c>
    </row>
    <row r="25" spans="1:5" ht="22.05" customHeight="1">
      <c r="A25" s="6" t="s">
        <v>39</v>
      </c>
      <c r="B25" s="14">
        <f>B18/B12</f>
        <v>4.135628968195075E-2</v>
      </c>
      <c r="C25" s="8" t="s">
        <v>40</v>
      </c>
    </row>
    <row r="26" spans="1:5" ht="22.05" customHeight="1">
      <c r="A26" s="6" t="s">
        <v>41</v>
      </c>
      <c r="B26" s="13">
        <f>B14/B18</f>
        <v>23.418233142857144</v>
      </c>
      <c r="C26" s="8" t="s">
        <v>42</v>
      </c>
    </row>
    <row r="27" spans="1:5" ht="22.05" customHeight="1">
      <c r="A27" s="6" t="s">
        <v>43</v>
      </c>
      <c r="B27" s="15">
        <v>1.806742091895636E-2</v>
      </c>
      <c r="C27" s="8" t="s">
        <v>44</v>
      </c>
    </row>
    <row r="28" spans="1:5" ht="22.05" customHeight="1">
      <c r="A28" s="6" t="s">
        <v>45</v>
      </c>
      <c r="B28" s="16">
        <f>B18/B17</f>
        <v>0.82267769838285065</v>
      </c>
      <c r="C28" s="8" t="s">
        <v>46</v>
      </c>
    </row>
    <row r="29" spans="1:5" ht="22.05" customHeight="1">
      <c r="A29" s="6" t="s">
        <v>47</v>
      </c>
      <c r="B29" s="17">
        <v>3.8389955686853758E-2</v>
      </c>
      <c r="C29" s="8" t="s">
        <v>48</v>
      </c>
    </row>
    <row r="32" spans="1:5">
      <c r="A32" s="5" t="s">
        <v>49</v>
      </c>
      <c r="B32" s="5" t="s">
        <v>50</v>
      </c>
      <c r="C32" s="5" t="s">
        <v>51</v>
      </c>
      <c r="D32" s="5" t="s">
        <v>52</v>
      </c>
      <c r="E32" s="5" t="s">
        <v>53</v>
      </c>
    </row>
    <row r="33" spans="1:5">
      <c r="A33" s="6" t="s">
        <v>54</v>
      </c>
      <c r="B33" s="7">
        <v>1005.430230029502</v>
      </c>
      <c r="C33" s="15">
        <f>B33/$B$10-1</f>
        <v>-0.25743705315398668</v>
      </c>
      <c r="D33" s="15">
        <f>1-$B$10/B33</f>
        <v>-0.34668717884111167</v>
      </c>
      <c r="E33" s="17">
        <v>6.93E-2</v>
      </c>
    </row>
    <row r="34" spans="1:5">
      <c r="A34" s="18" t="s">
        <v>55</v>
      </c>
      <c r="B34" s="19">
        <v>1384.413625821423</v>
      </c>
      <c r="C34" s="15">
        <f>B34/$B$10-1</f>
        <v>2.2462057475201691E-2</v>
      </c>
      <c r="D34" s="15">
        <f>1-$B$10/B34</f>
        <v>2.1968597573848281E-2</v>
      </c>
      <c r="E34" s="17">
        <v>8.6499999999999994E-2</v>
      </c>
    </row>
    <row r="35" spans="1:5">
      <c r="A35" s="6" t="s">
        <v>56</v>
      </c>
      <c r="B35" s="7">
        <v>1848.398424421785</v>
      </c>
      <c r="C35" s="15">
        <f>B35/$B$10-1</f>
        <v>0.3651391613159416</v>
      </c>
      <c r="D35" s="15">
        <f>1-$B$10/B35</f>
        <v>0.26747394819731163</v>
      </c>
      <c r="E35" s="17">
        <v>9.7500000000000003E-2</v>
      </c>
    </row>
    <row r="36" spans="1:5">
      <c r="A36" s="20" t="s">
        <v>57</v>
      </c>
      <c r="B36" s="21">
        <v>1354</v>
      </c>
      <c r="C36" s="15">
        <v>0</v>
      </c>
      <c r="D36" s="15">
        <v>0</v>
      </c>
      <c r="E36" s="22" t="s">
        <v>58</v>
      </c>
    </row>
    <row r="38" spans="1:5" ht="16.2">
      <c r="A38" s="3" t="s">
        <v>59</v>
      </c>
      <c r="B38" s="4"/>
      <c r="C38" s="4"/>
      <c r="D38" s="4"/>
      <c r="E38" s="4"/>
    </row>
    <row r="39" spans="1:5" ht="30" customHeight="1">
      <c r="A39" s="26" t="s">
        <v>60</v>
      </c>
      <c r="B39" s="27"/>
      <c r="C39" s="27"/>
      <c r="D39" s="27"/>
      <c r="E39" s="27"/>
    </row>
    <row r="40" spans="1:5" ht="30" customHeight="1">
      <c r="A40" s="26" t="s">
        <v>61</v>
      </c>
      <c r="B40" s="27"/>
      <c r="C40" s="27"/>
      <c r="D40" s="27"/>
      <c r="E40" s="27"/>
    </row>
    <row r="41" spans="1:5" ht="30" customHeight="1">
      <c r="A41" s="26" t="s">
        <v>62</v>
      </c>
      <c r="B41" s="27"/>
      <c r="C41" s="27"/>
      <c r="D41" s="27"/>
      <c r="E41" s="27"/>
    </row>
    <row r="42" spans="1:5" ht="30" customHeight="1">
      <c r="A42" s="26" t="s">
        <v>63</v>
      </c>
      <c r="B42" s="27"/>
      <c r="C42" s="27"/>
      <c r="D42" s="27"/>
      <c r="E42" s="27"/>
    </row>
    <row r="43" spans="1:5" ht="30" customHeight="1">
      <c r="A43" s="26" t="s">
        <v>64</v>
      </c>
      <c r="B43" s="27"/>
      <c r="C43" s="27"/>
      <c r="D43" s="27"/>
      <c r="E43" s="27"/>
    </row>
    <row r="44" spans="1:5" ht="30" customHeight="1">
      <c r="A44" s="26" t="s">
        <v>65</v>
      </c>
      <c r="B44" s="27"/>
      <c r="C44" s="27"/>
      <c r="D44" s="27"/>
      <c r="E44" s="27"/>
    </row>
  </sheetData>
  <mergeCells count="9">
    <mergeCell ref="A3:M3"/>
    <mergeCell ref="A44:E44"/>
    <mergeCell ref="A6:E6"/>
    <mergeCell ref="A2:M2"/>
    <mergeCell ref="A39:E39"/>
    <mergeCell ref="A43:E43"/>
    <mergeCell ref="A42:E42"/>
    <mergeCell ref="A41:E41"/>
    <mergeCell ref="A40:E40"/>
  </mergeCells>
  <phoneticPr fontId="11" type="noConversion"/>
  <pageMargins left="0.25" right="0.25" top="0.35" bottom="0.35" header="0.15" footer="0.1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"/>
  <sheetViews>
    <sheetView showGridLines="0" workbookViewId="0"/>
  </sheetViews>
  <sheetFormatPr defaultRowHeight="14.4"/>
  <cols>
    <col min="1" max="1" width="30" customWidth="1"/>
    <col min="2" max="7" width="12" customWidth="1"/>
    <col min="8" max="8" width="34" customWidth="1"/>
  </cols>
  <sheetData>
    <row r="1" spans="1:8" ht="23.4">
      <c r="A1" s="1" t="s">
        <v>66</v>
      </c>
    </row>
    <row r="2" spans="1:8" ht="15.6">
      <c r="A2" s="28" t="s">
        <v>67</v>
      </c>
      <c r="B2" s="27"/>
      <c r="C2" s="27"/>
      <c r="D2" s="27"/>
      <c r="E2" s="27"/>
      <c r="F2" s="27"/>
      <c r="G2" s="27"/>
      <c r="H2" s="27"/>
    </row>
    <row r="4" spans="1:8">
      <c r="A4" s="5" t="s">
        <v>6</v>
      </c>
      <c r="B4" s="5" t="s">
        <v>68</v>
      </c>
      <c r="C4" s="5" t="s">
        <v>69</v>
      </c>
      <c r="D4" s="5" t="s">
        <v>70</v>
      </c>
      <c r="E4" s="5" t="s">
        <v>71</v>
      </c>
      <c r="F4" s="5" t="s">
        <v>72</v>
      </c>
      <c r="G4" s="5" t="s">
        <v>73</v>
      </c>
      <c r="H4" s="5" t="s">
        <v>8</v>
      </c>
    </row>
    <row r="5" spans="1:8">
      <c r="A5" s="6" t="s">
        <v>74</v>
      </c>
      <c r="B5" s="11">
        <v>1094.5999999999999</v>
      </c>
      <c r="C5" s="11">
        <v>1275.5</v>
      </c>
      <c r="D5" s="11">
        <v>1505.6</v>
      </c>
      <c r="E5" s="11">
        <v>1741.4</v>
      </c>
      <c r="F5" s="11">
        <v>1720.5</v>
      </c>
      <c r="G5" s="11">
        <v>922.8</v>
      </c>
      <c r="H5" s="6" t="s">
        <v>75</v>
      </c>
    </row>
    <row r="6" spans="1:8">
      <c r="A6" s="6" t="s">
        <v>76</v>
      </c>
      <c r="B6" s="11">
        <v>747.5</v>
      </c>
      <c r="C6" s="11">
        <v>878.8</v>
      </c>
      <c r="D6" s="11">
        <v>1037.0999999999999</v>
      </c>
      <c r="E6" s="11">
        <v>1196.9000000000001</v>
      </c>
      <c r="F6" s="11">
        <v>1148.0999999999999</v>
      </c>
      <c r="G6" s="11">
        <v>614.1</v>
      </c>
      <c r="H6" s="6" t="s">
        <v>75</v>
      </c>
    </row>
    <row r="7" spans="1:8">
      <c r="A7" s="6" t="s">
        <v>77</v>
      </c>
      <c r="B7" s="11">
        <v>524.6</v>
      </c>
      <c r="C7" s="11">
        <v>627.20000000000005</v>
      </c>
      <c r="D7" s="11">
        <v>747.3</v>
      </c>
      <c r="E7" s="11">
        <v>862.3</v>
      </c>
      <c r="F7" s="11">
        <v>823.2</v>
      </c>
      <c r="G7" s="11">
        <v>445.2</v>
      </c>
      <c r="H7" s="6" t="s">
        <v>75</v>
      </c>
    </row>
    <row r="8" spans="1:8">
      <c r="A8" s="6" t="s">
        <v>78</v>
      </c>
      <c r="B8" s="11">
        <v>640.29999999999995</v>
      </c>
      <c r="C8" s="11">
        <v>367</v>
      </c>
      <c r="D8" s="11">
        <v>665.9</v>
      </c>
      <c r="E8" s="11">
        <v>924.6</v>
      </c>
      <c r="F8" s="11">
        <v>615.20000000000005</v>
      </c>
      <c r="G8" s="11">
        <v>706.9</v>
      </c>
      <c r="H8" s="6" t="s">
        <v>75</v>
      </c>
    </row>
    <row r="9" spans="1:8">
      <c r="A9" s="6" t="s">
        <v>79</v>
      </c>
      <c r="B9" s="11">
        <v>34.1</v>
      </c>
      <c r="C9" s="11">
        <v>53.1</v>
      </c>
      <c r="D9" s="11">
        <v>26.2</v>
      </c>
      <c r="E9" s="11">
        <v>46.8</v>
      </c>
      <c r="F9" s="11">
        <v>31.3</v>
      </c>
      <c r="G9" s="11">
        <v>8.3000000000000007</v>
      </c>
      <c r="H9" s="6" t="s">
        <v>75</v>
      </c>
    </row>
    <row r="10" spans="1:8">
      <c r="A10" s="6" t="s">
        <v>80</v>
      </c>
      <c r="B10" s="11">
        <v>606.20000000000005</v>
      </c>
      <c r="C10" s="11">
        <v>313.89999999999998</v>
      </c>
      <c r="D10" s="11">
        <v>639.70000000000005</v>
      </c>
      <c r="E10" s="11">
        <v>877.8</v>
      </c>
      <c r="F10" s="11">
        <v>583.9</v>
      </c>
      <c r="G10" s="11">
        <v>698.6</v>
      </c>
      <c r="H10" s="6" t="s">
        <v>75</v>
      </c>
    </row>
    <row r="11" spans="1:8">
      <c r="A11" s="6" t="s">
        <v>81</v>
      </c>
      <c r="B11" s="12">
        <v>41.76</v>
      </c>
      <c r="C11" s="12">
        <v>49.93</v>
      </c>
      <c r="D11" s="12">
        <v>59.49</v>
      </c>
      <c r="E11" s="12">
        <v>68.64</v>
      </c>
      <c r="F11" s="12">
        <v>65.66</v>
      </c>
      <c r="G11" s="12">
        <v>35.57</v>
      </c>
      <c r="H11" s="6" t="s">
        <v>75</v>
      </c>
    </row>
    <row r="12" spans="1:8">
      <c r="A12" s="6" t="s">
        <v>82</v>
      </c>
      <c r="B12" s="11">
        <v>12.56</v>
      </c>
      <c r="C12" s="11">
        <v>12.56</v>
      </c>
      <c r="D12" s="11">
        <v>12.56</v>
      </c>
      <c r="E12" s="11">
        <v>12.56</v>
      </c>
      <c r="F12" s="11">
        <v>12.5</v>
      </c>
      <c r="G12" s="11">
        <v>12.5</v>
      </c>
      <c r="H12" s="6" t="s">
        <v>75</v>
      </c>
    </row>
    <row r="14" spans="1:8">
      <c r="A14" s="6" t="s">
        <v>83</v>
      </c>
      <c r="C14" s="15">
        <f>C5/B5-1</f>
        <v>0.16526585053900988</v>
      </c>
      <c r="D14" s="15">
        <f>D5/C5-1</f>
        <v>0.18039984319874547</v>
      </c>
      <c r="E14" s="15">
        <f>E5/D5-1</f>
        <v>0.15661530286928804</v>
      </c>
      <c r="F14" s="15">
        <f>F5/E5-1</f>
        <v>-1.2001837601929521E-2</v>
      </c>
      <c r="G14" s="15">
        <f>G5/F5-1</f>
        <v>-0.4636442894507411</v>
      </c>
    </row>
    <row r="15" spans="1:8">
      <c r="A15" s="6" t="s">
        <v>84</v>
      </c>
      <c r="B15" s="15">
        <f t="shared" ref="B15:G15" si="0">B6/B5</f>
        <v>0.68289786223277915</v>
      </c>
      <c r="C15" s="15">
        <f t="shared" si="0"/>
        <v>0.68898471187769494</v>
      </c>
      <c r="D15" s="15">
        <f t="shared" si="0"/>
        <v>0.68882837407013808</v>
      </c>
      <c r="E15" s="15">
        <f t="shared" si="0"/>
        <v>0.68732054668657405</v>
      </c>
      <c r="F15" s="15">
        <f t="shared" si="0"/>
        <v>0.66730601569311243</v>
      </c>
      <c r="G15" s="15">
        <f t="shared" si="0"/>
        <v>0.66547464239271792</v>
      </c>
    </row>
    <row r="16" spans="1:8">
      <c r="A16" s="6" t="s">
        <v>85</v>
      </c>
      <c r="B16" s="15">
        <f t="shared" ref="B16:G16" si="1">B7/B5</f>
        <v>0.47926183080577384</v>
      </c>
      <c r="C16" s="15">
        <f t="shared" si="1"/>
        <v>0.4917287338298707</v>
      </c>
      <c r="D16" s="15">
        <f t="shared" si="1"/>
        <v>0.49634697130712008</v>
      </c>
      <c r="E16" s="15">
        <f t="shared" si="1"/>
        <v>0.49517629493510962</v>
      </c>
      <c r="F16" s="15">
        <f t="shared" si="1"/>
        <v>0.47846556233653009</v>
      </c>
      <c r="G16" s="15">
        <f t="shared" si="1"/>
        <v>0.48244473342002603</v>
      </c>
    </row>
    <row r="17" spans="1:8">
      <c r="A17" s="6" t="s">
        <v>86</v>
      </c>
      <c r="B17" s="15">
        <f t="shared" ref="B17:G17" si="2">B10/B5</f>
        <v>0.55380961081673674</v>
      </c>
      <c r="C17" s="15">
        <f t="shared" si="2"/>
        <v>0.24609956879655034</v>
      </c>
      <c r="D17" s="15">
        <f t="shared" si="2"/>
        <v>0.4248804463336876</v>
      </c>
      <c r="E17" s="15">
        <f t="shared" si="2"/>
        <v>0.50407717928103823</v>
      </c>
      <c r="F17" s="15">
        <f t="shared" si="2"/>
        <v>0.33937808776518452</v>
      </c>
      <c r="G17" s="15">
        <f t="shared" si="2"/>
        <v>0.75704377980060689</v>
      </c>
    </row>
    <row r="18" spans="1:8">
      <c r="A18" s="6" t="s">
        <v>43</v>
      </c>
      <c r="B18" s="15">
        <f t="shared" ref="B18:G18" si="3">B9/B5</f>
        <v>3.1152932578110731E-2</v>
      </c>
      <c r="C18" s="15">
        <f t="shared" si="3"/>
        <v>4.1630733045864371E-2</v>
      </c>
      <c r="D18" s="15">
        <f t="shared" si="3"/>
        <v>1.7401700318809776E-2</v>
      </c>
      <c r="E18" s="15">
        <f t="shared" si="3"/>
        <v>2.6874928218674626E-2</v>
      </c>
      <c r="F18" s="15">
        <f t="shared" si="3"/>
        <v>1.8192385934321417E-2</v>
      </c>
      <c r="G18" s="15">
        <f t="shared" si="3"/>
        <v>8.9943649761595156E-3</v>
      </c>
    </row>
    <row r="19" spans="1:8">
      <c r="A19" s="6" t="s">
        <v>45</v>
      </c>
      <c r="B19" s="15">
        <f t="shared" ref="B19:G19" si="4">B10/(B6*(1-0.25))</f>
        <v>1.0812931995540691</v>
      </c>
      <c r="C19" s="15">
        <f t="shared" si="4"/>
        <v>0.47625549992413901</v>
      </c>
      <c r="D19" s="15">
        <f t="shared" si="4"/>
        <v>0.82242149583775281</v>
      </c>
      <c r="E19" s="15">
        <f t="shared" si="4"/>
        <v>0.97785947029827036</v>
      </c>
      <c r="F19" s="15">
        <f t="shared" si="4"/>
        <v>0.678105856052028</v>
      </c>
      <c r="G19" s="15">
        <f t="shared" si="4"/>
        <v>1.5167996526081529</v>
      </c>
    </row>
    <row r="21" spans="1:8" ht="16.2">
      <c r="A21" s="3" t="s">
        <v>87</v>
      </c>
      <c r="B21" s="4"/>
      <c r="C21" s="4"/>
      <c r="D21" s="4"/>
      <c r="E21" s="4"/>
      <c r="F21" s="4"/>
      <c r="G21" s="4"/>
      <c r="H21" s="4"/>
    </row>
    <row r="22" spans="1:8" ht="30" customHeight="1">
      <c r="A22" s="26" t="s">
        <v>88</v>
      </c>
      <c r="B22" s="27"/>
      <c r="C22" s="27"/>
      <c r="D22" s="27"/>
      <c r="E22" s="27"/>
      <c r="F22" s="27"/>
      <c r="G22" s="27"/>
      <c r="H22" s="27"/>
    </row>
    <row r="23" spans="1:8" ht="30" customHeight="1">
      <c r="A23" s="26" t="s">
        <v>89</v>
      </c>
      <c r="B23" s="27"/>
      <c r="C23" s="27"/>
      <c r="D23" s="27"/>
      <c r="E23" s="27"/>
      <c r="F23" s="27"/>
      <c r="G23" s="27"/>
      <c r="H23" s="27"/>
    </row>
    <row r="24" spans="1:8" ht="30" customHeight="1">
      <c r="A24" s="26" t="s">
        <v>90</v>
      </c>
      <c r="B24" s="27"/>
      <c r="C24" s="27"/>
      <c r="D24" s="27"/>
      <c r="E24" s="27"/>
      <c r="F24" s="27"/>
      <c r="G24" s="27"/>
      <c r="H24" s="27"/>
    </row>
    <row r="25" spans="1:8" ht="30" customHeight="1">
      <c r="A25" s="26" t="s">
        <v>91</v>
      </c>
      <c r="B25" s="27"/>
      <c r="C25" s="27"/>
      <c r="D25" s="27"/>
      <c r="E25" s="27"/>
      <c r="F25" s="27"/>
      <c r="G25" s="27"/>
      <c r="H25" s="27"/>
    </row>
    <row r="26" spans="1:8" ht="30" customHeight="1">
      <c r="A26" s="26" t="s">
        <v>92</v>
      </c>
      <c r="B26" s="27"/>
      <c r="C26" s="27"/>
      <c r="D26" s="27"/>
      <c r="E26" s="27"/>
      <c r="F26" s="27"/>
      <c r="G26" s="27"/>
      <c r="H26" s="27"/>
    </row>
    <row r="27" spans="1:8" ht="30" customHeight="1">
      <c r="A27" s="26" t="s">
        <v>93</v>
      </c>
      <c r="B27" s="27"/>
      <c r="C27" s="27"/>
      <c r="D27" s="27"/>
      <c r="E27" s="27"/>
      <c r="F27" s="27"/>
      <c r="G27" s="27"/>
      <c r="H27" s="27"/>
    </row>
  </sheetData>
  <mergeCells count="7">
    <mergeCell ref="A27:H27"/>
    <mergeCell ref="A22:H22"/>
    <mergeCell ref="A26:H26"/>
    <mergeCell ref="A25:H25"/>
    <mergeCell ref="A24:H24"/>
    <mergeCell ref="A2:H2"/>
    <mergeCell ref="A23:H23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7"/>
  <sheetViews>
    <sheetView showGridLines="0" workbookViewId="0"/>
  </sheetViews>
  <sheetFormatPr defaultRowHeight="14.4"/>
  <cols>
    <col min="1" max="1" width="32" customWidth="1"/>
    <col min="2" max="3" width="15" customWidth="1"/>
    <col min="4" max="4" width="14" customWidth="1"/>
    <col min="5" max="5" width="44" customWidth="1"/>
    <col min="6" max="6" width="20" customWidth="1"/>
  </cols>
  <sheetData>
    <row r="1" spans="1:6" ht="23.4">
      <c r="A1" s="1" t="s">
        <v>94</v>
      </c>
    </row>
    <row r="2" spans="1:6" ht="15.6">
      <c r="A2" s="28" t="s">
        <v>95</v>
      </c>
      <c r="B2" s="27"/>
      <c r="C2" s="27"/>
      <c r="D2" s="27"/>
      <c r="E2" s="27"/>
      <c r="F2" s="27"/>
    </row>
    <row r="4" spans="1:6" ht="16.2">
      <c r="A4" s="3" t="s">
        <v>96</v>
      </c>
      <c r="B4" s="4"/>
      <c r="C4" s="4"/>
      <c r="D4" s="4"/>
      <c r="E4" s="4"/>
      <c r="F4" s="4"/>
    </row>
    <row r="5" spans="1:6" ht="15.6">
      <c r="A5" s="2" t="s">
        <v>97</v>
      </c>
    </row>
    <row r="6" spans="1:6">
      <c r="A6" s="5" t="s">
        <v>98</v>
      </c>
      <c r="B6" s="5" t="s">
        <v>74</v>
      </c>
      <c r="C6" s="5" t="s">
        <v>99</v>
      </c>
      <c r="D6" s="5" t="s">
        <v>100</v>
      </c>
      <c r="E6" s="5" t="s">
        <v>8</v>
      </c>
    </row>
    <row r="7" spans="1:6">
      <c r="A7" s="6" t="s">
        <v>101</v>
      </c>
      <c r="B7" s="11">
        <v>777.2</v>
      </c>
      <c r="C7" s="15">
        <v>2.8000000000000001E-2</v>
      </c>
      <c r="D7" s="15">
        <v>0.84199999999999997</v>
      </c>
      <c r="E7" s="6" t="s">
        <v>102</v>
      </c>
    </row>
    <row r="8" spans="1:6">
      <c r="A8" s="6" t="s">
        <v>103</v>
      </c>
      <c r="B8" s="11">
        <v>129.30000000000001</v>
      </c>
      <c r="C8" s="15">
        <v>-0.06</v>
      </c>
      <c r="D8" s="15">
        <v>0.14000000000000001</v>
      </c>
      <c r="E8" s="6" t="s">
        <v>104</v>
      </c>
    </row>
    <row r="9" spans="1:6">
      <c r="A9" s="6" t="s">
        <v>105</v>
      </c>
      <c r="B9" s="11">
        <v>16.3</v>
      </c>
      <c r="C9" s="15"/>
      <c r="D9" s="15">
        <v>1.7999999999999999E-2</v>
      </c>
      <c r="E9" s="6" t="s">
        <v>106</v>
      </c>
    </row>
    <row r="10" spans="1:6">
      <c r="A10" s="6" t="s">
        <v>107</v>
      </c>
      <c r="B10" s="11">
        <v>519.6</v>
      </c>
      <c r="C10" s="15">
        <v>0.3</v>
      </c>
      <c r="D10" s="15">
        <v>0.56299999999999994</v>
      </c>
      <c r="E10" s="6" t="s">
        <v>108</v>
      </c>
    </row>
    <row r="11" spans="1:6">
      <c r="A11" s="6" t="s">
        <v>109</v>
      </c>
      <c r="B11" s="11">
        <v>403.2</v>
      </c>
      <c r="C11" s="15"/>
      <c r="D11" s="15">
        <v>0.437</v>
      </c>
      <c r="E11" s="6" t="s">
        <v>110</v>
      </c>
    </row>
    <row r="12" spans="1:6">
      <c r="A12" s="6" t="s">
        <v>111</v>
      </c>
      <c r="B12" s="11">
        <v>922.8</v>
      </c>
      <c r="C12" s="15">
        <v>1.2999999999999999E-2</v>
      </c>
      <c r="D12" s="15">
        <v>1</v>
      </c>
      <c r="E12" s="6" t="s">
        <v>112</v>
      </c>
    </row>
    <row r="15" spans="1:6" ht="16.2">
      <c r="A15" s="3" t="s">
        <v>113</v>
      </c>
      <c r="B15" s="4"/>
      <c r="C15" s="4"/>
      <c r="D15" s="4"/>
      <c r="E15" s="4"/>
      <c r="F15" s="4"/>
    </row>
    <row r="16" spans="1:6" ht="31.95" customHeight="1">
      <c r="A16" s="26" t="s">
        <v>88</v>
      </c>
      <c r="B16" s="27"/>
      <c r="C16" s="27"/>
      <c r="D16" s="27"/>
      <c r="E16" s="27"/>
      <c r="F16" s="27"/>
    </row>
    <row r="17" spans="1:6" ht="31.95" customHeight="1">
      <c r="A17" s="26" t="s">
        <v>93</v>
      </c>
      <c r="B17" s="27"/>
      <c r="C17" s="27"/>
      <c r="D17" s="27"/>
      <c r="E17" s="27"/>
      <c r="F17" s="27"/>
    </row>
  </sheetData>
  <mergeCells count="3">
    <mergeCell ref="A16:F16"/>
    <mergeCell ref="A2:F2"/>
    <mergeCell ref="A17:F17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3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60" customWidth="1"/>
  </cols>
  <sheetData>
    <row r="1" spans="1:3" ht="23.4">
      <c r="A1" s="1" t="s">
        <v>114</v>
      </c>
    </row>
    <row r="2" spans="1:3" ht="15.6">
      <c r="A2" s="28" t="s">
        <v>115</v>
      </c>
      <c r="B2" s="27"/>
      <c r="C2" s="27"/>
    </row>
    <row r="4" spans="1:3">
      <c r="A4" s="5" t="s">
        <v>6</v>
      </c>
      <c r="B4" s="5" t="s">
        <v>7</v>
      </c>
      <c r="C4" s="5" t="s">
        <v>116</v>
      </c>
    </row>
    <row r="5" spans="1:3">
      <c r="A5" s="6" t="s">
        <v>117</v>
      </c>
      <c r="B5" s="11">
        <v>1134.5</v>
      </c>
      <c r="C5" s="8" t="s">
        <v>44</v>
      </c>
    </row>
    <row r="6" spans="1:3">
      <c r="A6" s="6" t="s">
        <v>118</v>
      </c>
      <c r="B6" s="15">
        <v>0.25</v>
      </c>
      <c r="C6" s="8" t="s">
        <v>119</v>
      </c>
    </row>
    <row r="7" spans="1:3">
      <c r="A7" s="6" t="s">
        <v>120</v>
      </c>
      <c r="B7" s="23">
        <f>B5*(1-B6)</f>
        <v>850.875</v>
      </c>
      <c r="C7" s="8" t="s">
        <v>121</v>
      </c>
    </row>
    <row r="8" spans="1:3">
      <c r="A8" s="6" t="s">
        <v>122</v>
      </c>
      <c r="B8" s="11">
        <v>22.6</v>
      </c>
      <c r="C8" s="8" t="s">
        <v>44</v>
      </c>
    </row>
    <row r="9" spans="1:3">
      <c r="A9" s="6" t="s">
        <v>123</v>
      </c>
      <c r="B9" s="11">
        <v>0</v>
      </c>
      <c r="C9" s="8" t="s">
        <v>124</v>
      </c>
    </row>
    <row r="10" spans="1:3">
      <c r="A10" s="6" t="s">
        <v>125</v>
      </c>
      <c r="B10" s="11">
        <v>31.3</v>
      </c>
      <c r="C10" s="8" t="s">
        <v>44</v>
      </c>
    </row>
    <row r="11" spans="1:3">
      <c r="A11" s="6" t="s">
        <v>126</v>
      </c>
      <c r="B11" s="11">
        <v>-227</v>
      </c>
      <c r="C11" s="8" t="s">
        <v>127</v>
      </c>
    </row>
    <row r="12" spans="1:3">
      <c r="A12" s="18" t="s">
        <v>128</v>
      </c>
      <c r="B12" s="23">
        <f>B7+B8+B9-B10+B11</f>
        <v>615.17500000000007</v>
      </c>
      <c r="C12" s="8" t="s">
        <v>129</v>
      </c>
    </row>
    <row r="13" spans="1:3">
      <c r="A13" s="6" t="s">
        <v>130</v>
      </c>
      <c r="B13" s="11">
        <v>615.20000000000005</v>
      </c>
      <c r="C13" s="8" t="s">
        <v>44</v>
      </c>
    </row>
    <row r="14" spans="1:3">
      <c r="A14" s="6" t="s">
        <v>125</v>
      </c>
      <c r="B14" s="11">
        <v>31.3</v>
      </c>
      <c r="C14" s="8" t="s">
        <v>44</v>
      </c>
    </row>
    <row r="15" spans="1:3">
      <c r="A15" s="18" t="s">
        <v>26</v>
      </c>
      <c r="B15" s="23">
        <f>B13-B14</f>
        <v>583.90000000000009</v>
      </c>
      <c r="C15" s="8" t="s">
        <v>131</v>
      </c>
    </row>
    <row r="16" spans="1:3">
      <c r="A16" s="6" t="s">
        <v>45</v>
      </c>
      <c r="B16" s="16">
        <f>B12/B7</f>
        <v>0.72299103863669756</v>
      </c>
      <c r="C16" s="8" t="s">
        <v>132</v>
      </c>
    </row>
    <row r="17" spans="1:3">
      <c r="A17" s="6" t="s">
        <v>43</v>
      </c>
      <c r="B17" s="16">
        <f>B10/1732.4</f>
        <v>1.806742091895636E-2</v>
      </c>
      <c r="C17" s="8" t="s">
        <v>44</v>
      </c>
    </row>
    <row r="18" spans="1:3">
      <c r="A18" s="6" t="s">
        <v>133</v>
      </c>
      <c r="B18" s="13">
        <f>B10/B8</f>
        <v>1.3849557522123894</v>
      </c>
      <c r="C18" s="8" t="s">
        <v>134</v>
      </c>
    </row>
    <row r="20" spans="1:3" ht="16.2">
      <c r="A20" s="3" t="s">
        <v>113</v>
      </c>
      <c r="B20" s="4"/>
      <c r="C20" s="4"/>
    </row>
    <row r="21" spans="1:3" ht="34.049999999999997" customHeight="1">
      <c r="A21" s="26" t="s">
        <v>135</v>
      </c>
      <c r="B21" s="27"/>
      <c r="C21" s="27"/>
    </row>
    <row r="22" spans="1:3" ht="34.049999999999997" customHeight="1">
      <c r="A22" s="26" t="s">
        <v>136</v>
      </c>
      <c r="B22" s="27"/>
      <c r="C22" s="27"/>
    </row>
    <row r="23" spans="1:3" ht="34.049999999999997" customHeight="1">
      <c r="A23" s="26" t="s">
        <v>137</v>
      </c>
      <c r="B23" s="27"/>
      <c r="C23" s="27"/>
    </row>
  </sheetData>
  <mergeCells count="4">
    <mergeCell ref="A23:C23"/>
    <mergeCell ref="A2:C2"/>
    <mergeCell ref="A21:C21"/>
    <mergeCell ref="A22:C2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9"/>
  <sheetViews>
    <sheetView showGridLines="0" workbookViewId="0"/>
  </sheetViews>
  <sheetFormatPr defaultRowHeight="14.4"/>
  <cols>
    <col min="1" max="1" width="20" customWidth="1"/>
    <col min="2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138</v>
      </c>
    </row>
    <row r="2" spans="1:14" ht="15.6">
      <c r="A2" s="28" t="s">
        <v>139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5.6">
      <c r="A3" s="28" t="s">
        <v>140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16.2">
      <c r="A4" s="3" t="s">
        <v>141</v>
      </c>
      <c r="B4" s="4"/>
      <c r="C4" s="4"/>
      <c r="D4" s="4"/>
      <c r="E4" s="4"/>
    </row>
    <row r="5" spans="1:14">
      <c r="A5" s="6" t="s">
        <v>142</v>
      </c>
      <c r="B5" s="11">
        <v>1749</v>
      </c>
    </row>
    <row r="6" spans="1:14">
      <c r="A6" s="6" t="s">
        <v>143</v>
      </c>
      <c r="B6" s="15">
        <v>0.25</v>
      </c>
    </row>
    <row r="7" spans="1:14">
      <c r="A7" s="6" t="s">
        <v>144</v>
      </c>
      <c r="B7" s="15">
        <v>0.02</v>
      </c>
    </row>
    <row r="8" spans="1:14">
      <c r="A8" s="6" t="s">
        <v>145</v>
      </c>
      <c r="B8" s="11">
        <v>-533.32000000000005</v>
      </c>
    </row>
    <row r="9" spans="1:14">
      <c r="A9" s="6" t="s">
        <v>146</v>
      </c>
      <c r="B9" s="11">
        <v>1450</v>
      </c>
    </row>
    <row r="10" spans="1:14">
      <c r="A10" s="6" t="s">
        <v>147</v>
      </c>
      <c r="B10" s="9">
        <v>12.5008</v>
      </c>
    </row>
    <row r="11" spans="1:14" ht="15">
      <c r="A11" s="30" t="s">
        <v>148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3" spans="1:14" ht="16.2">
      <c r="A13" s="3" t="s">
        <v>149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150</v>
      </c>
      <c r="B14" s="15">
        <v>0.09</v>
      </c>
      <c r="C14" s="6" t="s">
        <v>151</v>
      </c>
      <c r="D14" s="15">
        <v>0.02</v>
      </c>
    </row>
    <row r="16" spans="1:14">
      <c r="A16" s="5" t="s">
        <v>152</v>
      </c>
      <c r="B16" s="5" t="s">
        <v>83</v>
      </c>
      <c r="C16" s="5" t="s">
        <v>74</v>
      </c>
      <c r="D16" s="5" t="s">
        <v>153</v>
      </c>
      <c r="E16" s="5" t="s">
        <v>154</v>
      </c>
      <c r="F16" s="5" t="s">
        <v>120</v>
      </c>
      <c r="G16" s="5" t="s">
        <v>155</v>
      </c>
      <c r="H16" s="5" t="s">
        <v>156</v>
      </c>
      <c r="I16" s="5" t="s">
        <v>157</v>
      </c>
      <c r="J16" s="5" t="s">
        <v>158</v>
      </c>
      <c r="K16" s="5" t="s">
        <v>159</v>
      </c>
      <c r="L16" s="5" t="s">
        <v>160</v>
      </c>
      <c r="M16" s="5" t="s">
        <v>161</v>
      </c>
      <c r="N16" s="5" t="s">
        <v>162</v>
      </c>
    </row>
    <row r="17" spans="1:14">
      <c r="A17" s="24">
        <v>1</v>
      </c>
      <c r="B17" s="15">
        <v>0</v>
      </c>
      <c r="C17" s="11">
        <f>$B$5*(1+B17)</f>
        <v>1749</v>
      </c>
      <c r="D17" s="15">
        <v>0.62</v>
      </c>
      <c r="E17" s="11">
        <f t="shared" ref="E17:E26" si="0">C17*D17</f>
        <v>1084.3799999999999</v>
      </c>
      <c r="F17" s="11">
        <f t="shared" ref="F17:F26" si="1">E17*(1-$B$6)</f>
        <v>813.28499999999985</v>
      </c>
      <c r="G17" s="15">
        <v>1.4999999999999999E-2</v>
      </c>
      <c r="H17" s="11">
        <f t="shared" ref="H17:H26" si="2">C17*G17</f>
        <v>26.234999999999999</v>
      </c>
      <c r="I17" s="15">
        <v>0.02</v>
      </c>
      <c r="J17" s="11">
        <f t="shared" ref="J17:J26" si="3">C17*I17</f>
        <v>34.980000000000004</v>
      </c>
      <c r="K17" s="11">
        <f>(C17-$B$5)*$B$7</f>
        <v>0</v>
      </c>
      <c r="L17" s="11">
        <f t="shared" ref="L17:L26" si="4">F17+H17-J17-K17</f>
        <v>804.53999999999985</v>
      </c>
      <c r="M17" s="9">
        <f>1/(1+$B$14)^1</f>
        <v>0.9174311926605504</v>
      </c>
      <c r="N17" s="11">
        <f t="shared" ref="N17:N26" si="5">L17*M17</f>
        <v>738.11009174311903</v>
      </c>
    </row>
    <row r="18" spans="1:14">
      <c r="A18" s="24">
        <v>2</v>
      </c>
      <c r="B18" s="15">
        <v>0</v>
      </c>
      <c r="C18" s="11">
        <f t="shared" ref="C18:C26" si="6">C17*(1+B18)</f>
        <v>1749</v>
      </c>
      <c r="D18" s="15">
        <v>0.62</v>
      </c>
      <c r="E18" s="11">
        <f t="shared" si="0"/>
        <v>1084.3799999999999</v>
      </c>
      <c r="F18" s="11">
        <f t="shared" si="1"/>
        <v>813.28499999999985</v>
      </c>
      <c r="G18" s="15">
        <v>1.4999999999999999E-2</v>
      </c>
      <c r="H18" s="11">
        <f t="shared" si="2"/>
        <v>26.234999999999999</v>
      </c>
      <c r="I18" s="15">
        <v>0.02</v>
      </c>
      <c r="J18" s="11">
        <f t="shared" si="3"/>
        <v>34.980000000000004</v>
      </c>
      <c r="K18" s="11">
        <f t="shared" ref="K18:K26" si="7">(C18-C17)*$B$7</f>
        <v>0</v>
      </c>
      <c r="L18" s="11">
        <f t="shared" si="4"/>
        <v>804.53999999999985</v>
      </c>
      <c r="M18" s="9">
        <f>1/(1+$B$14)^2</f>
        <v>0.84167999326655996</v>
      </c>
      <c r="N18" s="11">
        <f t="shared" si="5"/>
        <v>677.16522178267803</v>
      </c>
    </row>
    <row r="19" spans="1:14">
      <c r="A19" s="24">
        <v>3</v>
      </c>
      <c r="B19" s="15">
        <v>0</v>
      </c>
      <c r="C19" s="11">
        <f t="shared" si="6"/>
        <v>1749</v>
      </c>
      <c r="D19" s="15">
        <v>0.62</v>
      </c>
      <c r="E19" s="11">
        <f t="shared" si="0"/>
        <v>1084.3799999999999</v>
      </c>
      <c r="F19" s="11">
        <f t="shared" si="1"/>
        <v>813.28499999999985</v>
      </c>
      <c r="G19" s="15">
        <v>1.4999999999999999E-2</v>
      </c>
      <c r="H19" s="11">
        <f t="shared" si="2"/>
        <v>26.234999999999999</v>
      </c>
      <c r="I19" s="15">
        <v>0.02</v>
      </c>
      <c r="J19" s="11">
        <f t="shared" si="3"/>
        <v>34.980000000000004</v>
      </c>
      <c r="K19" s="11">
        <f t="shared" si="7"/>
        <v>0</v>
      </c>
      <c r="L19" s="11">
        <f t="shared" si="4"/>
        <v>804.53999999999985</v>
      </c>
      <c r="M19" s="9">
        <f>1/(1+$B$14)^3</f>
        <v>0.77218348006106419</v>
      </c>
      <c r="N19" s="11">
        <f t="shared" si="5"/>
        <v>621.25249704832845</v>
      </c>
    </row>
    <row r="20" spans="1:14">
      <c r="A20" s="24">
        <v>4</v>
      </c>
      <c r="B20" s="15">
        <v>0.01</v>
      </c>
      <c r="C20" s="11">
        <f t="shared" si="6"/>
        <v>1766.49</v>
      </c>
      <c r="D20" s="15">
        <v>0.62</v>
      </c>
      <c r="E20" s="11">
        <f t="shared" si="0"/>
        <v>1095.2238</v>
      </c>
      <c r="F20" s="11">
        <f t="shared" si="1"/>
        <v>821.41785000000004</v>
      </c>
      <c r="G20" s="15">
        <v>1.4999999999999999E-2</v>
      </c>
      <c r="H20" s="11">
        <f t="shared" si="2"/>
        <v>26.497350000000001</v>
      </c>
      <c r="I20" s="15">
        <v>0.02</v>
      </c>
      <c r="J20" s="11">
        <f t="shared" si="3"/>
        <v>35.329799999999999</v>
      </c>
      <c r="K20" s="11">
        <f t="shared" si="7"/>
        <v>0.34980000000000017</v>
      </c>
      <c r="L20" s="11">
        <f t="shared" si="4"/>
        <v>812.23560000000009</v>
      </c>
      <c r="M20" s="9">
        <f>1/(1+$B$14)^4</f>
        <v>0.7084252110651964</v>
      </c>
      <c r="N20" s="11">
        <f t="shared" si="5"/>
        <v>575.40817636466647</v>
      </c>
    </row>
    <row r="21" spans="1:14">
      <c r="A21" s="24">
        <v>5</v>
      </c>
      <c r="B21" s="15">
        <v>0.01</v>
      </c>
      <c r="C21" s="11">
        <f t="shared" si="6"/>
        <v>1784.1549</v>
      </c>
      <c r="D21" s="15">
        <v>0.62</v>
      </c>
      <c r="E21" s="11">
        <f t="shared" si="0"/>
        <v>1106.1760380000001</v>
      </c>
      <c r="F21" s="11">
        <f t="shared" si="1"/>
        <v>829.63202850000005</v>
      </c>
      <c r="G21" s="15">
        <v>1.4999999999999999E-2</v>
      </c>
      <c r="H21" s="11">
        <f t="shared" si="2"/>
        <v>26.762323499999997</v>
      </c>
      <c r="I21" s="15">
        <v>0.02</v>
      </c>
      <c r="J21" s="11">
        <f t="shared" si="3"/>
        <v>35.683098000000001</v>
      </c>
      <c r="K21" s="11">
        <f t="shared" si="7"/>
        <v>0.35329799999999978</v>
      </c>
      <c r="L21" s="11">
        <f t="shared" si="4"/>
        <v>820.35795600000006</v>
      </c>
      <c r="M21" s="9">
        <f>1/(1+$B$14)^5</f>
        <v>0.64993138629834524</v>
      </c>
      <c r="N21" s="11">
        <f t="shared" si="5"/>
        <v>533.17638360395699</v>
      </c>
    </row>
    <row r="22" spans="1:14">
      <c r="A22" s="24">
        <v>6</v>
      </c>
      <c r="B22" s="15">
        <v>0.01</v>
      </c>
      <c r="C22" s="11">
        <f t="shared" si="6"/>
        <v>1801.996449</v>
      </c>
      <c r="D22" s="15">
        <v>0.62</v>
      </c>
      <c r="E22" s="11">
        <f t="shared" si="0"/>
        <v>1117.23779838</v>
      </c>
      <c r="F22" s="11">
        <f t="shared" si="1"/>
        <v>837.92834878500003</v>
      </c>
      <c r="G22" s="15">
        <v>1.4999999999999999E-2</v>
      </c>
      <c r="H22" s="11">
        <f t="shared" si="2"/>
        <v>27.029946734999999</v>
      </c>
      <c r="I22" s="15">
        <v>0.02</v>
      </c>
      <c r="J22" s="11">
        <f t="shared" si="3"/>
        <v>36.039928979999999</v>
      </c>
      <c r="K22" s="11">
        <f t="shared" si="7"/>
        <v>0.35683097999999974</v>
      </c>
      <c r="L22" s="11">
        <f t="shared" si="4"/>
        <v>828.56153555999992</v>
      </c>
      <c r="M22" s="9">
        <f>1/(1+$B$14)^6</f>
        <v>0.5962673268792158</v>
      </c>
      <c r="N22" s="11">
        <f t="shared" si="5"/>
        <v>494.04417196329945</v>
      </c>
    </row>
    <row r="23" spans="1:14">
      <c r="A23" s="24">
        <v>7</v>
      </c>
      <c r="B23" s="15">
        <v>0.01</v>
      </c>
      <c r="C23" s="11">
        <f t="shared" si="6"/>
        <v>1820.0164134900001</v>
      </c>
      <c r="D23" s="15">
        <v>0.62</v>
      </c>
      <c r="E23" s="11">
        <f t="shared" si="0"/>
        <v>1128.4101763638</v>
      </c>
      <c r="F23" s="11">
        <f t="shared" si="1"/>
        <v>846.30763227285001</v>
      </c>
      <c r="G23" s="15">
        <v>1.4999999999999999E-2</v>
      </c>
      <c r="H23" s="11">
        <f t="shared" si="2"/>
        <v>27.300246202349999</v>
      </c>
      <c r="I23" s="15">
        <v>0.02</v>
      </c>
      <c r="J23" s="11">
        <f t="shared" si="3"/>
        <v>36.400328269800006</v>
      </c>
      <c r="K23" s="11">
        <f t="shared" si="7"/>
        <v>0.36039928980000241</v>
      </c>
      <c r="L23" s="11">
        <f t="shared" si="4"/>
        <v>836.84715091559997</v>
      </c>
      <c r="M23" s="9">
        <f>1/(1+$B$14)^7</f>
        <v>0.54703424484331731</v>
      </c>
      <c r="N23" s="11">
        <f t="shared" si="5"/>
        <v>457.78404925039683</v>
      </c>
    </row>
    <row r="24" spans="1:14">
      <c r="A24" s="24">
        <v>8</v>
      </c>
      <c r="B24" s="15">
        <v>0.01</v>
      </c>
      <c r="C24" s="11">
        <f t="shared" si="6"/>
        <v>1838.2165776249001</v>
      </c>
      <c r="D24" s="15">
        <v>0.62</v>
      </c>
      <c r="E24" s="11">
        <f t="shared" si="0"/>
        <v>1139.6942781274381</v>
      </c>
      <c r="F24" s="11">
        <f t="shared" si="1"/>
        <v>854.77070859557853</v>
      </c>
      <c r="G24" s="15">
        <v>1.4999999999999999E-2</v>
      </c>
      <c r="H24" s="11">
        <f t="shared" si="2"/>
        <v>27.573248664373502</v>
      </c>
      <c r="I24" s="15">
        <v>0.02</v>
      </c>
      <c r="J24" s="11">
        <f t="shared" si="3"/>
        <v>36.764331552498</v>
      </c>
      <c r="K24" s="11">
        <f t="shared" si="7"/>
        <v>0.36400328269799959</v>
      </c>
      <c r="L24" s="11">
        <f t="shared" si="4"/>
        <v>845.21562242475602</v>
      </c>
      <c r="M24" s="9">
        <f>1/(1+$B$14)^8</f>
        <v>0.50186627967276809</v>
      </c>
      <c r="N24" s="11">
        <f t="shared" si="5"/>
        <v>424.18521994761534</v>
      </c>
    </row>
    <row r="25" spans="1:14">
      <c r="A25" s="24">
        <v>9</v>
      </c>
      <c r="B25" s="15">
        <v>0.01</v>
      </c>
      <c r="C25" s="11">
        <f t="shared" si="6"/>
        <v>1856.598743401149</v>
      </c>
      <c r="D25" s="15">
        <v>0.62</v>
      </c>
      <c r="E25" s="11">
        <f t="shared" si="0"/>
        <v>1151.0912209087123</v>
      </c>
      <c r="F25" s="11">
        <f t="shared" si="1"/>
        <v>863.31841568153425</v>
      </c>
      <c r="G25" s="15">
        <v>1.4999999999999999E-2</v>
      </c>
      <c r="H25" s="11">
        <f t="shared" si="2"/>
        <v>27.848981151017234</v>
      </c>
      <c r="I25" s="15">
        <v>0.02</v>
      </c>
      <c r="J25" s="11">
        <f t="shared" si="3"/>
        <v>37.131974868022979</v>
      </c>
      <c r="K25" s="11">
        <f t="shared" si="7"/>
        <v>0.36764331552497881</v>
      </c>
      <c r="L25" s="11">
        <f t="shared" si="4"/>
        <v>853.66777864900348</v>
      </c>
      <c r="M25" s="9">
        <f>1/(1+$B$14)^9</f>
        <v>0.46042777951630098</v>
      </c>
      <c r="N25" s="11">
        <f t="shared" si="5"/>
        <v>393.05235976797383</v>
      </c>
    </row>
    <row r="26" spans="1:14">
      <c r="A26" s="24">
        <v>10</v>
      </c>
      <c r="B26" s="15">
        <v>0.01</v>
      </c>
      <c r="C26" s="11">
        <f t="shared" si="6"/>
        <v>1875.1647308351605</v>
      </c>
      <c r="D26" s="15">
        <v>0.62</v>
      </c>
      <c r="E26" s="11">
        <f t="shared" si="0"/>
        <v>1162.6021331177994</v>
      </c>
      <c r="F26" s="11">
        <f t="shared" si="1"/>
        <v>871.95159983834958</v>
      </c>
      <c r="G26" s="15">
        <v>1.4999999999999999E-2</v>
      </c>
      <c r="H26" s="11">
        <f t="shared" si="2"/>
        <v>28.127470962527408</v>
      </c>
      <c r="I26" s="15">
        <v>0.02</v>
      </c>
      <c r="J26" s="11">
        <f t="shared" si="3"/>
        <v>37.503294616703208</v>
      </c>
      <c r="K26" s="11">
        <f t="shared" si="7"/>
        <v>0.3713197486802301</v>
      </c>
      <c r="L26" s="11">
        <f t="shared" si="4"/>
        <v>862.20445643549351</v>
      </c>
      <c r="M26" s="9">
        <f>1/(1+$B$14)^10</f>
        <v>0.42241080689568894</v>
      </c>
      <c r="N26" s="11">
        <f t="shared" si="5"/>
        <v>364.2044801519757</v>
      </c>
    </row>
    <row r="27" spans="1:14">
      <c r="A27" s="18" t="s">
        <v>163</v>
      </c>
      <c r="B27" s="11">
        <f>L26*(1+$D$14)/($B$14-$D$14)</f>
        <v>12563.550650917194</v>
      </c>
    </row>
    <row r="28" spans="1:14">
      <c r="A28" s="6" t="s">
        <v>164</v>
      </c>
      <c r="B28" s="11">
        <f>B27/(1+$B$14)^10</f>
        <v>5306.9795679287899</v>
      </c>
    </row>
    <row r="29" spans="1:14">
      <c r="A29" s="18" t="s">
        <v>165</v>
      </c>
      <c r="B29" s="11">
        <f>SUM(N17:N26)+B28</f>
        <v>10585.362219552801</v>
      </c>
    </row>
    <row r="30" spans="1:14">
      <c r="A30" s="6" t="s">
        <v>166</v>
      </c>
      <c r="B30" s="11">
        <f>$B$8</f>
        <v>-533.32000000000005</v>
      </c>
    </row>
    <row r="31" spans="1:14">
      <c r="A31" s="6" t="s">
        <v>167</v>
      </c>
      <c r="B31" s="11">
        <f>$B$9</f>
        <v>1450</v>
      </c>
    </row>
    <row r="32" spans="1:14">
      <c r="A32" s="18" t="s">
        <v>168</v>
      </c>
      <c r="B32" s="11">
        <f>B29-B30+B31</f>
        <v>12568.6822195528</v>
      </c>
    </row>
    <row r="33" spans="1:14">
      <c r="A33" s="18" t="s">
        <v>169</v>
      </c>
      <c r="B33" s="7">
        <f>B32/$B$10</f>
        <v>1005.4302300295021</v>
      </c>
      <c r="C33" s="6" t="s">
        <v>170</v>
      </c>
    </row>
    <row r="36" spans="1:14" ht="16.2">
      <c r="A36" s="3" t="s">
        <v>171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150</v>
      </c>
      <c r="B37" s="15">
        <v>8.5000000000000006E-2</v>
      </c>
      <c r="C37" s="6" t="s">
        <v>151</v>
      </c>
      <c r="D37" s="15">
        <v>2.5000000000000001E-2</v>
      </c>
    </row>
    <row r="39" spans="1:14">
      <c r="A39" s="5" t="s">
        <v>152</v>
      </c>
      <c r="B39" s="5" t="s">
        <v>83</v>
      </c>
      <c r="C39" s="5" t="s">
        <v>74</v>
      </c>
      <c r="D39" s="5" t="s">
        <v>153</v>
      </c>
      <c r="E39" s="5" t="s">
        <v>154</v>
      </c>
      <c r="F39" s="5" t="s">
        <v>120</v>
      </c>
      <c r="G39" s="5" t="s">
        <v>155</v>
      </c>
      <c r="H39" s="5" t="s">
        <v>156</v>
      </c>
      <c r="I39" s="5" t="s">
        <v>157</v>
      </c>
      <c r="J39" s="5" t="s">
        <v>158</v>
      </c>
      <c r="K39" s="5" t="s">
        <v>159</v>
      </c>
      <c r="L39" s="5" t="s">
        <v>160</v>
      </c>
      <c r="M39" s="5" t="s">
        <v>161</v>
      </c>
      <c r="N39" s="5" t="s">
        <v>162</v>
      </c>
    </row>
    <row r="40" spans="1:14">
      <c r="A40" s="24">
        <v>1</v>
      </c>
      <c r="B40" s="15">
        <v>0.03</v>
      </c>
      <c r="C40" s="11">
        <f>$B$5*(1+B40)</f>
        <v>1801.47</v>
      </c>
      <c r="D40" s="15">
        <v>0.65</v>
      </c>
      <c r="E40" s="11">
        <f t="shared" ref="E40:E49" si="8">C40*D40</f>
        <v>1170.9555</v>
      </c>
      <c r="F40" s="11">
        <f t="shared" ref="F40:F49" si="9">E40*(1-$B$6)</f>
        <v>878.21662500000002</v>
      </c>
      <c r="G40" s="15">
        <v>1.4999999999999999E-2</v>
      </c>
      <c r="H40" s="11">
        <f t="shared" ref="H40:H49" si="10">C40*G40</f>
        <v>27.02205</v>
      </c>
      <c r="I40" s="15">
        <v>0.02</v>
      </c>
      <c r="J40" s="11">
        <f t="shared" ref="J40:J49" si="11">C40*I40</f>
        <v>36.029400000000003</v>
      </c>
      <c r="K40" s="11">
        <f>(C40-$B$5)*$B$7</f>
        <v>1.0494000000000006</v>
      </c>
      <c r="L40" s="11">
        <f t="shared" ref="L40:L49" si="12">F40+H40-J40-K40</f>
        <v>868.15987500000006</v>
      </c>
      <c r="M40" s="9">
        <f>1/(1+$B$37)^1</f>
        <v>0.92165898617511521</v>
      </c>
      <c r="N40" s="11">
        <f t="shared" ref="N40:N49" si="13">L40*M40</f>
        <v>800.14735023041476</v>
      </c>
    </row>
    <row r="41" spans="1:14">
      <c r="A41" s="24">
        <v>2</v>
      </c>
      <c r="B41" s="15">
        <v>0.04</v>
      </c>
      <c r="C41" s="11">
        <f t="shared" ref="C41:C49" si="14">C40*(1+B41)</f>
        <v>1873.5288</v>
      </c>
      <c r="D41" s="15">
        <v>0.65</v>
      </c>
      <c r="E41" s="11">
        <f t="shared" si="8"/>
        <v>1217.7937200000001</v>
      </c>
      <c r="F41" s="11">
        <f t="shared" si="9"/>
        <v>913.34529000000009</v>
      </c>
      <c r="G41" s="15">
        <v>1.4999999999999999E-2</v>
      </c>
      <c r="H41" s="11">
        <f t="shared" si="10"/>
        <v>28.102931999999999</v>
      </c>
      <c r="I41" s="15">
        <v>0.02</v>
      </c>
      <c r="J41" s="11">
        <f t="shared" si="11"/>
        <v>37.470576000000001</v>
      </c>
      <c r="K41" s="11">
        <f t="shared" ref="K41:K49" si="15">(C41-C40)*$B$7</f>
        <v>1.4411760000000005</v>
      </c>
      <c r="L41" s="11">
        <f t="shared" si="12"/>
        <v>902.53647000000001</v>
      </c>
      <c r="M41" s="9">
        <f>1/(1+$B$37)^2</f>
        <v>0.84945528679734128</v>
      </c>
      <c r="N41" s="11">
        <f t="shared" si="13"/>
        <v>766.66437596891001</v>
      </c>
    </row>
    <row r="42" spans="1:14">
      <c r="A42" s="24">
        <v>3</v>
      </c>
      <c r="B42" s="15">
        <v>0.04</v>
      </c>
      <c r="C42" s="11">
        <f t="shared" si="14"/>
        <v>1948.4699520000001</v>
      </c>
      <c r="D42" s="15">
        <v>0.65</v>
      </c>
      <c r="E42" s="11">
        <f t="shared" si="8"/>
        <v>1266.5054688000002</v>
      </c>
      <c r="F42" s="11">
        <f t="shared" si="9"/>
        <v>949.87910160000024</v>
      </c>
      <c r="G42" s="15">
        <v>1.4999999999999999E-2</v>
      </c>
      <c r="H42" s="11">
        <f t="shared" si="10"/>
        <v>29.227049280000003</v>
      </c>
      <c r="I42" s="15">
        <v>0.02</v>
      </c>
      <c r="J42" s="11">
        <f t="shared" si="11"/>
        <v>38.969399040000006</v>
      </c>
      <c r="K42" s="11">
        <f t="shared" si="15"/>
        <v>1.498823040000002</v>
      </c>
      <c r="L42" s="11">
        <f t="shared" si="12"/>
        <v>938.63792880000017</v>
      </c>
      <c r="M42" s="9">
        <f>1/(1+$B$37)^3</f>
        <v>0.78290809843072917</v>
      </c>
      <c r="N42" s="11">
        <f t="shared" si="13"/>
        <v>734.86723595176625</v>
      </c>
    </row>
    <row r="43" spans="1:14">
      <c r="A43" s="24">
        <v>4</v>
      </c>
      <c r="B43" s="15">
        <v>0.04</v>
      </c>
      <c r="C43" s="11">
        <f t="shared" si="14"/>
        <v>2026.4087500800001</v>
      </c>
      <c r="D43" s="15">
        <v>0.65</v>
      </c>
      <c r="E43" s="11">
        <f t="shared" si="8"/>
        <v>1317.165687552</v>
      </c>
      <c r="F43" s="11">
        <f t="shared" si="9"/>
        <v>987.87426566399995</v>
      </c>
      <c r="G43" s="15">
        <v>1.4999999999999999E-2</v>
      </c>
      <c r="H43" s="11">
        <f t="shared" si="10"/>
        <v>30.3961312512</v>
      </c>
      <c r="I43" s="15">
        <v>0.02</v>
      </c>
      <c r="J43" s="11">
        <f t="shared" si="11"/>
        <v>40.528175001600005</v>
      </c>
      <c r="K43" s="11">
        <f t="shared" si="15"/>
        <v>1.5587759615999994</v>
      </c>
      <c r="L43" s="11">
        <f t="shared" si="12"/>
        <v>976.18344595199994</v>
      </c>
      <c r="M43" s="9">
        <f>1/(1+$B$37)^4</f>
        <v>0.72157428426795334</v>
      </c>
      <c r="N43" s="11">
        <f t="shared" si="13"/>
        <v>704.38887132703871</v>
      </c>
    </row>
    <row r="44" spans="1:14">
      <c r="A44" s="24">
        <v>5</v>
      </c>
      <c r="B44" s="15">
        <v>3.5000000000000003E-2</v>
      </c>
      <c r="C44" s="11">
        <f t="shared" si="14"/>
        <v>2097.3330563328</v>
      </c>
      <c r="D44" s="15">
        <v>0.65</v>
      </c>
      <c r="E44" s="11">
        <f t="shared" si="8"/>
        <v>1363.26648661632</v>
      </c>
      <c r="F44" s="11">
        <f t="shared" si="9"/>
        <v>1022.44986496224</v>
      </c>
      <c r="G44" s="15">
        <v>1.4999999999999999E-2</v>
      </c>
      <c r="H44" s="11">
        <f t="shared" si="10"/>
        <v>31.459995844991997</v>
      </c>
      <c r="I44" s="15">
        <v>0.02</v>
      </c>
      <c r="J44" s="11">
        <f t="shared" si="11"/>
        <v>41.946661126656004</v>
      </c>
      <c r="K44" s="11">
        <f t="shared" si="15"/>
        <v>1.418486125055997</v>
      </c>
      <c r="L44" s="11">
        <f t="shared" si="12"/>
        <v>1010.54471355552</v>
      </c>
      <c r="M44" s="9">
        <f>1/(1+$B$37)^5</f>
        <v>0.66504542328843619</v>
      </c>
      <c r="N44" s="11">
        <f t="shared" si="13"/>
        <v>672.05813677842229</v>
      </c>
    </row>
    <row r="45" spans="1:14">
      <c r="A45" s="24">
        <v>6</v>
      </c>
      <c r="B45" s="15">
        <v>0.03</v>
      </c>
      <c r="C45" s="11">
        <f t="shared" si="14"/>
        <v>2160.2530480227842</v>
      </c>
      <c r="D45" s="15">
        <v>0.65</v>
      </c>
      <c r="E45" s="11">
        <f t="shared" si="8"/>
        <v>1404.1644812148097</v>
      </c>
      <c r="F45" s="11">
        <f t="shared" si="9"/>
        <v>1053.1233609111073</v>
      </c>
      <c r="G45" s="15">
        <v>1.4999999999999999E-2</v>
      </c>
      <c r="H45" s="11">
        <f t="shared" si="10"/>
        <v>32.403795720341762</v>
      </c>
      <c r="I45" s="15">
        <v>0.02</v>
      </c>
      <c r="J45" s="11">
        <f t="shared" si="11"/>
        <v>43.205060960455683</v>
      </c>
      <c r="K45" s="11">
        <f t="shared" si="15"/>
        <v>1.2583998337996856</v>
      </c>
      <c r="L45" s="11">
        <f t="shared" si="12"/>
        <v>1041.0636958371936</v>
      </c>
      <c r="M45" s="9">
        <f>1/(1+$B$37)^6</f>
        <v>0.6129450905884205</v>
      </c>
      <c r="N45" s="11">
        <f t="shared" si="13"/>
        <v>638.11488135324441</v>
      </c>
    </row>
    <row r="46" spans="1:14">
      <c r="A46" s="24">
        <v>7</v>
      </c>
      <c r="B46" s="15">
        <v>0.03</v>
      </c>
      <c r="C46" s="11">
        <f t="shared" si="14"/>
        <v>2225.0606394634679</v>
      </c>
      <c r="D46" s="15">
        <v>0.65</v>
      </c>
      <c r="E46" s="11">
        <f t="shared" si="8"/>
        <v>1446.2894156512541</v>
      </c>
      <c r="F46" s="11">
        <f t="shared" si="9"/>
        <v>1084.7170617384406</v>
      </c>
      <c r="G46" s="15">
        <v>1.4999999999999999E-2</v>
      </c>
      <c r="H46" s="11">
        <f t="shared" si="10"/>
        <v>33.375909591952016</v>
      </c>
      <c r="I46" s="15">
        <v>0.02</v>
      </c>
      <c r="J46" s="11">
        <f t="shared" si="11"/>
        <v>44.50121278926936</v>
      </c>
      <c r="K46" s="11">
        <f t="shared" si="15"/>
        <v>1.2961518288136722</v>
      </c>
      <c r="L46" s="11">
        <f t="shared" si="12"/>
        <v>1072.2956067123096</v>
      </c>
      <c r="M46" s="9">
        <f>1/(1+$B$37)^7</f>
        <v>0.56492635077273778</v>
      </c>
      <c r="N46" s="11">
        <f t="shared" si="13"/>
        <v>605.76804404962388</v>
      </c>
    </row>
    <row r="47" spans="1:14">
      <c r="A47" s="24">
        <v>8</v>
      </c>
      <c r="B47" s="15">
        <v>0.03</v>
      </c>
      <c r="C47" s="11">
        <f t="shared" si="14"/>
        <v>2291.8124586473718</v>
      </c>
      <c r="D47" s="15">
        <v>0.65</v>
      </c>
      <c r="E47" s="11">
        <f t="shared" si="8"/>
        <v>1489.6780981207917</v>
      </c>
      <c r="F47" s="11">
        <f t="shared" si="9"/>
        <v>1117.2585735905936</v>
      </c>
      <c r="G47" s="15">
        <v>1.4999999999999999E-2</v>
      </c>
      <c r="H47" s="11">
        <f t="shared" si="10"/>
        <v>34.377186879710578</v>
      </c>
      <c r="I47" s="15">
        <v>0.02</v>
      </c>
      <c r="J47" s="11">
        <f t="shared" si="11"/>
        <v>45.83624917294744</v>
      </c>
      <c r="K47" s="11">
        <f t="shared" si="15"/>
        <v>1.3350363836780799</v>
      </c>
      <c r="L47" s="11">
        <f t="shared" si="12"/>
        <v>1104.4644749136787</v>
      </c>
      <c r="M47" s="9">
        <f>1/(1+$B$37)^8</f>
        <v>0.52066944771680901</v>
      </c>
      <c r="N47" s="11">
        <f t="shared" si="13"/>
        <v>575.06090817614052</v>
      </c>
    </row>
    <row r="48" spans="1:14">
      <c r="A48" s="24">
        <v>9</v>
      </c>
      <c r="B48" s="15">
        <v>2.5000000000000001E-2</v>
      </c>
      <c r="C48" s="11">
        <f t="shared" si="14"/>
        <v>2349.1077701135559</v>
      </c>
      <c r="D48" s="15">
        <v>0.65</v>
      </c>
      <c r="E48" s="11">
        <f t="shared" si="8"/>
        <v>1526.9200505738115</v>
      </c>
      <c r="F48" s="11">
        <f t="shared" si="9"/>
        <v>1145.1900379303586</v>
      </c>
      <c r="G48" s="15">
        <v>1.4999999999999999E-2</v>
      </c>
      <c r="H48" s="11">
        <f t="shared" si="10"/>
        <v>35.236616551703335</v>
      </c>
      <c r="I48" s="15">
        <v>0.02</v>
      </c>
      <c r="J48" s="11">
        <f t="shared" si="11"/>
        <v>46.982155402271118</v>
      </c>
      <c r="K48" s="11">
        <f t="shared" si="15"/>
        <v>1.1459062293236821</v>
      </c>
      <c r="L48" s="11">
        <f t="shared" si="12"/>
        <v>1132.2985928504672</v>
      </c>
      <c r="M48" s="9">
        <f>1/(1+$B$37)^9</f>
        <v>0.4798796753150314</v>
      </c>
      <c r="N48" s="11">
        <f t="shared" si="13"/>
        <v>543.36708109674919</v>
      </c>
    </row>
    <row r="49" spans="1:14">
      <c r="A49" s="24">
        <v>10</v>
      </c>
      <c r="B49" s="15">
        <v>2.5000000000000001E-2</v>
      </c>
      <c r="C49" s="11">
        <f t="shared" si="14"/>
        <v>2407.8354643663947</v>
      </c>
      <c r="D49" s="15">
        <v>0.65</v>
      </c>
      <c r="E49" s="11">
        <f t="shared" si="8"/>
        <v>1565.0930518381567</v>
      </c>
      <c r="F49" s="11">
        <f t="shared" si="9"/>
        <v>1173.8197888786176</v>
      </c>
      <c r="G49" s="15">
        <v>1.4999999999999999E-2</v>
      </c>
      <c r="H49" s="11">
        <f t="shared" si="10"/>
        <v>36.117531965495921</v>
      </c>
      <c r="I49" s="15">
        <v>0.02</v>
      </c>
      <c r="J49" s="11">
        <f t="shared" si="11"/>
        <v>48.156709287327892</v>
      </c>
      <c r="K49" s="11">
        <f t="shared" si="15"/>
        <v>1.1745538850567756</v>
      </c>
      <c r="L49" s="11">
        <f t="shared" si="12"/>
        <v>1160.6060576717289</v>
      </c>
      <c r="M49" s="9">
        <f>1/(1+$B$37)^10</f>
        <v>0.44228541503689528</v>
      </c>
      <c r="N49" s="11">
        <f t="shared" si="13"/>
        <v>513.31913191167541</v>
      </c>
    </row>
    <row r="50" spans="1:14">
      <c r="A50" s="18" t="s">
        <v>163</v>
      </c>
      <c r="B50" s="11">
        <f>L49*(1+$D$37)/($B$37-$D$37)</f>
        <v>19827.020151892029</v>
      </c>
    </row>
    <row r="51" spans="1:14">
      <c r="A51" s="6" t="s">
        <v>164</v>
      </c>
      <c r="B51" s="11">
        <f>B50/(1+$B$37)^10</f>
        <v>8769.2018368244535</v>
      </c>
    </row>
    <row r="52" spans="1:14">
      <c r="A52" s="18" t="s">
        <v>165</v>
      </c>
      <c r="B52" s="11">
        <f>SUM(N40:N49)+B51</f>
        <v>15322.95785366844</v>
      </c>
    </row>
    <row r="53" spans="1:14">
      <c r="A53" s="6" t="s">
        <v>166</v>
      </c>
      <c r="B53" s="11">
        <f>$B$8</f>
        <v>-533.32000000000005</v>
      </c>
    </row>
    <row r="54" spans="1:14">
      <c r="A54" s="6" t="s">
        <v>167</v>
      </c>
      <c r="B54" s="11">
        <f>$B$9</f>
        <v>1450</v>
      </c>
    </row>
    <row r="55" spans="1:14">
      <c r="A55" s="18" t="s">
        <v>168</v>
      </c>
      <c r="B55" s="11">
        <f>B52-B53+B54</f>
        <v>17306.277853668442</v>
      </c>
    </row>
    <row r="56" spans="1:14">
      <c r="A56" s="18" t="s">
        <v>169</v>
      </c>
      <c r="B56" s="7">
        <f>B55/$B$10</f>
        <v>1384.4136258214228</v>
      </c>
      <c r="C56" s="6" t="s">
        <v>172</v>
      </c>
    </row>
    <row r="59" spans="1:14" ht="16.2">
      <c r="A59" s="3" t="s">
        <v>173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150</v>
      </c>
      <c r="B60" s="15">
        <v>7.8E-2</v>
      </c>
      <c r="C60" s="6" t="s">
        <v>151</v>
      </c>
      <c r="D60" s="15">
        <v>0.03</v>
      </c>
    </row>
    <row r="62" spans="1:14">
      <c r="A62" s="5" t="s">
        <v>152</v>
      </c>
      <c r="B62" s="5" t="s">
        <v>83</v>
      </c>
      <c r="C62" s="5" t="s">
        <v>74</v>
      </c>
      <c r="D62" s="5" t="s">
        <v>153</v>
      </c>
      <c r="E62" s="5" t="s">
        <v>154</v>
      </c>
      <c r="F62" s="5" t="s">
        <v>120</v>
      </c>
      <c r="G62" s="5" t="s">
        <v>155</v>
      </c>
      <c r="H62" s="5" t="s">
        <v>156</v>
      </c>
      <c r="I62" s="5" t="s">
        <v>157</v>
      </c>
      <c r="J62" s="5" t="s">
        <v>158</v>
      </c>
      <c r="K62" s="5" t="s">
        <v>159</v>
      </c>
      <c r="L62" s="5" t="s">
        <v>160</v>
      </c>
      <c r="M62" s="5" t="s">
        <v>161</v>
      </c>
      <c r="N62" s="5" t="s">
        <v>162</v>
      </c>
    </row>
    <row r="63" spans="1:14">
      <c r="A63" s="24">
        <v>1</v>
      </c>
      <c r="B63" s="15">
        <v>0.05</v>
      </c>
      <c r="C63" s="11">
        <f>$B$5*(1+B63)</f>
        <v>1836.45</v>
      </c>
      <c r="D63" s="15">
        <v>0.67</v>
      </c>
      <c r="E63" s="11">
        <f t="shared" ref="E63:E72" si="16">C63*D63</f>
        <v>1230.4215000000002</v>
      </c>
      <c r="F63" s="11">
        <f t="shared" ref="F63:F72" si="17">E63*(1-$B$6)</f>
        <v>922.81612500000006</v>
      </c>
      <c r="G63" s="15">
        <v>1.4999999999999999E-2</v>
      </c>
      <c r="H63" s="11">
        <f t="shared" ref="H63:H72" si="18">C63*G63</f>
        <v>27.546749999999999</v>
      </c>
      <c r="I63" s="15">
        <v>0.02</v>
      </c>
      <c r="J63" s="11">
        <f t="shared" ref="J63:J72" si="19">C63*I63</f>
        <v>36.728999999999999</v>
      </c>
      <c r="K63" s="11">
        <f>(C63-$B$5)*$B$7</f>
        <v>1.749000000000001</v>
      </c>
      <c r="L63" s="11">
        <f t="shared" ref="L63:L72" si="20">F63+H63-J63-K63</f>
        <v>911.88487499999997</v>
      </c>
      <c r="M63" s="9">
        <f>1/(1+$B$60)^1</f>
        <v>0.92764378478664189</v>
      </c>
      <c r="N63" s="11">
        <f t="shared" ref="N63:N72" si="21">L63*M63</f>
        <v>845.90433673469386</v>
      </c>
    </row>
    <row r="64" spans="1:14">
      <c r="A64" s="24">
        <v>2</v>
      </c>
      <c r="B64" s="15">
        <v>0.06</v>
      </c>
      <c r="C64" s="11">
        <f t="shared" ref="C64:C72" si="22">C63*(1+B64)</f>
        <v>1946.6370000000002</v>
      </c>
      <c r="D64" s="15">
        <v>0.67</v>
      </c>
      <c r="E64" s="11">
        <f t="shared" si="16"/>
        <v>1304.2467900000001</v>
      </c>
      <c r="F64" s="11">
        <f t="shared" si="17"/>
        <v>978.18509250000011</v>
      </c>
      <c r="G64" s="15">
        <v>1.4999999999999999E-2</v>
      </c>
      <c r="H64" s="11">
        <f t="shared" si="18"/>
        <v>29.199555</v>
      </c>
      <c r="I64" s="15">
        <v>0.02</v>
      </c>
      <c r="J64" s="11">
        <f t="shared" si="19"/>
        <v>38.932740000000003</v>
      </c>
      <c r="K64" s="11">
        <f t="shared" ref="K64:K72" si="23">(C64-C63)*$B$7</f>
        <v>2.2037400000000025</v>
      </c>
      <c r="L64" s="11">
        <f t="shared" si="20"/>
        <v>966.24816750000014</v>
      </c>
      <c r="M64" s="9">
        <f>1/(1+$B$60)^2</f>
        <v>0.86052299145328559</v>
      </c>
      <c r="N64" s="11">
        <f t="shared" si="21"/>
        <v>831.47876358335543</v>
      </c>
    </row>
    <row r="65" spans="1:14">
      <c r="A65" s="24">
        <v>3</v>
      </c>
      <c r="B65" s="15">
        <v>0.06</v>
      </c>
      <c r="C65" s="11">
        <f t="shared" si="22"/>
        <v>2063.4352200000003</v>
      </c>
      <c r="D65" s="15">
        <v>0.67</v>
      </c>
      <c r="E65" s="11">
        <f t="shared" si="16"/>
        <v>1382.5015974000003</v>
      </c>
      <c r="F65" s="11">
        <f t="shared" si="17"/>
        <v>1036.8761980500003</v>
      </c>
      <c r="G65" s="15">
        <v>1.4999999999999999E-2</v>
      </c>
      <c r="H65" s="11">
        <f t="shared" si="18"/>
        <v>30.951528300000003</v>
      </c>
      <c r="I65" s="15">
        <v>0.02</v>
      </c>
      <c r="J65" s="11">
        <f t="shared" si="19"/>
        <v>41.268704400000004</v>
      </c>
      <c r="K65" s="11">
        <f t="shared" si="23"/>
        <v>2.3359644000000026</v>
      </c>
      <c r="L65" s="11">
        <f t="shared" si="20"/>
        <v>1024.2230575500005</v>
      </c>
      <c r="M65" s="9">
        <f>1/(1+$B$60)^3</f>
        <v>0.79825880468764887</v>
      </c>
      <c r="N65" s="11">
        <f t="shared" si="21"/>
        <v>817.59507365339243</v>
      </c>
    </row>
    <row r="66" spans="1:14">
      <c r="A66" s="24">
        <v>4</v>
      </c>
      <c r="B66" s="15">
        <v>0.05</v>
      </c>
      <c r="C66" s="11">
        <f t="shared" si="22"/>
        <v>2166.6069810000004</v>
      </c>
      <c r="D66" s="15">
        <v>0.67</v>
      </c>
      <c r="E66" s="11">
        <f t="shared" si="16"/>
        <v>1451.6266772700003</v>
      </c>
      <c r="F66" s="11">
        <f t="shared" si="17"/>
        <v>1088.7200079525003</v>
      </c>
      <c r="G66" s="15">
        <v>1.4999999999999999E-2</v>
      </c>
      <c r="H66" s="11">
        <f t="shared" si="18"/>
        <v>32.499104715000001</v>
      </c>
      <c r="I66" s="15">
        <v>0.02</v>
      </c>
      <c r="J66" s="11">
        <f t="shared" si="19"/>
        <v>43.332139620000007</v>
      </c>
      <c r="K66" s="11">
        <f t="shared" si="23"/>
        <v>2.0634352200000015</v>
      </c>
      <c r="L66" s="11">
        <f t="shared" si="20"/>
        <v>1075.8235378275003</v>
      </c>
      <c r="M66" s="9">
        <f>1/(1+$B$60)^4</f>
        <v>0.74049981881971139</v>
      </c>
      <c r="N66" s="11">
        <f t="shared" si="21"/>
        <v>796.64713484324488</v>
      </c>
    </row>
    <row r="67" spans="1:14">
      <c r="A67" s="24">
        <v>5</v>
      </c>
      <c r="B67" s="15">
        <v>0.05</v>
      </c>
      <c r="C67" s="11">
        <f t="shared" si="22"/>
        <v>2274.9373300500006</v>
      </c>
      <c r="D67" s="15">
        <v>0.67</v>
      </c>
      <c r="E67" s="11">
        <f t="shared" si="16"/>
        <v>1524.2080111335006</v>
      </c>
      <c r="F67" s="11">
        <f t="shared" si="17"/>
        <v>1143.1560083501254</v>
      </c>
      <c r="G67" s="15">
        <v>1.4999999999999999E-2</v>
      </c>
      <c r="H67" s="11">
        <f t="shared" si="18"/>
        <v>34.124059950750009</v>
      </c>
      <c r="I67" s="15">
        <v>0.02</v>
      </c>
      <c r="J67" s="11">
        <f t="shared" si="19"/>
        <v>45.498746601000015</v>
      </c>
      <c r="K67" s="11">
        <f t="shared" si="23"/>
        <v>2.1666069810000046</v>
      </c>
      <c r="L67" s="11">
        <f t="shared" si="20"/>
        <v>1129.6147147188753</v>
      </c>
      <c r="M67" s="9">
        <f>1/(1+$B$60)^5</f>
        <v>0.68692005456373961</v>
      </c>
      <c r="N67" s="11">
        <f t="shared" si="21"/>
        <v>775.95500147069299</v>
      </c>
    </row>
    <row r="68" spans="1:14">
      <c r="A68" s="24">
        <v>6</v>
      </c>
      <c r="B68" s="15">
        <v>0.04</v>
      </c>
      <c r="C68" s="11">
        <f t="shared" si="22"/>
        <v>2365.9348232520006</v>
      </c>
      <c r="D68" s="15">
        <v>0.67</v>
      </c>
      <c r="E68" s="11">
        <f t="shared" si="16"/>
        <v>1585.1763315788405</v>
      </c>
      <c r="F68" s="11">
        <f t="shared" si="17"/>
        <v>1188.8822486841304</v>
      </c>
      <c r="G68" s="15">
        <v>1.4999999999999999E-2</v>
      </c>
      <c r="H68" s="11">
        <f t="shared" si="18"/>
        <v>35.489022348780004</v>
      </c>
      <c r="I68" s="15">
        <v>0.02</v>
      </c>
      <c r="J68" s="11">
        <f t="shared" si="19"/>
        <v>47.318696465040013</v>
      </c>
      <c r="K68" s="11">
        <f t="shared" si="23"/>
        <v>1.8199498640399998</v>
      </c>
      <c r="L68" s="11">
        <f t="shared" si="20"/>
        <v>1175.2326247038307</v>
      </c>
      <c r="M68" s="9">
        <f>1/(1+$B$60)^6</f>
        <v>0.63721711926135394</v>
      </c>
      <c r="N68" s="11">
        <f t="shared" si="21"/>
        <v>748.87834757573489</v>
      </c>
    </row>
    <row r="69" spans="1:14">
      <c r="A69" s="24">
        <v>7</v>
      </c>
      <c r="B69" s="15">
        <v>0.04</v>
      </c>
      <c r="C69" s="11">
        <f t="shared" si="22"/>
        <v>2460.5722161820809</v>
      </c>
      <c r="D69" s="15">
        <v>0.67</v>
      </c>
      <c r="E69" s="11">
        <f t="shared" si="16"/>
        <v>1648.5833848419943</v>
      </c>
      <c r="F69" s="11">
        <f t="shared" si="17"/>
        <v>1236.4375386314957</v>
      </c>
      <c r="G69" s="15">
        <v>1.4999999999999999E-2</v>
      </c>
      <c r="H69" s="11">
        <f t="shared" si="18"/>
        <v>36.908583242731211</v>
      </c>
      <c r="I69" s="15">
        <v>0.02</v>
      </c>
      <c r="J69" s="11">
        <f t="shared" si="19"/>
        <v>49.211444323641615</v>
      </c>
      <c r="K69" s="11">
        <f t="shared" si="23"/>
        <v>1.892747858601606</v>
      </c>
      <c r="L69" s="11">
        <f t="shared" si="20"/>
        <v>1222.2419296919838</v>
      </c>
      <c r="M69" s="9">
        <f>1/(1+$B$60)^7</f>
        <v>0.59111050024244338</v>
      </c>
      <c r="N69" s="11">
        <f t="shared" si="21"/>
        <v>722.48003847751784</v>
      </c>
    </row>
    <row r="70" spans="1:14">
      <c r="A70" s="24">
        <v>8</v>
      </c>
      <c r="B70" s="15">
        <v>3.5000000000000003E-2</v>
      </c>
      <c r="C70" s="11">
        <f t="shared" si="22"/>
        <v>2546.6922437484536</v>
      </c>
      <c r="D70" s="15">
        <v>0.67</v>
      </c>
      <c r="E70" s="11">
        <f t="shared" si="16"/>
        <v>1706.283803311464</v>
      </c>
      <c r="F70" s="11">
        <f t="shared" si="17"/>
        <v>1279.712852483598</v>
      </c>
      <c r="G70" s="15">
        <v>1.4999999999999999E-2</v>
      </c>
      <c r="H70" s="11">
        <f t="shared" si="18"/>
        <v>38.200383656226805</v>
      </c>
      <c r="I70" s="15">
        <v>0.02</v>
      </c>
      <c r="J70" s="11">
        <f t="shared" si="19"/>
        <v>50.933844874969076</v>
      </c>
      <c r="K70" s="11">
        <f t="shared" si="23"/>
        <v>1.7224005513274552</v>
      </c>
      <c r="L70" s="11">
        <f t="shared" si="20"/>
        <v>1265.2569907135285</v>
      </c>
      <c r="M70" s="9">
        <f>1/(1+$B$60)^8</f>
        <v>0.54833998167202536</v>
      </c>
      <c r="N70" s="11">
        <f t="shared" si="21"/>
        <v>693.79099509825812</v>
      </c>
    </row>
    <row r="71" spans="1:14">
      <c r="A71" s="24">
        <v>9</v>
      </c>
      <c r="B71" s="15">
        <v>0.03</v>
      </c>
      <c r="C71" s="11">
        <f t="shared" si="22"/>
        <v>2623.0930110609074</v>
      </c>
      <c r="D71" s="15">
        <v>0.67</v>
      </c>
      <c r="E71" s="11">
        <f t="shared" si="16"/>
        <v>1757.472317410808</v>
      </c>
      <c r="F71" s="11">
        <f t="shared" si="17"/>
        <v>1318.1042380581061</v>
      </c>
      <c r="G71" s="15">
        <v>1.4999999999999999E-2</v>
      </c>
      <c r="H71" s="11">
        <f t="shared" si="18"/>
        <v>39.346395165913613</v>
      </c>
      <c r="I71" s="15">
        <v>0.02</v>
      </c>
      <c r="J71" s="11">
        <f t="shared" si="19"/>
        <v>52.461860221218153</v>
      </c>
      <c r="K71" s="11">
        <f t="shared" si="23"/>
        <v>1.5280153462490762</v>
      </c>
      <c r="L71" s="11">
        <f t="shared" si="20"/>
        <v>1303.4607576565527</v>
      </c>
      <c r="M71" s="9">
        <f>1/(1+$B$60)^9</f>
        <v>0.50866417594807545</v>
      </c>
      <c r="N71" s="11">
        <f t="shared" si="21"/>
        <v>663.02379217402449</v>
      </c>
    </row>
    <row r="72" spans="1:14">
      <c r="A72" s="24">
        <v>10</v>
      </c>
      <c r="B72" s="15">
        <v>0.03</v>
      </c>
      <c r="C72" s="11">
        <f t="shared" si="22"/>
        <v>2701.7858013927348</v>
      </c>
      <c r="D72" s="15">
        <v>0.67</v>
      </c>
      <c r="E72" s="11">
        <f t="shared" si="16"/>
        <v>1810.1964869331325</v>
      </c>
      <c r="F72" s="11">
        <f t="shared" si="17"/>
        <v>1357.6473651998494</v>
      </c>
      <c r="G72" s="15">
        <v>1.4999999999999999E-2</v>
      </c>
      <c r="H72" s="11">
        <f t="shared" si="18"/>
        <v>40.526787020891021</v>
      </c>
      <c r="I72" s="15">
        <v>0.02</v>
      </c>
      <c r="J72" s="11">
        <f t="shared" si="19"/>
        <v>54.035716027854697</v>
      </c>
      <c r="K72" s="11">
        <f t="shared" si="23"/>
        <v>1.5738558066365478</v>
      </c>
      <c r="L72" s="11">
        <f t="shared" si="20"/>
        <v>1342.5645803862492</v>
      </c>
      <c r="M72" s="9">
        <f>1/(1+$B$60)^10</f>
        <v>0.47185916136185102</v>
      </c>
      <c r="N72" s="11">
        <f t="shared" si="21"/>
        <v>633.50139697518091</v>
      </c>
    </row>
    <row r="73" spans="1:14">
      <c r="A73" s="18" t="s">
        <v>163</v>
      </c>
      <c r="B73" s="11">
        <f>L72*(1+$D$60)/($B$60-$D$60)</f>
        <v>28809.198287454932</v>
      </c>
    </row>
    <row r="74" spans="1:14">
      <c r="A74" s="6" t="s">
        <v>164</v>
      </c>
      <c r="B74" s="11">
        <f>B73/(1+$B$60)^10</f>
        <v>13593.884143425757</v>
      </c>
    </row>
    <row r="75" spans="1:14">
      <c r="A75" s="18" t="s">
        <v>165</v>
      </c>
      <c r="B75" s="11">
        <f>SUM(N63:N72)+B74</f>
        <v>21123.139024011853</v>
      </c>
    </row>
    <row r="76" spans="1:14">
      <c r="A76" s="6" t="s">
        <v>166</v>
      </c>
      <c r="B76" s="11">
        <f>$B$8</f>
        <v>-533.32000000000005</v>
      </c>
    </row>
    <row r="77" spans="1:14">
      <c r="A77" s="6" t="s">
        <v>167</v>
      </c>
      <c r="B77" s="11">
        <f>$B$9</f>
        <v>1450</v>
      </c>
    </row>
    <row r="78" spans="1:14">
      <c r="A78" s="18" t="s">
        <v>168</v>
      </c>
      <c r="B78" s="11">
        <f>B75-B76+B77</f>
        <v>23106.459024011852</v>
      </c>
    </row>
    <row r="79" spans="1:14">
      <c r="A79" s="18" t="s">
        <v>169</v>
      </c>
      <c r="B79" s="7">
        <f>B78/$B$10</f>
        <v>1848.3984244217852</v>
      </c>
      <c r="C79" s="6" t="s">
        <v>174</v>
      </c>
    </row>
  </sheetData>
  <mergeCells count="3">
    <mergeCell ref="A3:N3"/>
    <mergeCell ref="A2:N2"/>
    <mergeCell ref="A11:N11"/>
  </mergeCells>
  <phoneticPr fontId="11" type="noConversion"/>
  <pageMargins left="0.25" right="0.25" top="0.35" bottom="0.35" header="0.15" footer="0.15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2"/>
  <sheetViews>
    <sheetView showGridLines="0" workbookViewId="0"/>
  </sheetViews>
  <sheetFormatPr defaultRowHeight="14.4"/>
  <cols>
    <col min="1" max="1" width="30" customWidth="1"/>
    <col min="2" max="7" width="15" customWidth="1"/>
  </cols>
  <sheetData>
    <row r="1" spans="1:7" ht="23.4">
      <c r="A1" s="1" t="s">
        <v>175</v>
      </c>
    </row>
    <row r="2" spans="1:7" ht="15.6">
      <c r="A2" s="28" t="s">
        <v>176</v>
      </c>
      <c r="B2" s="27"/>
      <c r="C2" s="27"/>
      <c r="D2" s="27"/>
      <c r="E2" s="27"/>
      <c r="F2" s="27"/>
      <c r="G2" s="27"/>
    </row>
    <row r="4" spans="1:7">
      <c r="A4" s="5" t="s">
        <v>150</v>
      </c>
      <c r="B4" s="5" t="s">
        <v>169</v>
      </c>
    </row>
    <row r="5" spans="1:7">
      <c r="A5" s="15">
        <v>6.9000000000000006E-2</v>
      </c>
      <c r="B5" s="7">
        <v>1834.47</v>
      </c>
    </row>
    <row r="6" spans="1:7">
      <c r="A6" s="15">
        <v>7.1999999999999995E-2</v>
      </c>
      <c r="B6" s="7">
        <v>1726.72</v>
      </c>
    </row>
    <row r="7" spans="1:7">
      <c r="A7" s="15">
        <v>7.4999999999999997E-2</v>
      </c>
      <c r="B7" s="7">
        <v>1631.91</v>
      </c>
    </row>
    <row r="8" spans="1:7">
      <c r="A8" s="15">
        <v>0.08</v>
      </c>
      <c r="B8" s="7">
        <v>1496.9</v>
      </c>
    </row>
    <row r="9" spans="1:7">
      <c r="A9" s="15">
        <v>8.5000000000000006E-2</v>
      </c>
      <c r="B9" s="7">
        <v>1384.41</v>
      </c>
    </row>
    <row r="10" spans="1:7">
      <c r="A10" s="15">
        <v>0.09</v>
      </c>
      <c r="B10" s="7">
        <v>1289.25</v>
      </c>
    </row>
    <row r="11" spans="1:7">
      <c r="A11" s="15">
        <v>9.5000000000000001E-2</v>
      </c>
      <c r="B11" s="7">
        <v>1207.71</v>
      </c>
    </row>
    <row r="12" spans="1:7">
      <c r="A12" s="15">
        <v>0.1</v>
      </c>
      <c r="B12" s="7">
        <v>1137.05</v>
      </c>
    </row>
    <row r="14" spans="1:7">
      <c r="A14" s="5" t="s">
        <v>177</v>
      </c>
      <c r="B14" s="5" t="s">
        <v>169</v>
      </c>
    </row>
    <row r="15" spans="1:7">
      <c r="A15" s="15">
        <v>-0.01</v>
      </c>
      <c r="B15" s="7">
        <v>1430.63</v>
      </c>
    </row>
    <row r="16" spans="1:7">
      <c r="A16" s="15">
        <v>0</v>
      </c>
      <c r="B16" s="7">
        <v>1415.22</v>
      </c>
    </row>
    <row r="17" spans="1:3">
      <c r="A17" s="15">
        <v>0.01</v>
      </c>
      <c r="B17" s="7">
        <v>1399.82</v>
      </c>
    </row>
    <row r="18" spans="1:3">
      <c r="A18" s="15">
        <v>0.02</v>
      </c>
      <c r="B18" s="7">
        <v>1384.41</v>
      </c>
    </row>
    <row r="19" spans="1:3">
      <c r="A19" s="15">
        <v>0.03</v>
      </c>
      <c r="B19" s="7">
        <v>1369.01</v>
      </c>
    </row>
    <row r="20" spans="1:3">
      <c r="A20" s="15">
        <v>0.04</v>
      </c>
      <c r="B20" s="7">
        <v>1353.6</v>
      </c>
    </row>
    <row r="23" spans="1:3">
      <c r="A23" s="5" t="s">
        <v>178</v>
      </c>
      <c r="B23" s="5" t="s">
        <v>169</v>
      </c>
    </row>
    <row r="24" spans="1:3">
      <c r="A24" s="15">
        <v>0.59</v>
      </c>
      <c r="B24" s="7">
        <v>1315.09</v>
      </c>
    </row>
    <row r="25" spans="1:3">
      <c r="A25" s="15">
        <v>0.61</v>
      </c>
      <c r="B25" s="7">
        <v>1338.2</v>
      </c>
    </row>
    <row r="26" spans="1:3">
      <c r="A26" s="15">
        <v>0.63</v>
      </c>
      <c r="B26" s="7">
        <v>1361.31</v>
      </c>
    </row>
    <row r="27" spans="1:3">
      <c r="A27" s="15">
        <v>0.65</v>
      </c>
      <c r="B27" s="7">
        <v>1384.41</v>
      </c>
    </row>
    <row r="28" spans="1:3">
      <c r="A28" s="15">
        <v>0.67</v>
      </c>
      <c r="B28" s="7">
        <v>1407.52</v>
      </c>
    </row>
    <row r="29" spans="1:3">
      <c r="A29" s="15">
        <v>0.69</v>
      </c>
      <c r="B29" s="7">
        <v>1430.63</v>
      </c>
    </row>
    <row r="30" spans="1:3">
      <c r="A30" s="15">
        <v>0.71</v>
      </c>
      <c r="B30" s="7">
        <v>1453.74</v>
      </c>
    </row>
    <row r="32" spans="1:3" ht="16.2">
      <c r="A32" s="3" t="s">
        <v>179</v>
      </c>
      <c r="B32" s="4"/>
      <c r="C32" s="4"/>
    </row>
    <row r="33" spans="1:7">
      <c r="A33" s="6" t="s">
        <v>180</v>
      </c>
      <c r="B33" s="15">
        <v>2.9839001632517188E-2</v>
      </c>
    </row>
    <row r="34" spans="1:7">
      <c r="A34" s="6" t="s">
        <v>181</v>
      </c>
      <c r="B34" s="15">
        <v>3.3469973603153402E-2</v>
      </c>
    </row>
    <row r="36" spans="1:7" ht="16.2">
      <c r="A36" s="3" t="s">
        <v>182</v>
      </c>
      <c r="B36" s="4"/>
      <c r="C36" s="4"/>
      <c r="D36" s="4"/>
      <c r="E36" s="4"/>
      <c r="F36" s="4"/>
      <c r="G36" s="4"/>
    </row>
    <row r="37" spans="1:7">
      <c r="A37" s="5" t="s">
        <v>183</v>
      </c>
      <c r="B37" s="5" t="s">
        <v>169</v>
      </c>
      <c r="C37" s="5" t="s">
        <v>184</v>
      </c>
      <c r="D37" s="5" t="s">
        <v>185</v>
      </c>
    </row>
    <row r="38" spans="1:7">
      <c r="A38" s="6" t="s">
        <v>186</v>
      </c>
      <c r="B38" s="25" t="s">
        <v>187</v>
      </c>
      <c r="C38" s="25" t="s">
        <v>188</v>
      </c>
      <c r="D38" s="25" t="s">
        <v>189</v>
      </c>
    </row>
    <row r="39" spans="1:7">
      <c r="A39" s="6" t="s">
        <v>190</v>
      </c>
      <c r="B39" s="25" t="s">
        <v>191</v>
      </c>
      <c r="C39" s="25" t="s">
        <v>192</v>
      </c>
      <c r="D39" s="25" t="s">
        <v>193</v>
      </c>
    </row>
    <row r="40" spans="1:7">
      <c r="A40" s="6" t="s">
        <v>194</v>
      </c>
      <c r="B40" s="25" t="s">
        <v>58</v>
      </c>
      <c r="C40" s="25" t="s">
        <v>195</v>
      </c>
      <c r="D40" s="25" t="s">
        <v>196</v>
      </c>
    </row>
    <row r="41" spans="1:7">
      <c r="A41" s="6" t="s">
        <v>197</v>
      </c>
      <c r="B41" s="25" t="s">
        <v>58</v>
      </c>
      <c r="C41" s="25" t="s">
        <v>198</v>
      </c>
      <c r="D41" s="25" t="s">
        <v>199</v>
      </c>
    </row>
    <row r="42" spans="1:7" ht="40.049999999999997" customHeight="1">
      <c r="A42" s="31" t="s">
        <v>200</v>
      </c>
      <c r="B42" s="27"/>
      <c r="C42" s="27"/>
      <c r="D42" s="27"/>
      <c r="E42" s="27"/>
      <c r="F42" s="27"/>
      <c r="G42" s="27"/>
    </row>
  </sheetData>
  <mergeCells count="2">
    <mergeCell ref="A2:G2"/>
    <mergeCell ref="A42:G42"/>
  </mergeCells>
  <phoneticPr fontId="11" type="noConversion"/>
  <pageMargins left="0.25" right="0.25" top="0.35" bottom="0.35" header="0.15" footer="0.1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3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201</v>
      </c>
    </row>
    <row r="2" spans="1:4" ht="15.6">
      <c r="A2" s="28" t="s">
        <v>202</v>
      </c>
      <c r="B2" s="27"/>
      <c r="C2" s="27"/>
      <c r="D2" s="27"/>
    </row>
    <row r="4" spans="1:4">
      <c r="A4" s="5" t="s">
        <v>203</v>
      </c>
      <c r="B4" s="5" t="s">
        <v>204</v>
      </c>
      <c r="C4" s="5" t="s">
        <v>205</v>
      </c>
      <c r="D4" s="5" t="s">
        <v>206</v>
      </c>
    </row>
    <row r="5" spans="1:4">
      <c r="A5" s="6" t="s">
        <v>207</v>
      </c>
      <c r="B5" s="6" t="s">
        <v>208</v>
      </c>
      <c r="C5" s="22" t="s">
        <v>209</v>
      </c>
      <c r="D5" s="8" t="s">
        <v>210</v>
      </c>
    </row>
    <row r="6" spans="1:4">
      <c r="A6" s="6" t="s">
        <v>211</v>
      </c>
      <c r="B6" s="6" t="s">
        <v>208</v>
      </c>
      <c r="C6" s="22" t="s">
        <v>212</v>
      </c>
      <c r="D6" s="8" t="s">
        <v>213</v>
      </c>
    </row>
    <row r="7" spans="1:4">
      <c r="A7" s="6" t="s">
        <v>214</v>
      </c>
      <c r="B7" s="6" t="s">
        <v>215</v>
      </c>
      <c r="C7" s="22" t="s">
        <v>216</v>
      </c>
      <c r="D7" s="8" t="s">
        <v>217</v>
      </c>
    </row>
    <row r="8" spans="1:4">
      <c r="A8" s="6" t="s">
        <v>218</v>
      </c>
      <c r="B8" s="6" t="s">
        <v>219</v>
      </c>
      <c r="C8" s="22" t="s">
        <v>220</v>
      </c>
      <c r="D8" s="8" t="s">
        <v>221</v>
      </c>
    </row>
    <row r="9" spans="1:4">
      <c r="A9" s="6" t="s">
        <v>222</v>
      </c>
      <c r="B9" s="6" t="s">
        <v>223</v>
      </c>
      <c r="C9" s="22" t="s">
        <v>224</v>
      </c>
      <c r="D9" s="8" t="s">
        <v>225</v>
      </c>
    </row>
    <row r="10" spans="1:4">
      <c r="A10" s="6" t="s">
        <v>226</v>
      </c>
      <c r="B10" s="6" t="s">
        <v>227</v>
      </c>
      <c r="C10" s="22" t="s">
        <v>224</v>
      </c>
      <c r="D10" s="8" t="s">
        <v>228</v>
      </c>
    </row>
    <row r="13" spans="1:4" ht="15">
      <c r="A13" s="30" t="s">
        <v>229</v>
      </c>
      <c r="B13" s="27"/>
      <c r="C13" s="27"/>
      <c r="D13" s="27"/>
    </row>
  </sheetData>
  <mergeCells count="2">
    <mergeCell ref="A13:D13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结论</vt:lpstr>
      <vt:lpstr>历史财务</vt:lpstr>
      <vt:lpstr>分部</vt:lpstr>
      <vt:lpstr>FCFF桥</vt:lpstr>
      <vt:lpstr>DCF</vt:lpstr>
      <vt:lpstr>敏感性</vt:lpstr>
      <vt:lpstr>来源</vt:lpstr>
      <vt:lpstr>DCF!Print_Area</vt:lpstr>
      <vt:lpstr>FCFF桥!Print_Area</vt:lpstr>
      <vt:lpstr>分部!Print_Area</vt:lpstr>
      <vt:lpstr>结论!Print_Area</vt:lpstr>
      <vt:lpstr>来源!Print_Area</vt:lpstr>
      <vt:lpstr>历史财务!Print_Area</vt:lpstr>
      <vt:lpstr>敏感性!Print_Area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2026-10-29T10:33:55Z</dcterms:created>
  <dcterms:modified xsi:type="dcterms:W3CDTF">2026-10-29T10:34:15Z</dcterms:modified>
</cp:coreProperties>
</file>