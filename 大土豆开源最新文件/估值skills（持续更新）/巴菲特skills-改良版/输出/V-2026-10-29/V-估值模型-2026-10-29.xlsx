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V-2026-10-29\"/>
    </mc:Choice>
  </mc:AlternateContent>
  <xr:revisionPtr revIDLastSave="0" documentId="13_ncr:1_{6D44D36D-67C6-40C7-80C5-BA88B09B9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分部!$A$1:$F$32</definedName>
    <definedName name="_xlnm.Print_Area" localSheetId="0">结论!$A$1:$M$47</definedName>
    <definedName name="_xlnm.Print_Area" localSheetId="6">来源!$A$1:$D$13</definedName>
    <definedName name="_xlnm.Print_Area" localSheetId="1">历史财务!$A$1:$H$27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K63" i="5" l="1"/>
  <c r="J63" i="5"/>
  <c r="C64" i="5"/>
  <c r="H63" i="5"/>
  <c r="E63" i="5"/>
  <c r="F63" i="5" s="1"/>
  <c r="K40" i="5"/>
  <c r="C41" i="5"/>
  <c r="H40" i="5"/>
  <c r="J40" i="5"/>
  <c r="E40" i="5"/>
  <c r="F40" i="5" s="1"/>
  <c r="C18" i="5"/>
  <c r="J17" i="5"/>
  <c r="H17" i="5"/>
  <c r="E17" i="5"/>
  <c r="F17" i="5" s="1"/>
  <c r="K17" i="5"/>
  <c r="B25" i="1"/>
  <c r="B14" i="1"/>
  <c r="H64" i="5" l="1"/>
  <c r="C65" i="5"/>
  <c r="E64" i="5"/>
  <c r="F64" i="5" s="1"/>
  <c r="J64" i="5"/>
  <c r="K64" i="5"/>
  <c r="E41" i="5"/>
  <c r="F41" i="5" s="1"/>
  <c r="K41" i="5"/>
  <c r="J41" i="5"/>
  <c r="C42" i="5"/>
  <c r="H41" i="5"/>
  <c r="J18" i="5"/>
  <c r="C19" i="5"/>
  <c r="E18" i="5"/>
  <c r="F18" i="5" s="1"/>
  <c r="H18" i="5"/>
  <c r="K18" i="5"/>
  <c r="B22" i="1"/>
  <c r="B26" i="1"/>
  <c r="L63" i="5"/>
  <c r="N63" i="5" s="1"/>
  <c r="L40" i="5"/>
  <c r="N40" i="5" s="1"/>
  <c r="L17" i="5"/>
  <c r="N17" i="5" s="1"/>
  <c r="L41" i="5" l="1"/>
  <c r="N41" i="5" s="1"/>
  <c r="L18" i="5"/>
  <c r="N18" i="5" s="1"/>
  <c r="J65" i="5"/>
  <c r="K65" i="5"/>
  <c r="C66" i="5"/>
  <c r="E65" i="5"/>
  <c r="F65" i="5" s="1"/>
  <c r="H65" i="5"/>
  <c r="H42" i="5"/>
  <c r="E42" i="5"/>
  <c r="F42" i="5" s="1"/>
  <c r="J42" i="5"/>
  <c r="C43" i="5"/>
  <c r="K42" i="5"/>
  <c r="J19" i="5"/>
  <c r="E19" i="5"/>
  <c r="F19" i="5" s="1"/>
  <c r="H19" i="5"/>
  <c r="K19" i="5"/>
  <c r="C20" i="5"/>
  <c r="L64" i="5"/>
  <c r="N64" i="5" s="1"/>
  <c r="L19" i="5" l="1"/>
  <c r="N19" i="5" s="1"/>
  <c r="J66" i="5"/>
  <c r="C67" i="5"/>
  <c r="E66" i="5"/>
  <c r="F66" i="5" s="1"/>
  <c r="H66" i="5"/>
  <c r="K66" i="5"/>
  <c r="J43" i="5"/>
  <c r="E43" i="5"/>
  <c r="F43" i="5" s="1"/>
  <c r="K43" i="5"/>
  <c r="C44" i="5"/>
  <c r="H43" i="5"/>
  <c r="E20" i="5"/>
  <c r="F20" i="5" s="1"/>
  <c r="H20" i="5"/>
  <c r="J20" i="5"/>
  <c r="K20" i="5"/>
  <c r="C21" i="5"/>
  <c r="L65" i="5"/>
  <c r="N65" i="5" s="1"/>
  <c r="L42" i="5"/>
  <c r="N42" i="5" s="1"/>
  <c r="L20" i="5" l="1"/>
  <c r="N20" i="5" s="1"/>
  <c r="E67" i="5"/>
  <c r="F67" i="5" s="1"/>
  <c r="H67" i="5"/>
  <c r="J67" i="5"/>
  <c r="K67" i="5"/>
  <c r="C68" i="5"/>
  <c r="H44" i="5"/>
  <c r="E44" i="5"/>
  <c r="F44" i="5" s="1"/>
  <c r="K44" i="5"/>
  <c r="J44" i="5"/>
  <c r="C45" i="5"/>
  <c r="E21" i="5"/>
  <c r="F21" i="5" s="1"/>
  <c r="H21" i="5"/>
  <c r="J21" i="5"/>
  <c r="K21" i="5"/>
  <c r="C22" i="5"/>
  <c r="L66" i="5"/>
  <c r="N66" i="5" s="1"/>
  <c r="L43" i="5"/>
  <c r="N43" i="5" s="1"/>
  <c r="L21" i="5" l="1"/>
  <c r="N21" i="5" s="1"/>
  <c r="E68" i="5"/>
  <c r="F68" i="5" s="1"/>
  <c r="H68" i="5"/>
  <c r="J68" i="5"/>
  <c r="K68" i="5"/>
  <c r="C69" i="5"/>
  <c r="H45" i="5"/>
  <c r="J45" i="5"/>
  <c r="K45" i="5"/>
  <c r="C46" i="5"/>
  <c r="E45" i="5"/>
  <c r="F45" i="5" s="1"/>
  <c r="E22" i="5"/>
  <c r="F22" i="5" s="1"/>
  <c r="H22" i="5"/>
  <c r="J22" i="5"/>
  <c r="K22" i="5"/>
  <c r="C23" i="5"/>
  <c r="L67" i="5"/>
  <c r="N67" i="5" s="1"/>
  <c r="L44" i="5"/>
  <c r="N44" i="5" s="1"/>
  <c r="L45" i="5" l="1"/>
  <c r="N45" i="5" s="1"/>
  <c r="L68" i="5"/>
  <c r="N68" i="5" s="1"/>
  <c r="E69" i="5"/>
  <c r="F69" i="5" s="1"/>
  <c r="H69" i="5"/>
  <c r="J69" i="5"/>
  <c r="K69" i="5"/>
  <c r="C70" i="5"/>
  <c r="J46" i="5"/>
  <c r="C47" i="5"/>
  <c r="E46" i="5"/>
  <c r="F46" i="5" s="1"/>
  <c r="H46" i="5"/>
  <c r="K46" i="5"/>
  <c r="E23" i="5"/>
  <c r="F23" i="5" s="1"/>
  <c r="H23" i="5"/>
  <c r="J23" i="5"/>
  <c r="K23" i="5"/>
  <c r="C24" i="5"/>
  <c r="L22" i="5"/>
  <c r="N22" i="5" s="1"/>
  <c r="L69" i="5" l="1"/>
  <c r="N69" i="5" s="1"/>
  <c r="E70" i="5"/>
  <c r="F70" i="5" s="1"/>
  <c r="H70" i="5"/>
  <c r="J70" i="5"/>
  <c r="K70" i="5"/>
  <c r="C71" i="5"/>
  <c r="J47" i="5"/>
  <c r="K47" i="5"/>
  <c r="E47" i="5"/>
  <c r="F47" i="5" s="1"/>
  <c r="L47" i="5" s="1"/>
  <c r="N47" i="5" s="1"/>
  <c r="H47" i="5"/>
  <c r="C48" i="5"/>
  <c r="H24" i="5"/>
  <c r="K24" i="5"/>
  <c r="C25" i="5"/>
  <c r="E24" i="5"/>
  <c r="F24" i="5" s="1"/>
  <c r="J24" i="5"/>
  <c r="L46" i="5"/>
  <c r="N46" i="5" s="1"/>
  <c r="L23" i="5"/>
  <c r="N23" i="5" s="1"/>
  <c r="E71" i="5" l="1"/>
  <c r="F71" i="5" s="1"/>
  <c r="H71" i="5"/>
  <c r="J71" i="5"/>
  <c r="K71" i="5"/>
  <c r="C72" i="5"/>
  <c r="J48" i="5"/>
  <c r="E48" i="5"/>
  <c r="F48" i="5" s="1"/>
  <c r="H48" i="5"/>
  <c r="K48" i="5"/>
  <c r="C49" i="5"/>
  <c r="K25" i="5"/>
  <c r="C26" i="5"/>
  <c r="H25" i="5"/>
  <c r="E25" i="5"/>
  <c r="F25" i="5" s="1"/>
  <c r="J25" i="5"/>
  <c r="L24" i="5"/>
  <c r="N24" i="5" s="1"/>
  <c r="L70" i="5"/>
  <c r="N70" i="5" s="1"/>
  <c r="E72" i="5" l="1"/>
  <c r="F72" i="5" s="1"/>
  <c r="H72" i="5"/>
  <c r="J72" i="5"/>
  <c r="K72" i="5"/>
  <c r="H49" i="5"/>
  <c r="K49" i="5"/>
  <c r="E49" i="5"/>
  <c r="F49" i="5" s="1"/>
  <c r="J49" i="5"/>
  <c r="H26" i="5"/>
  <c r="E26" i="5"/>
  <c r="F26" i="5" s="1"/>
  <c r="K26" i="5"/>
  <c r="J26" i="5"/>
  <c r="L25" i="5"/>
  <c r="N25" i="5" s="1"/>
  <c r="L71" i="5"/>
  <c r="N71" i="5" s="1"/>
  <c r="L48" i="5"/>
  <c r="N48" i="5" s="1"/>
  <c r="L49" i="5" l="1"/>
  <c r="L26" i="5"/>
  <c r="L72" i="5"/>
  <c r="B50" i="5" l="1"/>
  <c r="B51" i="5" s="1"/>
  <c r="B52" i="5" s="1"/>
  <c r="B54" i="5" s="1"/>
  <c r="B55" i="5" s="1"/>
  <c r="N49" i="5"/>
  <c r="N26" i="5"/>
  <c r="B27" i="5"/>
  <c r="B28" i="5" s="1"/>
  <c r="B29" i="5" s="1"/>
  <c r="B31" i="5" s="1"/>
  <c r="B32" i="5" s="1"/>
  <c r="B73" i="5"/>
  <c r="B74" i="5" s="1"/>
  <c r="B75" i="5" s="1"/>
  <c r="B77" i="5" s="1"/>
  <c r="B78" i="5" s="1"/>
  <c r="N72" i="5"/>
</calcChain>
</file>

<file path=xl/sharedStrings.xml><?xml version="1.0" encoding="utf-8"?>
<sst xmlns="http://schemas.openxmlformats.org/spreadsheetml/2006/main" count="327" uniqueCount="248">
  <si>
    <t>Visa（V）巴菲特框架估值</t>
  </si>
  <si>
    <t>研究日 2026-10-29｜收盘价 $400.60｜最新财报：FY2026 Q4（2026-09-30）</t>
  </si>
  <si>
    <t>市值按 1.9100B 股计算；净负债 = 债务 + 融资租赁 − 现金及有价证券。数据边界见报告第 1 节。</t>
  </si>
  <si>
    <t>一句话结论</t>
  </si>
  <si>
    <t>极好的生意，护城河宽且资本轻；现价略低于基准价值，估值合理，但没有 20% 安全边际。结论：观察，等更大折扣。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</si>
  <si>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</si>
  <si>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</si>
  <si>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</si>
  <si>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</si>
  <si>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</si>
  <si>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</si>
  <si>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</si>
  <si>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</si>
  <si>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</si>
  <si>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</si>
  <si>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</si>
  <si>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正数为净负债，负数为净现金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</si>
  <si>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</si>
  <si>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</si>
  <si>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</si>
  <si>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</si>
  <si>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</si>
  <si>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</si>
  <si>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</si>
  <si>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(1−16%)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</si>
  <si>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</si>
  <si>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</si>
  <si>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</si>
  <si>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</si>
  <si>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</si>
  <si>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稀释口径；GAAP；FY2026</t>
  </si>
  <si>
    <t>FY2027E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</si>
  <si>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</si>
  <si>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</si>
  <si>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</si>
  <si>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</si>
  <si>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</si>
  <si>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</si>
  <si>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</si>
  <si>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</si>
  <si>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</si>
  <si>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</si>
  <si>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</si>
  <si>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</si>
  <si>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</si>
  <si>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</si>
  <si>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</si>
  <si>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</si>
  <si>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</si>
  <si>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</si>
  <si>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</si>
  <si>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</si>
  <si>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</si>
  <si>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</si>
  <si>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</si>
  <si>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</si>
  <si>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</si>
  <si>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</si>
  <si>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</si>
  <si>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</si>
  <si>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$425，现价 $400.60；现价低于基准 5.7%。</t>
  </si>
  <si>
    <t>• 悲观 $223；基准 $425；乐观 $590；概率加权约 $397（30%/50%/20%）。</t>
  </si>
  <si>
    <t>• 反推：现价隐含未来 10 年收入 CAGR 约 7.0%，基准情景约 7.5%。</t>
  </si>
  <si>
    <t>• 若要求 20% 安全边际，观察价约 $340（基准价值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</si>
  <si>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</si>
  <si>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</si>
  <si>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Visa五年财务与现金流（十亿美元，除每股数据）</t>
  </si>
  <si>
    <t>来源：公司 10-K/10-Q；TTM = 最近四个季度。</t>
  </si>
  <si>
    <t>FY2022</t>
  </si>
  <si>
    <t>FY2023</t>
  </si>
  <si>
    <t>FY2024</t>
  </si>
  <si>
    <t>FY2025</t>
  </si>
  <si>
    <t>FY2026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</si>
  <si>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</si>
  <si>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</si>
  <si>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</si>
  <si>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</si>
  <si>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</si>
  <si>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</si>
  <si>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</si>
  <si>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</si>
  <si>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</si>
  <si>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</si>
  <si>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</si>
  <si>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</si>
  <si>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</si>
  <si>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</si>
  <si>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</si>
  <si>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</si>
  <si>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</si>
  <si>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</si>
  <si>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</si>
  <si>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</si>
  <si>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FY2022–FY2026 收入从 29.3B 增至 45.9B，CAGR 约 11.9%；EPS 从 7.67 增至 12.32，CAGR 约 12.6%。</t>
  </si>
  <si>
    <t>• FY2026 收入 +15%，经营利润 +17%，经营利润率 61.2%；支付量 +10%、跨境 +16%、处理交易 +9%。</t>
  </si>
  <si>
    <t>• FCF 从 17.9B 增至 22.1B；capex 仅 1.67B，占收入 3.6%，FCF/NOPAT 约 94%。</t>
  </si>
  <si>
    <t>• 股本从 1.95B 降至 1.91B，回购贡献约 2% 的 EPS 增长；分红 3.12 美元/年。</t>
  </si>
  <si>
    <t>• 净负债仅 7.9B；ROIC 极高，增量资本需求几乎为零，是“收费公路”式商业模式。</t>
  </si>
  <si>
    <t>Visa：分部与关键运营数据</t>
  </si>
  <si>
    <t>单位：十亿美元，另有注明除外；同比为公开披露口径。</t>
  </si>
  <si>
    <t>FY2026 收入构成</t>
  </si>
  <si>
    <t>单位：十亿美元；财年截至 2026-09-30。</t>
  </si>
  <si>
    <t>收入类别</t>
  </si>
  <si>
    <t>同比</t>
  </si>
  <si>
    <t>占比</t>
  </si>
  <si>
    <t>Service</t>
  </si>
  <si>
    <t>按上一季度支付额确认</t>
  </si>
  <si>
    <t>Data processing</t>
  </si>
  <si>
    <t>交易处理与国际网络费</t>
  </si>
  <si>
    <t>International transactions</t>
  </si>
  <si>
    <t>跨境交易</t>
  </si>
  <si>
    <t>Other</t>
  </si>
  <si>
    <t>咨询、许可等</t>
  </si>
  <si>
    <t>Client incentives</t>
  </si>
  <si>
    <t>客户返点，冲减收入</t>
  </si>
  <si>
    <t>Net revenue</t>
  </si>
  <si>
    <t>FY2026 净收入 +15%</t>
  </si>
  <si>
    <t>FY2026 关键运营驱动</t>
  </si>
  <si>
    <t>同比增速，按固定汇率口径。</t>
  </si>
  <si>
    <t>指标</t>
  </si>
  <si>
    <t>增速</t>
  </si>
  <si>
    <t>含义</t>
  </si>
  <si>
    <t>Payments volume</t>
  </si>
  <si>
    <t>消费与商业支付额</t>
  </si>
  <si>
    <t>Cross-border volume</t>
  </si>
  <si>
    <t>跨境旅行与电商</t>
  </si>
  <si>
    <t>Processed transactions</t>
  </si>
  <si>
    <t>交易笔数</t>
  </si>
  <si>
    <t>固定汇率</t>
  </si>
  <si>
    <t>Non-GAAP EPS</t>
  </si>
  <si>
    <t>FY2026 约 13.27 美元</t>
  </si>
  <si>
    <t>解读</t>
  </si>
  <si>
    <t>• FY2026 服务收入 19.92B（+14%），数据处理收入 23.37B（+17%），国际收入 15.25B（+8%）。</t>
  </si>
  <si>
    <t>• 客户激励 18.32B（+16%），占毛收入约 40%；净收入 45.90B（+15%），看净收入而非毛收入。</t>
  </si>
  <si>
    <t>• 支付量 +10%、跨境交易 +16%、处理交易 +9%；跨境仍是增速最快、利润率最高的部分。</t>
  </si>
  <si>
    <t>• VAS（增值服务）增速高于支付网络，但基数小；发卡行/收单行解决方案是交叉销售核心。</t>
  </si>
  <si>
    <t>• non-GAAP EPS 13.27 美元（+14%）；回购 1.91B 股，过去五年减少约 2%。</t>
  </si>
  <si>
    <t>• 监管风险集中在 interchange 上限与路由规则；美国 CCCA 仍是长期悬顶。</t>
  </si>
  <si>
    <t>V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</si>
  <si>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</si>
  <si>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</si>
  <si>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</si>
  <si>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</si>
  <si>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</si>
  <si>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</si>
  <si>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</si>
  <si>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</si>
  <si>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</si>
  <si>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</si>
  <si>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</si>
  <si>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</si>
  <si>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</si>
  <si>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</si>
  <si>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</si>
  <si>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</si>
  <si>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+0.00B（四舍五入/汇率）</t>
  </si>
  <si>
    <t>现金转化率</t>
  </si>
  <si>
    <t>Capex / D&amp;A</t>
  </si>
  <si>
    <t>资本开支是折旧的倍数</t>
  </si>
  <si>
    <t>• TTM NOPAT 23.53B，D&amp;A 1.40B、SBC 0.93B、capex 1.67B；FCFF 22.06B。</t>
  </si>
  <si>
    <t>• 营运资金及其他 -2.13B，主要是客户激励与结算时点；不是永久性现金漏损。</t>
  </si>
  <si>
    <t>• FCF/NOPAT 94%，转化率极高；capex/收入仅 3.6%，增量资本回报率极高。</t>
  </si>
  <si>
    <t>• 客户激励增长略快于净收入，若返点率继续上升，FCF 增速会低于收入增速。</t>
  </si>
  <si>
    <t>三情景 FCFF DCF（未来 12 个月起算，10 年明确预测）</t>
  </si>
  <si>
    <t>单位：十亿美元，除每股数据；第 1 年约为未来四个季度；终值用永续增长。</t>
  </si>
  <si>
    <t>FY2026 于 2026-09-30 结束；Q4 8-K 于 2026-10-27 发布。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</si>
  <si>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</si>
  <si>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</si>
  <si>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</si>
  <si>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</si>
  <si>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</si>
  <si>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</si>
  <si>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22.071 + 0.000 − 14.177 = 7.894；股权投资仅用于 SOTP，DCF/IRR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</si>
  <si>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</si>
  <si>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</si>
  <si>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</si>
  <si>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</si>
  <si>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</si>
  <si>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</si>
  <si>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</si>
  <si>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</si>
  <si>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</si>
  <si>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</si>
  <si>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</si>
  <si>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</si>
  <si>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</si>
  <si>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</si>
  <si>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</si>
  <si>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</si>
  <si>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</si>
  <si>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</si>
  <si>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</si>
  <si>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</si>
  <si>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59%；终值 FCF 30.4B；终值收入 70B</t>
  </si>
  <si>
    <t>基准情景</t>
  </si>
  <si>
    <t>TV 占比 69%；终值 FCF 48.0B；终值收入 95B</t>
  </si>
  <si>
    <t>乐观情景</t>
  </si>
  <si>
    <t>TV 占比 74%；终值 FCF 56.9B；终值收入 108B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</si>
  <si>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</si>
  <si>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</si>
  <si>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</si>
  <si>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</si>
  <si>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</si>
  <si>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$400.60</t>
  </si>
  <si>
    <t>基准情景 10 年 CAGR</t>
  </si>
  <si>
    <t>交叉检查：DCF、P/E、EV/EBIT</t>
  </si>
  <si>
    <t>方法</t>
  </si>
  <si>
    <t>相对现价</t>
  </si>
  <si>
    <t>读数</t>
  </si>
  <si>
    <t>DCF 基准</t>
  </si>
  <si>
    <t>$425</t>
  </si>
  <si>
    <t>现价低 6%</t>
  </si>
  <si>
    <t>合理偏低</t>
  </si>
  <si>
    <t>30x FY2027E EPS 14.0</t>
  </si>
  <si>
    <t>$420</t>
  </si>
  <si>
    <t>现价低 5%</t>
  </si>
  <si>
    <t>与 DCF 一致</t>
  </si>
  <si>
    <t>EV/EBIT 27.5x vs 历史 25–30x</t>
  </si>
  <si>
    <t>区间内</t>
  </si>
  <si>
    <t>不贵</t>
  </si>
  <si>
    <t>FCF 收益率 2.88% vs 10Y 4.2%</t>
  </si>
  <si>
    <t>偏低</t>
  </si>
  <si>
    <t>依赖增长</t>
  </si>
  <si>
    <t>DCF 与 P/E 交叉检查均约 420 美元；现价 400.6 美元有约 5% 折价，但没有 20% 安全边际。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</si>
  <si>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</si>
  <si>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</si>
  <si>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</si>
  <si>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</si>
  <si>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</si>
  <si>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</si>
  <si>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FY2026 Q4 8-K</t>
  </si>
  <si>
    <t>SEC EDGAR</t>
  </si>
  <si>
    <t>2026-10-27</t>
  </si>
  <si>
    <t>Accession 0001403161-26-000126；q42026earningsrelease.htm</t>
  </si>
  <si>
    <t>FY2026 Q3 10-Q</t>
  </si>
  <si>
    <t>2026-07</t>
  </si>
  <si>
    <t>Accession 0001403161-26-000104；period 2026-06-30</t>
  </si>
  <si>
    <t>FY2025 10-K / companyfacts</t>
  </si>
  <si>
    <t>2025-11</t>
  </si>
  <si>
    <t>CIK 0001403161</t>
  </si>
  <si>
    <t>股价</t>
  </si>
  <si>
    <t>CNBC quote API</t>
  </si>
  <si>
    <t>2026-10-28</t>
  </si>
  <si>
    <t>收盘 400.60 美元，-0.31%</t>
  </si>
  <si>
    <t>股息</t>
  </si>
  <si>
    <t>FY2026 8-K</t>
  </si>
  <si>
    <t>季度股息上调 16% 至 0.78 美元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</si>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</sst>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.00"/>
    <numFmt numFmtId="177" formatCode="0.000"/>
    <numFmt numFmtId="178" formatCode="#,##0.0"/>
    <numFmt numFmtId="179" formatCode="0.0&quot;x&quot;"/>
    <numFmt numFmtId="180" formatCode="0.0%"/>
    <numFmt numFmtId="181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V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7C-471A-AD80-37565796A7B2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7C-471A-AD80-37565796A7B2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7C-471A-AD80-37565796A7B2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27C-471A-AD80-37565796A7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222.89659630355459</c:v>
                </c:pt>
                <c:pt idx="1">
                  <c:v>424.63382488129781</c:v>
                </c:pt>
                <c:pt idx="2">
                  <c:v>589.94923168048842</c:v>
                </c:pt>
                <c:pt idx="3">
                  <c:v>400.6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7C-471A-AD80-37565796A7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美元/股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26.186440480199998</c:v>
                </c:pt>
                <c:pt idx="1">
                  <c:v>29.039643579375007</c:v>
                </c:pt>
                <c:pt idx="2">
                  <c:v>31.653211501518761</c:v>
                </c:pt>
                <c:pt idx="3">
                  <c:v>34.185468421640266</c:v>
                </c:pt>
                <c:pt idx="4">
                  <c:v>36.749378553263277</c:v>
                </c:pt>
                <c:pt idx="5">
                  <c:v>39.004224668990339</c:v>
                </c:pt>
                <c:pt idx="6">
                  <c:v>41.539499272474714</c:v>
                </c:pt>
                <c:pt idx="7">
                  <c:v>43.673318867452949</c:v>
                </c:pt>
                <c:pt idx="8">
                  <c:v>46.075351405162856</c:v>
                </c:pt>
                <c:pt idx="9">
                  <c:v>47.981934812613105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C7-4F3E-B063-E39C6F2A2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6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9" t="s">
        <v>4</v>
      </c>
      <c r="B6" s="27"/>
      <c r="C6" s="27"/>
      <c r="D6" s="27"/>
      <c r="E6" s="27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95" customHeight="1">
      <c r="A10" s="6" t="s">
        <v>9</v>
      </c>
      <c r="B10" s="7">
        <v>400.6</v>
      </c>
      <c r="C10" s="8" t="s">
        <v>10</v>
      </c>
    </row>
    <row r="11" spans="1:13" ht="22.95" customHeight="1">
      <c r="A11" s="6" t="s">
        <v>11</v>
      </c>
      <c r="B11" s="9">
        <v>1.91</v>
      </c>
      <c r="C11" s="8" t="s">
        <v>12</v>
      </c>
    </row>
    <row r="12" spans="1:13" ht="22.95" customHeight="1">
      <c r="A12" s="6" t="s">
        <v>13</v>
      </c>
      <c r="B12" s="10">
        <f>B10*B11</f>
        <v>765.14599999999996</v>
      </c>
      <c r="C12" s="8" t="s">
        <v>14</v>
      </c>
    </row>
    <row r="13" spans="1:13" ht="22.95" customHeight="1">
      <c r="A13" s="6" t="s">
        <v>15</v>
      </c>
      <c r="B13" s="11">
        <v>7.8940000000000001</v>
      </c>
      <c r="C13" s="8" t="s">
        <v>16</v>
      </c>
    </row>
    <row r="14" spans="1:13" ht="22.95" customHeight="1">
      <c r="A14" s="6" t="s">
        <v>17</v>
      </c>
      <c r="B14" s="10">
        <f>B12+B13</f>
        <v>773.04</v>
      </c>
      <c r="C14" s="8" t="s">
        <v>18</v>
      </c>
    </row>
    <row r="15" spans="1:13" ht="22.95" customHeight="1">
      <c r="A15" s="6" t="s">
        <v>19</v>
      </c>
      <c r="B15" s="11">
        <v>45.902999999999999</v>
      </c>
      <c r="C15" s="8" t="s">
        <v>20</v>
      </c>
    </row>
    <row r="16" spans="1:13" ht="22.95" customHeight="1">
      <c r="A16" s="6" t="s">
        <v>21</v>
      </c>
      <c r="B16" s="11">
        <v>28.11</v>
      </c>
      <c r="C16" s="8" t="s">
        <v>22</v>
      </c>
    </row>
    <row r="17" spans="1:5" ht="22.95" customHeight="1">
      <c r="A17" s="6" t="s">
        <v>23</v>
      </c>
      <c r="B17" s="11">
        <v>23.527999999999999</v>
      </c>
      <c r="C17" s="8" t="s">
        <v>24</v>
      </c>
    </row>
    <row r="18" spans="1:5" ht="22.95" customHeight="1">
      <c r="A18" s="6" t="s">
        <v>25</v>
      </c>
      <c r="B18" s="11">
        <v>22.056999999999999</v>
      </c>
      <c r="C18" s="8" t="s">
        <v>26</v>
      </c>
    </row>
    <row r="19" spans="1:5" ht="22.95" customHeight="1">
      <c r="A19" s="6" t="s">
        <v>27</v>
      </c>
      <c r="B19" s="11">
        <v>51</v>
      </c>
      <c r="C19" s="8" t="s">
        <v>28</v>
      </c>
    </row>
    <row r="20" spans="1:5" ht="22.95" customHeight="1">
      <c r="A20" s="6" t="s">
        <v>29</v>
      </c>
      <c r="B20" s="12">
        <v>12.32</v>
      </c>
      <c r="C20" s="8" t="s">
        <v>30</v>
      </c>
    </row>
    <row r="21" spans="1:5" ht="22.95" customHeight="1">
      <c r="A21" s="6" t="s">
        <v>31</v>
      </c>
      <c r="B21" s="12">
        <v>14</v>
      </c>
      <c r="C21" s="8" t="s">
        <v>32</v>
      </c>
    </row>
    <row r="22" spans="1:5" ht="22.95" customHeight="1">
      <c r="A22" s="6" t="s">
        <v>33</v>
      </c>
      <c r="B22" s="13">
        <f>B14/B16</f>
        <v>27.500533617929563</v>
      </c>
      <c r="C22" s="8" t="s">
        <v>34</v>
      </c>
    </row>
    <row r="23" spans="1:5" ht="22.95" customHeight="1">
      <c r="A23" s="6" t="s">
        <v>35</v>
      </c>
      <c r="B23" s="13">
        <f>B10/B20</f>
        <v>32.516233766233768</v>
      </c>
      <c r="C23" s="8" t="s">
        <v>36</v>
      </c>
    </row>
    <row r="24" spans="1:5" ht="22.95" customHeight="1">
      <c r="A24" s="6" t="s">
        <v>37</v>
      </c>
      <c r="B24" s="13">
        <f>B10/B21</f>
        <v>28.614285714285717</v>
      </c>
      <c r="C24" s="8" t="s">
        <v>38</v>
      </c>
    </row>
    <row r="25" spans="1:5" ht="22.95" customHeight="1">
      <c r="A25" s="6" t="s">
        <v>39</v>
      </c>
      <c r="B25" s="14">
        <f>B18/B12</f>
        <v>2.882717808104597E-2</v>
      </c>
      <c r="C25" s="8" t="s">
        <v>40</v>
      </c>
    </row>
    <row r="26" spans="1:5" ht="22.95" customHeight="1">
      <c r="A26" s="6" t="s">
        <v>41</v>
      </c>
      <c r="B26" s="13">
        <f>B14/B18</f>
        <v>35.047377249852659</v>
      </c>
      <c r="C26" s="8" t="s">
        <v>42</v>
      </c>
    </row>
    <row r="27" spans="1:5" ht="22.95" customHeight="1">
      <c r="A27" s="6" t="s">
        <v>43</v>
      </c>
      <c r="B27" s="15">
        <v>3.6402849486961639E-2</v>
      </c>
      <c r="C27" s="8" t="s">
        <v>44</v>
      </c>
    </row>
    <row r="28" spans="1:5" ht="22.95" customHeight="1">
      <c r="A28" s="6" t="s">
        <v>45</v>
      </c>
      <c r="B28" s="16">
        <f>B18/B17</f>
        <v>0.93747874872492354</v>
      </c>
      <c r="C28" s="8" t="s">
        <v>46</v>
      </c>
    </row>
    <row r="29" spans="1:5" ht="22.95" customHeight="1">
      <c r="A29" s="6" t="s">
        <v>47</v>
      </c>
      <c r="B29" s="17">
        <v>7.7883175237144281E-3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222.89659630355459</v>
      </c>
      <c r="C33" s="15">
        <f>B33/$B$10-1</f>
        <v>-0.44359311956177094</v>
      </c>
      <c r="D33" s="15">
        <f>1-$B$10/B33</f>
        <v>-0.79724592767867031</v>
      </c>
      <c r="E33" s="17">
        <v>5.6399999999999999E-2</v>
      </c>
    </row>
    <row r="34" spans="1:5">
      <c r="A34" s="18" t="s">
        <v>55</v>
      </c>
      <c r="B34" s="19">
        <v>424.63382488129781</v>
      </c>
      <c r="C34" s="15">
        <f>B34/$B$10-1</f>
        <v>5.9994570347722931E-2</v>
      </c>
      <c r="D34" s="15">
        <f>1-$B$10/B34</f>
        <v>5.6598941188955476E-2</v>
      </c>
      <c r="E34" s="17">
        <v>7.5499999999999998E-2</v>
      </c>
    </row>
    <row r="35" spans="1:5">
      <c r="A35" s="6" t="s">
        <v>56</v>
      </c>
      <c r="B35" s="7">
        <v>589.94923168048842</v>
      </c>
      <c r="C35" s="15">
        <f>B35/$B$10-1</f>
        <v>0.47266408307660601</v>
      </c>
      <c r="D35" s="15">
        <f>1-$B$10/B35</f>
        <v>0.32095851899174666</v>
      </c>
      <c r="E35" s="17">
        <v>8.3900000000000002E-2</v>
      </c>
    </row>
    <row r="36" spans="1:5">
      <c r="A36" s="20" t="s">
        <v>57</v>
      </c>
      <c r="B36" s="21">
        <v>400.6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28.05" customHeight="1">
      <c r="A39" s="28" t="s">
        <v>60</v>
      </c>
      <c r="B39" s="27"/>
      <c r="C39" s="27"/>
      <c r="D39" s="27"/>
      <c r="E39" s="27"/>
    </row>
    <row r="40" spans="1:5" ht="28.05" customHeight="1">
      <c r="A40" s="28" t="s">
        <v>61</v>
      </c>
      <c r="B40" s="27"/>
      <c r="C40" s="27"/>
      <c r="D40" s="27"/>
      <c r="E40" s="27"/>
    </row>
    <row r="41" spans="1:5" ht="28.05" customHeight="1">
      <c r="A41" s="28" t="s">
        <v>62</v>
      </c>
      <c r="B41" s="27"/>
      <c r="C41" s="27"/>
      <c r="D41" s="27"/>
      <c r="E41" s="27"/>
    </row>
    <row r="42" spans="1:5" ht="28.05" customHeight="1">
      <c r="A42" s="28" t="s">
        <v>63</v>
      </c>
      <c r="B42" s="27"/>
      <c r="C42" s="27"/>
      <c r="D42" s="27"/>
      <c r="E42" s="27"/>
    </row>
    <row r="43" spans="1:5" ht="28.05" customHeight="1">
      <c r="A43" s="28" t="s">
        <v>64</v>
      </c>
      <c r="B43" s="27"/>
      <c r="C43" s="27"/>
      <c r="D43" s="27"/>
      <c r="E43" s="27"/>
    </row>
    <row r="44" spans="1:5" ht="28.05" customHeight="1">
      <c r="A44" s="28" t="s">
        <v>65</v>
      </c>
      <c r="B44" s="27"/>
      <c r="C44" s="27"/>
      <c r="D44" s="27"/>
      <c r="E44" s="27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30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6" t="s">
        <v>67</v>
      </c>
      <c r="B2" s="27"/>
      <c r="C2" s="27"/>
      <c r="D2" s="27"/>
      <c r="E2" s="27"/>
      <c r="F2" s="27"/>
      <c r="G2" s="27"/>
      <c r="H2" s="27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8</v>
      </c>
    </row>
    <row r="5" spans="1:8">
      <c r="A5" s="6" t="s">
        <v>73</v>
      </c>
      <c r="B5" s="11">
        <v>29.31</v>
      </c>
      <c r="C5" s="11">
        <v>32.652999999999999</v>
      </c>
      <c r="D5" s="11">
        <v>35.926000000000002</v>
      </c>
      <c r="E5" s="11">
        <v>40</v>
      </c>
      <c r="F5" s="11">
        <v>45.902999999999999</v>
      </c>
      <c r="H5" s="8" t="s">
        <v>74</v>
      </c>
    </row>
    <row r="6" spans="1:8">
      <c r="A6" s="6" t="s">
        <v>75</v>
      </c>
      <c r="B6" s="11">
        <v>18.812999999999999</v>
      </c>
      <c r="C6" s="11">
        <v>21</v>
      </c>
      <c r="D6" s="11">
        <v>23.594999999999999</v>
      </c>
      <c r="E6" s="11">
        <v>23.994</v>
      </c>
      <c r="F6" s="11">
        <v>28.11</v>
      </c>
      <c r="H6" s="8" t="s">
        <v>76</v>
      </c>
    </row>
    <row r="7" spans="1:8">
      <c r="A7" s="6" t="s">
        <v>77</v>
      </c>
      <c r="B7" s="11">
        <v>14.957000000000001</v>
      </c>
      <c r="C7" s="11">
        <v>17.273</v>
      </c>
      <c r="D7" s="11">
        <v>19.742999999999999</v>
      </c>
      <c r="E7" s="11">
        <v>20.058</v>
      </c>
      <c r="F7" s="11">
        <v>23.504000000000001</v>
      </c>
      <c r="H7" s="8" t="s">
        <v>76</v>
      </c>
    </row>
    <row r="8" spans="1:8">
      <c r="A8" s="6" t="s">
        <v>78</v>
      </c>
      <c r="B8" s="11">
        <v>18.849</v>
      </c>
      <c r="C8" s="11">
        <v>20.754999999999999</v>
      </c>
      <c r="D8" s="11">
        <v>19.95</v>
      </c>
      <c r="E8" s="11">
        <v>23.059000000000001</v>
      </c>
      <c r="F8" s="11">
        <v>23.728000000000002</v>
      </c>
      <c r="H8" s="8" t="s">
        <v>79</v>
      </c>
    </row>
    <row r="9" spans="1:8">
      <c r="A9" s="6" t="s">
        <v>80</v>
      </c>
      <c r="B9" s="11">
        <v>0.97</v>
      </c>
      <c r="C9" s="11">
        <v>1.0589999999999999</v>
      </c>
      <c r="D9" s="11">
        <v>1.2569999999999999</v>
      </c>
      <c r="E9" s="11">
        <v>1.482</v>
      </c>
      <c r="F9" s="11">
        <v>1.671</v>
      </c>
      <c r="H9" s="8" t="s">
        <v>81</v>
      </c>
    </row>
    <row r="10" spans="1:8">
      <c r="A10" s="6" t="s">
        <v>82</v>
      </c>
      <c r="B10" s="11">
        <v>17.879000000000001</v>
      </c>
      <c r="C10" s="11">
        <v>19.696000000000002</v>
      </c>
      <c r="D10" s="11">
        <v>18.693000000000001</v>
      </c>
      <c r="E10" s="11">
        <v>21.577000000000002</v>
      </c>
      <c r="F10" s="11">
        <v>22.056999999999999</v>
      </c>
      <c r="H10" s="8" t="s">
        <v>83</v>
      </c>
    </row>
    <row r="11" spans="1:8">
      <c r="A11" s="6" t="s">
        <v>84</v>
      </c>
      <c r="B11" s="12">
        <v>7.67</v>
      </c>
      <c r="C11" s="12">
        <v>8.9499999999999993</v>
      </c>
      <c r="D11" s="12">
        <v>10.23</v>
      </c>
      <c r="E11" s="12">
        <v>10.199999999999999</v>
      </c>
      <c r="F11" s="12">
        <v>12.32</v>
      </c>
      <c r="H11" s="8" t="s">
        <v>85</v>
      </c>
    </row>
    <row r="12" spans="1:8">
      <c r="A12" s="6" t="s">
        <v>86</v>
      </c>
      <c r="B12" s="9">
        <v>1.95</v>
      </c>
      <c r="C12" s="9">
        <v>1.93</v>
      </c>
      <c r="D12" s="9">
        <v>1.93</v>
      </c>
      <c r="E12" s="9">
        <v>1.97</v>
      </c>
      <c r="F12" s="9">
        <v>1.91</v>
      </c>
      <c r="H12" s="8" t="s">
        <v>87</v>
      </c>
    </row>
    <row r="14" spans="1:8">
      <c r="A14" s="6" t="s">
        <v>88</v>
      </c>
      <c r="C14" s="15">
        <f>C5/B5-1</f>
        <v>0.11405663596042315</v>
      </c>
      <c r="D14" s="15">
        <f>D5/C5-1</f>
        <v>0.10023581294214945</v>
      </c>
      <c r="E14" s="15">
        <f>E5/D5-1</f>
        <v>0.11339976618604908</v>
      </c>
      <c r="F14" s="15">
        <f>F5/E5-1</f>
        <v>0.14757500000000001</v>
      </c>
    </row>
    <row r="15" spans="1:8">
      <c r="A15" s="6" t="s">
        <v>89</v>
      </c>
      <c r="B15" s="15">
        <f>B6/B5</f>
        <v>0.64186284544524053</v>
      </c>
      <c r="C15" s="15">
        <f>C6/C5</f>
        <v>0.64312620586163605</v>
      </c>
      <c r="D15" s="15">
        <f>D6/D5</f>
        <v>0.65676668707899566</v>
      </c>
      <c r="E15" s="15">
        <f>E6/E5</f>
        <v>0.59984999999999999</v>
      </c>
      <c r="F15" s="15">
        <f>F6/F5</f>
        <v>0.61237827592967775</v>
      </c>
    </row>
    <row r="16" spans="1:8">
      <c r="A16" s="6" t="s">
        <v>90</v>
      </c>
      <c r="B16" s="15">
        <f>B7/B5</f>
        <v>0.51030365063118399</v>
      </c>
      <c r="C16" s="15">
        <f>C7/C5</f>
        <v>0.52898661684990655</v>
      </c>
      <c r="D16" s="15">
        <f>D7/D5</f>
        <v>0.54954628959527907</v>
      </c>
      <c r="E16" s="15">
        <f>E7/E5</f>
        <v>0.50144999999999995</v>
      </c>
      <c r="F16" s="15">
        <f>F7/F5</f>
        <v>0.51203625035400746</v>
      </c>
    </row>
    <row r="17" spans="1:8">
      <c r="A17" s="6" t="s">
        <v>91</v>
      </c>
      <c r="B17" s="15">
        <f>B10/B5</f>
        <v>0.60999658819515534</v>
      </c>
      <c r="C17" s="15">
        <f>C10/C5</f>
        <v>0.60319113098337063</v>
      </c>
      <c r="D17" s="15">
        <f>D10/D5</f>
        <v>0.52031954573289541</v>
      </c>
      <c r="E17" s="15">
        <f>E10/E5</f>
        <v>0.53942500000000004</v>
      </c>
      <c r="F17" s="15">
        <f>F10/F5</f>
        <v>0.48051325621419078</v>
      </c>
    </row>
    <row r="18" spans="1:8">
      <c r="A18" s="6" t="s">
        <v>43</v>
      </c>
      <c r="B18" s="15">
        <f>B9/B5</f>
        <v>3.3094506994199933E-2</v>
      </c>
      <c r="C18" s="15">
        <f>C9/C5</f>
        <v>3.2431935809879645E-2</v>
      </c>
      <c r="D18" s="15">
        <f>D9/D5</f>
        <v>3.498858765239659E-2</v>
      </c>
      <c r="E18" s="15">
        <f>E9/E5</f>
        <v>3.705E-2</v>
      </c>
      <c r="F18" s="15">
        <f>F9/F5</f>
        <v>3.6402849486961639E-2</v>
      </c>
    </row>
    <row r="19" spans="1:8">
      <c r="A19" s="6" t="s">
        <v>45</v>
      </c>
      <c r="B19" s="15">
        <f>B10/(B6*(1-0.163))</f>
        <v>1.1354282902954638</v>
      </c>
      <c r="C19" s="15">
        <f>C10/(C6*(1-0.163))</f>
        <v>1.1205552710929056</v>
      </c>
      <c r="D19" s="15">
        <f>D10/(D6*(1-0.163))</f>
        <v>0.94652821925549202</v>
      </c>
      <c r="E19" s="15">
        <f>E10/(E6*(1-0.163))</f>
        <v>1.0743924531511213</v>
      </c>
      <c r="F19" s="15">
        <f>F10/(F6*(1-0.163))</f>
        <v>0.93747595956659424</v>
      </c>
    </row>
    <row r="21" spans="1:8" ht="16.2">
      <c r="A21" s="3" t="s">
        <v>92</v>
      </c>
      <c r="B21" s="4"/>
      <c r="C21" s="4"/>
      <c r="D21" s="4"/>
      <c r="E21" s="4"/>
      <c r="F21" s="4"/>
      <c r="G21" s="4"/>
      <c r="H21" s="4"/>
    </row>
    <row r="22" spans="1:8" ht="30" customHeight="1">
      <c r="A22" s="28" t="s">
        <v>93</v>
      </c>
      <c r="B22" s="27"/>
      <c r="C22" s="27"/>
      <c r="D22" s="27"/>
      <c r="E22" s="27"/>
      <c r="F22" s="27"/>
      <c r="G22" s="27"/>
      <c r="H22" s="27"/>
    </row>
    <row r="23" spans="1:8" ht="30" customHeight="1">
      <c r="A23" s="28" t="s">
        <v>94</v>
      </c>
      <c r="B23" s="27"/>
      <c r="C23" s="27"/>
      <c r="D23" s="27"/>
      <c r="E23" s="27"/>
      <c r="F23" s="27"/>
      <c r="G23" s="27"/>
      <c r="H23" s="27"/>
    </row>
    <row r="24" spans="1:8" ht="30" customHeight="1">
      <c r="A24" s="28" t="s">
        <v>95</v>
      </c>
      <c r="B24" s="27"/>
      <c r="C24" s="27"/>
      <c r="D24" s="27"/>
      <c r="E24" s="27"/>
      <c r="F24" s="27"/>
      <c r="G24" s="27"/>
      <c r="H24" s="27"/>
    </row>
    <row r="25" spans="1:8" ht="30" customHeight="1">
      <c r="A25" s="28" t="s">
        <v>96</v>
      </c>
      <c r="B25" s="27"/>
      <c r="C25" s="27"/>
      <c r="D25" s="27"/>
      <c r="E25" s="27"/>
      <c r="F25" s="27"/>
      <c r="G25" s="27"/>
      <c r="H25" s="27"/>
    </row>
    <row r="26" spans="1:8" ht="30" customHeight="1">
      <c r="A26" s="28" t="s">
        <v>97</v>
      </c>
      <c r="B26" s="27"/>
      <c r="C26" s="27"/>
      <c r="D26" s="27"/>
      <c r="E26" s="27"/>
      <c r="F26" s="27"/>
      <c r="G26" s="27"/>
      <c r="H26" s="27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0" customWidth="1"/>
    <col min="6" max="6" width="20" customWidth="1"/>
  </cols>
  <sheetData>
    <row r="1" spans="1:6" ht="23.4">
      <c r="A1" s="1" t="s">
        <v>98</v>
      </c>
    </row>
    <row r="2" spans="1:6" ht="15.6">
      <c r="A2" s="26" t="s">
        <v>99</v>
      </c>
      <c r="B2" s="27"/>
      <c r="C2" s="27"/>
      <c r="D2" s="27"/>
      <c r="E2" s="27"/>
      <c r="F2" s="27"/>
    </row>
    <row r="4" spans="1:6" ht="16.2">
      <c r="A4" s="3" t="s">
        <v>100</v>
      </c>
      <c r="B4" s="4"/>
      <c r="C4" s="4"/>
      <c r="D4" s="4"/>
      <c r="E4" s="4"/>
      <c r="F4" s="4"/>
    </row>
    <row r="5" spans="1:6" ht="15.6">
      <c r="A5" s="2" t="s">
        <v>101</v>
      </c>
    </row>
    <row r="6" spans="1:6">
      <c r="A6" s="5" t="s">
        <v>102</v>
      </c>
      <c r="B6" s="5" t="s">
        <v>72</v>
      </c>
      <c r="C6" s="5" t="s">
        <v>103</v>
      </c>
      <c r="D6" s="5" t="s">
        <v>104</v>
      </c>
      <c r="E6" s="5" t="s">
        <v>8</v>
      </c>
    </row>
    <row r="7" spans="1:6">
      <c r="A7" s="6" t="s">
        <v>105</v>
      </c>
      <c r="B7" s="11">
        <v>19.917999999999999</v>
      </c>
      <c r="C7" s="15">
        <v>0.14000000000000001</v>
      </c>
      <c r="D7" s="15">
        <v>0.434</v>
      </c>
      <c r="E7" s="6" t="s">
        <v>106</v>
      </c>
    </row>
    <row r="8" spans="1:6">
      <c r="A8" s="6" t="s">
        <v>107</v>
      </c>
      <c r="B8" s="11">
        <v>23.373999999999999</v>
      </c>
      <c r="C8" s="15">
        <v>0.17</v>
      </c>
      <c r="D8" s="15">
        <v>0.50900000000000001</v>
      </c>
      <c r="E8" s="6" t="s">
        <v>108</v>
      </c>
    </row>
    <row r="9" spans="1:6">
      <c r="A9" s="6" t="s">
        <v>109</v>
      </c>
      <c r="B9" s="11">
        <v>15.250999999999999</v>
      </c>
      <c r="C9" s="15">
        <v>0.08</v>
      </c>
      <c r="D9" s="15">
        <v>0.33200000000000002</v>
      </c>
      <c r="E9" s="6" t="s">
        <v>110</v>
      </c>
    </row>
    <row r="10" spans="1:6">
      <c r="A10" s="6" t="s">
        <v>111</v>
      </c>
      <c r="B10" s="11">
        <v>5.6769999999999996</v>
      </c>
      <c r="C10" s="15">
        <v>0.4</v>
      </c>
      <c r="D10" s="15">
        <v>0.124</v>
      </c>
      <c r="E10" s="6" t="s">
        <v>112</v>
      </c>
    </row>
    <row r="11" spans="1:6">
      <c r="A11" s="6" t="s">
        <v>113</v>
      </c>
      <c r="B11" s="11">
        <v>-18.317</v>
      </c>
      <c r="C11" s="15">
        <v>0.16</v>
      </c>
      <c r="D11" s="15">
        <v>-0.39900000000000002</v>
      </c>
      <c r="E11" s="6" t="s">
        <v>114</v>
      </c>
    </row>
    <row r="12" spans="1:6">
      <c r="A12" s="6" t="s">
        <v>115</v>
      </c>
      <c r="B12" s="11">
        <v>45.902999999999999</v>
      </c>
      <c r="C12" s="15">
        <v>0.15</v>
      </c>
      <c r="D12" s="15">
        <v>1</v>
      </c>
      <c r="E12" s="6" t="s">
        <v>116</v>
      </c>
    </row>
    <row r="15" spans="1:6" ht="16.2">
      <c r="A15" s="3" t="s">
        <v>117</v>
      </c>
      <c r="B15" s="4"/>
      <c r="C15" s="4"/>
      <c r="D15" s="4"/>
      <c r="E15" s="4"/>
      <c r="F15" s="4"/>
    </row>
    <row r="16" spans="1:6" ht="15.6">
      <c r="A16" s="2" t="s">
        <v>118</v>
      </c>
    </row>
    <row r="17" spans="1:6">
      <c r="A17" s="5" t="s">
        <v>119</v>
      </c>
      <c r="B17" s="5" t="s">
        <v>120</v>
      </c>
      <c r="C17" s="5" t="s">
        <v>121</v>
      </c>
      <c r="D17" s="5"/>
      <c r="E17" s="5"/>
    </row>
    <row r="18" spans="1:6">
      <c r="A18" s="6" t="s">
        <v>122</v>
      </c>
      <c r="B18" s="15">
        <v>0.1</v>
      </c>
      <c r="C18" s="6" t="s">
        <v>123</v>
      </c>
      <c r="D18" s="6"/>
      <c r="E18" s="6"/>
    </row>
    <row r="19" spans="1:6">
      <c r="A19" s="6" t="s">
        <v>124</v>
      </c>
      <c r="B19" s="15">
        <v>0.16</v>
      </c>
      <c r="C19" s="6" t="s">
        <v>125</v>
      </c>
      <c r="D19" s="6"/>
      <c r="E19" s="6"/>
    </row>
    <row r="20" spans="1:6">
      <c r="A20" s="6" t="s">
        <v>126</v>
      </c>
      <c r="B20" s="15">
        <v>0.09</v>
      </c>
      <c r="C20" s="6" t="s">
        <v>127</v>
      </c>
      <c r="D20" s="6"/>
      <c r="E20" s="6"/>
    </row>
    <row r="21" spans="1:6">
      <c r="A21" s="6" t="s">
        <v>115</v>
      </c>
      <c r="B21" s="15">
        <v>0.14000000000000001</v>
      </c>
      <c r="C21" s="6" t="s">
        <v>128</v>
      </c>
      <c r="D21" s="6"/>
      <c r="E21" s="6"/>
    </row>
    <row r="22" spans="1:6">
      <c r="A22" s="6" t="s">
        <v>129</v>
      </c>
      <c r="B22" s="15">
        <v>0.14000000000000001</v>
      </c>
      <c r="C22" s="6" t="s">
        <v>130</v>
      </c>
      <c r="D22" s="6"/>
      <c r="E22" s="6"/>
    </row>
    <row r="25" spans="1:6" ht="16.2">
      <c r="A25" s="3" t="s">
        <v>131</v>
      </c>
      <c r="B25" s="4"/>
      <c r="C25" s="4"/>
      <c r="D25" s="4"/>
      <c r="E25" s="4"/>
      <c r="F25" s="4"/>
    </row>
    <row r="26" spans="1:6" ht="30" customHeight="1">
      <c r="A26" s="28" t="s">
        <v>132</v>
      </c>
      <c r="B26" s="27"/>
      <c r="C26" s="27"/>
      <c r="D26" s="27"/>
      <c r="E26" s="27"/>
      <c r="F26" s="27"/>
    </row>
    <row r="27" spans="1:6" ht="30" customHeight="1">
      <c r="A27" s="28" t="s">
        <v>133</v>
      </c>
      <c r="B27" s="27"/>
      <c r="C27" s="27"/>
      <c r="D27" s="27"/>
      <c r="E27" s="27"/>
      <c r="F27" s="27"/>
    </row>
    <row r="28" spans="1:6" ht="30" customHeight="1">
      <c r="A28" s="28" t="s">
        <v>134</v>
      </c>
      <c r="B28" s="27"/>
      <c r="C28" s="27"/>
      <c r="D28" s="27"/>
      <c r="E28" s="27"/>
      <c r="F28" s="27"/>
    </row>
    <row r="29" spans="1:6" ht="30" customHeight="1">
      <c r="A29" s="28" t="s">
        <v>135</v>
      </c>
      <c r="B29" s="27"/>
      <c r="C29" s="27"/>
      <c r="D29" s="27"/>
      <c r="E29" s="27"/>
      <c r="F29" s="27"/>
    </row>
    <row r="30" spans="1:6" ht="30" customHeight="1">
      <c r="A30" s="28" t="s">
        <v>136</v>
      </c>
      <c r="B30" s="27"/>
      <c r="C30" s="27"/>
      <c r="D30" s="27"/>
      <c r="E30" s="27"/>
      <c r="F30" s="27"/>
    </row>
    <row r="31" spans="1:6" ht="30" customHeight="1">
      <c r="A31" s="28" t="s">
        <v>137</v>
      </c>
      <c r="B31" s="27"/>
      <c r="C31" s="27"/>
      <c r="D31" s="27"/>
      <c r="E31" s="27"/>
      <c r="F31" s="27"/>
    </row>
  </sheetData>
  <mergeCells count="7">
    <mergeCell ref="A2:F2"/>
    <mergeCell ref="A28:F28"/>
    <mergeCell ref="A27:F27"/>
    <mergeCell ref="A31:F31"/>
    <mergeCell ref="A26:F26"/>
    <mergeCell ref="A30:F30"/>
    <mergeCell ref="A29:F29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138</v>
      </c>
    </row>
    <row r="2" spans="1:3" ht="15.6">
      <c r="A2" s="26" t="s">
        <v>139</v>
      </c>
      <c r="B2" s="27"/>
      <c r="C2" s="27"/>
    </row>
    <row r="4" spans="1:3">
      <c r="A4" s="5" t="s">
        <v>6</v>
      </c>
      <c r="B4" s="5" t="s">
        <v>7</v>
      </c>
      <c r="C4" s="5" t="s">
        <v>140</v>
      </c>
    </row>
    <row r="5" spans="1:3">
      <c r="A5" s="6" t="s">
        <v>141</v>
      </c>
      <c r="B5" s="11">
        <v>28.11</v>
      </c>
      <c r="C5" s="8" t="s">
        <v>44</v>
      </c>
    </row>
    <row r="6" spans="1:3">
      <c r="A6" s="6" t="s">
        <v>142</v>
      </c>
      <c r="B6" s="15">
        <v>0.16300000000000001</v>
      </c>
      <c r="C6" s="8" t="s">
        <v>143</v>
      </c>
    </row>
    <row r="7" spans="1:3">
      <c r="A7" s="6" t="s">
        <v>144</v>
      </c>
      <c r="B7" s="10">
        <f>B5*(1-B6)</f>
        <v>23.52807</v>
      </c>
      <c r="C7" s="8" t="s">
        <v>145</v>
      </c>
    </row>
    <row r="8" spans="1:3">
      <c r="A8" s="6" t="s">
        <v>146</v>
      </c>
      <c r="B8" s="11">
        <v>1.403</v>
      </c>
      <c r="C8" s="8" t="s">
        <v>44</v>
      </c>
    </row>
    <row r="9" spans="1:3">
      <c r="A9" s="6" t="s">
        <v>147</v>
      </c>
      <c r="B9" s="11">
        <v>0.92800000000000005</v>
      </c>
      <c r="C9" s="8" t="s">
        <v>148</v>
      </c>
    </row>
    <row r="10" spans="1:3">
      <c r="A10" s="6" t="s">
        <v>149</v>
      </c>
      <c r="B10" s="11">
        <v>1.671</v>
      </c>
      <c r="C10" s="8" t="s">
        <v>44</v>
      </c>
    </row>
    <row r="11" spans="1:3">
      <c r="A11" s="6" t="s">
        <v>150</v>
      </c>
      <c r="B11" s="11">
        <v>-2.1320000000000001</v>
      </c>
      <c r="C11" s="8" t="s">
        <v>151</v>
      </c>
    </row>
    <row r="12" spans="1:3">
      <c r="A12" s="18" t="s">
        <v>152</v>
      </c>
      <c r="B12" s="10">
        <f>B7+B8+B9-B10+B11</f>
        <v>22.056069999999998</v>
      </c>
      <c r="C12" s="8" t="s">
        <v>153</v>
      </c>
    </row>
    <row r="13" spans="1:3">
      <c r="A13" s="6" t="s">
        <v>154</v>
      </c>
      <c r="B13" s="11">
        <v>23.728000000000002</v>
      </c>
      <c r="C13" s="8" t="s">
        <v>44</v>
      </c>
    </row>
    <row r="14" spans="1:3">
      <c r="A14" s="6" t="s">
        <v>149</v>
      </c>
      <c r="B14" s="11">
        <v>1.671</v>
      </c>
      <c r="C14" s="8" t="s">
        <v>44</v>
      </c>
    </row>
    <row r="15" spans="1:3">
      <c r="A15" s="18" t="s">
        <v>26</v>
      </c>
      <c r="B15" s="10">
        <f>B13-B14</f>
        <v>22.057000000000002</v>
      </c>
      <c r="C15" s="8" t="s">
        <v>155</v>
      </c>
    </row>
    <row r="16" spans="1:3">
      <c r="A16" s="6" t="s">
        <v>45</v>
      </c>
      <c r="B16" s="16">
        <f>B12/B7</f>
        <v>0.93743643231255258</v>
      </c>
      <c r="C16" s="8" t="s">
        <v>156</v>
      </c>
    </row>
    <row r="17" spans="1:3">
      <c r="A17" s="6" t="s">
        <v>43</v>
      </c>
      <c r="B17" s="16">
        <f>B10/45.903</f>
        <v>3.6402849486961639E-2</v>
      </c>
      <c r="C17" s="8" t="s">
        <v>44</v>
      </c>
    </row>
    <row r="18" spans="1:3">
      <c r="A18" s="6" t="s">
        <v>157</v>
      </c>
      <c r="B18" s="13">
        <f>B10/B8</f>
        <v>1.1910192444761225</v>
      </c>
      <c r="C18" s="8" t="s">
        <v>158</v>
      </c>
    </row>
    <row r="20" spans="1:3" ht="16.2">
      <c r="A20" s="3" t="s">
        <v>131</v>
      </c>
      <c r="B20" s="4"/>
      <c r="C20" s="4"/>
    </row>
    <row r="21" spans="1:3" ht="34.049999999999997" customHeight="1">
      <c r="A21" s="28" t="s">
        <v>159</v>
      </c>
      <c r="B21" s="27"/>
      <c r="C21" s="27"/>
    </row>
    <row r="22" spans="1:3" ht="34.049999999999997" customHeight="1">
      <c r="A22" s="28" t="s">
        <v>160</v>
      </c>
      <c r="B22" s="27"/>
      <c r="C22" s="27"/>
    </row>
    <row r="23" spans="1:3" ht="34.049999999999997" customHeight="1">
      <c r="A23" s="28" t="s">
        <v>161</v>
      </c>
      <c r="B23" s="27"/>
      <c r="C23" s="27"/>
    </row>
    <row r="24" spans="1:3" ht="34.049999999999997" customHeight="1">
      <c r="A24" s="28" t="s">
        <v>162</v>
      </c>
      <c r="B24" s="27"/>
      <c r="C24" s="27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163</v>
      </c>
    </row>
    <row r="2" spans="1:14" ht="15.6">
      <c r="A2" s="26" t="s">
        <v>164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.6">
      <c r="A3" s="26" t="s">
        <v>165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6.2">
      <c r="A4" s="3" t="s">
        <v>166</v>
      </c>
      <c r="B4" s="4"/>
      <c r="C4" s="4"/>
      <c r="D4" s="4"/>
      <c r="E4" s="4"/>
    </row>
    <row r="5" spans="1:14">
      <c r="A5" s="6" t="s">
        <v>167</v>
      </c>
      <c r="B5" s="11">
        <v>45.902999999999999</v>
      </c>
    </row>
    <row r="6" spans="1:14">
      <c r="A6" s="6" t="s">
        <v>168</v>
      </c>
      <c r="B6" s="15">
        <v>0.16300000000000001</v>
      </c>
    </row>
    <row r="7" spans="1:14">
      <c r="A7" s="6" t="s">
        <v>169</v>
      </c>
      <c r="B7" s="15">
        <v>0</v>
      </c>
    </row>
    <row r="8" spans="1:14">
      <c r="A8" s="6" t="s">
        <v>15</v>
      </c>
      <c r="B8" s="11">
        <v>7.8940000000000001</v>
      </c>
    </row>
    <row r="9" spans="1:14">
      <c r="A9" s="6" t="s">
        <v>170</v>
      </c>
      <c r="B9" s="11">
        <v>0</v>
      </c>
    </row>
    <row r="10" spans="1:14">
      <c r="A10" s="6" t="s">
        <v>171</v>
      </c>
      <c r="B10" s="9">
        <v>1.91</v>
      </c>
    </row>
    <row r="11" spans="1:14" ht="15">
      <c r="A11" s="30" t="s">
        <v>172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3" spans="1:14" ht="16.2">
      <c r="A13" s="3" t="s">
        <v>173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174</v>
      </c>
      <c r="B14" s="15">
        <v>8.1000000000000003E-2</v>
      </c>
      <c r="C14" s="6" t="s">
        <v>175</v>
      </c>
      <c r="D14" s="15">
        <v>2.5000000000000001E-2</v>
      </c>
    </row>
    <row r="16" spans="1:14">
      <c r="A16" s="5" t="s">
        <v>176</v>
      </c>
      <c r="B16" s="5" t="s">
        <v>88</v>
      </c>
      <c r="C16" s="5" t="s">
        <v>73</v>
      </c>
      <c r="D16" s="5" t="s">
        <v>177</v>
      </c>
      <c r="E16" s="5" t="s">
        <v>178</v>
      </c>
      <c r="F16" s="5" t="s">
        <v>144</v>
      </c>
      <c r="G16" s="5" t="s">
        <v>179</v>
      </c>
      <c r="H16" s="5" t="s">
        <v>180</v>
      </c>
      <c r="I16" s="5" t="s">
        <v>181</v>
      </c>
      <c r="J16" s="5" t="s">
        <v>182</v>
      </c>
      <c r="K16" s="5" t="s">
        <v>183</v>
      </c>
      <c r="L16" s="5" t="s">
        <v>184</v>
      </c>
      <c r="M16" s="5" t="s">
        <v>185</v>
      </c>
      <c r="N16" s="5" t="s">
        <v>186</v>
      </c>
    </row>
    <row r="17" spans="1:14">
      <c r="A17" s="23">
        <v>1</v>
      </c>
      <c r="B17" s="15">
        <v>7.0000000000000007E-2</v>
      </c>
      <c r="C17" s="11">
        <f>$B$5*(1+B17)</f>
        <v>49.116210000000002</v>
      </c>
      <c r="D17" s="15">
        <v>0.59</v>
      </c>
      <c r="E17" s="11">
        <f t="shared" ref="E17:E26" si="0">C17*D17</f>
        <v>28.978563900000001</v>
      </c>
      <c r="F17" s="11">
        <f t="shared" ref="F17:F26" si="1">E17*(1-$B$6)</f>
        <v>24.255057984299999</v>
      </c>
      <c r="G17" s="15">
        <v>3.1E-2</v>
      </c>
      <c r="H17" s="11">
        <f t="shared" ref="H17:H26" si="2">C17*G17</f>
        <v>1.52260251</v>
      </c>
      <c r="I17" s="15">
        <v>4.2000000000000003E-2</v>
      </c>
      <c r="J17" s="11">
        <f t="shared" ref="J17:J26" si="3">C17*I17</f>
        <v>2.0628808200000002</v>
      </c>
      <c r="K17" s="11">
        <f>(C17-$B$5)*$B$7</f>
        <v>0</v>
      </c>
      <c r="L17" s="11">
        <f t="shared" ref="L17:L26" si="4">F17+H17-J17-K17</f>
        <v>23.714779674299997</v>
      </c>
      <c r="M17" s="9">
        <f>1/(1+$B$14)^1</f>
        <v>0.92506938020351526</v>
      </c>
      <c r="N17" s="11">
        <f t="shared" ref="N17:N26" si="5">L17*M17</f>
        <v>21.93781653496762</v>
      </c>
    </row>
    <row r="18" spans="1:14">
      <c r="A18" s="23">
        <v>2</v>
      </c>
      <c r="B18" s="15">
        <v>0.06</v>
      </c>
      <c r="C18" s="11">
        <f t="shared" ref="C18:C26" si="6">C17*(1+B18)</f>
        <v>52.063182600000005</v>
      </c>
      <c r="D18" s="15">
        <v>0.57999999999999996</v>
      </c>
      <c r="E18" s="11">
        <f t="shared" si="0"/>
        <v>30.196645908000001</v>
      </c>
      <c r="F18" s="11">
        <f t="shared" si="1"/>
        <v>25.274592624996</v>
      </c>
      <c r="G18" s="15">
        <v>3.1E-2</v>
      </c>
      <c r="H18" s="11">
        <f t="shared" si="2"/>
        <v>1.6139586606</v>
      </c>
      <c r="I18" s="15">
        <v>4.2000000000000003E-2</v>
      </c>
      <c r="J18" s="11">
        <f t="shared" si="3"/>
        <v>2.1866536692000005</v>
      </c>
      <c r="K18" s="11">
        <f t="shared" ref="K18:K26" si="7">(C18-C17)*$B$7</f>
        <v>0</v>
      </c>
      <c r="L18" s="11">
        <f t="shared" si="4"/>
        <v>24.701897616396</v>
      </c>
      <c r="M18" s="9">
        <f>1/(1+$B$14)^2</f>
        <v>0.85575335819011589</v>
      </c>
      <c r="N18" s="11">
        <f t="shared" si="5"/>
        <v>21.138731838899297</v>
      </c>
    </row>
    <row r="19" spans="1:14">
      <c r="A19" s="23">
        <v>3</v>
      </c>
      <c r="B19" s="15">
        <v>0.05</v>
      </c>
      <c r="C19" s="11">
        <f t="shared" si="6"/>
        <v>54.666341730000006</v>
      </c>
      <c r="D19" s="15">
        <v>0.56999999999999995</v>
      </c>
      <c r="E19" s="11">
        <f t="shared" si="0"/>
        <v>31.1598147861</v>
      </c>
      <c r="F19" s="11">
        <f t="shared" si="1"/>
        <v>26.0807649759657</v>
      </c>
      <c r="G19" s="15">
        <v>3.1E-2</v>
      </c>
      <c r="H19" s="11">
        <f t="shared" si="2"/>
        <v>1.6946565936300002</v>
      </c>
      <c r="I19" s="15">
        <v>4.2000000000000003E-2</v>
      </c>
      <c r="J19" s="11">
        <f t="shared" si="3"/>
        <v>2.2959863526600004</v>
      </c>
      <c r="K19" s="11">
        <f t="shared" si="7"/>
        <v>0</v>
      </c>
      <c r="L19" s="11">
        <f t="shared" si="4"/>
        <v>25.479435216935698</v>
      </c>
      <c r="M19" s="9">
        <f>1/(1+$B$14)^3</f>
        <v>0.79163122866800739</v>
      </c>
      <c r="N19" s="11">
        <f t="shared" si="5"/>
        <v>20.170316606549704</v>
      </c>
    </row>
    <row r="20" spans="1:14">
      <c r="A20" s="23">
        <v>4</v>
      </c>
      <c r="B20" s="15">
        <v>4.4999999999999998E-2</v>
      </c>
      <c r="C20" s="11">
        <f t="shared" si="6"/>
        <v>57.126327107850003</v>
      </c>
      <c r="D20" s="15">
        <v>0.56000000000000005</v>
      </c>
      <c r="E20" s="11">
        <f t="shared" si="0"/>
        <v>31.990743180396006</v>
      </c>
      <c r="F20" s="11">
        <f t="shared" si="1"/>
        <v>26.776252041991455</v>
      </c>
      <c r="G20" s="15">
        <v>3.1E-2</v>
      </c>
      <c r="H20" s="11">
        <f t="shared" si="2"/>
        <v>1.77091614034335</v>
      </c>
      <c r="I20" s="15">
        <v>4.2000000000000003E-2</v>
      </c>
      <c r="J20" s="11">
        <f t="shared" si="3"/>
        <v>2.3993057385297001</v>
      </c>
      <c r="K20" s="11">
        <f t="shared" si="7"/>
        <v>0</v>
      </c>
      <c r="L20" s="11">
        <f t="shared" si="4"/>
        <v>26.147862443805103</v>
      </c>
      <c r="M20" s="9">
        <f>1/(1+$B$14)^4</f>
        <v>0.73231381005366081</v>
      </c>
      <c r="N20" s="11">
        <f t="shared" si="5"/>
        <v>19.148440770981942</v>
      </c>
    </row>
    <row r="21" spans="1:14">
      <c r="A21" s="23">
        <v>5</v>
      </c>
      <c r="B21" s="15">
        <v>0.04</v>
      </c>
      <c r="C21" s="11">
        <f t="shared" si="6"/>
        <v>59.411380192164003</v>
      </c>
      <c r="D21" s="15">
        <v>0.55000000000000004</v>
      </c>
      <c r="E21" s="11">
        <f t="shared" si="0"/>
        <v>32.676259105690207</v>
      </c>
      <c r="F21" s="11">
        <f t="shared" si="1"/>
        <v>27.350028871462701</v>
      </c>
      <c r="G21" s="15">
        <v>3.1E-2</v>
      </c>
      <c r="H21" s="11">
        <f t="shared" si="2"/>
        <v>1.8417527859570841</v>
      </c>
      <c r="I21" s="15">
        <v>4.2000000000000003E-2</v>
      </c>
      <c r="J21" s="11">
        <f t="shared" si="3"/>
        <v>2.4952779680708881</v>
      </c>
      <c r="K21" s="11">
        <f t="shared" si="7"/>
        <v>0</v>
      </c>
      <c r="L21" s="11">
        <f t="shared" si="4"/>
        <v>26.696503689348898</v>
      </c>
      <c r="M21" s="9">
        <f>1/(1+$B$14)^5</f>
        <v>0.67744108238081491</v>
      </c>
      <c r="N21" s="11">
        <f t="shared" si="5"/>
        <v>18.085308355095936</v>
      </c>
    </row>
    <row r="22" spans="1:14">
      <c r="A22" s="23">
        <v>6</v>
      </c>
      <c r="B22" s="15">
        <v>0.04</v>
      </c>
      <c r="C22" s="11">
        <f t="shared" si="6"/>
        <v>61.787835399850564</v>
      </c>
      <c r="D22" s="15">
        <v>0.55000000000000004</v>
      </c>
      <c r="E22" s="11">
        <f t="shared" si="0"/>
        <v>33.983309469917813</v>
      </c>
      <c r="F22" s="11">
        <f t="shared" si="1"/>
        <v>28.444030026321208</v>
      </c>
      <c r="G22" s="15">
        <v>3.1E-2</v>
      </c>
      <c r="H22" s="11">
        <f t="shared" si="2"/>
        <v>1.9154228973953675</v>
      </c>
      <c r="I22" s="15">
        <v>4.2000000000000003E-2</v>
      </c>
      <c r="J22" s="11">
        <f t="shared" si="3"/>
        <v>2.595089086793724</v>
      </c>
      <c r="K22" s="11">
        <f t="shared" si="7"/>
        <v>0</v>
      </c>
      <c r="L22" s="11">
        <f t="shared" si="4"/>
        <v>27.76436383692285</v>
      </c>
      <c r="M22" s="9">
        <f>1/(1+$B$14)^6</f>
        <v>0.62668000220241893</v>
      </c>
      <c r="N22" s="11">
        <f t="shared" si="5"/>
        <v>17.399371590471571</v>
      </c>
    </row>
    <row r="23" spans="1:14">
      <c r="A23" s="23">
        <v>7</v>
      </c>
      <c r="B23" s="15">
        <v>3.5000000000000003E-2</v>
      </c>
      <c r="C23" s="11">
        <f t="shared" si="6"/>
        <v>63.950409638845329</v>
      </c>
      <c r="D23" s="15">
        <v>0.54</v>
      </c>
      <c r="E23" s="11">
        <f t="shared" si="0"/>
        <v>34.533221204976478</v>
      </c>
      <c r="F23" s="11">
        <f t="shared" si="1"/>
        <v>28.904306148565311</v>
      </c>
      <c r="G23" s="15">
        <v>3.1E-2</v>
      </c>
      <c r="H23" s="11">
        <f t="shared" si="2"/>
        <v>1.9824626988042051</v>
      </c>
      <c r="I23" s="15">
        <v>4.2000000000000003E-2</v>
      </c>
      <c r="J23" s="11">
        <f t="shared" si="3"/>
        <v>2.6859172048315041</v>
      </c>
      <c r="K23" s="11">
        <f t="shared" si="7"/>
        <v>0</v>
      </c>
      <c r="L23" s="11">
        <f t="shared" si="4"/>
        <v>28.200851642538012</v>
      </c>
      <c r="M23" s="9">
        <f>1/(1+$B$14)^7</f>
        <v>0.57972248122332926</v>
      </c>
      <c r="N23" s="11">
        <f t="shared" si="5"/>
        <v>16.348667686823138</v>
      </c>
    </row>
    <row r="24" spans="1:14">
      <c r="A24" s="23">
        <v>8</v>
      </c>
      <c r="B24" s="15">
        <v>3.5000000000000003E-2</v>
      </c>
      <c r="C24" s="11">
        <f t="shared" si="6"/>
        <v>66.18867397620491</v>
      </c>
      <c r="D24" s="15">
        <v>0.54</v>
      </c>
      <c r="E24" s="11">
        <f t="shared" si="0"/>
        <v>35.741883947150654</v>
      </c>
      <c r="F24" s="11">
        <f t="shared" si="1"/>
        <v>29.915956863765096</v>
      </c>
      <c r="G24" s="15">
        <v>3.1E-2</v>
      </c>
      <c r="H24" s="11">
        <f t="shared" si="2"/>
        <v>2.0518488932623522</v>
      </c>
      <c r="I24" s="15">
        <v>4.2000000000000003E-2</v>
      </c>
      <c r="J24" s="11">
        <f t="shared" si="3"/>
        <v>2.7799243070006066</v>
      </c>
      <c r="K24" s="11">
        <f t="shared" si="7"/>
        <v>0</v>
      </c>
      <c r="L24" s="11">
        <f t="shared" si="4"/>
        <v>29.187881450026843</v>
      </c>
      <c r="M24" s="9">
        <f>1/(1+$B$14)^8</f>
        <v>0.53628351639530925</v>
      </c>
      <c r="N24" s="11">
        <f t="shared" si="5"/>
        <v>15.652979700149814</v>
      </c>
    </row>
    <row r="25" spans="1:14">
      <c r="A25" s="23">
        <v>9</v>
      </c>
      <c r="B25" s="15">
        <v>0.03</v>
      </c>
      <c r="C25" s="11">
        <f t="shared" si="6"/>
        <v>68.174334195491056</v>
      </c>
      <c r="D25" s="15">
        <v>0.53</v>
      </c>
      <c r="E25" s="11">
        <f t="shared" si="0"/>
        <v>36.132397123610261</v>
      </c>
      <c r="F25" s="11">
        <f t="shared" si="1"/>
        <v>30.242816392461787</v>
      </c>
      <c r="G25" s="15">
        <v>3.1E-2</v>
      </c>
      <c r="H25" s="11">
        <f t="shared" si="2"/>
        <v>2.1134043600602226</v>
      </c>
      <c r="I25" s="15">
        <v>4.2000000000000003E-2</v>
      </c>
      <c r="J25" s="11">
        <f t="shared" si="3"/>
        <v>2.8633220362106244</v>
      </c>
      <c r="K25" s="11">
        <f t="shared" si="7"/>
        <v>0</v>
      </c>
      <c r="L25" s="11">
        <f t="shared" si="4"/>
        <v>29.49289871631138</v>
      </c>
      <c r="M25" s="9">
        <f>1/(1+$B$14)^9</f>
        <v>0.49609946012517048</v>
      </c>
      <c r="N25" s="11">
        <f t="shared" si="5"/>
        <v>14.631411130688409</v>
      </c>
    </row>
    <row r="26" spans="1:14">
      <c r="A26" s="23">
        <v>10</v>
      </c>
      <c r="B26" s="15">
        <v>0.03</v>
      </c>
      <c r="C26" s="11">
        <f t="shared" si="6"/>
        <v>70.219564221355796</v>
      </c>
      <c r="D26" s="15">
        <v>0.53</v>
      </c>
      <c r="E26" s="11">
        <f t="shared" si="0"/>
        <v>37.216369037318572</v>
      </c>
      <c r="F26" s="11">
        <f t="shared" si="1"/>
        <v>31.150100884235645</v>
      </c>
      <c r="G26" s="15">
        <v>3.1E-2</v>
      </c>
      <c r="H26" s="11">
        <f t="shared" si="2"/>
        <v>2.1768064908620297</v>
      </c>
      <c r="I26" s="15">
        <v>4.2000000000000003E-2</v>
      </c>
      <c r="J26" s="11">
        <f t="shared" si="3"/>
        <v>2.9492216972969438</v>
      </c>
      <c r="K26" s="11">
        <f t="shared" si="7"/>
        <v>0</v>
      </c>
      <c r="L26" s="11">
        <f t="shared" si="4"/>
        <v>30.377685677800731</v>
      </c>
      <c r="M26" s="9">
        <f>1/(1+$B$14)^10</f>
        <v>0.45892642009728996</v>
      </c>
      <c r="N26" s="11">
        <f t="shared" si="5"/>
        <v>13.941122538953806</v>
      </c>
    </row>
    <row r="27" spans="1:14">
      <c r="A27" s="18" t="s">
        <v>187</v>
      </c>
      <c r="B27" s="11">
        <f>L26*(1+$D$14)/($B$14-$D$14)</f>
        <v>556.02013963831689</v>
      </c>
    </row>
    <row r="28" spans="1:14">
      <c r="A28" s="6" t="s">
        <v>188</v>
      </c>
      <c r="B28" s="11">
        <f>B27/(1+$B$14)^10</f>
        <v>255.17233218620802</v>
      </c>
    </row>
    <row r="29" spans="1:14">
      <c r="A29" s="18" t="s">
        <v>189</v>
      </c>
      <c r="B29" s="11">
        <f>SUM(N17:N26)+B28</f>
        <v>433.62649893978926</v>
      </c>
    </row>
    <row r="30" spans="1:14">
      <c r="A30" s="6" t="s">
        <v>190</v>
      </c>
      <c r="B30" s="11">
        <f>$B$8</f>
        <v>7.8940000000000001</v>
      </c>
    </row>
    <row r="31" spans="1:14">
      <c r="A31" s="18" t="s">
        <v>191</v>
      </c>
      <c r="B31" s="11">
        <f>B29-B30</f>
        <v>425.73249893978925</v>
      </c>
    </row>
    <row r="32" spans="1:14">
      <c r="A32" s="18" t="s">
        <v>192</v>
      </c>
      <c r="B32" s="7">
        <f>B31/$B$10</f>
        <v>222.89659630355459</v>
      </c>
      <c r="C32" s="6" t="s">
        <v>193</v>
      </c>
    </row>
    <row r="36" spans="1:14" ht="16.2">
      <c r="A36" s="3" t="s">
        <v>194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174</v>
      </c>
      <c r="B37" s="15">
        <v>7.2999999999999995E-2</v>
      </c>
      <c r="C37" s="6" t="s">
        <v>175</v>
      </c>
      <c r="D37" s="15">
        <v>0.03</v>
      </c>
    </row>
    <row r="39" spans="1:14">
      <c r="A39" s="5" t="s">
        <v>176</v>
      </c>
      <c r="B39" s="5" t="s">
        <v>88</v>
      </c>
      <c r="C39" s="5" t="s">
        <v>73</v>
      </c>
      <c r="D39" s="5" t="s">
        <v>177</v>
      </c>
      <c r="E39" s="5" t="s">
        <v>178</v>
      </c>
      <c r="F39" s="5" t="s">
        <v>144</v>
      </c>
      <c r="G39" s="5" t="s">
        <v>179</v>
      </c>
      <c r="H39" s="5" t="s">
        <v>180</v>
      </c>
      <c r="I39" s="5" t="s">
        <v>181</v>
      </c>
      <c r="J39" s="5" t="s">
        <v>182</v>
      </c>
      <c r="K39" s="5" t="s">
        <v>183</v>
      </c>
      <c r="L39" s="5" t="s">
        <v>184</v>
      </c>
      <c r="M39" s="5" t="s">
        <v>185</v>
      </c>
      <c r="N39" s="5" t="s">
        <v>186</v>
      </c>
    </row>
    <row r="40" spans="1:14">
      <c r="A40" s="23">
        <v>1</v>
      </c>
      <c r="B40" s="15">
        <v>0.11</v>
      </c>
      <c r="C40" s="11">
        <f>$B$5*(1+B40)</f>
        <v>50.952330000000003</v>
      </c>
      <c r="D40" s="15">
        <v>0.62</v>
      </c>
      <c r="E40" s="11">
        <f t="shared" ref="E40:E49" si="8">C40*D40</f>
        <v>31.590444600000001</v>
      </c>
      <c r="F40" s="11">
        <f t="shared" ref="F40:F49" si="9">E40*(1-$B$6)</f>
        <v>26.441202130200001</v>
      </c>
      <c r="G40" s="15">
        <v>3.1E-2</v>
      </c>
      <c r="H40" s="11">
        <f t="shared" ref="H40:H49" si="10">C40*G40</f>
        <v>1.57952223</v>
      </c>
      <c r="I40" s="15">
        <v>3.5999999999999997E-2</v>
      </c>
      <c r="J40" s="11">
        <f t="shared" ref="J40:J49" si="11">C40*I40</f>
        <v>1.8342838800000001</v>
      </c>
      <c r="K40" s="11">
        <f>(C40-$B$5)*$B$7</f>
        <v>0</v>
      </c>
      <c r="L40" s="11">
        <f t="shared" ref="L40:L49" si="12">F40+H40-J40-K40</f>
        <v>26.186440480199998</v>
      </c>
      <c r="M40" s="9">
        <f>1/(1+$B$37)^1</f>
        <v>0.93196644920782856</v>
      </c>
      <c r="N40" s="11">
        <f t="shared" ref="N40:N49" si="13">L40*M40</f>
        <v>24.404883951724138</v>
      </c>
    </row>
    <row r="41" spans="1:14">
      <c r="A41" s="23">
        <v>2</v>
      </c>
      <c r="B41" s="15">
        <v>0.1</v>
      </c>
      <c r="C41" s="11">
        <f t="shared" ref="C41:C49" si="14">C40*(1+B41)</f>
        <v>56.047563000000011</v>
      </c>
      <c r="D41" s="15">
        <v>0.625</v>
      </c>
      <c r="E41" s="11">
        <f t="shared" si="8"/>
        <v>35.029726875000009</v>
      </c>
      <c r="F41" s="11">
        <f t="shared" si="9"/>
        <v>29.319881394375006</v>
      </c>
      <c r="G41" s="15">
        <v>3.1E-2</v>
      </c>
      <c r="H41" s="11">
        <f t="shared" si="10"/>
        <v>1.7374744530000004</v>
      </c>
      <c r="I41" s="15">
        <v>3.5999999999999997E-2</v>
      </c>
      <c r="J41" s="11">
        <f t="shared" si="11"/>
        <v>2.0177122680000004</v>
      </c>
      <c r="K41" s="11">
        <f t="shared" ref="K41:K49" si="15">(C41-C40)*$B$7</f>
        <v>0</v>
      </c>
      <c r="L41" s="11">
        <f t="shared" si="12"/>
        <v>29.039643579375007</v>
      </c>
      <c r="M41" s="9">
        <f>1/(1+$B$37)^2</f>
        <v>0.86856146244904819</v>
      </c>
      <c r="N41" s="11">
        <f t="shared" si="13"/>
        <v>25.222715296301068</v>
      </c>
    </row>
    <row r="42" spans="1:14">
      <c r="A42" s="23">
        <v>3</v>
      </c>
      <c r="B42" s="15">
        <v>0.09</v>
      </c>
      <c r="C42" s="11">
        <f t="shared" si="14"/>
        <v>61.091843670000017</v>
      </c>
      <c r="D42" s="15">
        <v>0.625</v>
      </c>
      <c r="E42" s="11">
        <f t="shared" si="8"/>
        <v>38.182402293750009</v>
      </c>
      <c r="F42" s="11">
        <f t="shared" si="9"/>
        <v>31.958670719868756</v>
      </c>
      <c r="G42" s="15">
        <v>3.1E-2</v>
      </c>
      <c r="H42" s="11">
        <f t="shared" si="10"/>
        <v>1.8938471537700006</v>
      </c>
      <c r="I42" s="15">
        <v>3.5999999999999997E-2</v>
      </c>
      <c r="J42" s="11">
        <f t="shared" si="11"/>
        <v>2.1993063721200006</v>
      </c>
      <c r="K42" s="11">
        <f t="shared" si="15"/>
        <v>0</v>
      </c>
      <c r="L42" s="11">
        <f t="shared" si="12"/>
        <v>31.653211501518761</v>
      </c>
      <c r="M42" s="9">
        <f>1/(1+$B$37)^3</f>
        <v>0.8094701420773982</v>
      </c>
      <c r="N42" s="11">
        <f t="shared" si="13"/>
        <v>25.622329611340326</v>
      </c>
    </row>
    <row r="43" spans="1:14">
      <c r="A43" s="23">
        <v>4</v>
      </c>
      <c r="B43" s="15">
        <v>0.08</v>
      </c>
      <c r="C43" s="11">
        <f t="shared" si="14"/>
        <v>65.979191163600021</v>
      </c>
      <c r="D43" s="15">
        <v>0.625</v>
      </c>
      <c r="E43" s="11">
        <f t="shared" si="8"/>
        <v>41.236994477250015</v>
      </c>
      <c r="F43" s="11">
        <f t="shared" si="9"/>
        <v>34.515364377458262</v>
      </c>
      <c r="G43" s="15">
        <v>3.1E-2</v>
      </c>
      <c r="H43" s="11">
        <f t="shared" si="10"/>
        <v>2.0453549260716004</v>
      </c>
      <c r="I43" s="15">
        <v>3.5999999999999997E-2</v>
      </c>
      <c r="J43" s="11">
        <f t="shared" si="11"/>
        <v>2.3752508818896008</v>
      </c>
      <c r="K43" s="11">
        <f t="shared" si="15"/>
        <v>0</v>
      </c>
      <c r="L43" s="11">
        <f t="shared" si="12"/>
        <v>34.185468421640266</v>
      </c>
      <c r="M43" s="9">
        <f>1/(1+$B$37)^4</f>
        <v>0.75439901405162924</v>
      </c>
      <c r="N43" s="11">
        <f t="shared" si="13"/>
        <v>25.789483672178523</v>
      </c>
    </row>
    <row r="44" spans="1:14">
      <c r="A44" s="23">
        <v>5</v>
      </c>
      <c r="B44" s="15">
        <v>7.4999999999999997E-2</v>
      </c>
      <c r="C44" s="11">
        <f t="shared" si="14"/>
        <v>70.927630500870023</v>
      </c>
      <c r="D44" s="15">
        <v>0.625</v>
      </c>
      <c r="E44" s="11">
        <f t="shared" si="8"/>
        <v>44.329769063043763</v>
      </c>
      <c r="F44" s="11">
        <f t="shared" si="9"/>
        <v>37.104016705767627</v>
      </c>
      <c r="G44" s="15">
        <v>3.1E-2</v>
      </c>
      <c r="H44" s="11">
        <f t="shared" si="10"/>
        <v>2.1987565455269706</v>
      </c>
      <c r="I44" s="15">
        <v>3.5999999999999997E-2</v>
      </c>
      <c r="J44" s="11">
        <f t="shared" si="11"/>
        <v>2.5533946980313207</v>
      </c>
      <c r="K44" s="11">
        <f t="shared" si="15"/>
        <v>0</v>
      </c>
      <c r="L44" s="11">
        <f t="shared" si="12"/>
        <v>36.749378553263277</v>
      </c>
      <c r="M44" s="9">
        <f>1/(1+$B$37)^5</f>
        <v>0.70307457041158372</v>
      </c>
      <c r="N44" s="11">
        <f t="shared" si="13"/>
        <v>25.837553539228246</v>
      </c>
    </row>
    <row r="45" spans="1:14">
      <c r="A45" s="23">
        <v>6</v>
      </c>
      <c r="B45" s="15">
        <v>7.0000000000000007E-2</v>
      </c>
      <c r="C45" s="11">
        <f t="shared" si="14"/>
        <v>75.892564635930924</v>
      </c>
      <c r="D45" s="15">
        <v>0.62</v>
      </c>
      <c r="E45" s="11">
        <f t="shared" si="8"/>
        <v>47.053390074277175</v>
      </c>
      <c r="F45" s="11">
        <f t="shared" si="9"/>
        <v>39.383687492169997</v>
      </c>
      <c r="G45" s="15">
        <v>3.1E-2</v>
      </c>
      <c r="H45" s="11">
        <f t="shared" si="10"/>
        <v>2.3526695037138587</v>
      </c>
      <c r="I45" s="15">
        <v>3.5999999999999997E-2</v>
      </c>
      <c r="J45" s="11">
        <f t="shared" si="11"/>
        <v>2.7321323268935132</v>
      </c>
      <c r="K45" s="11">
        <f t="shared" si="15"/>
        <v>0</v>
      </c>
      <c r="L45" s="11">
        <f t="shared" si="12"/>
        <v>39.004224668990339</v>
      </c>
      <c r="M45" s="9">
        <f>1/(1+$B$37)^6</f>
        <v>0.65524191091480311</v>
      </c>
      <c r="N45" s="11">
        <f t="shared" si="13"/>
        <v>25.557202705859535</v>
      </c>
    </row>
    <row r="46" spans="1:14">
      <c r="A46" s="23">
        <v>7</v>
      </c>
      <c r="B46" s="15">
        <v>6.5000000000000002E-2</v>
      </c>
      <c r="C46" s="11">
        <f t="shared" si="14"/>
        <v>80.825581337266428</v>
      </c>
      <c r="D46" s="15">
        <v>0.62</v>
      </c>
      <c r="E46" s="11">
        <f t="shared" si="8"/>
        <v>50.111860429105185</v>
      </c>
      <c r="F46" s="11">
        <f t="shared" si="9"/>
        <v>41.943627179161041</v>
      </c>
      <c r="G46" s="15">
        <v>3.1E-2</v>
      </c>
      <c r="H46" s="11">
        <f t="shared" si="10"/>
        <v>2.5055930214552591</v>
      </c>
      <c r="I46" s="15">
        <v>3.5999999999999997E-2</v>
      </c>
      <c r="J46" s="11">
        <f t="shared" si="11"/>
        <v>2.9097209281415912</v>
      </c>
      <c r="K46" s="11">
        <f t="shared" si="15"/>
        <v>0</v>
      </c>
      <c r="L46" s="11">
        <f t="shared" si="12"/>
        <v>41.539499272474714</v>
      </c>
      <c r="M46" s="9">
        <f>1/(1+$B$37)^7</f>
        <v>0.61066347708742152</v>
      </c>
      <c r="N46" s="11">
        <f t="shared" si="13"/>
        <v>25.366655062199825</v>
      </c>
    </row>
    <row r="47" spans="1:14">
      <c r="A47" s="23">
        <v>8</v>
      </c>
      <c r="B47" s="15">
        <v>0.06</v>
      </c>
      <c r="C47" s="11">
        <f t="shared" si="14"/>
        <v>85.675116217502421</v>
      </c>
      <c r="D47" s="15">
        <v>0.61499999999999999</v>
      </c>
      <c r="E47" s="11">
        <f t="shared" si="8"/>
        <v>52.69019647376399</v>
      </c>
      <c r="F47" s="11">
        <f t="shared" si="9"/>
        <v>44.101694448540457</v>
      </c>
      <c r="G47" s="15">
        <v>3.1E-2</v>
      </c>
      <c r="H47" s="11">
        <f t="shared" si="10"/>
        <v>2.6559286027425748</v>
      </c>
      <c r="I47" s="15">
        <v>3.5999999999999997E-2</v>
      </c>
      <c r="J47" s="11">
        <f t="shared" si="11"/>
        <v>3.0843041838300871</v>
      </c>
      <c r="K47" s="11">
        <f t="shared" si="15"/>
        <v>0</v>
      </c>
      <c r="L47" s="11">
        <f t="shared" si="12"/>
        <v>43.673318867452949</v>
      </c>
      <c r="M47" s="9">
        <f>1/(1+$B$37)^8</f>
        <v>0.56911787240207035</v>
      </c>
      <c r="N47" s="11">
        <f t="shared" si="13"/>
        <v>24.855266314582018</v>
      </c>
    </row>
    <row r="48" spans="1:14">
      <c r="A48" s="23">
        <v>9</v>
      </c>
      <c r="B48" s="15">
        <v>5.5E-2</v>
      </c>
      <c r="C48" s="11">
        <f t="shared" si="14"/>
        <v>90.387247609465049</v>
      </c>
      <c r="D48" s="15">
        <v>0.61499999999999999</v>
      </c>
      <c r="E48" s="11">
        <f t="shared" si="8"/>
        <v>55.588157279821004</v>
      </c>
      <c r="F48" s="11">
        <f t="shared" si="9"/>
        <v>46.52728764321018</v>
      </c>
      <c r="G48" s="15">
        <v>3.1E-2</v>
      </c>
      <c r="H48" s="11">
        <f t="shared" si="10"/>
        <v>2.8020046758934165</v>
      </c>
      <c r="I48" s="15">
        <v>3.5999999999999997E-2</v>
      </c>
      <c r="J48" s="11">
        <f t="shared" si="11"/>
        <v>3.2539409139407414</v>
      </c>
      <c r="K48" s="11">
        <f t="shared" si="15"/>
        <v>0</v>
      </c>
      <c r="L48" s="11">
        <f t="shared" si="12"/>
        <v>46.075351405162856</v>
      </c>
      <c r="M48" s="9">
        <f>1/(1+$B$37)^9</f>
        <v>0.53039876272327158</v>
      </c>
      <c r="N48" s="11">
        <f t="shared" si="13"/>
        <v>24.438309377338332</v>
      </c>
    </row>
    <row r="49" spans="1:14">
      <c r="A49" s="23">
        <v>10</v>
      </c>
      <c r="B49" s="15">
        <v>0.05</v>
      </c>
      <c r="C49" s="11">
        <f t="shared" si="14"/>
        <v>94.906609989938303</v>
      </c>
      <c r="D49" s="15">
        <v>0.61</v>
      </c>
      <c r="E49" s="11">
        <f t="shared" si="8"/>
        <v>57.893032093862367</v>
      </c>
      <c r="F49" s="11">
        <f t="shared" si="9"/>
        <v>48.456467862562796</v>
      </c>
      <c r="G49" s="15">
        <v>3.1E-2</v>
      </c>
      <c r="H49" s="11">
        <f t="shared" si="10"/>
        <v>2.9421049096880876</v>
      </c>
      <c r="I49" s="15">
        <v>3.5999999999999997E-2</v>
      </c>
      <c r="J49" s="11">
        <f t="shared" si="11"/>
        <v>3.4166379596377787</v>
      </c>
      <c r="K49" s="11">
        <f t="shared" si="15"/>
        <v>0</v>
      </c>
      <c r="L49" s="11">
        <f t="shared" si="12"/>
        <v>47.981934812613105</v>
      </c>
      <c r="M49" s="9">
        <f>1/(1+$B$37)^10</f>
        <v>0.49431385155943303</v>
      </c>
      <c r="N49" s="11">
        <f t="shared" si="13"/>
        <v>23.718135002496425</v>
      </c>
    </row>
    <row r="50" spans="1:14">
      <c r="A50" s="18" t="s">
        <v>187</v>
      </c>
      <c r="B50" s="11">
        <f>L49*(1+$D$37)/($B$37-$D$37)</f>
        <v>1149.3347176044535</v>
      </c>
    </row>
    <row r="51" spans="1:14">
      <c r="A51" s="6" t="s">
        <v>188</v>
      </c>
      <c r="B51" s="11">
        <f>B50/(1+$B$37)^10</f>
        <v>568.13207099003068</v>
      </c>
    </row>
    <row r="52" spans="1:14">
      <c r="A52" s="18" t="s">
        <v>189</v>
      </c>
      <c r="B52" s="11">
        <f>SUM(N40:N49)+B51</f>
        <v>818.94460552327905</v>
      </c>
    </row>
    <row r="53" spans="1:14">
      <c r="A53" s="6" t="s">
        <v>190</v>
      </c>
      <c r="B53" s="11">
        <f>$B$8</f>
        <v>7.8940000000000001</v>
      </c>
    </row>
    <row r="54" spans="1:14">
      <c r="A54" s="18" t="s">
        <v>191</v>
      </c>
      <c r="B54" s="11">
        <f>B52-B53</f>
        <v>811.05060552327905</v>
      </c>
    </row>
    <row r="55" spans="1:14">
      <c r="A55" s="18" t="s">
        <v>192</v>
      </c>
      <c r="B55" s="7">
        <f>B54/$B$10</f>
        <v>424.63382488129793</v>
      </c>
      <c r="C55" s="6" t="s">
        <v>195</v>
      </c>
    </row>
    <row r="59" spans="1:14" ht="16.2">
      <c r="A59" s="3" t="s">
        <v>196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174</v>
      </c>
      <c r="B60" s="15">
        <v>6.8000000000000005E-2</v>
      </c>
      <c r="C60" s="6" t="s">
        <v>175</v>
      </c>
      <c r="D60" s="15">
        <v>3.2000000000000001E-2</v>
      </c>
    </row>
    <row r="62" spans="1:14">
      <c r="A62" s="5" t="s">
        <v>176</v>
      </c>
      <c r="B62" s="5" t="s">
        <v>88</v>
      </c>
      <c r="C62" s="5" t="s">
        <v>73</v>
      </c>
      <c r="D62" s="5" t="s">
        <v>177</v>
      </c>
      <c r="E62" s="5" t="s">
        <v>178</v>
      </c>
      <c r="F62" s="5" t="s">
        <v>144</v>
      </c>
      <c r="G62" s="5" t="s">
        <v>179</v>
      </c>
      <c r="H62" s="5" t="s">
        <v>180</v>
      </c>
      <c r="I62" s="5" t="s">
        <v>181</v>
      </c>
      <c r="J62" s="5" t="s">
        <v>182</v>
      </c>
      <c r="K62" s="5" t="s">
        <v>183</v>
      </c>
      <c r="L62" s="5" t="s">
        <v>184</v>
      </c>
      <c r="M62" s="5" t="s">
        <v>185</v>
      </c>
      <c r="N62" s="5" t="s">
        <v>186</v>
      </c>
    </row>
    <row r="63" spans="1:14">
      <c r="A63" s="23">
        <v>1</v>
      </c>
      <c r="B63" s="15">
        <v>0.13</v>
      </c>
      <c r="C63" s="11">
        <f>$B$5*(1+B63)</f>
        <v>51.870389999999993</v>
      </c>
      <c r="D63" s="15">
        <v>0.63</v>
      </c>
      <c r="E63" s="11">
        <f t="shared" ref="E63:E72" si="16">C63*D63</f>
        <v>32.678345699999994</v>
      </c>
      <c r="F63" s="11">
        <f t="shared" ref="F63:F72" si="17">E63*(1-$B$6)</f>
        <v>27.351775350899995</v>
      </c>
      <c r="G63" s="15">
        <v>3.1E-2</v>
      </c>
      <c r="H63" s="11">
        <f t="shared" ref="H63:H72" si="18">C63*G63</f>
        <v>1.6079820899999997</v>
      </c>
      <c r="I63" s="15">
        <v>3.4000000000000002E-2</v>
      </c>
      <c r="J63" s="11">
        <f t="shared" ref="J63:J72" si="19">C63*I63</f>
        <v>1.7635932599999999</v>
      </c>
      <c r="K63" s="11">
        <f>(C63-$B$5)*$B$7</f>
        <v>0</v>
      </c>
      <c r="L63" s="11">
        <f t="shared" ref="L63:L72" si="20">F63+H63-J63-K63</f>
        <v>27.196164180899995</v>
      </c>
      <c r="M63" s="9">
        <f>1/(1+$B$60)^1</f>
        <v>0.93632958801498123</v>
      </c>
      <c r="N63" s="11">
        <f t="shared" ref="N63:N72" si="21">L63*M63</f>
        <v>25.464573203089881</v>
      </c>
    </row>
    <row r="64" spans="1:14">
      <c r="A64" s="23">
        <v>2</v>
      </c>
      <c r="B64" s="15">
        <v>0.12</v>
      </c>
      <c r="C64" s="11">
        <f t="shared" ref="C64:C72" si="22">C63*(1+B64)</f>
        <v>58.094836799999996</v>
      </c>
      <c r="D64" s="15">
        <v>0.64</v>
      </c>
      <c r="E64" s="11">
        <f t="shared" si="16"/>
        <v>37.180695551999996</v>
      </c>
      <c r="F64" s="11">
        <f t="shared" si="17"/>
        <v>31.120242177023997</v>
      </c>
      <c r="G64" s="15">
        <v>3.1E-2</v>
      </c>
      <c r="H64" s="11">
        <f t="shared" si="18"/>
        <v>1.8009399408</v>
      </c>
      <c r="I64" s="15">
        <v>3.4000000000000002E-2</v>
      </c>
      <c r="J64" s="11">
        <f t="shared" si="19"/>
        <v>1.9752244511999999</v>
      </c>
      <c r="K64" s="11">
        <f t="shared" ref="K64:K72" si="23">(C64-C63)*$B$7</f>
        <v>0</v>
      </c>
      <c r="L64" s="11">
        <f t="shared" si="20"/>
        <v>30.945957666623997</v>
      </c>
      <c r="M64" s="9">
        <f>1/(1+$B$60)^2</f>
        <v>0.87671309739230452</v>
      </c>
      <c r="N64" s="11">
        <f t="shared" si="21"/>
        <v>27.130726397677059</v>
      </c>
    </row>
    <row r="65" spans="1:14">
      <c r="A65" s="23">
        <v>3</v>
      </c>
      <c r="B65" s="15">
        <v>0.11</v>
      </c>
      <c r="C65" s="11">
        <f t="shared" si="22"/>
        <v>64.485268848000004</v>
      </c>
      <c r="D65" s="15">
        <v>0.64500000000000002</v>
      </c>
      <c r="E65" s="11">
        <f t="shared" si="16"/>
        <v>41.592998406960007</v>
      </c>
      <c r="F65" s="11">
        <f t="shared" si="17"/>
        <v>34.813339666625524</v>
      </c>
      <c r="G65" s="15">
        <v>3.1E-2</v>
      </c>
      <c r="H65" s="11">
        <f t="shared" si="18"/>
        <v>1.9990433342880001</v>
      </c>
      <c r="I65" s="15">
        <v>3.4000000000000002E-2</v>
      </c>
      <c r="J65" s="11">
        <f t="shared" si="19"/>
        <v>2.1924991408320005</v>
      </c>
      <c r="K65" s="11">
        <f t="shared" si="23"/>
        <v>0</v>
      </c>
      <c r="L65" s="11">
        <f t="shared" si="20"/>
        <v>34.619883860081522</v>
      </c>
      <c r="M65" s="9">
        <f>1/(1+$B$60)^3</f>
        <v>0.82089241328867457</v>
      </c>
      <c r="N65" s="11">
        <f t="shared" si="21"/>
        <v>28.419200009675954</v>
      </c>
    </row>
    <row r="66" spans="1:14">
      <c r="A66" s="23">
        <v>4</v>
      </c>
      <c r="B66" s="15">
        <v>0.1</v>
      </c>
      <c r="C66" s="11">
        <f t="shared" si="22"/>
        <v>70.933795732800007</v>
      </c>
      <c r="D66" s="15">
        <v>0.65</v>
      </c>
      <c r="E66" s="11">
        <f t="shared" si="16"/>
        <v>46.106967226320009</v>
      </c>
      <c r="F66" s="11">
        <f t="shared" si="17"/>
        <v>38.591531568429843</v>
      </c>
      <c r="G66" s="15">
        <v>3.1E-2</v>
      </c>
      <c r="H66" s="11">
        <f t="shared" si="18"/>
        <v>2.1989476677168001</v>
      </c>
      <c r="I66" s="15">
        <v>3.4000000000000002E-2</v>
      </c>
      <c r="J66" s="11">
        <f t="shared" si="19"/>
        <v>2.4117490549152003</v>
      </c>
      <c r="K66" s="11">
        <f t="shared" si="23"/>
        <v>0</v>
      </c>
      <c r="L66" s="11">
        <f t="shared" si="20"/>
        <v>38.378730181231447</v>
      </c>
      <c r="M66" s="9">
        <f>1/(1+$B$60)^4</f>
        <v>0.76862585513920834</v>
      </c>
      <c r="N66" s="11">
        <f t="shared" si="21"/>
        <v>29.498884304705964</v>
      </c>
    </row>
    <row r="67" spans="1:14">
      <c r="A67" s="23">
        <v>5</v>
      </c>
      <c r="B67" s="15">
        <v>0.09</v>
      </c>
      <c r="C67" s="11">
        <f t="shared" si="22"/>
        <v>77.317837348752008</v>
      </c>
      <c r="D67" s="15">
        <v>0.65</v>
      </c>
      <c r="E67" s="11">
        <f t="shared" si="16"/>
        <v>50.256594276688809</v>
      </c>
      <c r="F67" s="11">
        <f t="shared" si="17"/>
        <v>42.064769409588529</v>
      </c>
      <c r="G67" s="15">
        <v>3.1E-2</v>
      </c>
      <c r="H67" s="11">
        <f t="shared" si="18"/>
        <v>2.396852957811312</v>
      </c>
      <c r="I67" s="15">
        <v>3.4000000000000002E-2</v>
      </c>
      <c r="J67" s="11">
        <f t="shared" si="19"/>
        <v>2.6288064698575684</v>
      </c>
      <c r="K67" s="11">
        <f t="shared" si="23"/>
        <v>0</v>
      </c>
      <c r="L67" s="11">
        <f t="shared" si="20"/>
        <v>41.832815897542275</v>
      </c>
      <c r="M67" s="9">
        <f>1/(1+$B$60)^5</f>
        <v>0.71968713028015763</v>
      </c>
      <c r="N67" s="11">
        <f t="shared" si="21"/>
        <v>30.106539224840358</v>
      </c>
    </row>
    <row r="68" spans="1:14">
      <c r="A68" s="23">
        <v>6</v>
      </c>
      <c r="B68" s="15">
        <v>0.08</v>
      </c>
      <c r="C68" s="11">
        <f t="shared" si="22"/>
        <v>83.50326433665218</v>
      </c>
      <c r="D68" s="15">
        <v>0.64500000000000002</v>
      </c>
      <c r="E68" s="11">
        <f t="shared" si="16"/>
        <v>53.859605497140656</v>
      </c>
      <c r="F68" s="11">
        <f t="shared" si="17"/>
        <v>45.080489801106729</v>
      </c>
      <c r="G68" s="15">
        <v>3.1E-2</v>
      </c>
      <c r="H68" s="11">
        <f t="shared" si="18"/>
        <v>2.5886011944362175</v>
      </c>
      <c r="I68" s="15">
        <v>3.4000000000000002E-2</v>
      </c>
      <c r="J68" s="11">
        <f t="shared" si="19"/>
        <v>2.8391109874461744</v>
      </c>
      <c r="K68" s="11">
        <f t="shared" si="23"/>
        <v>0</v>
      </c>
      <c r="L68" s="11">
        <f t="shared" si="20"/>
        <v>44.829980008096769</v>
      </c>
      <c r="M68" s="9">
        <f>1/(1+$B$60)^6</f>
        <v>0.67386435419490398</v>
      </c>
      <c r="N68" s="11">
        <f t="shared" si="21"/>
        <v>30.209325526726584</v>
      </c>
    </row>
    <row r="69" spans="1:14">
      <c r="A69" s="23">
        <v>7</v>
      </c>
      <c r="B69" s="15">
        <v>7.4999999999999997E-2</v>
      </c>
      <c r="C69" s="11">
        <f t="shared" si="22"/>
        <v>89.766009161901096</v>
      </c>
      <c r="D69" s="15">
        <v>0.64</v>
      </c>
      <c r="E69" s="11">
        <f t="shared" si="16"/>
        <v>57.450245863616701</v>
      </c>
      <c r="F69" s="11">
        <f t="shared" si="17"/>
        <v>48.08585578784718</v>
      </c>
      <c r="G69" s="15">
        <v>3.1E-2</v>
      </c>
      <c r="H69" s="11">
        <f t="shared" si="18"/>
        <v>2.7827462840189341</v>
      </c>
      <c r="I69" s="15">
        <v>3.4000000000000002E-2</v>
      </c>
      <c r="J69" s="11">
        <f t="shared" si="19"/>
        <v>3.0520443115046376</v>
      </c>
      <c r="K69" s="11">
        <f t="shared" si="23"/>
        <v>0</v>
      </c>
      <c r="L69" s="11">
        <f t="shared" si="20"/>
        <v>47.816557760361476</v>
      </c>
      <c r="M69" s="9">
        <f>1/(1+$B$60)^7</f>
        <v>0.63095913314129592</v>
      </c>
      <c r="N69" s="11">
        <f t="shared" si="21"/>
        <v>30.170293834278382</v>
      </c>
    </row>
    <row r="70" spans="1:14">
      <c r="A70" s="23">
        <v>8</v>
      </c>
      <c r="B70" s="15">
        <v>7.0000000000000007E-2</v>
      </c>
      <c r="C70" s="11">
        <f t="shared" si="22"/>
        <v>96.049629803234183</v>
      </c>
      <c r="D70" s="15">
        <v>0.64</v>
      </c>
      <c r="E70" s="11">
        <f t="shared" si="16"/>
        <v>61.471763074069877</v>
      </c>
      <c r="F70" s="11">
        <f t="shared" si="17"/>
        <v>51.451865692996485</v>
      </c>
      <c r="G70" s="15">
        <v>3.1E-2</v>
      </c>
      <c r="H70" s="11">
        <f t="shared" si="18"/>
        <v>2.9775385239002596</v>
      </c>
      <c r="I70" s="15">
        <v>3.4000000000000002E-2</v>
      </c>
      <c r="J70" s="11">
        <f t="shared" si="19"/>
        <v>3.2656874133099625</v>
      </c>
      <c r="K70" s="11">
        <f t="shared" si="23"/>
        <v>0</v>
      </c>
      <c r="L70" s="11">
        <f t="shared" si="20"/>
        <v>51.16371680358678</v>
      </c>
      <c r="M70" s="9">
        <f>1/(1+$B$60)^8</f>
        <v>0.59078570518847928</v>
      </c>
      <c r="N70" s="11">
        <f t="shared" si="21"/>
        <v>30.226792511870663</v>
      </c>
    </row>
    <row r="71" spans="1:14">
      <c r="A71" s="23">
        <v>9</v>
      </c>
      <c r="B71" s="15">
        <v>6.5000000000000002E-2</v>
      </c>
      <c r="C71" s="11">
        <f t="shared" si="22"/>
        <v>102.29285574044439</v>
      </c>
      <c r="D71" s="15">
        <v>0.63500000000000001</v>
      </c>
      <c r="E71" s="11">
        <f t="shared" si="16"/>
        <v>64.955963395182195</v>
      </c>
      <c r="F71" s="11">
        <f t="shared" si="17"/>
        <v>54.368141361767492</v>
      </c>
      <c r="G71" s="15">
        <v>3.1E-2</v>
      </c>
      <c r="H71" s="11">
        <f t="shared" si="18"/>
        <v>3.1710785279537763</v>
      </c>
      <c r="I71" s="15">
        <v>3.4000000000000002E-2</v>
      </c>
      <c r="J71" s="11">
        <f t="shared" si="19"/>
        <v>3.4779570951751095</v>
      </c>
      <c r="K71" s="11">
        <f t="shared" si="23"/>
        <v>0</v>
      </c>
      <c r="L71" s="11">
        <f t="shared" si="20"/>
        <v>54.06126279454616</v>
      </c>
      <c r="M71" s="9">
        <f>1/(1+$B$60)^9</f>
        <v>0.55317013594426889</v>
      </c>
      <c r="N71" s="11">
        <f t="shared" si="21"/>
        <v>29.905076089377946</v>
      </c>
    </row>
    <row r="72" spans="1:14">
      <c r="A72" s="23">
        <v>10</v>
      </c>
      <c r="B72" s="15">
        <v>0.06</v>
      </c>
      <c r="C72" s="11">
        <f t="shared" si="22"/>
        <v>108.43042708487107</v>
      </c>
      <c r="D72" s="15">
        <v>0.63</v>
      </c>
      <c r="E72" s="11">
        <f t="shared" si="16"/>
        <v>68.311169063468768</v>
      </c>
      <c r="F72" s="11">
        <f t="shared" si="17"/>
        <v>57.176448506123357</v>
      </c>
      <c r="G72" s="15">
        <v>3.1E-2</v>
      </c>
      <c r="H72" s="11">
        <f t="shared" si="18"/>
        <v>3.3613432396310032</v>
      </c>
      <c r="I72" s="15">
        <v>3.4000000000000002E-2</v>
      </c>
      <c r="J72" s="11">
        <f t="shared" si="19"/>
        <v>3.6866345208856166</v>
      </c>
      <c r="K72" s="11">
        <f t="shared" si="23"/>
        <v>0</v>
      </c>
      <c r="L72" s="11">
        <f t="shared" si="20"/>
        <v>56.851157224868743</v>
      </c>
      <c r="M72" s="9">
        <f>1/(1+$B$60)^10</f>
        <v>0.51794956549088855</v>
      </c>
      <c r="N72" s="11">
        <f t="shared" si="21"/>
        <v>29.446032182274955</v>
      </c>
    </row>
    <row r="73" spans="1:14">
      <c r="A73" s="18" t="s">
        <v>187</v>
      </c>
      <c r="B73" s="11">
        <f>L72*(1+$D$60)/($B$60-$D$60)</f>
        <v>1629.7331737795705</v>
      </c>
    </row>
    <row r="74" spans="1:14">
      <c r="A74" s="6" t="s">
        <v>188</v>
      </c>
      <c r="B74" s="11">
        <f>B73/(1+$B$60)^10</f>
        <v>844.11958922521524</v>
      </c>
    </row>
    <row r="75" spans="1:14">
      <c r="A75" s="18" t="s">
        <v>189</v>
      </c>
      <c r="B75" s="11">
        <f>SUM(N63:N72)+B74</f>
        <v>1134.6970325097329</v>
      </c>
    </row>
    <row r="76" spans="1:14">
      <c r="A76" s="6" t="s">
        <v>190</v>
      </c>
      <c r="B76" s="11">
        <f>$B$8</f>
        <v>7.8940000000000001</v>
      </c>
    </row>
    <row r="77" spans="1:14">
      <c r="A77" s="18" t="s">
        <v>191</v>
      </c>
      <c r="B77" s="11">
        <f>B75-B76</f>
        <v>1126.8030325097329</v>
      </c>
    </row>
    <row r="78" spans="1:14">
      <c r="A78" s="18" t="s">
        <v>192</v>
      </c>
      <c r="B78" s="7">
        <f>B77/$B$10</f>
        <v>589.94923168048842</v>
      </c>
      <c r="C78" s="6" t="s">
        <v>197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198</v>
      </c>
    </row>
    <row r="2" spans="1:7" ht="15.6">
      <c r="A2" s="26" t="s">
        <v>199</v>
      </c>
      <c r="B2" s="27"/>
      <c r="C2" s="27"/>
      <c r="D2" s="27"/>
      <c r="E2" s="27"/>
      <c r="F2" s="27"/>
      <c r="G2" s="27"/>
    </row>
    <row r="4" spans="1:7">
      <c r="A4" s="5" t="s">
        <v>174</v>
      </c>
      <c r="B4" s="5" t="s">
        <v>192</v>
      </c>
    </row>
    <row r="5" spans="1:7">
      <c r="A5" s="15">
        <v>5.7000000000000002E-2</v>
      </c>
      <c r="B5" s="24">
        <v>689</v>
      </c>
    </row>
    <row r="6" spans="1:7">
      <c r="A6" s="15">
        <v>0.06</v>
      </c>
      <c r="B6" s="24">
        <v>618</v>
      </c>
    </row>
    <row r="7" spans="1:7">
      <c r="A7" s="15">
        <v>6.3E-2</v>
      </c>
      <c r="B7" s="24">
        <v>560</v>
      </c>
    </row>
    <row r="8" spans="1:7">
      <c r="A8" s="15">
        <v>6.8000000000000005E-2</v>
      </c>
      <c r="B8" s="24">
        <v>483</v>
      </c>
    </row>
    <row r="9" spans="1:7">
      <c r="A9" s="15">
        <v>7.2999999999999995E-2</v>
      </c>
      <c r="B9" s="24">
        <v>425</v>
      </c>
    </row>
    <row r="10" spans="1:7">
      <c r="A10" s="15">
        <v>7.8E-2</v>
      </c>
      <c r="B10" s="24">
        <v>378</v>
      </c>
    </row>
    <row r="11" spans="1:7">
      <c r="A11" s="15">
        <v>8.3000000000000004E-2</v>
      </c>
      <c r="B11" s="24">
        <v>341</v>
      </c>
    </row>
    <row r="12" spans="1:7">
      <c r="A12" s="15">
        <v>8.7999999999999995E-2</v>
      </c>
      <c r="B12" s="24">
        <v>310</v>
      </c>
    </row>
    <row r="14" spans="1:7">
      <c r="A14" s="5" t="s">
        <v>200</v>
      </c>
      <c r="B14" s="5" t="s">
        <v>192</v>
      </c>
    </row>
    <row r="15" spans="1:7">
      <c r="A15" s="15">
        <v>6.0000000000000001E-3</v>
      </c>
      <c r="B15" s="24">
        <v>443</v>
      </c>
    </row>
    <row r="16" spans="1:7">
      <c r="A16" s="15">
        <v>1.6E-2</v>
      </c>
      <c r="B16" s="24">
        <v>437</v>
      </c>
    </row>
    <row r="17" spans="1:3">
      <c r="A17" s="15">
        <v>2.5999999999999999E-2</v>
      </c>
      <c r="B17" s="24">
        <v>431</v>
      </c>
    </row>
    <row r="18" spans="1:3">
      <c r="A18" s="15">
        <v>3.5999999999999997E-2</v>
      </c>
      <c r="B18" s="24">
        <v>425</v>
      </c>
    </row>
    <row r="19" spans="1:3">
      <c r="A19" s="15">
        <v>4.5999999999999999E-2</v>
      </c>
      <c r="B19" s="24">
        <v>419</v>
      </c>
    </row>
    <row r="20" spans="1:3">
      <c r="A20" s="15">
        <v>5.6000000000000001E-2</v>
      </c>
      <c r="B20" s="24">
        <v>412</v>
      </c>
    </row>
    <row r="23" spans="1:3">
      <c r="A23" s="5" t="s">
        <v>201</v>
      </c>
      <c r="B23" s="5" t="s">
        <v>192</v>
      </c>
    </row>
    <row r="24" spans="1:3">
      <c r="A24" s="15">
        <v>0.55000000000000004</v>
      </c>
      <c r="B24" s="24">
        <v>394</v>
      </c>
    </row>
    <row r="25" spans="1:3">
      <c r="A25" s="15">
        <v>0.56999999999999995</v>
      </c>
      <c r="B25" s="24">
        <v>404</v>
      </c>
    </row>
    <row r="26" spans="1:3">
      <c r="A26" s="15">
        <v>0.59</v>
      </c>
      <c r="B26" s="24">
        <v>414</v>
      </c>
    </row>
    <row r="27" spans="1:3">
      <c r="A27" s="15">
        <v>0.61</v>
      </c>
      <c r="B27" s="24">
        <v>425</v>
      </c>
    </row>
    <row r="28" spans="1:3">
      <c r="A28" s="15">
        <v>0.63</v>
      </c>
      <c r="B28" s="24">
        <v>435</v>
      </c>
    </row>
    <row r="29" spans="1:3">
      <c r="A29" s="15">
        <v>0.65</v>
      </c>
      <c r="B29" s="24">
        <v>445</v>
      </c>
    </row>
    <row r="30" spans="1:3">
      <c r="A30" s="15">
        <v>0.67</v>
      </c>
      <c r="B30" s="24">
        <v>455</v>
      </c>
    </row>
    <row r="32" spans="1:3" ht="16.2">
      <c r="A32" s="3" t="s">
        <v>202</v>
      </c>
      <c r="B32" s="4"/>
      <c r="C32" s="4"/>
    </row>
    <row r="33" spans="1:7">
      <c r="A33" s="6" t="s">
        <v>203</v>
      </c>
      <c r="B33" s="15">
        <v>7.0026719274869698E-2</v>
      </c>
    </row>
    <row r="34" spans="1:7">
      <c r="A34" s="6" t="s">
        <v>204</v>
      </c>
      <c r="B34" s="15">
        <v>7.5339352054604403E-2</v>
      </c>
    </row>
    <row r="36" spans="1:7" ht="16.2">
      <c r="A36" s="3" t="s">
        <v>205</v>
      </c>
      <c r="B36" s="4"/>
      <c r="C36" s="4"/>
      <c r="D36" s="4"/>
      <c r="E36" s="4"/>
      <c r="F36" s="4"/>
      <c r="G36" s="4"/>
    </row>
    <row r="37" spans="1:7">
      <c r="A37" s="5" t="s">
        <v>206</v>
      </c>
      <c r="B37" s="5" t="s">
        <v>192</v>
      </c>
      <c r="C37" s="5" t="s">
        <v>207</v>
      </c>
      <c r="D37" s="5" t="s">
        <v>208</v>
      </c>
    </row>
    <row r="38" spans="1:7">
      <c r="A38" s="6" t="s">
        <v>209</v>
      </c>
      <c r="B38" s="25" t="s">
        <v>210</v>
      </c>
      <c r="C38" s="25" t="s">
        <v>211</v>
      </c>
      <c r="D38" s="25" t="s">
        <v>212</v>
      </c>
    </row>
    <row r="39" spans="1:7">
      <c r="A39" s="6" t="s">
        <v>213</v>
      </c>
      <c r="B39" s="25" t="s">
        <v>214</v>
      </c>
      <c r="C39" s="25" t="s">
        <v>215</v>
      </c>
      <c r="D39" s="25" t="s">
        <v>216</v>
      </c>
    </row>
    <row r="40" spans="1:7">
      <c r="A40" s="6" t="s">
        <v>217</v>
      </c>
      <c r="B40" s="25" t="s">
        <v>58</v>
      </c>
      <c r="C40" s="25" t="s">
        <v>218</v>
      </c>
      <c r="D40" s="25" t="s">
        <v>219</v>
      </c>
    </row>
    <row r="41" spans="1:7">
      <c r="A41" s="6" t="s">
        <v>220</v>
      </c>
      <c r="B41" s="25" t="s">
        <v>58</v>
      </c>
      <c r="C41" s="25" t="s">
        <v>221</v>
      </c>
      <c r="D41" s="25" t="s">
        <v>222</v>
      </c>
    </row>
    <row r="42" spans="1:7" ht="40.049999999999997" customHeight="1">
      <c r="A42" s="31" t="s">
        <v>223</v>
      </c>
      <c r="B42" s="27"/>
      <c r="C42" s="27"/>
      <c r="D42" s="27"/>
      <c r="E42" s="27"/>
      <c r="F42" s="27"/>
      <c r="G42" s="27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224</v>
      </c>
    </row>
    <row r="2" spans="1:4" ht="15.6">
      <c r="A2" s="26" t="s">
        <v>225</v>
      </c>
      <c r="B2" s="27"/>
      <c r="C2" s="27"/>
      <c r="D2" s="27"/>
    </row>
    <row r="4" spans="1:4">
      <c r="A4" s="5" t="s">
        <v>226</v>
      </c>
      <c r="B4" s="5" t="s">
        <v>227</v>
      </c>
      <c r="C4" s="5" t="s">
        <v>228</v>
      </c>
      <c r="D4" s="5" t="s">
        <v>229</v>
      </c>
    </row>
    <row r="5" spans="1:4">
      <c r="A5" s="6" t="s">
        <v>230</v>
      </c>
      <c r="B5" s="6" t="s">
        <v>231</v>
      </c>
      <c r="C5" s="22" t="s">
        <v>232</v>
      </c>
      <c r="D5" s="8" t="s">
        <v>233</v>
      </c>
    </row>
    <row r="6" spans="1:4">
      <c r="A6" s="6" t="s">
        <v>234</v>
      </c>
      <c r="B6" s="6" t="s">
        <v>231</v>
      </c>
      <c r="C6" s="22" t="s">
        <v>235</v>
      </c>
      <c r="D6" s="8" t="s">
        <v>236</v>
      </c>
    </row>
    <row r="7" spans="1:4">
      <c r="A7" s="6" t="s">
        <v>237</v>
      </c>
      <c r="B7" s="6" t="s">
        <v>231</v>
      </c>
      <c r="C7" s="22" t="s">
        <v>238</v>
      </c>
      <c r="D7" s="8" t="s">
        <v>239</v>
      </c>
    </row>
    <row r="8" spans="1:4">
      <c r="A8" s="6" t="s">
        <v>240</v>
      </c>
      <c r="B8" s="6" t="s">
        <v>241</v>
      </c>
      <c r="C8" s="22" t="s">
        <v>242</v>
      </c>
      <c r="D8" s="8" t="s">
        <v>243</v>
      </c>
    </row>
    <row r="9" spans="1:4">
      <c r="A9" s="6" t="s">
        <v>244</v>
      </c>
      <c r="B9" s="6" t="s">
        <v>245</v>
      </c>
      <c r="C9" s="22" t="s">
        <v>232</v>
      </c>
      <c r="D9" s="8" t="s">
        <v>246</v>
      </c>
    </row>
    <row r="12" spans="1:4" ht="15">
      <c r="A12" s="30" t="s">
        <v>247</v>
      </c>
      <c r="B12" s="27"/>
      <c r="C12" s="27"/>
      <c r="D12" s="27"/>
    </row>
  </sheetData>
  <mergeCells count="2">
    <mergeCell ref="A12:D12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2026-10-29T09:03:28Z</dcterms:created>
  <dcterms:modified xsi:type="dcterms:W3CDTF">2026-10-29T10:34:42Z</dcterms:modified>
</cp:coreProperties>
</file>