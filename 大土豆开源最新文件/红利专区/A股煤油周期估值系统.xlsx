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01030a7d6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值总览" sheetId="1" r:id="R0635fd2475c249fa"/>
    <x:sheet xmlns:r="http://schemas.openxmlformats.org/officeDocument/2006/relationships" name="参数设置" sheetId="2" r:id="R06fbdb207969420a"/>
    <x:sheet xmlns:r="http://schemas.openxmlformats.org/officeDocument/2006/relationships" name="前瞻预测" sheetId="3" r:id="R0f5fb62e677a4d37"/>
    <x:sheet xmlns:r="http://schemas.openxmlformats.org/officeDocument/2006/relationships" name="估值模型" sheetId="4" r:id="Rf25ce1cbd99c4cd6"/>
    <x:sheet xmlns:r="http://schemas.openxmlformats.org/officeDocument/2006/relationships" name="周期归一化" sheetId="5" r:id="Rdb288d15ed504366"/>
    <x:sheet xmlns:r="http://schemas.openxmlformats.org/officeDocument/2006/relationships" name="原始数据" sheetId="6" r:id="Rb9dda8065e54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%"/>
    <x:numFmt numFmtId="201" formatCode="0.00"/>
    <x:numFmt numFmtId="202" formatCode="0.0x"/>
    <x:numFmt numFmtId="203" formatCode="0.0%"/>
    <x:numFmt numFmtId="204" formatCode="0.00x"/>
    <x:numFmt numFmtId="205" formatCode="yyyy-mm-dd"/>
    <x:numFmt numFmtId="206" formatCode="#,##0.0"/>
    <x:numFmt numFmtId="207" formatCode="0"/>
    <x:numFmt numFmtId="208" formatCode="0x"/>
  </x:numFmts>
  <x:fonts count="13">
    <x:font>
      <x:sz val="11"/>
      <x:name val="Carlito"/>
    </x:font>
    <x:font>
      <x:b/>
      <x:sz val="15"/>
      <x:color rgb="FF17324D"/>
      <x:name val="Microsoft YaHei"/>
    </x:font>
    <x:font>
      <x:b/>
      <x:sz val="10"/>
      <x:color rgb="FF0000FF"/>
      <x:name val="Microsoft YaHei"/>
    </x:font>
    <x:font>
      <x:b/>
      <x:sz val="10"/>
      <x:color rgb="FF1F2937"/>
      <x:name val="Microsoft YaHei"/>
    </x:font>
    <x:font>
      <x:b/>
      <x:sz val="10"/>
      <x:color rgb="FF008000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sz val="10"/>
      <x:color rgb="FF0000FF"/>
      <x:name val="Microsoft YaHei"/>
    </x:font>
    <x:font>
      <x:i/>
      <x:sz val="9"/>
      <x:color rgb="FF666666"/>
      <x:name val="Microsoft YaHei"/>
    </x:font>
    <x:font>
      <x:sz val="9"/>
      <x:color rgb="FF1F2937"/>
      <x:name val="Microsoft YaHei"/>
    </x:font>
    <x:font>
      <x:sz val="9"/>
      <x:color rgb="FF0000FF"/>
      <x:name val="Microsoft YaHei"/>
    </x:font>
    <x:font>
      <x:sz val="9"/>
      <x:color rgb="FF008000"/>
      <x:name val="Microsoft YaHei"/>
    </x:font>
    <x:font>
      <x:sz val="1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2E75B6"/>
      </x:patternFill>
    </x:fill>
    <x:fill>
      <x:patternFill patternType="solid">
        <x:fgColor rgb="FFFFF8E7"/>
      </x:patternFill>
    </x:fill>
    <x:fill>
      <x:patternFill patternType="solid">
        <x:fgColor rgb="FFEEF5FB"/>
      </x:patternFill>
    </x:fill>
  </x:fills>
  <x:borders count="14">
    <x:border>
      <x:left/>
      <x:right/>
      <x:top/>
      <x:bottom/>
      <x:diagonal/>
    </x:border>
    <x:border>
      <x:left style="dashed">
        <x:color rgb="FFB7791F"/>
      </x:left>
      <x:right style="dashed">
        <x:color rgb="FFB7791F"/>
      </x:right>
      <x:top style="dashed">
        <x:color rgb="FFB7791F"/>
      </x:top>
      <x:bottom/>
      <x:diagonal/>
    </x:border>
    <x:border>
      <x:left style="dashed">
        <x:color rgb="FFB7791F"/>
      </x:left>
      <x:right style="dashed">
        <x:color rgb="FFB7791F"/>
      </x:right>
      <x:top/>
      <x:bottom style="dashed">
        <x:color rgb="FFB7791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/>
      <x:diagonal/>
    </x:border>
    <x:border>
      <x:left style="thin">
        <x:color rgb="FF2E75B6"/>
      </x:left>
      <x:right/>
      <x:top style="thin">
        <x:color rgb="FF2E75B6"/>
      </x:top>
      <x:bottom style="thin">
        <x:color rgb="FF2E75B6"/>
      </x:bottom>
      <x:diagonal/>
    </x:border>
    <x:border>
      <x:left/>
      <x:right/>
      <x:top style="thin">
        <x:color rgb="FF2E75B6"/>
      </x:top>
      <x:bottom style="thin">
        <x:color rgb="FF2E75B6"/>
      </x:bottom>
      <x:diagonal/>
    </x:border>
    <x:border>
      <x:left/>
      <x:right style="thin">
        <x:color rgb="FF2E75B6"/>
      </x:right>
      <x:top style="thin">
        <x:color rgb="FF2E75B6"/>
      </x:top>
      <x:bottom style="thin">
        <x:color rgb="FF2E75B6"/>
      </x:bottom>
      <x:diagonal/>
    </x:border>
    <x:border>
      <x:left style="thin">
        <x:color rgb="FF17324D"/>
      </x:left>
      <x:right/>
      <x:top style="thin">
        <x:color rgb="FF17324D"/>
      </x:top>
      <x:bottom style="thin">
        <x:color rgb="FF17324D"/>
      </x:bottom>
      <x:diagonal/>
    </x:border>
    <x:border>
      <x:left/>
      <x:right/>
      <x:top style="thin">
        <x:color rgb="FF17324D"/>
      </x:top>
      <x:bottom style="thin">
        <x:color rgb="FF17324D"/>
      </x:bottom>
      <x:diagonal/>
    </x:border>
    <x:border>
      <x:left/>
      <x:right style="thin">
        <x:color rgb="FF17324D"/>
      </x:right>
      <x:top style="thin">
        <x:color rgb="FF17324D"/>
      </x:top>
      <x:bottom style="thin">
        <x:color rgb="FF17324D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0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4" xfId="0" applyNumberFormat="1" applyFont="1" applyFill="1" applyBorder="1" applyAlignment="1">
      <x:alignment wrapText="0"/>
    </x:xf>
    <x:xf numFmtId="0" fontId="6" fillId="0" borderId="5" xfId="0" applyNumberFormat="1" applyFont="1" applyFill="1" applyBorder="1" applyAlignment="1">
      <x:alignment wrapText="0"/>
    </x:xf>
    <x:xf numFmtId="0" fontId="6" fillId="0" borderId="6" xfId="0" applyNumberFormat="1" applyFont="1" applyFill="1" applyBorder="1" applyAlignment="1">
      <x:alignment wrapText="0"/>
    </x:xf>
    <x:xf numFmtId="0" fontId="6" fillId="0" borderId="4" xfId="0" applyNumberFormat="1" applyFont="1" applyFill="1" applyBorder="1" applyAlignment="1">
      <x:alignment horizontal="center" wrapText="0"/>
    </x:xf>
    <x:xf numFmtId="0" fontId="6" fillId="0" borderId="5" xfId="0" applyNumberFormat="1" applyFont="1" applyFill="1" applyBorder="1" applyAlignment="1">
      <x:alignment horizontal="center" wrapText="0"/>
    </x:xf>
    <x:xf numFmtId="0" fontId="6" fillId="0" borderId="6" xfId="0" applyNumberFormat="1" applyFont="1" applyFill="1" applyBorder="1" applyAlignment="1">
      <x:alignment horizontal="center" wrapText="0"/>
    </x:xf>
    <x:xf numFmtId="0" fontId="6" fillId="0" borderId="4" xfId="0" applyNumberFormat="1" applyFont="1" applyFill="1" applyBorder="1" applyAlignment="1">
      <x:alignment horizontal="center" vertical="center" wrapText="0"/>
    </x:xf>
    <x:xf numFmtId="0" fontId="6" fillId="0" borderId="5" xfId="0" applyNumberFormat="1" applyFont="1" applyFill="1" applyBorder="1" applyAlignment="1">
      <x:alignment horizontal="center" vertical="center" wrapText="0"/>
    </x:xf>
    <x:xf numFmtId="0" fontId="6" fillId="0" borderId="6" xfId="0" applyNumberFormat="1" applyFont="1" applyFill="1" applyBorder="1" applyAlignment="1">
      <x:alignment horizontal="center" vertical="center" wrapText="0"/>
    </x:xf>
    <x:xf numFmtId="200" fontId="6" fillId="0" borderId="4" xfId="0" applyNumberFormat="1" applyFont="1" applyFill="1" applyBorder="1" applyAlignment="1">
      <x:alignment horizontal="center" vertical="center" wrapText="0"/>
    </x:xf>
    <x:xf numFmtId="200" fontId="6" fillId="0" borderId="5" xfId="0" applyNumberFormat="1" applyFont="1" applyFill="1" applyBorder="1" applyAlignment="1">
      <x:alignment horizontal="center" vertical="center" wrapText="0"/>
    </x:xf>
    <x:xf numFmtId="200" fontId="6" fillId="0" borderId="6" xfId="0" applyNumberFormat="1" applyFont="1" applyFill="1" applyBorder="1" applyAlignment="1">
      <x:alignment horizontal="center" vertical="center" wrapText="0"/>
    </x:xf>
    <x:xf numFmtId="200" fontId="7" fillId="0" borderId="4" xfId="0" applyNumberFormat="1" applyFont="1" applyFill="1" applyBorder="1" applyAlignment="1">
      <x:alignment horizontal="center" vertical="center" wrapText="0"/>
    </x:xf>
    <x:xf numFmtId="200" fontId="7" fillId="0" borderId="5" xfId="0" applyNumberFormat="1" applyFont="1" applyFill="1" applyBorder="1" applyAlignment="1">
      <x:alignment horizontal="center" vertical="center" wrapText="0"/>
    </x:xf>
    <x:xf numFmtId="200" fontId="7" fillId="0" borderId="6" xfId="0" applyNumberFormat="1" applyFont="1" applyFill="1" applyBorder="1" applyAlignment="1">
      <x:alignment horizontal="center" vertical="center" wrapText="0"/>
    </x:xf>
    <x:xf numFmtId="200" fontId="7" fillId="2" borderId="4" xfId="0" applyNumberFormat="1" applyFont="1" applyFill="1" applyBorder="1" applyAlignment="1">
      <x:alignment horizontal="center" vertical="center" wrapText="0"/>
    </x:xf>
    <x:xf numFmtId="200" fontId="7" fillId="2" borderId="5" xfId="0" applyNumberFormat="1" applyFont="1" applyFill="1" applyBorder="1" applyAlignment="1">
      <x:alignment horizontal="center" vertical="center" wrapText="0"/>
    </x:xf>
    <x:xf numFmtId="200" fontId="7" fillId="2" borderId="6" xfId="0" applyNumberFormat="1" applyFont="1" applyFill="1" applyBorder="1" applyAlignment="1">
      <x:alignment horizontal="center" vertical="center" wrapText="0"/>
    </x:xf>
    <x:xf numFmtId="200" fontId="4" fillId="0" borderId="4" xfId="0" applyNumberFormat="1" applyFont="1" applyFill="1" applyBorder="1" applyAlignment="1">
      <x:alignment horizontal="center" vertical="center" wrapText="0"/>
    </x:xf>
    <x:xf numFmtId="200" fontId="4" fillId="0" borderId="5" xfId="0" applyNumberFormat="1" applyFont="1" applyFill="1" applyBorder="1" applyAlignment="1">
      <x:alignment horizontal="center" vertical="center" wrapText="0"/>
    </x:xf>
    <x:xf numFmtId="200" fontId="4" fillId="0" borderId="6" xfId="0" applyNumberFormat="1" applyFont="1" applyFill="1" applyBorder="1" applyAlignment="1">
      <x:alignment horizontal="center" vertical="center" wrapText="0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201" fontId="6" fillId="0" borderId="4" xfId="0" applyNumberFormat="1" applyFont="1" applyFill="1" applyBorder="1" applyAlignment="1">
      <x:alignment horizontal="center" vertical="center" wrapText="0"/>
    </x:xf>
    <x:xf numFmtId="201" fontId="6" fillId="0" borderId="5" xfId="0" applyNumberFormat="1" applyFont="1" applyFill="1" applyBorder="1" applyAlignment="1">
      <x:alignment horizontal="center" vertical="center" wrapText="0"/>
    </x:xf>
    <x:xf numFmtId="201" fontId="6" fillId="0" borderId="6" xfId="0" applyNumberFormat="1" applyFont="1" applyFill="1" applyBorder="1" applyAlignment="1">
      <x:alignment horizontal="center" vertical="center" wrapText="0"/>
    </x:xf>
    <x:xf numFmtId="201" fontId="6" fillId="2" borderId="4" xfId="0" applyNumberFormat="1" applyFont="1" applyFill="1" applyBorder="1" applyAlignment="1">
      <x:alignment horizontal="center" vertical="center" wrapText="0"/>
    </x:xf>
    <x:xf numFmtId="201" fontId="6" fillId="2" borderId="5" xfId="0" applyNumberFormat="1" applyFont="1" applyFill="1" applyBorder="1" applyAlignment="1">
      <x:alignment horizontal="center" vertical="center" wrapText="0"/>
    </x:xf>
    <x:xf numFmtId="201" fontId="6" fillId="2" borderId="6" xfId="0" applyNumberFormat="1" applyFont="1" applyFill="1" applyBorder="1" applyAlignment="1">
      <x:alignment horizontal="center" vertical="center" wrapText="0"/>
    </x:xf>
    <x:xf numFmtId="201" fontId="7" fillId="2" borderId="4" xfId="0" applyNumberFormat="1" applyFont="1" applyFill="1" applyBorder="1" applyAlignment="1">
      <x:alignment horizontal="center" vertical="center" wrapText="0"/>
    </x:xf>
    <x:xf numFmtId="201" fontId="7" fillId="2" borderId="5" xfId="0" applyNumberFormat="1" applyFont="1" applyFill="1" applyBorder="1" applyAlignment="1">
      <x:alignment horizontal="center" vertical="center" wrapText="0"/>
    </x:xf>
    <x:xf numFmtId="201" fontId="7" fillId="2" borderId="6" xfId="0" applyNumberFormat="1" applyFont="1" applyFill="1" applyBorder="1" applyAlignment="1">
      <x:alignment horizontal="center" vertical="center" wrapText="0"/>
    </x:xf>
    <x:xf numFmtId="201" fontId="4" fillId="0" borderId="4" xfId="0" applyNumberFormat="1" applyFont="1" applyFill="1" applyBorder="1" applyAlignment="1">
      <x:alignment horizontal="center" vertical="center" wrapText="0"/>
    </x:xf>
    <x:xf numFmtId="201" fontId="4" fillId="0" borderId="5" xfId="0" applyNumberFormat="1" applyFont="1" applyFill="1" applyBorder="1" applyAlignment="1">
      <x:alignment horizontal="center" vertical="center" wrapText="0"/>
    </x:xf>
    <x:xf numFmtId="201" fontId="4" fillId="0" borderId="6" xfId="0" applyNumberFormat="1" applyFont="1" applyFill="1" applyBorder="1" applyAlignment="1">
      <x:alignment horizontal="center" vertical="center" wrapText="0"/>
    </x:xf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horizontal="center" wrapText="0"/>
    </x:xf>
    <x:xf numFmtId="0" fontId="6" fillId="0" borderId="0" xfId="0" applyNumberFormat="1" applyFont="1" applyFill="1" applyBorder="1" applyAlignment="1">
      <x:alignment horizontal="center" vertical="center" wrapText="0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center" vertical="center" wrapText="0"/>
    </x:xf>
    <x:xf numFmtId="200" fontId="7" fillId="2" borderId="0" xfId="0" applyNumberFormat="1" applyFont="1" applyFill="1" applyBorder="1" applyAlignment="1">
      <x:alignment horizontal="center" vertical="center" wrapText="0"/>
    </x:xf>
    <x:xf numFmtId="200" fontId="6" fillId="0" borderId="0" xfId="0" applyNumberFormat="1" applyFont="1" applyFill="1" applyBorder="1" applyAlignment="1">
      <x:alignment horizontal="center" vertical="center" wrapText="0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7" xfId="0" applyNumberFormat="1" applyFont="1" applyFill="1" applyBorder="1" applyAlignment="1">
      <x:alignment horizontal="center" vertic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horizontal="center" wrapText="1"/>
    </x:xf>
    <x:xf numFmtId="0" fontId="9" fillId="0" borderId="5" xfId="0" applyNumberFormat="1" applyFont="1" applyFill="1" applyBorder="1" applyAlignment="1">
      <x:alignment horizontal="center" wrapText="1"/>
    </x:xf>
    <x:xf numFmtId="0" fontId="9" fillId="0" borderId="6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 applyAlignment="1">
      <x:alignment horizontal="center" vertical="center" wrapText="1"/>
    </x:xf>
    <x:xf numFmtId="0" fontId="9" fillId="0" borderId="5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 applyAlignment="1">
      <x:alignment horizontal="center" vertical="center" wrapText="1"/>
    </x:xf>
    <x:xf numFmtId="0" fontId="9" fillId="2" borderId="4" xfId="0" applyNumberFormat="1" applyFont="1" applyFill="1" applyBorder="1" applyAlignment="1">
      <x:alignment horizontal="center" vertical="center" wrapText="1"/>
    </x:xf>
    <x:xf numFmtId="0" fontId="9" fillId="2" borderId="5" xfId="0" applyNumberFormat="1" applyFont="1" applyFill="1" applyBorder="1" applyAlignment="1">
      <x:alignment horizontal="center" vertical="center" wrapText="1"/>
    </x:xf>
    <x:xf numFmtId="0" fontId="9" fillId="2" borderId="6" xfId="0" applyNumberFormat="1" applyFont="1" applyFill="1" applyBorder="1" applyAlignment="1">
      <x:alignment horizontal="center" vertical="center" wrapText="1"/>
    </x:xf>
    <x:xf numFmtId="0" fontId="10" fillId="2" borderId="4" xfId="0" applyNumberFormat="1" applyFont="1" applyFill="1" applyBorder="1" applyAlignment="1">
      <x:alignment horizontal="center" vertical="center" wrapText="1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10" fillId="2" borderId="6" xfId="0" applyNumberFormat="1" applyFont="1" applyFill="1" applyBorder="1" applyAlignment="1">
      <x:alignment horizontal="center" vertical="center" wrapText="1"/>
    </x:xf>
    <x:xf numFmtId="202" fontId="10" fillId="2" borderId="4" xfId="0" applyNumberFormat="1" applyFont="1" applyFill="1" applyBorder="1" applyAlignment="1">
      <x:alignment horizontal="center" vertical="center" wrapText="1"/>
    </x:xf>
    <x:xf numFmtId="202" fontId="10" fillId="2" borderId="5" xfId="0" applyNumberFormat="1" applyFont="1" applyFill="1" applyBorder="1" applyAlignment="1">
      <x:alignment horizontal="center" vertical="center" wrapText="1"/>
    </x:xf>
    <x:xf numFmtId="202" fontId="10" fillId="2" borderId="6" xfId="0" applyNumberFormat="1" applyFont="1" applyFill="1" applyBorder="1" applyAlignment="1">
      <x:alignment horizontal="center" vertical="center" wrapText="1"/>
    </x:xf>
    <x:xf numFmtId="203" fontId="10" fillId="2" borderId="4" xfId="0" applyNumberFormat="1" applyFont="1" applyFill="1" applyBorder="1" applyAlignment="1">
      <x:alignment horizontal="center" vertical="center" wrapText="1"/>
    </x:xf>
    <x:xf numFmtId="203" fontId="10" fillId="2" borderId="5" xfId="0" applyNumberFormat="1" applyFont="1" applyFill="1" applyBorder="1" applyAlignment="1">
      <x:alignment horizontal="center" vertical="center" wrapText="1"/>
    </x:xf>
    <x:xf numFmtId="203" fontId="10" fillId="2" borderId="6" xfId="0" applyNumberFormat="1" applyFont="1" applyFill="1" applyBorder="1" applyAlignment="1">
      <x:alignment horizontal="center" vertical="center" wrapText="1"/>
    </x:xf>
    <x:xf numFmtId="204" fontId="10" fillId="2" borderId="4" xfId="0" applyNumberFormat="1" applyFont="1" applyFill="1" applyBorder="1" applyAlignment="1">
      <x:alignment horizontal="center" vertical="center" wrapText="1"/>
    </x:xf>
    <x:xf numFmtId="204" fontId="10" fillId="2" borderId="5" xfId="0" applyNumberFormat="1" applyFont="1" applyFill="1" applyBorder="1" applyAlignment="1">
      <x:alignment horizontal="center" vertical="center" wrapText="1"/>
    </x:xf>
    <x:xf numFmtId="204" fontId="10" fillId="2" borderId="6" xfId="0" applyNumberFormat="1" applyFont="1" applyFill="1" applyBorder="1" applyAlignment="1">
      <x:alignment horizontal="center" vertical="center" wrapText="1"/>
    </x:xf>
    <x:xf numFmtId="200" fontId="10" fillId="2" borderId="4" xfId="0" applyNumberFormat="1" applyFont="1" applyFill="1" applyBorder="1" applyAlignment="1">
      <x:alignment horizontal="center" vertical="center" wrapText="1"/>
    </x:xf>
    <x:xf numFmtId="200" fontId="10" fillId="2" borderId="5" xfId="0" applyNumberFormat="1" applyFont="1" applyFill="1" applyBorder="1" applyAlignment="1">
      <x:alignment horizontal="center" vertical="center" wrapText="1"/>
    </x:xf>
    <x:xf numFmtId="200" fontId="10" fillId="2" borderId="6" xfId="0" applyNumberFormat="1" applyFont="1" applyFill="1" applyBorder="1" applyAlignment="1">
      <x:alignment horizontal="center" vertical="center" wrapText="1"/>
    </x:xf>
    <x:xf numFmtId="0" fontId="9" fillId="5" borderId="4" xfId="0" applyNumberFormat="1" applyFont="1" applyFill="1" applyBorder="1" applyAlignment="1">
      <x:alignment horizontal="center" vertical="center" wrapText="1"/>
    </x:xf>
    <x:xf numFmtId="202" fontId="10" fillId="5" borderId="4" xfId="0" applyNumberFormat="1" applyFont="1" applyFill="1" applyBorder="1" applyAlignment="1">
      <x:alignment horizontal="center" vertical="center" wrapText="1"/>
    </x:xf>
    <x:xf numFmtId="203" fontId="10" fillId="5" borderId="4" xfId="0" applyNumberFormat="1" applyFont="1" applyFill="1" applyBorder="1" applyAlignment="1">
      <x:alignment horizontal="center" vertical="center" wrapText="1"/>
    </x:xf>
    <x:xf numFmtId="204" fontId="10" fillId="5" borderId="4" xfId="0" applyNumberFormat="1" applyFont="1" applyFill="1" applyBorder="1" applyAlignment="1">
      <x:alignment horizontal="center" vertical="center" wrapText="1"/>
    </x:xf>
    <x:xf numFmtId="200" fontId="10" fillId="5" borderId="4" xfId="0" applyNumberFormat="1" applyFont="1" applyFill="1" applyBorder="1" applyAlignment="1">
      <x:alignment horizontal="center" vertical="center" wrapText="1"/>
    </x:xf>
    <x:xf numFmtId="0" fontId="9" fillId="5" borderId="5" xfId="0" applyNumberFormat="1" applyFont="1" applyFill="1" applyBorder="1" applyAlignment="1">
      <x:alignment horizontal="center" vertical="center" wrapText="1"/>
    </x:xf>
    <x:xf numFmtId="202" fontId="10" fillId="5" borderId="5" xfId="0" applyNumberFormat="1" applyFont="1" applyFill="1" applyBorder="1" applyAlignment="1">
      <x:alignment horizontal="center" vertical="center" wrapText="1"/>
    </x:xf>
    <x:xf numFmtId="203" fontId="10" fillId="5" borderId="5" xfId="0" applyNumberFormat="1" applyFont="1" applyFill="1" applyBorder="1" applyAlignment="1">
      <x:alignment horizontal="center" vertical="center" wrapText="1"/>
    </x:xf>
    <x:xf numFmtId="204" fontId="10" fillId="5" borderId="5" xfId="0" applyNumberFormat="1" applyFont="1" applyFill="1" applyBorder="1" applyAlignment="1">
      <x:alignment horizontal="center" vertical="center" wrapText="1"/>
    </x:xf>
    <x:xf numFmtId="200" fontId="10" fillId="5" borderId="5" xfId="0" applyNumberFormat="1" applyFont="1" applyFill="1" applyBorder="1" applyAlignment="1">
      <x:alignment horizontal="center" vertical="center" wrapText="1"/>
    </x:xf>
    <x:xf numFmtId="0" fontId="9" fillId="6" borderId="5" xfId="0" applyNumberFormat="1" applyFont="1" applyFill="1" applyBorder="1" applyAlignment="1">
      <x:alignment horizontal="center" vertical="center" wrapText="1"/>
    </x:xf>
    <x:xf numFmtId="202" fontId="10" fillId="6" borderId="5" xfId="0" applyNumberFormat="1" applyFont="1" applyFill="1" applyBorder="1" applyAlignment="1">
      <x:alignment horizontal="center" vertical="center" wrapText="1"/>
    </x:xf>
    <x:xf numFmtId="203" fontId="10" fillId="6" borderId="5" xfId="0" applyNumberFormat="1" applyFont="1" applyFill="1" applyBorder="1" applyAlignment="1">
      <x:alignment horizontal="center" vertical="center" wrapText="1"/>
    </x:xf>
    <x:xf numFmtId="204" fontId="10" fillId="6" borderId="5" xfId="0" applyNumberFormat="1" applyFont="1" applyFill="1" applyBorder="1" applyAlignment="1">
      <x:alignment horizontal="center" vertical="center" wrapText="1"/>
    </x:xf>
    <x:xf numFmtId="200" fontId="10" fillId="6" borderId="5" xfId="0" applyNumberFormat="1" applyFont="1" applyFill="1" applyBorder="1" applyAlignment="1">
      <x:alignment horizontal="center" vertical="center" wrapText="1"/>
    </x:xf>
    <x:xf numFmtId="0" fontId="9" fillId="6" borderId="6" xfId="0" applyNumberFormat="1" applyFont="1" applyFill="1" applyBorder="1" applyAlignment="1">
      <x:alignment horizontal="center" vertical="center" wrapText="1"/>
    </x:xf>
    <x:xf numFmtId="202" fontId="10" fillId="6" borderId="6" xfId="0" applyNumberFormat="1" applyFont="1" applyFill="1" applyBorder="1" applyAlignment="1">
      <x:alignment horizontal="center" vertical="center" wrapText="1"/>
    </x:xf>
    <x:xf numFmtId="203" fontId="10" fillId="6" borderId="6" xfId="0" applyNumberFormat="1" applyFont="1" applyFill="1" applyBorder="1" applyAlignment="1">
      <x:alignment horizontal="center" vertical="center" wrapText="1"/>
    </x:xf>
    <x:xf numFmtId="204" fontId="10" fillId="6" borderId="6" xfId="0" applyNumberFormat="1" applyFont="1" applyFill="1" applyBorder="1" applyAlignment="1">
      <x:alignment horizontal="center" vertical="center" wrapText="1"/>
    </x:xf>
    <x:xf numFmtId="200" fontId="10" fillId="6" borderId="6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5" fillId="3" borderId="12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horizontal="center" wrapText="1"/>
    </x:xf>
    <x:xf numFmtId="0" fontId="10" fillId="0" borderId="5" xfId="0" applyNumberFormat="1" applyFont="1" applyFill="1" applyBorder="1" applyAlignment="1">
      <x:alignment horizontal="center" wrapText="1"/>
    </x:xf>
    <x:xf numFmtId="0" fontId="10" fillId="0" borderId="6" xfId="0" applyNumberFormat="1" applyFont="1" applyFill="1" applyBorder="1" applyAlignment="1">
      <x:alignment horizontal="center" wrapText="1"/>
    </x:xf>
    <x:xf numFmtId="0" fontId="10" fillId="0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0" fontId="10" fillId="0" borderId="6" xfId="0" applyNumberFormat="1" applyFont="1" applyFill="1" applyBorder="1" applyAlignment="1">
      <x:alignment horizontal="center" vertical="center" wrapText="1"/>
    </x:xf>
    <x:xf numFmtId="205" fontId="10" fillId="0" borderId="4" xfId="0" applyNumberFormat="1" applyFont="1" applyFill="1" applyBorder="1" applyAlignment="1">
      <x:alignment horizontal="center" vertical="center" wrapText="1"/>
    </x:xf>
    <x:xf numFmtId="205" fontId="10" fillId="0" borderId="5" xfId="0" applyNumberFormat="1" applyFont="1" applyFill="1" applyBorder="1" applyAlignment="1">
      <x:alignment horizontal="center" vertical="center" wrapText="1"/>
    </x:xf>
    <x:xf numFmtId="205" fontId="10" fillId="0" borderId="6" xfId="0" applyNumberFormat="1" applyFont="1" applyFill="1" applyBorder="1" applyAlignment="1">
      <x:alignment horizontal="center" vertical="center" wrapText="1"/>
    </x:xf>
    <x:xf numFmtId="201" fontId="10" fillId="0" borderId="4" xfId="0" applyNumberFormat="1" applyFont="1" applyFill="1" applyBorder="1" applyAlignment="1">
      <x:alignment horizontal="center" vertical="center" wrapText="1"/>
    </x:xf>
    <x:xf numFmtId="201" fontId="10" fillId="0" borderId="5" xfId="0" applyNumberFormat="1" applyFont="1" applyFill="1" applyBorder="1" applyAlignment="1">
      <x:alignment horizontal="center" vertical="center" wrapText="1"/>
    </x:xf>
    <x:xf numFmtId="201" fontId="10" fillId="0" borderId="6" xfId="0" applyNumberFormat="1" applyFont="1" applyFill="1" applyBorder="1" applyAlignment="1">
      <x:alignment horizontal="center" vertical="center" wrapText="1"/>
    </x:xf>
    <x:xf numFmtId="206" fontId="10" fillId="0" borderId="4" xfId="0" applyNumberFormat="1" applyFont="1" applyFill="1" applyBorder="1" applyAlignment="1">
      <x:alignment horizontal="center" vertical="center" wrapText="1"/>
    </x:xf>
    <x:xf numFmtId="206" fontId="10" fillId="0" borderId="5" xfId="0" applyNumberFormat="1" applyFont="1" applyFill="1" applyBorder="1" applyAlignment="1">
      <x:alignment horizontal="center" vertical="center" wrapText="1"/>
    </x:xf>
    <x:xf numFmtId="206" fontId="10" fillId="0" borderId="6" xfId="0" applyNumberFormat="1" applyFont="1" applyFill="1" applyBorder="1" applyAlignment="1">
      <x:alignment horizontal="center" vertical="center" wrapText="1"/>
    </x:xf>
    <x:xf numFmtId="203" fontId="10" fillId="0" borderId="4" xfId="0" applyNumberFormat="1" applyFont="1" applyFill="1" applyBorder="1" applyAlignment="1">
      <x:alignment horizontal="center" vertical="center" wrapText="1"/>
    </x:xf>
    <x:xf numFmtId="203" fontId="10" fillId="0" borderId="5" xfId="0" applyNumberFormat="1" applyFont="1" applyFill="1" applyBorder="1" applyAlignment="1">
      <x:alignment horizontal="center" vertical="center" wrapText="1"/>
    </x:xf>
    <x:xf numFmtId="203" fontId="10" fillId="0" borderId="6" xfId="0" applyNumberFormat="1" applyFont="1" applyFill="1" applyBorder="1" applyAlignment="1">
      <x:alignment horizontal="center" vertical="center" wrapText="1"/>
    </x:xf>
    <x:xf numFmtId="202" fontId="10" fillId="0" borderId="4" xfId="0" applyNumberFormat="1" applyFont="1" applyFill="1" applyBorder="1" applyAlignment="1">
      <x:alignment horizontal="center" vertical="center" wrapText="1"/>
    </x:xf>
    <x:xf numFmtId="202" fontId="10" fillId="0" borderId="5" xfId="0" applyNumberFormat="1" applyFont="1" applyFill="1" applyBorder="1" applyAlignment="1">
      <x:alignment horizontal="center" vertical="center" wrapText="1"/>
    </x:xf>
    <x:xf numFmtId="202" fontId="10" fillId="0" borderId="6" xfId="0" applyNumberFormat="1" applyFont="1" applyFill="1" applyBorder="1" applyAlignment="1">
      <x:alignment horizontal="center" vertical="center" wrapText="1"/>
    </x:xf>
    <x:xf numFmtId="207" fontId="10" fillId="0" borderId="4" xfId="0" applyNumberFormat="1" applyFont="1" applyFill="1" applyBorder="1" applyAlignment="1">
      <x:alignment horizontal="center" vertical="center" wrapText="1"/>
    </x:xf>
    <x:xf numFmtId="207" fontId="10" fillId="0" borderId="5" xfId="0" applyNumberFormat="1" applyFont="1" applyFill="1" applyBorder="1" applyAlignment="1">
      <x:alignment horizontal="center" vertical="center" wrapText="1"/>
    </x:xf>
    <x:xf numFmtId="207" fontId="10" fillId="0" borderId="6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wrapText="0"/>
    </x:xf>
    <x:xf numFmtId="0" fontId="10" fillId="0" borderId="5" xfId="0" applyNumberFormat="1" applyFont="1" applyFill="1" applyBorder="1" applyAlignment="1">
      <x:alignment wrapText="0"/>
    </x:xf>
    <x:xf numFmtId="0" fontId="10" fillId="0" borderId="6" xfId="0" applyNumberFormat="1" applyFont="1" applyFill="1" applyBorder="1" applyAlignment="1">
      <x:alignment wrapText="0"/>
    </x:xf>
    <x:xf numFmtId="0" fontId="10" fillId="0" borderId="4" xfId="0" applyNumberFormat="1" applyFont="1" applyFill="1" applyBorder="1" applyAlignment="1">
      <x:alignment horizontal="center" wrapText="0"/>
    </x:xf>
    <x:xf numFmtId="0" fontId="10" fillId="0" borderId="5" xfId="0" applyNumberFormat="1" applyFont="1" applyFill="1" applyBorder="1" applyAlignment="1">
      <x:alignment horizontal="center" wrapText="0"/>
    </x:xf>
    <x:xf numFmtId="0" fontId="10" fillId="0" borderId="6" xfId="0" applyNumberFormat="1" applyFont="1" applyFill="1" applyBorder="1" applyAlignment="1">
      <x:alignment horizontal="center" wrapText="0"/>
    </x:xf>
    <x:xf numFmtId="0" fontId="10" fillId="0" borderId="4" xfId="0" applyNumberFormat="1" applyFont="1" applyFill="1" applyBorder="1" applyAlignment="1">
      <x:alignment horizontal="center" vertical="center" wrapText="0"/>
    </x:xf>
    <x:xf numFmtId="0" fontId="10" fillId="0" borderId="5" xfId="0" applyNumberFormat="1" applyFont="1" applyFill="1" applyBorder="1" applyAlignment="1">
      <x:alignment horizontal="center" vertical="center" wrapText="0"/>
    </x:xf>
    <x:xf numFmtId="0" fontId="10" fillId="0" borderId="6" xfId="0" applyNumberFormat="1" applyFont="1" applyFill="1" applyBorder="1" applyAlignment="1">
      <x:alignment horizontal="center" vertical="center" wrapText="0"/>
    </x:xf>
    <x:xf numFmtId="207" fontId="10" fillId="0" borderId="4" xfId="0" applyNumberFormat="1" applyFont="1" applyFill="1" applyBorder="1" applyAlignment="1">
      <x:alignment horizontal="center" vertical="center" wrapText="0"/>
    </x:xf>
    <x:xf numFmtId="207" fontId="10" fillId="0" borderId="5" xfId="0" applyNumberFormat="1" applyFont="1" applyFill="1" applyBorder="1" applyAlignment="1">
      <x:alignment horizontal="center" vertical="center" wrapText="0"/>
    </x:xf>
    <x:xf numFmtId="207" fontId="10" fillId="0" borderId="6" xfId="0" applyNumberFormat="1" applyFont="1" applyFill="1" applyBorder="1" applyAlignment="1">
      <x:alignment horizontal="center" vertical="center" wrapText="0"/>
    </x:xf>
    <x:xf numFmtId="206" fontId="10" fillId="0" borderId="4" xfId="0" applyNumberFormat="1" applyFont="1" applyFill="1" applyBorder="1" applyAlignment="1">
      <x:alignment horizontal="center" vertical="center" wrapText="0"/>
    </x:xf>
    <x:xf numFmtId="206" fontId="10" fillId="0" borderId="5" xfId="0" applyNumberFormat="1" applyFont="1" applyFill="1" applyBorder="1" applyAlignment="1">
      <x:alignment horizontal="center" vertical="center" wrapText="0"/>
    </x:xf>
    <x:xf numFmtId="206" fontId="10" fillId="0" borderId="6" xfId="0" applyNumberFormat="1" applyFont="1" applyFill="1" applyBorder="1" applyAlignment="1">
      <x:alignment horizontal="center" vertical="center" wrapText="0"/>
    </x:xf>
    <x:xf numFmtId="201" fontId="10" fillId="0" borderId="4" xfId="0" applyNumberFormat="1" applyFont="1" applyFill="1" applyBorder="1" applyAlignment="1">
      <x:alignment horizontal="center" vertical="center" wrapText="0"/>
    </x:xf>
    <x:xf numFmtId="201" fontId="10" fillId="0" borderId="5" xfId="0" applyNumberFormat="1" applyFont="1" applyFill="1" applyBorder="1" applyAlignment="1">
      <x:alignment horizontal="center" vertical="center" wrapText="0"/>
    </x:xf>
    <x:xf numFmtId="201" fontId="10" fillId="0" borderId="6" xfId="0" applyNumberFormat="1" applyFont="1" applyFill="1" applyBorder="1" applyAlignment="1">
      <x:alignment horizontal="center" vertical="center" wrapText="0"/>
    </x:xf>
    <x:xf numFmtId="203" fontId="10" fillId="0" borderId="4" xfId="0" applyNumberFormat="1" applyFont="1" applyFill="1" applyBorder="1" applyAlignment="1">
      <x:alignment horizontal="center" vertical="center" wrapText="0"/>
    </x:xf>
    <x:xf numFmtId="203" fontId="10" fillId="0" borderId="5" xfId="0" applyNumberFormat="1" applyFont="1" applyFill="1" applyBorder="1" applyAlignment="1">
      <x:alignment horizontal="center" vertical="center" wrapText="0"/>
    </x:xf>
    <x:xf numFmtId="203" fontId="10" fillId="0" borderId="6" xfId="0" applyNumberFormat="1" applyFont="1" applyFill="1" applyBorder="1" applyAlignment="1">
      <x:alignment horizontal="center" vertical="center" wrapText="0"/>
    </x:xf>
    <x:xf numFmtId="202" fontId="10" fillId="0" borderId="4" xfId="0" applyNumberFormat="1" applyFont="1" applyFill="1" applyBorder="1" applyAlignment="1">
      <x:alignment horizontal="center" vertical="center" wrapText="0"/>
    </x:xf>
    <x:xf numFmtId="202" fontId="10" fillId="0" borderId="5" xfId="0" applyNumberFormat="1" applyFont="1" applyFill="1" applyBorder="1" applyAlignment="1">
      <x:alignment horizontal="center" vertical="center" wrapText="0"/>
    </x:xf>
    <x:xf numFmtId="202" fontId="10" fillId="0" borderId="6" xfId="0" applyNumberFormat="1" applyFont="1" applyFill="1" applyBorder="1" applyAlignment="1">
      <x:alignment horizontal="center" vertical="center" wrapText="0"/>
    </x:xf>
    <x:xf numFmtId="0" fontId="9" fillId="0" borderId="4" xfId="0" applyNumberFormat="1" applyFont="1" applyFill="1" applyBorder="1" applyAlignment="1">
      <x:alignment wrapText="0"/>
    </x:xf>
    <x:xf numFmtId="0" fontId="9" fillId="0" borderId="5" xfId="0" applyNumberFormat="1" applyFont="1" applyFill="1" applyBorder="1" applyAlignment="1">
      <x:alignment wrapText="0"/>
    </x:xf>
    <x:xf numFmtId="0" fontId="9" fillId="0" borderId="6" xfId="0" applyNumberFormat="1" applyFont="1" applyFill="1" applyBorder="1" applyAlignment="1">
      <x:alignment wrapText="0"/>
    </x:xf>
    <x:xf numFmtId="0" fontId="9" fillId="0" borderId="4" xfId="0" applyNumberFormat="1" applyFont="1" applyFill="1" applyBorder="1" applyAlignment="1">
      <x:alignment horizontal="center" wrapText="0"/>
    </x:xf>
    <x:xf numFmtId="0" fontId="9" fillId="0" borderId="5" xfId="0" applyNumberFormat="1" applyFont="1" applyFill="1" applyBorder="1" applyAlignment="1">
      <x:alignment horizontal="center" wrapText="0"/>
    </x:xf>
    <x:xf numFmtId="0" fontId="9" fillId="0" borderId="6" xfId="0" applyNumberFormat="1" applyFont="1" applyFill="1" applyBorder="1" applyAlignment="1">
      <x:alignment horizontal="center" wrapText="0"/>
    </x:xf>
    <x:xf numFmtId="0" fontId="9" fillId="0" borderId="4" xfId="0" applyNumberFormat="1" applyFont="1" applyFill="1" applyBorder="1" applyAlignment="1">
      <x:alignment horizontal="center" vertical="center" wrapText="0"/>
    </x:xf>
    <x:xf numFmtId="0" fontId="9" fillId="0" borderId="5" xfId="0" applyNumberFormat="1" applyFont="1" applyFill="1" applyBorder="1" applyAlignment="1">
      <x:alignment horizontal="center" vertical="center" wrapText="0"/>
    </x:xf>
    <x:xf numFmtId="0" fontId="9" fillId="0" borderId="6" xfId="0" applyNumberFormat="1" applyFont="1" applyFill="1" applyBorder="1" applyAlignment="1">
      <x:alignment horizontal="center" vertical="center" wrapText="0"/>
    </x:xf>
    <x:xf numFmtId="0" fontId="11" fillId="0" borderId="4" xfId="0" applyNumberFormat="1" applyFont="1" applyFill="1" applyBorder="1" applyAlignment="1">
      <x:alignment horizontal="center" vertical="center" wrapText="0"/>
    </x:xf>
    <x:xf numFmtId="0" fontId="11" fillId="0" borderId="5" xfId="0" applyNumberFormat="1" applyFont="1" applyFill="1" applyBorder="1" applyAlignment="1">
      <x:alignment horizontal="center" vertical="center" wrapText="0"/>
    </x:xf>
    <x:xf numFmtId="0" fontId="11" fillId="0" borderId="6" xfId="0" applyNumberFormat="1" applyFont="1" applyFill="1" applyBorder="1" applyAlignment="1">
      <x:alignment horizontal="center" vertical="center" wrapText="0"/>
    </x:xf>
    <x:xf numFmtId="201" fontId="11" fillId="0" borderId="4" xfId="0" applyNumberFormat="1" applyFont="1" applyFill="1" applyBorder="1" applyAlignment="1">
      <x:alignment horizontal="center" vertical="center" wrapText="0"/>
    </x:xf>
    <x:xf numFmtId="201" fontId="11" fillId="0" borderId="5" xfId="0" applyNumberFormat="1" applyFont="1" applyFill="1" applyBorder="1" applyAlignment="1">
      <x:alignment horizontal="center" vertical="center" wrapText="0"/>
    </x:xf>
    <x:xf numFmtId="201" fontId="11" fillId="0" borderId="6" xfId="0" applyNumberFormat="1" applyFont="1" applyFill="1" applyBorder="1" applyAlignment="1">
      <x:alignment horizontal="center" vertical="center" wrapText="0"/>
    </x:xf>
    <x:xf numFmtId="203" fontId="11" fillId="0" borderId="4" xfId="0" applyNumberFormat="1" applyFont="1" applyFill="1" applyBorder="1" applyAlignment="1">
      <x:alignment horizontal="center" vertical="center" wrapText="0"/>
    </x:xf>
    <x:xf numFmtId="203" fontId="11" fillId="0" borderId="5" xfId="0" applyNumberFormat="1" applyFont="1" applyFill="1" applyBorder="1" applyAlignment="1">
      <x:alignment horizontal="center" vertical="center" wrapText="0"/>
    </x:xf>
    <x:xf numFmtId="203" fontId="11" fillId="0" borderId="6" xfId="0" applyNumberFormat="1" applyFont="1" applyFill="1" applyBorder="1" applyAlignment="1">
      <x:alignment horizontal="center" vertical="center" wrapText="0"/>
    </x:xf>
    <x:xf numFmtId="200" fontId="11" fillId="0" borderId="4" xfId="0" applyNumberFormat="1" applyFont="1" applyFill="1" applyBorder="1" applyAlignment="1">
      <x:alignment horizontal="center" vertical="center" wrapText="0"/>
    </x:xf>
    <x:xf numFmtId="200" fontId="11" fillId="0" borderId="5" xfId="0" applyNumberFormat="1" applyFont="1" applyFill="1" applyBorder="1" applyAlignment="1">
      <x:alignment horizontal="center" vertical="center" wrapText="0"/>
    </x:xf>
    <x:xf numFmtId="200" fontId="11" fillId="0" borderId="6" xfId="0" applyNumberFormat="1" applyFont="1" applyFill="1" applyBorder="1" applyAlignment="1">
      <x:alignment horizontal="center" vertical="center" wrapText="0"/>
    </x:xf>
    <x:xf numFmtId="201" fontId="9" fillId="0" borderId="4" xfId="0" applyNumberFormat="1" applyFont="1" applyFill="1" applyBorder="1" applyAlignment="1">
      <x:alignment horizontal="center" vertical="center" wrapText="0"/>
    </x:xf>
    <x:xf numFmtId="201" fontId="9" fillId="0" borderId="5" xfId="0" applyNumberFormat="1" applyFont="1" applyFill="1" applyBorder="1" applyAlignment="1">
      <x:alignment horizontal="center" vertical="center" wrapText="0"/>
    </x:xf>
    <x:xf numFmtId="201" fontId="9" fillId="0" borderId="6" xfId="0" applyNumberFormat="1" applyFont="1" applyFill="1" applyBorder="1" applyAlignment="1">
      <x:alignment horizontal="center" vertical="center" wrapText="0"/>
    </x:xf>
    <x:xf numFmtId="202" fontId="9" fillId="0" borderId="4" xfId="0" applyNumberFormat="1" applyFont="1" applyFill="1" applyBorder="1" applyAlignment="1">
      <x:alignment horizontal="center" vertical="center" wrapText="0"/>
    </x:xf>
    <x:xf numFmtId="202" fontId="9" fillId="0" borderId="5" xfId="0" applyNumberFormat="1" applyFont="1" applyFill="1" applyBorder="1" applyAlignment="1">
      <x:alignment horizontal="center" vertical="center" wrapText="0"/>
    </x:xf>
    <x:xf numFmtId="202" fontId="9" fillId="0" borderId="6" xfId="0" applyNumberFormat="1" applyFont="1" applyFill="1" applyBorder="1" applyAlignment="1">
      <x:alignment horizontal="center" vertical="center" wrapText="0"/>
    </x:xf>
    <x:xf numFmtId="0" fontId="11" fillId="0" borderId="4" xfId="0" applyNumberFormat="1" applyFont="1" applyFill="1" applyBorder="1" applyAlignment="1">
      <x:alignment horizontal="center" vertical="center" wrapText="1"/>
    </x:xf>
    <x:xf numFmtId="0" fontId="11" fillId="0" borderId="5" xfId="0" applyNumberFormat="1" applyFont="1" applyFill="1" applyBorder="1" applyAlignment="1">
      <x:alignment horizontal="center"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201" fontId="11" fillId="0" borderId="4" xfId="0" applyNumberFormat="1" applyFont="1" applyFill="1" applyBorder="1" applyAlignment="1">
      <x:alignment horizontal="center" vertical="center" wrapText="1"/>
    </x:xf>
    <x:xf numFmtId="201" fontId="11" fillId="0" borderId="5" xfId="0" applyNumberFormat="1" applyFont="1" applyFill="1" applyBorder="1" applyAlignment="1">
      <x:alignment horizontal="center" vertical="center" wrapText="1"/>
    </x:xf>
    <x:xf numFmtId="201" fontId="11" fillId="0" borderId="6" xfId="0" applyNumberFormat="1" applyFont="1" applyFill="1" applyBorder="1" applyAlignment="1">
      <x:alignment horizontal="center" vertical="center" wrapText="1"/>
    </x:xf>
    <x:xf numFmtId="202" fontId="9" fillId="0" borderId="4" xfId="0" applyNumberFormat="1" applyFont="1" applyFill="1" applyBorder="1" applyAlignment="1">
      <x:alignment horizontal="center" vertical="center" wrapText="1"/>
    </x:xf>
    <x:xf numFmtId="202" fontId="9" fillId="0" borderId="5" xfId="0" applyNumberFormat="1" applyFont="1" applyFill="1" applyBorder="1" applyAlignment="1">
      <x:alignment horizontal="center" vertical="center" wrapText="1"/>
    </x:xf>
    <x:xf numFmtId="202" fontId="9" fillId="0" borderId="6" xfId="0" applyNumberFormat="1" applyFont="1" applyFill="1" applyBorder="1" applyAlignment="1">
      <x:alignment horizontal="center" vertical="center" wrapText="1"/>
    </x:xf>
    <x:xf numFmtId="201" fontId="9" fillId="0" borderId="4" xfId="0" applyNumberFormat="1" applyFont="1" applyFill="1" applyBorder="1" applyAlignment="1">
      <x:alignment horizontal="center" vertical="center" wrapText="1"/>
    </x:xf>
    <x:xf numFmtId="201" fontId="9" fillId="0" borderId="5" xfId="0" applyNumberFormat="1" applyFont="1" applyFill="1" applyBorder="1" applyAlignment="1">
      <x:alignment horizontal="center" vertical="center" wrapText="1"/>
    </x:xf>
    <x:xf numFmtId="201" fontId="9" fillId="0" borderId="6" xfId="0" applyNumberFormat="1" applyFont="1" applyFill="1" applyBorder="1" applyAlignment="1">
      <x:alignment horizontal="center" vertical="center" wrapText="1"/>
    </x:xf>
    <x:xf numFmtId="204" fontId="9" fillId="0" borderId="4" xfId="0" applyNumberFormat="1" applyFont="1" applyFill="1" applyBorder="1" applyAlignment="1">
      <x:alignment horizontal="center" vertical="center" wrapText="1"/>
    </x:xf>
    <x:xf numFmtId="204" fontId="9" fillId="0" borderId="5" xfId="0" applyNumberFormat="1" applyFont="1" applyFill="1" applyBorder="1" applyAlignment="1">
      <x:alignment horizontal="center" vertical="center" wrapText="1"/>
    </x:xf>
    <x:xf numFmtId="204" fontId="9" fillId="0" borderId="6" xfId="0" applyNumberFormat="1" applyFont="1" applyFill="1" applyBorder="1" applyAlignment="1">
      <x:alignment horizontal="center" vertical="center" wrapText="1"/>
    </x:xf>
    <x:xf numFmtId="203" fontId="9" fillId="0" borderId="4" xfId="0" applyNumberFormat="1" applyFont="1" applyFill="1" applyBorder="1" applyAlignment="1">
      <x:alignment horizontal="center" vertical="center" wrapText="1"/>
    </x:xf>
    <x:xf numFmtId="203" fontId="9" fillId="0" borderId="5" xfId="0" applyNumberFormat="1" applyFont="1" applyFill="1" applyBorder="1" applyAlignment="1">
      <x:alignment horizontal="center" vertical="center" wrapText="1"/>
    </x:xf>
    <x:xf numFmtId="203" fontId="9" fillId="0" borderId="6" xfId="0" applyNumberFormat="1" applyFont="1" applyFill="1" applyBorder="1" applyAlignment="1">
      <x:alignment horizontal="center" vertical="center" wrapText="1"/>
    </x:xf>
    <x:xf numFmtId="207" fontId="11" fillId="0" borderId="4" xfId="0" applyNumberFormat="1" applyFont="1" applyFill="1" applyBorder="1" applyAlignment="1">
      <x:alignment horizontal="center" vertical="center" wrapText="1"/>
    </x:xf>
    <x:xf numFmtId="207" fontId="11" fillId="0" borderId="5" xfId="0" applyNumberFormat="1" applyFont="1" applyFill="1" applyBorder="1" applyAlignment="1">
      <x:alignment horizontal="center" vertical="center" wrapText="1"/>
    </x:xf>
    <x:xf numFmtId="207" fontId="11" fillId="0" borderId="6" xfId="0" applyNumberFormat="1" applyFont="1" applyFill="1" applyBorder="1" applyAlignment="1">
      <x:alignment horizontal="center" vertical="center" wrapText="1"/>
    </x:xf>
    <x:xf numFmtId="204" fontId="11" fillId="0" borderId="4" xfId="0" applyNumberFormat="1" applyFont="1" applyFill="1" applyBorder="1" applyAlignment="1">
      <x:alignment horizontal="center" vertical="center" wrapText="1"/>
    </x:xf>
    <x:xf numFmtId="204" fontId="11" fillId="0" borderId="5" xfId="0" applyNumberFormat="1" applyFont="1" applyFill="1" applyBorder="1" applyAlignment="1">
      <x:alignment horizontal="center" vertical="center" wrapText="1"/>
    </x:xf>
    <x:xf numFmtId="204" fontId="11" fillId="0" borderId="6" xfId="0" applyNumberFormat="1" applyFont="1" applyFill="1" applyBorder="1" applyAlignment="1">
      <x:alignment horizontal="center" vertical="center" wrapText="1"/>
    </x:xf>
    <x:xf numFmtId="200" fontId="9" fillId="0" borderId="4" xfId="0" applyNumberFormat="1" applyFont="1" applyFill="1" applyBorder="1" applyAlignment="1">
      <x:alignment horizontal="center" vertical="center" wrapText="1"/>
    </x:xf>
    <x:xf numFmtId="200" fontId="9" fillId="0" borderId="5" xfId="0" applyNumberFormat="1" applyFont="1" applyFill="1" applyBorder="1" applyAlignment="1">
      <x:alignment horizontal="center" vertical="center" wrapText="1"/>
    </x:xf>
    <x:xf numFmtId="200" fontId="9" fillId="0" borderId="6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201" fontId="11" fillId="5" borderId="4" xfId="0" applyNumberFormat="1" applyFont="1" applyFill="1" applyBorder="1" applyAlignment="1">
      <x:alignment horizontal="center" vertical="center" wrapText="1"/>
    </x:xf>
    <x:xf numFmtId="207" fontId="11" fillId="5" borderId="4" xfId="0" applyNumberFormat="1" applyFont="1" applyFill="1" applyBorder="1" applyAlignment="1">
      <x:alignment horizontal="center" vertical="center" wrapText="1"/>
    </x:xf>
    <x:xf numFmtId="204" fontId="11" fillId="5" borderId="4" xfId="0" applyNumberFormat="1" applyFont="1" applyFill="1" applyBorder="1" applyAlignment="1">
      <x:alignment horizontal="center" vertical="center" wrapText="1"/>
    </x:xf>
    <x:xf numFmtId="204" fontId="9" fillId="5" borderId="4" xfId="0" applyNumberFormat="1" applyFont="1" applyFill="1" applyBorder="1" applyAlignment="1">
      <x:alignment horizontal="center" vertical="center" wrapText="1"/>
    </x:xf>
    <x:xf numFmtId="201" fontId="9" fillId="5" borderId="4" xfId="0" applyNumberFormat="1" applyFont="1" applyFill="1" applyBorder="1" applyAlignment="1">
      <x:alignment horizontal="center" vertical="center" wrapText="1"/>
    </x:xf>
    <x:xf numFmtId="200" fontId="9" fillId="5" borderId="4" xfId="0" applyNumberFormat="1" applyFont="1" applyFill="1" applyBorder="1" applyAlignment="1">
      <x:alignment horizontal="center" vertical="center" wrapText="1"/>
    </x:xf>
    <x:xf numFmtId="202" fontId="9" fillId="5" borderId="4" xfId="0" applyNumberFormat="1" applyFont="1" applyFill="1" applyBorder="1" applyAlignment="1">
      <x:alignment horizontal="center" vertical="center" wrapText="1"/>
    </x:xf>
    <x:xf numFmtId="203" fontId="9" fillId="5" borderId="4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201" fontId="11" fillId="5" borderId="5" xfId="0" applyNumberFormat="1" applyFont="1" applyFill="1" applyBorder="1" applyAlignment="1">
      <x:alignment horizontal="center" vertical="center" wrapText="1"/>
    </x:xf>
    <x:xf numFmtId="207" fontId="11" fillId="5" borderId="5" xfId="0" applyNumberFormat="1" applyFont="1" applyFill="1" applyBorder="1" applyAlignment="1">
      <x:alignment horizontal="center" vertical="center" wrapText="1"/>
    </x:xf>
    <x:xf numFmtId="204" fontId="11" fillId="5" borderId="5" xfId="0" applyNumberFormat="1" applyFont="1" applyFill="1" applyBorder="1" applyAlignment="1">
      <x:alignment horizontal="center" vertical="center" wrapText="1"/>
    </x:xf>
    <x:xf numFmtId="204" fontId="9" fillId="5" borderId="5" xfId="0" applyNumberFormat="1" applyFont="1" applyFill="1" applyBorder="1" applyAlignment="1">
      <x:alignment horizontal="center" vertical="center" wrapText="1"/>
    </x:xf>
    <x:xf numFmtId="201" fontId="9" fillId="5" borderId="5" xfId="0" applyNumberFormat="1" applyFont="1" applyFill="1" applyBorder="1" applyAlignment="1">
      <x:alignment horizontal="center" vertical="center" wrapText="1"/>
    </x:xf>
    <x:xf numFmtId="200" fontId="9" fillId="5" borderId="5" xfId="0" applyNumberFormat="1" applyFont="1" applyFill="1" applyBorder="1" applyAlignment="1">
      <x:alignment horizontal="center" vertical="center" wrapText="1"/>
    </x:xf>
    <x:xf numFmtId="202" fontId="9" fillId="5" borderId="5" xfId="0" applyNumberFormat="1" applyFont="1" applyFill="1" applyBorder="1" applyAlignment="1">
      <x:alignment horizontal="center" vertical="center" wrapText="1"/>
    </x:xf>
    <x:xf numFmtId="203" fontId="9" fillId="5" borderId="5" xfId="0" applyNumberFormat="1" applyFont="1" applyFill="1" applyBorder="1" applyAlignment="1">
      <x:alignment horizontal="center"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201" fontId="11" fillId="6" borderId="5" xfId="0" applyNumberFormat="1" applyFont="1" applyFill="1" applyBorder="1" applyAlignment="1">
      <x:alignment horizontal="center" vertical="center" wrapText="1"/>
    </x:xf>
    <x:xf numFmtId="207" fontId="11" fillId="6" borderId="5" xfId="0" applyNumberFormat="1" applyFont="1" applyFill="1" applyBorder="1" applyAlignment="1">
      <x:alignment horizontal="center" vertical="center" wrapText="1"/>
    </x:xf>
    <x:xf numFmtId="204" fontId="11" fillId="6" borderId="5" xfId="0" applyNumberFormat="1" applyFont="1" applyFill="1" applyBorder="1" applyAlignment="1">
      <x:alignment horizontal="center" vertical="center" wrapText="1"/>
    </x:xf>
    <x:xf numFmtId="204" fontId="9" fillId="6" borderId="5" xfId="0" applyNumberFormat="1" applyFont="1" applyFill="1" applyBorder="1" applyAlignment="1">
      <x:alignment horizontal="center" vertical="center" wrapText="1"/>
    </x:xf>
    <x:xf numFmtId="201" fontId="9" fillId="6" borderId="5" xfId="0" applyNumberFormat="1" applyFont="1" applyFill="1" applyBorder="1" applyAlignment="1">
      <x:alignment horizontal="center" vertical="center" wrapText="1"/>
    </x:xf>
    <x:xf numFmtId="200" fontId="9" fillId="6" borderId="5" xfId="0" applyNumberFormat="1" applyFont="1" applyFill="1" applyBorder="1" applyAlignment="1">
      <x:alignment horizontal="center" vertical="center" wrapText="1"/>
    </x:xf>
    <x:xf numFmtId="202" fontId="9" fillId="6" borderId="5" xfId="0" applyNumberFormat="1" applyFont="1" applyFill="1" applyBorder="1" applyAlignment="1">
      <x:alignment horizontal="center" vertical="center" wrapText="1"/>
    </x:xf>
    <x:xf numFmtId="203" fontId="9" fillId="6" borderId="5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201" fontId="11" fillId="6" borderId="6" xfId="0" applyNumberFormat="1" applyFont="1" applyFill="1" applyBorder="1" applyAlignment="1">
      <x:alignment horizontal="center" vertical="center" wrapText="1"/>
    </x:xf>
    <x:xf numFmtId="207" fontId="11" fillId="6" borderId="6" xfId="0" applyNumberFormat="1" applyFont="1" applyFill="1" applyBorder="1" applyAlignment="1">
      <x:alignment horizontal="center" vertical="center" wrapText="1"/>
    </x:xf>
    <x:xf numFmtId="204" fontId="11" fillId="6" borderId="6" xfId="0" applyNumberFormat="1" applyFont="1" applyFill="1" applyBorder="1" applyAlignment="1">
      <x:alignment horizontal="center" vertical="center" wrapText="1"/>
    </x:xf>
    <x:xf numFmtId="204" fontId="9" fillId="6" borderId="6" xfId="0" applyNumberFormat="1" applyFont="1" applyFill="1" applyBorder="1" applyAlignment="1">
      <x:alignment horizontal="center" vertical="center" wrapText="1"/>
    </x:xf>
    <x:xf numFmtId="201" fontId="9" fillId="6" borderId="6" xfId="0" applyNumberFormat="1" applyFont="1" applyFill="1" applyBorder="1" applyAlignment="1">
      <x:alignment horizontal="center" vertical="center" wrapText="1"/>
    </x:xf>
    <x:xf numFmtId="200" fontId="9" fillId="6" borderId="6" xfId="0" applyNumberFormat="1" applyFont="1" applyFill="1" applyBorder="1" applyAlignment="1">
      <x:alignment horizontal="center" vertical="center" wrapText="1"/>
    </x:xf>
    <x:xf numFmtId="202" fontId="9" fillId="6" borderId="6" xfId="0" applyNumberFormat="1" applyFont="1" applyFill="1" applyBorder="1" applyAlignment="1">
      <x:alignment horizontal="center" vertical="center" wrapText="1"/>
    </x:xf>
    <x:xf numFmtId="203" fontId="9" fillId="6" borderId="6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13" xfId="0" applyNumberFormat="1" applyFont="1" applyFill="1" applyBorder="1"/>
    <x:xf numFmtId="0" fontId="12" fillId="0" borderId="13" xfId="0" applyNumberFormat="1" applyFont="1" applyFill="1" applyBorder="1" applyAlignment="1">
      <x:alignment horizontal="center"/>
    </x:xf>
    <x:xf numFmtId="0" fontId="12" fillId="0" borderId="13" xfId="0" applyNumberFormat="1" applyFont="1" applyFill="1" applyBorder="1" applyAlignment="1">
      <x:alignment horizontal="center" vertical="center"/>
    </x:xf>
    <x:xf numFmtId="0" fontId="12" fillId="2" borderId="13" xfId="0" applyNumberFormat="1" applyFont="1" applyFill="1" applyBorder="1" applyAlignment="1">
      <x:alignment horizontal="center" vertical="center"/>
    </x:xf>
    <x:xf numFmtId="0" fontId="2" fillId="2" borderId="13" xfId="0" applyNumberFormat="1" applyFont="1" applyFill="1" applyBorder="1" applyAlignment="1">
      <x:alignment horizontal="center" vertical="center"/>
    </x:xf>
    <x:xf numFmtId="201" fontId="12" fillId="0" borderId="13" xfId="0" applyNumberFormat="1" applyFont="1" applyFill="1" applyBorder="1" applyAlignment="1">
      <x:alignment horizontal="center" vertical="center"/>
    </x:xf>
    <x:xf numFmtId="202" fontId="12" fillId="0" borderId="13" xfId="0" applyNumberFormat="1" applyFont="1" applyFill="1" applyBorder="1" applyAlignment="1">
      <x:alignment horizontal="center" vertical="center"/>
    </x:xf>
    <x:xf numFmtId="200" fontId="5" fillId="3" borderId="3" xfId="0" applyNumberFormat="1" applyFont="1" applyFill="1" applyBorder="1" applyAlignment="1">
      <x:alignment horizontal="center" vertical="center" wrapText="1"/>
    </x:xf>
    <x:xf numFmtId="208" fontId="6" fillId="0" borderId="4" xfId="0" applyNumberFormat="1" applyFont="1" applyFill="1" applyBorder="1" applyAlignment="1">
      <x:alignment horizontal="center" vertical="center" wrapText="0"/>
    </x:xf>
    <x:xf numFmtId="208" fontId="6" fillId="0" borderId="5" xfId="0" applyNumberFormat="1" applyFont="1" applyFill="1" applyBorder="1" applyAlignment="1">
      <x:alignment horizontal="center" vertical="center" wrapText="0"/>
    </x:xf>
    <x:xf numFmtId="208" fontId="6" fillId="0" borderId="6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dd1faea8e4d39" /><Relationship Type="http://schemas.openxmlformats.org/officeDocument/2006/relationships/theme" Target="/xl/theme/theme1.xml" Id="R9a594930137a4b1a" /><Relationship Type="http://schemas.openxmlformats.org/officeDocument/2006/relationships/sharedStrings" Target="/xl/sharedStrings.xml" Id="Rff143ba1a7314f62" /><Relationship Type="http://schemas.openxmlformats.org/officeDocument/2006/relationships/worksheet" Target="/xl/worksheets/sheet1.xml" Id="R0635fd2475c249fa" /><Relationship Type="http://schemas.openxmlformats.org/officeDocument/2006/relationships/worksheet" Target="/xl/worksheets/sheet2.xml" Id="R06fbdb207969420a" /><Relationship Type="http://schemas.openxmlformats.org/officeDocument/2006/relationships/worksheet" Target="/xl/worksheets/sheet3.xml" Id="R0f5fb62e677a4d37" /><Relationship Type="http://schemas.openxmlformats.org/officeDocument/2006/relationships/worksheet" Target="/xl/worksheets/sheet4.xml" Id="Rf25ce1cbd99c4cd6" /><Relationship Type="http://schemas.openxmlformats.org/officeDocument/2006/relationships/worksheet" Target="/xl/worksheets/sheet5.xml" Id="Rdb288d15ed504366" /><Relationship Type="http://schemas.openxmlformats.org/officeDocument/2006/relationships/worksheet" Target="/xl/worksheets/sheet6.xml" Id="Rb9dda8065e5448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c9a9ced41a4d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Microsoft YaHei"/>
                <a:ea typeface="Microsoft YaHei"/>
                <a:cs typeface="Microsoft YaHei"/>
              </a:rPr>
              <a:t>当前价与条件价值（元/股）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当前价</c:v>
          </c:tx>
          <c:spPr>
            <a:solidFill xmlns:a="http://schemas.openxmlformats.org/drawingml/2006/main">
              <a:srgbClr val="7F8C8D"/>
            </a:solidFill>
          </c:spPr>
          <c:cat>
            <c:strRef>
              <c:f>'估值总览'!$C$6:$C$13</c:f>
              <c:strCache>
                <c:ptCount val="0"/>
              </c:strCache>
            </c:strRef>
          </c:cat>
          <c:val>
            <c:numRef>
              <c:f>'估值总览'!$D$6:$D$13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悲观价值</c:v>
          </c:tx>
          <c:spPr>
            <a:solidFill xmlns:a="http://schemas.openxmlformats.org/drawingml/2006/main">
              <a:srgbClr val="C0504D"/>
            </a:solidFill>
          </c:spPr>
          <c:cat>
            <c:strRef>
              <c:f>'估值总览'!$C$6:$C$13</c:f>
              <c:strCache>
                <c:ptCount val="0"/>
              </c:strCache>
            </c:strRef>
          </c:cat>
          <c:val>
            <c:numRef>
              <c:f>'估值总览'!$N$6:$N$13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概率加权中枢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'估值总览'!$C$6:$C$13</c:f>
              <c:strCache>
                <c:ptCount val="0"/>
              </c:strCache>
            </c:strRef>
          </c:cat>
          <c:val>
            <c:numRef>
              <c:f>'估值总览'!$Q$6:$Q$13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高价延续价值</c:v>
          </c:tx>
          <c:spPr>
            <a:solidFill xmlns:a="http://schemas.openxmlformats.org/drawingml/2006/main">
              <a:srgbClr val="B7791F"/>
            </a:solidFill>
          </c:spPr>
          <c:cat>
            <c:strRef>
              <c:f>'估值总览'!$C$6:$C$13</c:f>
              <c:strCache>
                <c:ptCount val="0"/>
              </c:strCache>
            </c:strRef>
          </c:cat>
          <c:val>
            <c:numRef>
              <c:f>'估值总览'!$P$6:$P$13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22</xdr:col>
      <xdr:colOff>0</xdr:colOff>
      <xdr:row>3</xdr:row>
      <xdr:rowOff>0</xdr:rowOff>
    </xdr:from>
    <xdr:to>
      <xdr:col>32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c9a9ced41a4d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cd8f563aa4435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1" hidden="0" customWidth="1"/>
    <x:col min="11" max="11" width="10" hidden="0" customWidth="1"/>
    <x:col min="12" max="12" width="13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1" hidden="0" customWidth="1"/>
    <x:col min="19" max="19" width="13" hidden="0" customWidth="1"/>
    <x:col min="20" max="20" width="14" hidden="0" customWidth="1"/>
    <x:col min="21" max="21" width="38" hidden="0" customWidth="1"/>
  </x:cols>
  <x:sheetData>
    <x:row r="1">
      <x:c r="A1" s="302"/>
      <x:c r="B1" s="302"/>
      <x:c r="C1" s="302"/>
      <x:c r="D1" s="302"/>
      <x:c r="E1" s="302"/>
      <x:c r="F1" s="302"/>
      <x:c r="G1" s="302"/>
      <x:c r="H1" s="302"/>
      <x:c r="I1" s="302"/>
      <x:c r="J1" s="302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</x:row>
    <x:row r="2" ht="26" customHeight="1">
      <x:c r="A2" s="3" t="str">
        <x:v>A股五大煤企与三桶油：实时前瞻估值总览</x:v>
      </x:c>
      <x:c r="B2" s="3" t="str">
        <x:v>A股五大煤企与三桶油：实时前瞻估值总览</x:v>
      </x:c>
      <x:c r="C2" s="3" t="str">
        <x:v>A股五大煤企与三桶油：实时前瞻估值总览</x:v>
      </x:c>
      <x:c r="D2" s="3" t="str">
        <x:v>A股五大煤企与三桶油：实时前瞻估值总览</x:v>
      </x:c>
      <x:c r="E2" s="3" t="str">
        <x:v>A股五大煤企与三桶油：实时前瞻估值总览</x:v>
      </x:c>
      <x:c r="F2" s="3" t="str">
        <x:v>A股五大煤企与三桶油：实时前瞻估值总览</x:v>
      </x:c>
      <x:c r="G2" s="3" t="str">
        <x:v>A股五大煤企与三桶油：实时前瞻估值总览</x:v>
      </x:c>
      <x:c r="H2" s="3" t="str">
        <x:v>A股五大煤企与三桶油：实时前瞻估值总览</x:v>
      </x:c>
      <x:c r="I2" s="3" t="str">
        <x:v>A股五大煤企与三桶油：实时前瞻估值总览</x:v>
      </x:c>
      <x:c r="J2" s="3" t="str">
        <x:v>A股五大煤企与三桶油：实时前瞻估值总览</x:v>
      </x:c>
      <x:c r="K2" s="3" t="str">
        <x:v>A股五大煤企与三桶油：实时前瞻估值总览</x:v>
      </x:c>
      <x:c r="L2" s="3" t="str">
        <x:v>A股五大煤企与三桶油：实时前瞻估值总览</x:v>
      </x:c>
      <x:c r="M2" s="3" t="str">
        <x:v>A股五大煤企与三桶油：实时前瞻估值总览</x:v>
      </x:c>
      <x:c r="N2" s="3" t="str">
        <x:v>A股五大煤企与三桶油：实时前瞻估值总览</x:v>
      </x:c>
      <x:c r="O2" s="3" t="str">
        <x:v>A股五大煤企与三桶油：实时前瞻估值总览</x:v>
      </x:c>
      <x:c r="P2" s="3" t="str">
        <x:v>A股五大煤企与三桶油：实时前瞻估值总览</x:v>
      </x:c>
      <x:c r="Q2" s="3" t="str">
        <x:v>A股五大煤企与三桶油：实时前瞻估值总览</x:v>
      </x:c>
      <x:c r="R2" s="3" t="str">
        <x:v>A股五大煤企与三桶油：实时前瞻估值总览</x:v>
      </x:c>
      <x:c r="S2" s="3" t="str">
        <x:v>A股五大煤企与三桶油：实时前瞻估值总览</x:v>
      </x:c>
      <x:c r="T2" s="3" t="str">
        <x:v>A股五大煤企与三桶油：实时前瞻估值总览</x:v>
      </x:c>
      <x:c r="U2" s="3" t="str">
        <x:v>A股五大煤企与三桶油：实时前瞻估值总览</x:v>
      </x:c>
    </x:row>
    <x:row r="3">
      <x:c r="A3" s="143" t="str">
        <x:v>股价截至2026-10-09；财务截至2026年中报。2026E先用H1实际+H2商品价格/产量/经营因素推演，再与市场一致预期交叉验证。</x:v>
      </x:c>
      <x:c r="B3" s="143"/>
      <x:c r="C3" s="143"/>
      <x:c r="D3" s="143"/>
      <x:c r="E3" s="143"/>
      <x:c r="F3" s="143"/>
      <x:c r="G3" s="143"/>
      <x:c r="H3" s="143"/>
      <x:c r="I3" s="143"/>
      <x:c r="J3" s="143"/>
      <x:c r="K3" s="143"/>
      <x:c r="L3" s="143"/>
      <x:c r="M3" s="143"/>
      <x:c r="N3" s="143"/>
      <x:c r="O3" s="143"/>
      <x:c r="P3" s="143"/>
      <x:c r="Q3" s="143"/>
      <x:c r="R3" s="143"/>
      <x:c r="S3" s="143"/>
      <x:c r="T3" s="143"/>
      <x:c r="U3" s="143"/>
    </x:row>
    <x:row r="4">
      <x:c r="A4" s="302"/>
      <x:c r="B4" s="302"/>
      <x:c r="C4" s="302"/>
      <x:c r="D4" s="302"/>
      <x:c r="E4" s="302"/>
      <x:c r="F4" s="302"/>
      <x:c r="G4" s="302"/>
      <x:c r="H4" s="302"/>
      <x:c r="I4" s="302"/>
      <x:c r="J4" s="302"/>
      <x:c r="K4" s="302"/>
      <x:c r="L4" s="302"/>
      <x:c r="M4" s="302"/>
      <x:c r="N4" s="302"/>
      <x:c r="O4" s="302"/>
      <x:c r="P4" s="302"/>
      <x:c r="Q4" s="302"/>
      <x:c r="R4" s="302"/>
      <x:c r="S4" s="302"/>
      <x:c r="T4" s="302"/>
      <x:c r="U4" s="302"/>
    </x:row>
    <x:row r="5" ht="34" customHeight="1">
      <x:c r="A5" s="19" t="str">
        <x:v>行业</x:v>
      </x:c>
      <x:c r="B5" s="19" t="str">
        <x:v>代码</x:v>
      </x:c>
      <x:c r="C5" s="19" t="str">
        <x:v>公司</x:v>
      </x:c>
      <x:c r="D5" s="19" t="str">
        <x:v>当前价</x:v>
      </x:c>
      <x:c r="E5" s="19" t="str">
        <x:v>2026E净利</x:v>
      </x:c>
      <x:c r="F5" s="19" t="str">
        <x:v>2026E EPS</x:v>
      </x:c>
      <x:c r="G5" s="19" t="str">
        <x:v>前瞻PE</x:v>
      </x:c>
      <x:c r="H5" s="19" t="str">
        <x:v>预计DPS</x:v>
      </x:c>
      <x:c r="I5" s="19" t="str">
        <x:v>前瞻股息率</x:v>
      </x:c>
      <x:c r="J5" s="19" t="str">
        <x:v>2026E BPS</x:v>
      </x:c>
      <x:c r="K5" s="19" t="str">
        <x:v>前瞻PB</x:v>
      </x:c>
      <x:c r="L5" s="19" t="str">
        <x:v>所有者收益/股</x:v>
      </x:c>
      <x:c r="M5" s="19" t="str">
        <x:v>股东现金回报率</x:v>
      </x:c>
      <x:c r="N5" s="19" t="str">
        <x:v>悲观价值</x:v>
      </x:c>
      <x:c r="O5" s="19" t="str">
        <x:v>基准价值</x:v>
      </x:c>
      <x:c r="P5" s="19" t="str">
        <x:v>高价延续价值</x:v>
      </x:c>
      <x:c r="Q5" s="19" t="str">
        <x:v>概率加权中枢</x:v>
      </x:c>
      <x:c r="R5" s="19" t="str">
        <x:v>大买线</x:v>
      </x:c>
      <x:c r="S5" s="19" t="str">
        <x:v>中枢潜在回报</x:v>
      </x:c>
      <x:c r="T5" s="19" t="str">
        <x:v>结论</x:v>
      </x:c>
      <x:c r="U5" s="19" t="str">
        <x:v>中枢成立条件</x:v>
      </x:c>
    </x:row>
    <x:row r="6" ht="46" customHeight="1">
      <x:c r="A6" s="113" t="str">
        <x:f>'前瞻预测'!A6</x:f>
        <x:v>煤炭</x:v>
      </x:c>
      <x:c r="B6" s="113" t="str">
        <x:f>'前瞻预测'!B6</x:f>
        <x:v>601088</x:v>
      </x:c>
      <x:c r="C6" s="113" t="str">
        <x:f>'前瞻预测'!C6</x:f>
        <x:v>中国神华</x:v>
      </x:c>
      <x:c r="D6" s="258" t="n">
        <x:f>'前瞻预测'!D6</x:f>
        <x:v>48.4</x:v>
      </x:c>
      <x:c r="E6" s="258" t="n">
        <x:f>'前瞻预测'!R6</x:f>
        <x:v>612.1777773244286</x:v>
      </x:c>
      <x:c r="F6" s="258" t="n">
        <x:f>'前瞻预测'!Q6</x:f>
        <x:v>2.8224700042616133</x:v>
      </x:c>
      <x:c r="G6" s="260" t="n">
        <x:f>'前瞻预测'!V6</x:f>
        <x:v>17.14810075108732</x:v>
      </x:c>
      <x:c r="H6" s="258" t="n">
        <x:f>'前瞻预测'!U6</x:f>
        <x:v>1.9757290029831291</x:v>
      </x:c>
      <x:c r="I6" s="261" t="n">
        <x:f>'前瞻预测'!W6</x:f>
        <x:v>0.040820847169072916</x:v>
      </x:c>
      <x:c r="J6" s="258" t="n">
        <x:f>'前瞻预测'!X6</x:f>
        <x:v>25.87795164445626</x:v>
      </x:c>
      <x:c r="K6" s="257" t="n">
        <x:f>'前瞻预测'!Y6</x:f>
        <x:v>1.8703180477720909</x:v>
      </x:c>
      <x:c r="L6" s="258" t="n">
        <x:f>'前瞻预测'!AA6</x:f>
        <x:v>3.625527299259028</x:v>
      </x:c>
      <x:c r="M6" s="261" t="n">
        <x:f>'前瞻预测'!AE6</x:f>
        <x:v>0.0824824203073532</x:v>
      </x:c>
      <x:c r="N6" s="258" t="n">
        <x:f>'前瞻预测'!AL6</x:f>
        <x:v>35.17567211180506</x:v>
      </x:c>
      <x:c r="O6" s="258" t="n">
        <x:f>'前瞻预测'!AM6</x:f>
        <x:v>37.06568536511222</x:v>
      </x:c>
      <x:c r="P6" s="258" t="n">
        <x:f>'前瞻预测'!AN6</x:f>
        <x:v>39.60976154785927</x:v>
      </x:c>
      <x:c r="Q6" s="258" t="n">
        <x:f>'前瞻预测'!AO6</x:f>
        <x:v>37.2292010974722</x:v>
      </x:c>
      <x:c r="R6" s="258" t="n">
        <x:f>'前瞻预测'!AP6</x:f>
        <x:v>26.06044076823054</x:v>
      </x:c>
      <x:c r="S6" s="261" t="n">
        <x:f>'前瞻预测'!AQ6</x:f>
        <x:v>-0.23080163021751654</x:v>
      </x:c>
      <x:c r="T6" s="113" t="str">
        <x:f>'前瞻预测'!AR6</x:f>
        <x:v>高价已充分反映</x:v>
      </x:c>
      <x:c r="U6" s="113" t="str">
        <x:f>'前瞻预测'!AS6</x:f>
        <x:v>基准：2027动力煤约780元/吨；高价延续：约950元/吨</x:v>
      </x:c>
    </x:row>
    <x:row r="7" ht="46" customHeight="1">
      <x:c r="A7" s="118" t="str">
        <x:f>'前瞻预测'!A7</x:f>
        <x:v>煤炭</x:v>
      </x:c>
      <x:c r="B7" s="118" t="str">
        <x:f>'前瞻预测'!B7</x:f>
        <x:v>601225</x:v>
      </x:c>
      <x:c r="C7" s="118" t="str">
        <x:f>'前瞻预测'!C7</x:f>
        <x:v>陕西煤业</x:v>
      </x:c>
      <x:c r="D7" s="267" t="n">
        <x:f>'前瞻预测'!D7</x:f>
        <x:v>26.97</x:v>
      </x:c>
      <x:c r="E7" s="267" t="n">
        <x:f>'前瞻预测'!R7</x:f>
        <x:v>235.7761640697287</x:v>
      </x:c>
      <x:c r="F7" s="267" t="n">
        <x:f>'前瞻预测'!Q7</x:f>
        <x:v>2.4319356789038546</x:v>
      </x:c>
      <x:c r="G7" s="269" t="n">
        <x:f>'前瞻预测'!V7</x:f>
        <x:v>11.089931462396315</x:v>
      </x:c>
      <x:c r="H7" s="267" t="n">
        <x:f>'前瞻预测'!U7</x:f>
        <x:v>1.4591614073423127</x:v>
      </x:c>
      <x:c r="I7" s="270" t="n">
        <x:f>'前瞻预测'!W7</x:f>
        <x:v>0.054103129675280415</x:v>
      </x:c>
      <x:c r="J7" s="267" t="n">
        <x:f>'前瞻预测'!X7</x:f>
        <x:v>16.54513680686363</x:v>
      </x:c>
      <x:c r="K7" s="266" t="n">
        <x:f>'前瞻预测'!Y7</x:f>
        <x:v>1.6300862491999273</x:v>
      </x:c>
      <x:c r="L7" s="267" t="n">
        <x:f>'前瞻预测'!AA7</x:f>
        <x:v>3.161516382575011</x:v>
      </x:c>
      <x:c r="M7" s="270" t="n">
        <x:f>'前瞻预测'!AE7</x:f>
        <x:v>0.1330035271183977</x:v>
      </x:c>
      <x:c r="N7" s="267" t="n">
        <x:f>'前瞻预测'!AL7</x:f>
        <x:v>25.476417066307402</x:v>
      </x:c>
      <x:c r="O7" s="267" t="n">
        <x:f>'前瞻预测'!AM7</x:f>
        <x:v>28.320088183035647</x:v>
      </x:c>
      <x:c r="P7" s="267" t="n">
        <x:f>'前瞻预测'!AN7</x:f>
        <x:v>31.974320759307698</x:v>
      </x:c>
      <x:c r="Q7" s="267" t="n">
        <x:f>'前瞻预测'!AO7</x:f>
        <x:v>28.5227285479216</x:v>
      </x:c>
      <x:c r="R7" s="267" t="n">
        <x:f>'前瞻预测'!AP7</x:f>
        <x:v>18.53977355614904</x:v>
      </x:c>
      <x:c r="S7" s="270" t="n">
        <x:f>'前瞻预测'!AQ7</x:f>
        <x:v>0.057572434109069315</x:v>
      </x:c>
      <x:c r="T7" s="118" t="str">
        <x:f>'前瞻预测'!AR7</x:f>
        <x:v>合理偏低</x:v>
      </x:c>
      <x:c r="U7" s="118" t="str">
        <x:f>'前瞻预测'!AS7</x:f>
        <x:v>基准：2027动力煤约780元/吨；高价延续：约950元/吨</x:v>
      </x:c>
    </x:row>
    <x:row r="8" ht="46" customHeight="1">
      <x:c r="A8" s="118" t="str">
        <x:f>'前瞻预测'!A8</x:f>
        <x:v>煤炭</x:v>
      </x:c>
      <x:c r="B8" s="118" t="str">
        <x:f>'前瞻预测'!B8</x:f>
        <x:v>600188</x:v>
      </x:c>
      <x:c r="C8" s="118" t="str">
        <x:f>'前瞻预测'!C8</x:f>
        <x:v>兖矿能源</x:v>
      </x:c>
      <x:c r="D8" s="267" t="n">
        <x:f>'前瞻预测'!D8</x:f>
        <x:v>20.48</x:v>
      </x:c>
      <x:c r="E8" s="267" t="n">
        <x:f>'前瞻预测'!R8</x:f>
        <x:v>162.07686694917496</x:v>
      </x:c>
      <x:c r="F8" s="267" t="n">
        <x:f>'前瞻预测'!Q8</x:f>
        <x:v>1.6148177399269352</x:v>
      </x:c>
      <x:c r="G8" s="269" t="n">
        <x:f>'前瞻预测'!V8</x:f>
        <x:v>12.682545833888751</x:v>
      </x:c>
      <x:c r="H8" s="267" t="n">
        <x:f>'前瞻预测'!U8</x:f>
        <x:v>0.8074088699634676</x:v>
      </x:c>
      <x:c r="I8" s="270" t="n">
        <x:f>'前瞻预测'!W8</x:f>
        <x:v>0.03942426122868494</x:v>
      </x:c>
      <x:c r="J8" s="267" t="n">
        <x:f>'前瞻预测'!X8</x:f>
        <x:v>18.79117345907801</x:v>
      </x:c>
      <x:c r="K8" s="266" t="n">
        <x:f>'前瞻预测'!Y8</x:f>
        <x:v>1.0898733942613956</x:v>
      </x:c>
      <x:c r="L8" s="267" t="n">
        <x:f>'前瞻预测'!AA8</x:f>
        <x:v>1.771089431548579</x:v>
      </x:c>
      <x:c r="M8" s="270" t="n">
        <x:f>'前瞻预测'!AE8</x:f>
        <x:v>0.08647897614983295</x:v>
      </x:c>
      <x:c r="N8" s="267" t="n">
        <x:f>'前瞻预测'!AL8</x:f>
        <x:v>14.860951211174843</x:v>
      </x:c>
      <x:c r="O8" s="267" t="n">
        <x:f>'前瞻预测'!AM8</x:f>
        <x:v>16.589966513399254</x:v>
      </x:c>
      <x:c r="P8" s="267" t="n">
        <x:f>'前瞻预测'!AN8</x:f>
        <x:v>18.772102644349065</x:v>
      </x:c>
      <x:c r="Q8" s="267" t="n">
        <x:f>'前瞻预测'!AO8</x:f>
        <x:v>16.703246720580605</x:v>
      </x:c>
      <x:c r="R8" s="267" t="n">
        <x:f>'前瞻预测'!AP8</x:f>
        <x:v>10.021948032348362</x:v>
      </x:c>
      <x:c r="S8" s="270" t="n">
        <x:f>'前瞻预测'!AQ8</x:f>
        <x:v>-0.18441178122165014</x:v>
      </x:c>
      <x:c r="T8" s="118" t="str">
        <x:f>'前瞻预测'!AR8</x:f>
        <x:v>高价已充分反映</x:v>
      </x:c>
      <x:c r="U8" s="118" t="str">
        <x:f>'前瞻预测'!AS8</x:f>
        <x:v>基准：2027动力煤约780元/吨；高价延续：约950元/吨</x:v>
      </x:c>
    </x:row>
    <x:row r="9" ht="46" customHeight="1">
      <x:c r="A9" s="118" t="str">
        <x:f>'前瞻预测'!A9</x:f>
        <x:v>煤炭</x:v>
      </x:c>
      <x:c r="B9" s="118" t="str">
        <x:f>'前瞻预测'!B9</x:f>
        <x:v>601898</x:v>
      </x:c>
      <x:c r="C9" s="118" t="str">
        <x:f>'前瞻预测'!C9</x:f>
        <x:v>中煤能源</x:v>
      </x:c>
      <x:c r="D9" s="267" t="n">
        <x:f>'前瞻预测'!D9</x:f>
        <x:v>14.39</x:v>
      </x:c>
      <x:c r="E9" s="267" t="n">
        <x:f>'前瞻预测'!R9</x:f>
        <x:v>182.67283305614254</x:v>
      </x:c>
      <x:c r="F9" s="267" t="n">
        <x:f>'前瞻预测'!Q9</x:f>
        <x:v>1.3777620529694006</x:v>
      </x:c>
      <x:c r="G9" s="269" t="n">
        <x:f>'前瞻预测'!V9</x:f>
        <x:v>10.44447404324003</x:v>
      </x:c>
      <x:c r="H9" s="267" t="n">
        <x:f>'前瞻预测'!U9</x:f>
        <x:v>0.6199929238362303</x:v>
      </x:c>
      <x:c r="I9" s="270" t="n">
        <x:f>'前瞻预测'!W9</x:f>
        <x:v>0.04308498428326826</x:v>
      </x:c>
      <x:c r="J9" s="267" t="n">
        <x:f>'前瞻预测'!X9</x:f>
        <x:v>16.15283296504942</x:v>
      </x:c>
      <x:c r="K9" s="266" t="n">
        <x:f>'前瞻预测'!Y9</x:f>
        <x:v>0.8908653999664494</x:v>
      </x:c>
      <x:c r="L9" s="267" t="n">
        <x:f>'前瞻预测'!AA9</x:f>
        <x:v>1.7910906688602208</x:v>
      </x:c>
      <x:c r="M9" s="270" t="n">
        <x:f>'前瞻预测'!AE9</x:f>
        <x:v>0.12446773237388609</x:v>
      </x:c>
      <x:c r="N9" s="267" t="n">
        <x:f>'前瞻预测'!AL9</x:f>
        <x:v>12.979664979157358</x:v>
      </x:c>
      <x:c r="O9" s="267" t="n">
        <x:f>'前瞻预测'!AM9</x:f>
        <x:v>14.227302586392993</x:v>
      </x:c>
      <x:c r="P9" s="267" t="n">
        <x:f>'前瞻预测'!AN9</x:f>
        <x:v>15.832606522610112</x:v>
      </x:c>
      <x:c r="Q9" s="267" t="n">
        <x:f>'前瞻预测'!AO9</x:f>
        <x:v>14.316719168638365</x:v>
      </x:c>
      <x:c r="R9" s="267" t="n">
        <x:f>'前瞻预测'!AP9</x:f>
        <x:v>9.305867459614937</x:v>
      </x:c>
      <x:c r="S9" s="270" t="n">
        <x:f>'前瞻预测'!AQ9</x:f>
        <x:v>-0.005092483068911413</x:v>
      </x:c>
      <x:c r="T9" s="118" t="str">
        <x:f>'前瞻预测'!AR9</x:f>
        <x:v>合理偏高</x:v>
      </x:c>
      <x:c r="U9" s="118" t="str">
        <x:f>'前瞻预测'!AS9</x:f>
        <x:v>基准：2027动力煤约780元/吨；高价延续：约950元/吨</x:v>
      </x:c>
    </x:row>
    <x:row r="10" ht="46" customHeight="1">
      <x:c r="A10" s="118" t="str">
        <x:f>'前瞻预测'!A10</x:f>
        <x:v>煤炭</x:v>
      </x:c>
      <x:c r="B10" s="118" t="str">
        <x:f>'前瞻预测'!B10</x:f>
        <x:v>601699</x:v>
      </x:c>
      <x:c r="C10" s="118" t="str">
        <x:f>'前瞻预测'!C10</x:f>
        <x:v>潞安环能</x:v>
      </x:c>
      <x:c r="D10" s="267" t="n">
        <x:f>'前瞻预测'!D10</x:f>
        <x:v>15.52</x:v>
      </x:c>
      <x:c r="E10" s="267" t="n">
        <x:f>'前瞻预测'!R10</x:f>
        <x:v>37.964803817378524</x:v>
      </x:c>
      <x:c r="F10" s="267" t="n">
        <x:f>'前瞻预测'!Q10</x:f>
        <x:v>1.2691277347605445</x:v>
      </x:c>
      <x:c r="G10" s="269" t="n">
        <x:f>'前瞻预测'!V10</x:f>
        <x:v>12.228871511446616</x:v>
      </x:c>
      <x:c r="H10" s="267" t="n">
        <x:f>'前瞻预测'!U10</x:f>
        <x:v>0.6980202541182996</x:v>
      </x:c>
      <x:c r="I10" s="270" t="n">
        <x:f>'前瞻预测'!W10</x:f>
        <x:v>0.0449755318375193</x:v>
      </x:c>
      <x:c r="J10" s="267" t="n">
        <x:f>'前瞻预测'!X10</x:f>
        <x:v>16.747371899597642</x:v>
      </x:c>
      <x:c r="K10" s="266" t="n">
        <x:f>'前瞻预测'!Y10</x:f>
        <x:v>0.9267125667862472</x:v>
      </x:c>
      <x:c r="L10" s="267" t="n">
        <x:f>'前瞻预测'!AA10</x:f>
        <x:v>1.5859706060239511</x:v>
      </x:c>
      <x:c r="M10" s="270" t="n">
        <x:f>'前瞻预测'!AE10</x:f>
        <x:v>0.09401549972627032</x:v>
      </x:c>
      <x:c r="N10" s="267" t="n">
        <x:f>'前瞻预测'!AL10</x:f>
        <x:v>10.63144228079746</x:v>
      </x:c>
      <x:c r="O10" s="267" t="n">
        <x:f>'前瞻预测'!AM10</x:f>
        <x:v>11.976101985277458</x:v>
      </x:c>
      <x:c r="P10" s="267" t="n">
        <x:f>'前瞻预测'!AN10</x:f>
        <x:v>13.663045640022666</x:v>
      </x:c>
      <x:c r="Q10" s="267" t="n">
        <x:f>'前瞻预测'!AO10</x:f>
        <x:v>12.06167297284376</x:v>
      </x:c>
      <x:c r="R10" s="267" t="n">
        <x:f>'前瞻预测'!AP10</x:f>
        <x:v>6.633920135064069</x:v>
      </x:c>
      <x:c r="S10" s="270" t="n">
        <x:f>'前瞻预测'!AQ10</x:f>
        <x:v>-0.22283034968790194</x:v>
      </x:c>
      <x:c r="T10" s="118" t="str">
        <x:f>'前瞻预测'!AR10</x:f>
        <x:v>高价已充分反映</x:v>
      </x:c>
      <x:c r="U10" s="118" t="str">
        <x:f>'前瞻预测'!AS10</x:f>
        <x:v>基准：2027动力煤约780元/吨；高价延续：约950元/吨</x:v>
      </x:c>
    </x:row>
    <x:row r="11" ht="46" customHeight="1">
      <x:c r="A11" s="123" t="str">
        <x:f>'前瞻预测'!A11</x:f>
        <x:v>石油</x:v>
      </x:c>
      <x:c r="B11" s="123" t="str">
        <x:f>'前瞻预测'!B11</x:f>
        <x:v>601857</x:v>
      </x:c>
      <x:c r="C11" s="123" t="str">
        <x:f>'前瞻预测'!C11</x:f>
        <x:v>中国石油</x:v>
      </x:c>
      <x:c r="D11" s="276" t="n">
        <x:f>'前瞻预测'!D11</x:f>
        <x:v>11.6</x:v>
      </x:c>
      <x:c r="E11" s="276" t="n">
        <x:f>'前瞻预测'!R11</x:f>
        <x:v>2044.7454072531768</x:v>
      </x:c>
      <x:c r="F11" s="276" t="n">
        <x:f>'前瞻预测'!Q11</x:f>
        <x:v>1.1172191470239634</x:v>
      </x:c>
      <x:c r="G11" s="278" t="n">
        <x:f>'前瞻预测'!V11</x:f>
        <x:v>10.382922661950396</x:v>
      </x:c>
      <x:c r="H11" s="276" t="n">
        <x:f>'前瞻预测'!U11</x:f>
        <x:v>0.5027486161607836</x:v>
      </x:c>
      <x:c r="I11" s="279" t="n">
        <x:f>'前瞻预测'!W11</x:f>
        <x:v>0.04334039794489514</x:v>
      </x:c>
      <x:c r="J11" s="276" t="n">
        <x:f>'前瞻预测'!X11</x:f>
        <x:v>10.388476278294942</x:v>
      </x:c>
      <x:c r="K11" s="275" t="n">
        <x:f>'前瞻预测'!Y11</x:f>
        <x:v>1.1166218884511816</x:v>
      </x:c>
      <x:c r="L11" s="276" t="n">
        <x:f>'前瞻预测'!AA11</x:f>
        <x:v>1.4523848911311525</x:v>
      </x:c>
      <x:c r="M11" s="279" t="n">
        <x:f>'前瞻预测'!AE11</x:f>
        <x:v>0.14339785986706044</x:v>
      </x:c>
      <x:c r="N11" s="276" t="n">
        <x:f>'前瞻预测'!AL11</x:f>
        <x:v>11.872645957527451</x:v>
      </x:c>
      <x:c r="O11" s="276" t="n">
        <x:f>'前瞻预测'!AM11</x:f>
        <x:v>12.367065422989254</x:v>
      </x:c>
      <x:c r="P11" s="276" t="n">
        <x:f>'前瞻预测'!AN11</x:f>
        <x:v>12.804581673229219</x:v>
      </x:c>
      <x:c r="Q11" s="276" t="n">
        <x:f>'前瞻预测'!AO11</x:f>
        <x:v>12.352839619183793</x:v>
      </x:c>
      <x:c r="R11" s="276" t="n">
        <x:f>'前瞻预测'!AP11</x:f>
        <x:v>8.029345752469466</x:v>
      </x:c>
      <x:c r="S11" s="279" t="n">
        <x:f>'前瞻预测'!AQ11</x:f>
        <x:v>0.06489996717101665</x:v>
      </x:c>
      <x:c r="T11" s="123" t="str">
        <x:f>'前瞻预测'!AR11</x:f>
        <x:v>低于悲观价值</x:v>
      </x:c>
      <x:c r="U11" s="123" t="str">
        <x:f>'前瞻预测'!AS11</x:f>
        <x:v>基准：2027 Brent约85美元/桶；高价延续：约105美元/桶</x:v>
      </x:c>
    </x:row>
    <x:row r="12" ht="46" customHeight="1">
      <x:c r="A12" s="123" t="str">
        <x:f>'前瞻预测'!A12</x:f>
        <x:v>石油</x:v>
      </x:c>
      <x:c r="B12" s="123" t="str">
        <x:f>'前瞻预测'!B12</x:f>
        <x:v>600028</x:v>
      </x:c>
      <x:c r="C12" s="123" t="str">
        <x:f>'前瞻预测'!C12</x:f>
        <x:v>中国石化</x:v>
      </x:c>
      <x:c r="D12" s="276" t="n">
        <x:f>'前瞻预测'!D12</x:f>
        <x:v>5.39</x:v>
      </x:c>
      <x:c r="E12" s="276" t="n">
        <x:f>'前瞻预测'!R12</x:f>
        <x:v>477.86287571677343</x:v>
      </x:c>
      <x:c r="F12" s="276" t="n">
        <x:f>'前瞻预测'!Q12</x:f>
        <x:v>0.39586210286828194</x:v>
      </x:c>
      <x:c r="G12" s="278" t="n">
        <x:f>'前瞻预测'!V12</x:f>
        <x:v>13.615852492435865</x:v>
      </x:c>
      <x:c r="H12" s="276" t="n">
        <x:f>'前瞻预测'!U12</x:f>
        <x:v>0.25731036686438324</x:v>
      </x:c>
      <x:c r="I12" s="279" t="n">
        <x:f>'前瞻预测'!W12</x:f>
        <x:v>0.04773847251658316</x:v>
      </x:c>
      <x:c r="J12" s="276" t="n">
        <x:f>'前瞻预测'!X12</x:f>
        <x:v>8.410492877262987</x:v>
      </x:c>
      <x:c r="K12" s="275" t="n">
        <x:f>'前瞻预测'!Y12</x:f>
        <x:v>0.6408661274265366</x:v>
      </x:c>
      <x:c r="L12" s="276" t="n">
        <x:f>'前瞻预测'!AA12</x:f>
        <x:v>0.4485426487498235</x:v>
      </x:c>
      <x:c r="M12" s="279" t="n">
        <x:f>'前瞻预测'!AE12</x:f>
        <x:v>0.07948291927034241</x:v>
      </x:c>
      <x:c r="N12" s="276" t="n">
        <x:f>'前瞻预测'!AL12</x:f>
        <x:v>4.759704614995401</x:v>
      </x:c>
      <x:c r="O12" s="276" t="n">
        <x:f>'前瞻预测'!AM12</x:f>
        <x:v>4.5430059745971585</x:v>
      </x:c>
      <x:c r="P12" s="276" t="n">
        <x:f>'前瞻预测'!AN12</x:f>
        <x:v>4.332068021730913</x:v>
      </x:c>
      <x:c r="Q12" s="276" t="n">
        <x:f>'前瞻预测'!AO12</x:f>
        <x:v>4.5444461464801575</x:v>
      </x:c>
      <x:c r="R12" s="276" t="n">
        <x:f>'前瞻预测'!AP12</x:f>
        <x:v>2.7266676878880944</x:v>
      </x:c>
      <x:c r="S12" s="279" t="n">
        <x:f>'前瞻预测'!AQ12</x:f>
        <x:v>-0.1568745553840153</x:v>
      </x:c>
      <x:c r="T12" s="123" t="str">
        <x:f>'前瞻预测'!AR12</x:f>
        <x:v>高价已充分反映</x:v>
      </x:c>
      <x:c r="U12" s="123" t="str">
        <x:f>'前瞻预测'!AS12</x:f>
        <x:v>基准：2027 Brent约85美元/桶；高价延续：约105美元/桶</x:v>
      </x:c>
    </x:row>
    <x:row r="13" ht="46" customHeight="1">
      <x:c r="A13" s="128" t="str">
        <x:f>'前瞻预测'!A13</x:f>
        <x:v>石油</x:v>
      </x:c>
      <x:c r="B13" s="128" t="str">
        <x:f>'前瞻预测'!B13</x:f>
        <x:v>600938</x:v>
      </x:c>
      <x:c r="C13" s="128" t="str">
        <x:f>'前瞻预测'!C13</x:f>
        <x:v>中国海油</x:v>
      </x:c>
      <x:c r="D13" s="285" t="n">
        <x:f>'前瞻预测'!D13</x:f>
        <x:v>33.82</x:v>
      </x:c>
      <x:c r="E13" s="285" t="n">
        <x:f>'前瞻预测'!R13</x:f>
        <x:v>1770.6909425783338</x:v>
      </x:c>
      <x:c r="F13" s="285" t="n">
        <x:f>'前瞻预测'!Q13</x:f>
        <x:v>3.725421116911666</x:v>
      </x:c>
      <x:c r="G13" s="287" t="n">
        <x:f>'前瞻预测'!V13</x:f>
        <x:v>9.07816833014476</x:v>
      </x:c>
      <x:c r="H13" s="285" t="n">
        <x:f>'前瞻预测'!U13</x:f>
        <x:v>1.6764395026102497</x:v>
      </x:c>
      <x:c r="I13" s="288" t="n">
        <x:f>'前瞻预测'!W13</x:f>
        <x:v>0.0495694708045609</x:v>
      </x:c>
      <x:c r="J13" s="285" t="n">
        <x:f>'前瞻预测'!X13</x:f>
        <x:v>19.170160248558368</x:v>
      </x:c>
      <x:c r="K13" s="284" t="n">
        <x:f>'前瞻预测'!Y13</x:f>
        <x:v>1.7642001715944617</x:v>
      </x:c>
      <x:c r="L13" s="285" t="n">
        <x:f>'前瞻预测'!AA13</x:f>
        <x:v>4.062990233420959</x:v>
      </x:c>
      <x:c r="M13" s="288" t="n">
        <x:f>'前瞻预测'!AE13</x:f>
        <x:v>0.13777728906338368</x:v>
      </x:c>
      <x:c r="N13" s="285" t="n">
        <x:f>'前瞻预测'!AL13</x:f>
        <x:v>30.91639386008827</x:v>
      </x:c>
      <x:c r="O13" s="285" t="n">
        <x:f>'前瞻预测'!AM13</x:f>
        <x:v>36.69695368492266</x:v>
      </x:c>
      <x:c r="P13" s="285" t="n">
        <x:f>'前瞻预测'!AN13</x:f>
        <x:v>41.98959389982943</x:v>
      </x:c>
      <x:c r="Q13" s="285" t="n">
        <x:f>'前瞻预测'!AO13</x:f>
        <x:v>36.57497378244076</x:v>
      </x:c>
      <x:c r="R13" s="285" t="n">
        <x:f>'前瞻预测'!AP13</x:f>
        <x:v>23.773732958586493</x:v>
      </x:c>
      <x:c r="S13" s="288" t="n">
        <x:f>'前瞻预测'!AQ13</x:f>
        <x:v>0.08145989894857353</x:v>
      </x:c>
      <x:c r="T13" s="128" t="str">
        <x:f>'前瞻预测'!AR13</x:f>
        <x:v>合理偏低</x:v>
      </x:c>
      <x:c r="U13" s="128" t="str">
        <x:f>'前瞻预测'!AS13</x:f>
        <x:v>基准：2027 Brent约85美元/桶；高价延续：约105美元/桶</x:v>
      </x:c>
    </x:row>
    <x:row r="14">
      <x:c r="A14" s="302"/>
      <x:c r="B14" s="302"/>
      <x:c r="C14" s="302"/>
      <x:c r="D14" s="302"/>
      <x:c r="E14" s="302"/>
      <x:c r="F14" s="302"/>
      <x:c r="G14" s="302"/>
      <x:c r="H14" s="302"/>
      <x:c r="I14" s="302"/>
      <x:c r="J14" s="302"/>
      <x:c r="K14" s="302"/>
      <x:c r="L14" s="302"/>
      <x:c r="M14" s="302"/>
      <x:c r="N14" s="302"/>
      <x:c r="O14" s="302"/>
      <x:c r="P14" s="302"/>
      <x:c r="Q14" s="302"/>
      <x:c r="R14" s="302"/>
      <x:c r="S14" s="302"/>
      <x:c r="T14" s="302"/>
      <x:c r="U14" s="302"/>
    </x:row>
    <x:row r="15">
      <x:c r="A15" s="302"/>
      <x:c r="B15" s="302"/>
      <x:c r="C15" s="302"/>
      <x:c r="D15" s="302"/>
      <x:c r="E15" s="302"/>
      <x:c r="F15" s="302"/>
      <x:c r="G15" s="302"/>
      <x:c r="H15" s="302"/>
      <x:c r="I15" s="302"/>
      <x:c r="J15" s="302"/>
      <x:c r="K15" s="302"/>
      <x:c r="L15" s="302"/>
      <x:c r="M15" s="302"/>
      <x:c r="N15" s="302"/>
      <x:c r="O15" s="302"/>
      <x:c r="P15" s="302"/>
      <x:c r="Q15" s="302"/>
      <x:c r="R15" s="302"/>
      <x:c r="S15" s="302"/>
      <x:c r="T15" s="302"/>
      <x:c r="U15" s="302"/>
    </x:row>
    <x:row r="16">
      <x:c r="A16" s="302"/>
      <x:c r="B16" s="302"/>
      <x:c r="C16" s="302"/>
      <x:c r="D16" s="302"/>
      <x:c r="E16" s="302"/>
      <x:c r="F16" s="302"/>
      <x:c r="G16" s="302"/>
      <x:c r="H16" s="302"/>
      <x:c r="I16" s="302"/>
      <x:c r="J16" s="302"/>
      <x:c r="K16" s="302"/>
      <x:c r="L16" s="302"/>
      <x:c r="M16" s="302"/>
      <x:c r="N16" s="302"/>
      <x:c r="O16" s="302"/>
      <x:c r="P16" s="302"/>
      <x:c r="Q16" s="302"/>
      <x:c r="R16" s="302"/>
      <x:c r="S16" s="302"/>
      <x:c r="T16" s="302"/>
      <x:c r="U16" s="302"/>
    </x:row>
    <x:row r="17">
      <x:c r="A17" s="79" t="str">
        <x:v>前瞻EPS与PE敏感性（选择公司）</x:v>
      </x:c>
      <x:c r="B17" s="80"/>
      <x:c r="C17" s="80"/>
      <x:c r="D17" s="80"/>
      <x:c r="E17" s="80"/>
      <x:c r="F17" s="80"/>
      <x:c r="G17" s="81"/>
      <x:c r="H17" s="302"/>
      <x:c r="I17" s="139" t="str">
        <x:v>合理估值中枢为什么是有条件的</x:v>
      </x:c>
      <x:c r="J17" s="140"/>
      <x:c r="K17" s="140"/>
      <x:c r="L17" s="140"/>
      <x:c r="M17" s="140"/>
      <x:c r="N17" s="140"/>
      <x:c r="O17" s="140"/>
      <x:c r="P17" s="140"/>
      <x:c r="Q17" s="140"/>
      <x:c r="R17" s="140"/>
      <x:c r="S17" s="140"/>
      <x:c r="T17" s="140"/>
      <x:c r="U17" s="141"/>
    </x:row>
    <x:row r="18">
      <x:c r="A18" s="302"/>
      <x:c r="B18" s="302"/>
      <x:c r="C18" s="302"/>
      <x:c r="D18" s="302"/>
      <x:c r="E18" s="302"/>
      <x:c r="F18" s="302"/>
      <x:c r="G18" s="302"/>
      <x:c r="H18" s="302"/>
      <x:c r="I18" s="302"/>
      <x:c r="J18" s="302"/>
      <x:c r="K18" s="302"/>
      <x:c r="L18" s="302"/>
      <x:c r="M18" s="302"/>
      <x:c r="N18" s="302"/>
      <x:c r="O18" s="302"/>
      <x:c r="P18" s="302"/>
      <x:c r="Q18" s="302"/>
      <x:c r="R18" s="302"/>
      <x:c r="S18" s="302"/>
      <x:c r="T18" s="302"/>
      <x:c r="U18" s="302"/>
    </x:row>
    <x:row r="19" ht="32" customHeight="1">
      <x:c r="A19" s="292" t="str">
        <x:v>公司选择</x:v>
      </x:c>
      <x:c r="B19" s="294" t="str">
        <x:v>中国神华</x:v>
      </x:c>
      <x:c r="C19" s="302"/>
      <x:c r="D19" s="302"/>
      <x:c r="E19" s="302"/>
      <x:c r="F19" s="302"/>
      <x:c r="G19" s="302"/>
      <x:c r="H19" s="302"/>
      <x:c r="I19" s="92" t="str">
        <x:v>1</x:v>
      </x:c>
      <x:c r="J19" s="92" t="str">
        <x:v>当年盈利</x:v>
      </x:c>
      <x:c r="K19" s="92" t="str">
        <x:v>2026E不是历史均值，而是H1实际加H2商品价、产量和经营因素推演，并以一致预期校验。</x:v>
      </x:c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</x:row>
    <x:row r="20" ht="32" customHeight="1">
      <x:c r="A20" s="292" t="str">
        <x:v>2026E EPS</x:v>
      </x:c>
      <x:c r="B20" s="295" t="n">
        <x:f>VLOOKUP(B19,'前瞻预测'!$C$6:$AS$13,15,FALSE)</x:f>
        <x:v>2.8224700042616133</x:v>
      </x:c>
      <x:c r="C20" s="302"/>
      <x:c r="D20" s="302"/>
      <x:c r="E20" s="302"/>
      <x:c r="F20" s="302"/>
      <x:c r="G20" s="302"/>
      <x:c r="H20" s="302"/>
      <x:c r="I20" s="93" t="str">
        <x:v>2</x:v>
      </x:c>
      <x:c r="J20" s="93" t="str">
        <x:v>股息</x:v>
      </x:c>
      <x:c r="K20" s="93" t="str">
        <x:v>预计DPS＝预测EPS×派息率，且不低于已公告中期股息；派息率可在参数页修改。</x:v>
      </x:c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</x:row>
    <x:row r="21" ht="32" customHeight="1">
      <x:c r="A21" s="292" t="str">
        <x:v>当前价格</x:v>
      </x:c>
      <x:c r="B21" s="295" t="n">
        <x:f>VLOOKUP(B19,'前瞻预测'!$C$6:$AS$13,2,FALSE)</x:f>
        <x:v>48.4</x:v>
      </x:c>
      <x:c r="C21" s="302"/>
      <x:c r="D21" s="302"/>
      <x:c r="E21" s="302"/>
      <x:c r="F21" s="302"/>
      <x:c r="G21" s="302"/>
      <x:c r="H21" s="302"/>
      <x:c r="I21" s="93" t="str">
        <x:v>3</x:v>
      </x:c>
      <x:c r="J21" s="93" t="str">
        <x:v>留存现金</x:v>
      </x:c>
      <x:c r="K21" s="93" t="str">
        <x:v>留存所有者收益只有在增量ROIC高于股权成本时才获得溢价；否则按折价或仅按面值看待。</x:v>
      </x:c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</x:row>
    <x:row r="22" ht="32" customHeight="1">
      <x:c r="A22" s="292" t="str">
        <x:v>2027基准PE</x:v>
      </x:c>
      <x:c r="B22" s="296" t="n">
        <x:f>VLOOKUP(B19,'参数设置'!$A$27:$W$34,22,FALSE)</x:f>
        <x:v>12</x:v>
      </x:c>
      <x:c r="C22" s="302"/>
      <x:c r="D22" s="302"/>
      <x:c r="E22" s="302"/>
      <x:c r="F22" s="302"/>
      <x:c r="G22" s="302"/>
      <x:c r="H22" s="302"/>
      <x:c r="I22" s="93" t="str">
        <x:v>4</x:v>
      </x:c>
      <x:c r="J22" s="93" t="str">
        <x:v>基准中枢</x:v>
      </x:c>
      <x:c r="K22" s="93" t="str">
        <x:v>煤炭要求2027动力煤约780元/吨；石油要求2027 Brent约85美元/桶。</x:v>
      </x:c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</x:row>
    <x:row r="23" ht="32" customHeight="1">
      <x:c r="A23" s="302"/>
      <x:c r="B23" s="302"/>
      <x:c r="C23" s="302"/>
      <x:c r="D23" s="302"/>
      <x:c r="E23" s="302"/>
      <x:c r="F23" s="302"/>
      <x:c r="G23" s="302"/>
      <x:c r="H23" s="302"/>
      <x:c r="I23" s="93" t="str">
        <x:v>5</x:v>
      </x:c>
      <x:c r="J23" s="93" t="str">
        <x:v>高价延续</x:v>
      </x:c>
      <x:c r="K23" s="93" t="str">
        <x:v>煤炭约950元/吨、Brent约105美元/桶延续到2027年，才使用高价延续价值。</x:v>
      </x:c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</x:row>
    <x:row r="24" ht="32" customHeight="1">
      <x:c r="A24" s="19" t="str">
        <x:v>PE / EPS系数</x:v>
      </x:c>
      <x:c r="B24" s="297" t="n">
        <x:v>0.8</x:v>
      </x:c>
      <x:c r="C24" s="297" t="n">
        <x:v>0.9</x:v>
      </x:c>
      <x:c r="D24" s="297" t="n">
        <x:v>1</x:v>
      </x:c>
      <x:c r="E24" s="297" t="n">
        <x:v>1.1</x:v>
      </x:c>
      <x:c r="F24" s="297" t="n">
        <x:v>1.2</x:v>
      </x:c>
      <x:c r="G24" s="302"/>
      <x:c r="H24" s="302"/>
      <x:c r="I24" s="93" t="str">
        <x:v>6</x:v>
      </x:c>
      <x:c r="J24" s="93" t="str">
        <x:v>概率加权</x:v>
      </x:c>
      <x:c r="K24" s="93" t="str">
        <x:v>悲观/基准/高价延续默认25%/50%/25%；这不是预测真理，而是把分歧显式化。</x:v>
      </x:c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</x:row>
    <x:row r="25" ht="32" customHeight="1">
      <x:c r="A25" s="298" t="n">
        <x:v>8</x:v>
      </x:c>
      <x:c r="B25" s="48" t="n">
        <x:f>$B$20*B$24*$A25</x:f>
        <x:v>18.063808027274327</x:v>
      </x:c>
      <x:c r="C25" s="48" t="n">
        <x:f>$B$20*C$24*$A25</x:f>
        <x:v>20.321784030683617</x:v>
      </x:c>
      <x:c r="D25" s="48" t="n">
        <x:f>$B$20*D$24*$A25</x:f>
        <x:v>22.579760034092907</x:v>
      </x:c>
      <x:c r="E25" s="48" t="n">
        <x:f>$B$20*E$24*$A25</x:f>
        <x:v>24.8377360375022</x:v>
      </x:c>
      <x:c r="F25" s="48" t="n">
        <x:f>$B$20*F$24*$A25</x:f>
        <x:v>27.095712040911486</x:v>
      </x:c>
      <x:c r="G25" s="302"/>
      <x:c r="H25" s="302"/>
      <x:c r="I25" s="93" t="str">
        <x:v>7</x:v>
      </x:c>
      <x:c r="J25" s="93" t="str">
        <x:v>估值方法</x:v>
      </x:c>
      <x:c r="K25" s="93" t="str">
        <x:v>条件价值由前瞻PE、股东现金回报、股息率和PB-ROE交叉加权，避免单看低PE。</x:v>
      </x:c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</x:row>
    <x:row r="26" ht="32" customHeight="1">
      <x:c r="A26" s="299" t="n">
        <x:v>10</x:v>
      </x:c>
      <x:c r="B26" s="49" t="n">
        <x:f>$B$20*B$24*$A26</x:f>
        <x:v>22.579760034092907</x:v>
      </x:c>
      <x:c r="C26" s="49" t="n">
        <x:f>$B$20*C$24*$A26</x:f>
        <x:v>25.40223003835452</x:v>
      </x:c>
      <x:c r="D26" s="49" t="n">
        <x:f>$B$20*D$24*$A26</x:f>
        <x:v>28.224700042616135</x:v>
      </x:c>
      <x:c r="E26" s="49" t="n">
        <x:f>$B$20*E$24*$A26</x:f>
        <x:v>31.04717004687775</x:v>
      </x:c>
      <x:c r="F26" s="49" t="n">
        <x:f>$B$20*F$24*$A26</x:f>
        <x:v>33.869640051139356</x:v>
      </x:c>
      <x:c r="G26" s="302"/>
      <x:c r="H26" s="302"/>
      <x:c r="I26" s="93" t="str">
        <x:v>8</x:v>
      </x:c>
      <x:c r="J26" s="93" t="str">
        <x:v>更新频率</x:v>
      </x:c>
      <x:c r="K26" s="93" t="str">
        <x:v>每月更新商品价格；每季更新利润、现金流、产量、资本开支与分红，重新计算中枢。</x:v>
      </x:c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</x:row>
    <x:row r="27" ht="32" customHeight="1">
      <x:c r="A27" s="299" t="n">
        <x:v>12</x:v>
      </x:c>
      <x:c r="B27" s="49" t="n">
        <x:f>$B$20*B$24*$A27</x:f>
        <x:v>27.09571204091149</x:v>
      </x:c>
      <x:c r="C27" s="49" t="n">
        <x:f>$B$20*C$24*$A27</x:f>
        <x:v>30.482676046025425</x:v>
      </x:c>
      <x:c r="D27" s="49" t="n">
        <x:f>$B$20*D$24*$A27</x:f>
        <x:v>33.869640051139356</x:v>
      </x:c>
      <x:c r="E27" s="49" t="n">
        <x:f>$B$20*E$24*$A27</x:f>
        <x:v>37.2566040562533</x:v>
      </x:c>
      <x:c r="F27" s="49" t="n">
        <x:f>$B$20*F$24*$A27</x:f>
        <x:v>40.64356806136723</x:v>
      </x:c>
      <x:c r="G27" s="302"/>
      <x:c r="H27" s="302"/>
      <x:c r="I27" s="94" t="str">
        <x:v>9</x:v>
      </x:c>
      <x:c r="J27" s="94" t="str">
        <x:v>使用边界</x:v>
      </x:c>
      <x:c r="K27" s="94" t="str">
        <x:v>模型是概率讨论工具；并购只有在价格与增量回报合格时才创造价值，不能把现金自动乘以高倍数。</x:v>
      </x:c>
      <x:c r="L27" s="94"/>
      <x:c r="M27" s="94"/>
      <x:c r="N27" s="94"/>
      <x:c r="O27" s="94"/>
      <x:c r="P27" s="94"/>
      <x:c r="Q27" s="94"/>
      <x:c r="R27" s="94"/>
      <x:c r="S27" s="94"/>
      <x:c r="T27" s="94"/>
      <x:c r="U27" s="94"/>
    </x:row>
    <x:row r="28">
      <x:c r="A28" s="299" t="n">
        <x:v>14</x:v>
      </x:c>
      <x:c r="B28" s="49" t="n">
        <x:f>$B$20*B$24*$A28</x:f>
        <x:v>31.611664047730073</x:v>
      </x:c>
      <x:c r="C28" s="49" t="n">
        <x:f>$B$20*C$24*$A28</x:f>
        <x:v>35.56312205369633</x:v>
      </x:c>
      <x:c r="D28" s="49" t="n">
        <x:f>$B$20*D$24*$A28</x:f>
        <x:v>39.514580059662585</x:v>
      </x:c>
      <x:c r="E28" s="49" t="n">
        <x:f>$B$20*E$24*$A28</x:f>
        <x:v>43.46603806562885</x:v>
      </x:c>
      <x:c r="F28" s="49" t="n">
        <x:f>$B$20*F$24*$A28</x:f>
        <x:v>47.4174960715951</x:v>
      </x:c>
      <x:c r="G28" s="302"/>
      <x:c r="H28" s="302"/>
      <x:c r="I28" s="302"/>
      <x:c r="J28" s="302"/>
      <x:c r="K28" s="302"/>
      <x:c r="L28" s="302"/>
      <x:c r="M28" s="302"/>
      <x:c r="N28" s="302"/>
      <x:c r="O28" s="302"/>
      <x:c r="P28" s="302"/>
      <x:c r="Q28" s="302"/>
      <x:c r="R28" s="302"/>
      <x:c r="S28" s="302"/>
      <x:c r="T28" s="302"/>
      <x:c r="U28" s="302"/>
    </x:row>
    <x:row r="29">
      <x:c r="A29" s="300" t="n">
        <x:v>16</x:v>
      </x:c>
      <x:c r="B29" s="50" t="n">
        <x:f>$B$20*B$24*$A29</x:f>
        <x:v>36.12761605454865</x:v>
      </x:c>
      <x:c r="C29" s="50" t="n">
        <x:f>$B$20*C$24*$A29</x:f>
        <x:v>40.64356806136723</x:v>
      </x:c>
      <x:c r="D29" s="50" t="n">
        <x:f>$B$20*D$24*$A29</x:f>
        <x:v>45.15952006818581</x:v>
      </x:c>
      <x:c r="E29" s="50" t="n">
        <x:f>$B$20*E$24*$A29</x:f>
        <x:v>49.6754720750044</x:v>
      </x:c>
      <x:c r="F29" s="50" t="n">
        <x:f>$B$20*F$24*$A29</x:f>
        <x:v>54.19142408182297</x:v>
      </x:c>
      <x:c r="G29" s="302"/>
      <x:c r="H29" s="302"/>
      <x:c r="I29" s="302"/>
      <x:c r="J29" s="302"/>
      <x:c r="K29" s="302"/>
      <x:c r="L29" s="302"/>
      <x:c r="M29" s="302"/>
      <x:c r="N29" s="302"/>
      <x:c r="O29" s="302"/>
      <x:c r="P29" s="302"/>
      <x:c r="Q29" s="302"/>
      <x:c r="R29" s="302"/>
      <x:c r="S29" s="302"/>
      <x:c r="T29" s="302"/>
      <x:c r="U29" s="302"/>
    </x:row>
  </x:sheetData>
  <x:mergeCells>
    <x:mergeCell ref="A2:U2"/>
    <x:mergeCell ref="A3:U3"/>
    <x:mergeCell ref="A17:G17"/>
    <x:mergeCell ref="I17:U17"/>
    <x:mergeCell ref="K19:U19"/>
    <x:mergeCell ref="K20:U20"/>
    <x:mergeCell ref="K21:U21"/>
    <x:mergeCell ref="K22:U22"/>
    <x:mergeCell ref="K23:U23"/>
    <x:mergeCell ref="K24:U24"/>
    <x:mergeCell ref="K25:U25"/>
    <x:mergeCell ref="K26:U26"/>
    <x:mergeCell ref="K27:U27"/>
  </x:mergeCells>
  <x:conditionalFormatting sqref="S6:S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T6:T13">
    <x:cfRule type="containsText" dxfId="2" priority="2" operator="containsText" text="安全边际"/>
    <x:cfRule type="containsText" dxfId="3" priority="3" operator="containsText" text="充分反映"/>
    <x:cfRule type="containsText" dxfId="4" priority="4" operator="containsText" text="合理偏高"/>
  </x:conditionalFormatting>
  <x:conditionalFormatting sqref="B25:F29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B19">
      <x:formula1>'参数设置'!$A$27:$A$34</x:formula1>
    </x:dataValidation>
  </x:dataValidations>
  <x:pageMargins left="0.7" right="0.7" top="0.75" bottom="0.75" header="0.3" footer="0.3"/>
  <x:drawing xmlns:r="http://schemas.openxmlformats.org/officeDocument/2006/relationships" r:id="R39cd8f563aa4435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2" hidden="0" customWidth="1"/>
    <x:col min="9" max="9" width="15" hidden="0" customWidth="1"/>
    <x:col min="10" max="10" width="12" hidden="0" customWidth="1"/>
    <x:col min="11" max="11" width="23" hidden="0" customWidth="1"/>
    <x:col min="12" max="12" width="29" hidden="0" customWidth="1"/>
    <x:col min="13" max="13" width="29" hidden="0" customWidth="1"/>
    <x:col min="14" max="14" width="34" hidden="0" customWidth="1"/>
    <x:col min="15" max="15" width="34" hidden="0" customWidth="1"/>
    <x:col min="16" max="16" width="11" hidden="0" customWidth="1"/>
    <x:col min="17" max="17" width="14" hidden="0" customWidth="1"/>
    <x:col min="18" max="18" width="14" hidden="0" customWidth="1"/>
    <x:col min="19" max="19" width="11" hidden="0" customWidth="1"/>
    <x:col min="20" max="20" width="12" hidden="0" customWidth="1"/>
    <x:col min="21" max="21" width="11" hidden="0" customWidth="1"/>
    <x:col min="22" max="22" width="12" hidden="0" customWidth="1"/>
    <x:col min="23" max="23" width="34" hidden="0" customWidth="1"/>
  </x:cols>
  <x:sheetData>
    <x:row r="1">
      <x:c r="A1" s="302"/>
      <x:c r="B1" s="302"/>
      <x:c r="C1" s="302"/>
      <x:c r="D1" s="302"/>
      <x:c r="E1" s="302"/>
      <x:c r="F1" s="302"/>
      <x:c r="G1" s="302"/>
      <x:c r="H1" s="302"/>
      <x:c r="I1" s="302"/>
      <x:c r="J1" s="302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  <x:c r="V1" s="302"/>
      <x:c r="W1" s="302"/>
    </x:row>
    <x:row r="2" ht="26" customHeight="1">
      <x:c r="A2" s="3" t="str">
        <x:v>A股煤炭与石油公司实时前瞻估值参数</x:v>
      </x:c>
      <x:c r="B2" s="3" t="str">
        <x:v>A股煤炭与石油公司实时前瞻估值参数</x:v>
      </x:c>
      <x:c r="C2" s="3" t="str">
        <x:v>A股煤炭与石油公司实时前瞻估值参数</x:v>
      </x:c>
      <x:c r="D2" s="3" t="str">
        <x:v>A股煤炭与石油公司实时前瞻估值参数</x:v>
      </x:c>
      <x:c r="E2" s="3" t="str">
        <x:v>A股煤炭与石油公司实时前瞻估值参数</x:v>
      </x:c>
      <x:c r="F2" s="3" t="str">
        <x:v>A股煤炭与石油公司实时前瞻估值参数</x:v>
      </x:c>
      <x:c r="G2" s="3" t="str">
        <x:v>A股煤炭与石油公司实时前瞻估值参数</x:v>
      </x:c>
      <x:c r="H2" s="3" t="str">
        <x:v>A股煤炭与石油公司实时前瞻估值参数</x:v>
      </x:c>
      <x:c r="I2" s="3" t="str">
        <x:v>A股煤炭与石油公司实时前瞻估值参数</x:v>
      </x:c>
      <x:c r="J2" s="3" t="str">
        <x:v>A股煤炭与石油公司实时前瞻估值参数</x:v>
      </x:c>
      <x:c r="K2" s="3" t="str">
        <x:v>A股煤炭与石油公司实时前瞻估值参数</x:v>
      </x:c>
      <x:c r="L2" s="3" t="str">
        <x:v>A股煤炭与石油公司实时前瞻估值参数</x:v>
      </x:c>
      <x:c r="M2" s="3" t="str">
        <x:v>A股煤炭与石油公司实时前瞻估值参数</x:v>
      </x:c>
      <x:c r="N2" s="3" t="str">
        <x:v>A股煤炭与石油公司实时前瞻估值参数</x:v>
      </x:c>
      <x:c r="O2" s="3" t="str">
        <x:v>A股煤炭与石油公司实时前瞻估值参数</x:v>
      </x:c>
      <x:c r="P2" s="3" t="str">
        <x:v>A股煤炭与石油公司实时前瞻估值参数</x:v>
      </x:c>
      <x:c r="Q2" s="3" t="str">
        <x:v>A股煤炭与石油公司实时前瞻估值参数</x:v>
      </x:c>
      <x:c r="R2" s="3" t="str">
        <x:v>A股煤炭与石油公司实时前瞻估值参数</x:v>
      </x:c>
      <x:c r="S2" s="3" t="str">
        <x:v>A股煤炭与石油公司实时前瞻估值参数</x:v>
      </x:c>
      <x:c r="T2" s="3" t="str">
        <x:v>A股煤炭与石油公司实时前瞻估值参数</x:v>
      </x:c>
      <x:c r="U2" s="3" t="str">
        <x:v>A股煤炭与石油公司实时前瞻估值参数</x:v>
      </x:c>
      <x:c r="V2" s="3" t="str">
        <x:v>A股煤炭与石油公司实时前瞻估值参数</x:v>
      </x:c>
      <x:c r="W2" s="3" t="str">
        <x:v>A股煤炭与石油公司实时前瞻估值参数</x:v>
      </x:c>
    </x:row>
    <x:row r="3">
      <x:c r="A3" s="305" t="str">
        <x:v>2026H2情景选择</x:v>
      </x:c>
      <x:c r="B3" s="10" t="n">
        <x:v>2</x:v>
      </x:c>
      <x:c r="C3" s="306" t="str">
        <x:f>CHOOSE(B3,"悲观","基准","乐观")</x:f>
        <x:v>基准</x:v>
      </x:c>
      <x:c r="D3" s="302"/>
      <x:c r="E3" s="302"/>
      <x:c r="F3" s="302"/>
      <x:c r="G3" s="302"/>
      <x:c r="H3" s="302"/>
      <x:c r="I3" s="302"/>
      <x:c r="J3" s="302"/>
      <x:c r="K3" s="302"/>
      <x:c r="L3" s="302"/>
      <x:c r="M3" s="302"/>
      <x:c r="N3" s="302"/>
      <x:c r="O3" s="302"/>
      <x:c r="P3" s="302"/>
      <x:c r="Q3" s="302"/>
      <x:c r="R3" s="302"/>
      <x:c r="S3" s="302"/>
      <x:c r="T3" s="302"/>
      <x:c r="U3" s="302"/>
      <x:c r="V3" s="302"/>
      <x:c r="W3" s="302"/>
    </x:row>
    <x:row r="4">
      <x:c r="A4" s="305" t="str">
        <x:v>归一化口径</x:v>
      </x:c>
      <x:c r="B4" s="11" t="n">
        <x:v>2</x:v>
      </x:c>
      <x:c r="C4" s="306" t="str">
        <x:f>CHOOSE(B4,"10年中位","10年60%+近5年40%","近5年中位")</x:f>
        <x:v>10年60%+近5年40%</x:v>
      </x:c>
      <x:c r="D4" s="302"/>
      <x:c r="E4" s="302"/>
      <x:c r="F4" s="302"/>
      <x:c r="G4" s="302"/>
      <x:c r="H4" s="302"/>
      <x:c r="I4" s="302"/>
      <x:c r="J4" s="302"/>
      <x:c r="K4" s="302"/>
      <x:c r="L4" s="302"/>
      <x:c r="M4" s="302"/>
      <x:c r="N4" s="302"/>
      <x:c r="O4" s="302"/>
      <x:c r="P4" s="302"/>
      <x:c r="Q4" s="302"/>
      <x:c r="R4" s="302"/>
      <x:c r="S4" s="302"/>
      <x:c r="T4" s="302"/>
      <x:c r="U4" s="302"/>
      <x:c r="V4" s="302"/>
      <x:c r="W4" s="302"/>
    </x:row>
    <x:row r="5">
      <x:c r="A5" s="302"/>
      <x:c r="B5" s="302"/>
      <x:c r="C5" s="302"/>
      <x:c r="D5" s="302"/>
      <x:c r="E5" s="302"/>
      <x:c r="F5" s="302"/>
      <x:c r="G5" s="302"/>
      <x:c r="H5" s="302"/>
      <x:c r="I5" s="302"/>
      <x:c r="J5" s="302"/>
      <x:c r="K5" s="302"/>
      <x:c r="L5" s="302"/>
      <x:c r="M5" s="302"/>
      <x:c r="N5" s="302"/>
      <x:c r="O5" s="302"/>
      <x:c r="P5" s="302"/>
      <x:c r="Q5" s="302"/>
      <x:c r="R5" s="302"/>
      <x:c r="S5" s="302"/>
      <x:c r="T5" s="302"/>
      <x:c r="U5" s="302"/>
      <x:c r="V5" s="302"/>
      <x:c r="W5" s="302"/>
    </x:row>
    <x:row r="6" ht="34" customHeight="1">
      <x:c r="A6" s="19" t="str">
        <x:v>行业驱动</x:v>
      </x:c>
      <x:c r="B6" s="19" t="str">
        <x:v>当前选择</x:v>
      </x:c>
      <x:c r="C6" s="19" t="str">
        <x:v>悲观</x:v>
      </x:c>
      <x:c r="D6" s="19" t="str">
        <x:v>基准</x:v>
      </x:c>
      <x:c r="E6" s="19" t="str">
        <x:v>乐观</x:v>
      </x:c>
      <x:c r="F6" s="302"/>
      <x:c r="G6" s="302"/>
      <x:c r="H6" s="302"/>
      <x:c r="I6" s="302"/>
      <x:c r="J6" s="302"/>
      <x:c r="K6" s="302"/>
      <x:c r="L6" s="302"/>
      <x:c r="M6" s="302"/>
      <x:c r="N6" s="302"/>
      <x:c r="O6" s="302"/>
      <x:c r="P6" s="302"/>
      <x:c r="Q6" s="302"/>
      <x:c r="R6" s="302"/>
      <x:c r="S6" s="302"/>
      <x:c r="T6" s="302"/>
      <x:c r="U6" s="302"/>
      <x:c r="V6" s="302"/>
      <x:c r="W6" s="302"/>
    </x:row>
    <x:row r="7">
      <x:c r="A7" s="30" t="str">
        <x:v>煤炭：盈利系数</x:v>
      </x:c>
      <x:c r="B7" s="42" t="n">
        <x:f>CHOOSE($B$3,C7,D7,E7)</x:f>
        <x:v>1</x:v>
      </x:c>
      <x:c r="C7" s="39" t="n">
        <x:v>0.7</x:v>
      </x:c>
      <x:c r="D7" s="39" t="n">
        <x:v>1</x:v>
      </x:c>
      <x:c r="E7" s="39" t="n">
        <x:v>1.2</x:v>
      </x:c>
      <x:c r="F7" s="302"/>
      <x:c r="G7" s="302"/>
      <x:c r="H7" s="302"/>
      <x:c r="I7" s="302"/>
      <x:c r="J7" s="302"/>
      <x:c r="K7" s="302"/>
      <x:c r="L7" s="302"/>
      <x:c r="M7" s="302"/>
      <x:c r="N7" s="302"/>
      <x:c r="O7" s="302"/>
      <x:c r="P7" s="302"/>
      <x:c r="Q7" s="302"/>
      <x:c r="R7" s="302"/>
      <x:c r="S7" s="302"/>
      <x:c r="T7" s="302"/>
      <x:c r="U7" s="302"/>
      <x:c r="V7" s="302"/>
      <x:c r="W7" s="302"/>
    </x:row>
    <x:row r="8">
      <x:c r="A8" s="31" t="str">
        <x:v>煤炭：所有者收益系数</x:v>
      </x:c>
      <x:c r="B8" s="43" t="n">
        <x:f>CHOOSE($B$3,C8,D8,E8)</x:f>
        <x:v>1</x:v>
      </x:c>
      <x:c r="C8" s="40" t="n">
        <x:v>0.75</x:v>
      </x:c>
      <x:c r="D8" s="40" t="n">
        <x:v>1</x:v>
      </x:c>
      <x:c r="E8" s="40" t="n">
        <x:v>1.15</x:v>
      </x:c>
      <x:c r="F8" s="302"/>
      <x:c r="G8" s="302"/>
      <x:c r="H8" s="302"/>
      <x:c r="I8" s="302"/>
      <x:c r="J8" s="302"/>
      <x:c r="K8" s="302"/>
      <x:c r="L8" s="302"/>
      <x:c r="M8" s="302"/>
      <x:c r="N8" s="302"/>
      <x:c r="O8" s="302"/>
      <x:c r="P8" s="302"/>
      <x:c r="Q8" s="302"/>
      <x:c r="R8" s="302"/>
      <x:c r="S8" s="302"/>
      <x:c r="T8" s="302"/>
      <x:c r="U8" s="302"/>
      <x:c r="V8" s="302"/>
      <x:c r="W8" s="302"/>
    </x:row>
    <x:row r="9">
      <x:c r="A9" s="31" t="str">
        <x:v>煤炭：股息系数</x:v>
      </x:c>
      <x:c r="B9" s="43" t="n">
        <x:f>CHOOSE($B$3,C9,D9,E9)</x:f>
        <x:v>1</x:v>
      </x:c>
      <x:c r="C9" s="40" t="n">
        <x:v>0.8</x:v>
      </x:c>
      <x:c r="D9" s="40" t="n">
        <x:v>1</x:v>
      </x:c>
      <x:c r="E9" s="40" t="n">
        <x:v>1.05</x:v>
      </x:c>
      <x:c r="F9" s="302"/>
      <x:c r="G9" s="302"/>
      <x:c r="H9" s="302"/>
      <x:c r="I9" s="302"/>
      <x:c r="J9" s="302"/>
      <x:c r="K9" s="302"/>
      <x:c r="L9" s="302"/>
      <x:c r="M9" s="302"/>
      <x:c r="N9" s="302"/>
      <x:c r="O9" s="302"/>
      <x:c r="P9" s="302"/>
      <x:c r="Q9" s="302"/>
      <x:c r="R9" s="302"/>
      <x:c r="S9" s="302"/>
      <x:c r="T9" s="302"/>
      <x:c r="U9" s="302"/>
      <x:c r="V9" s="302"/>
      <x:c r="W9" s="302"/>
    </x:row>
    <x:row r="10">
      <x:c r="A10" s="31" t="str">
        <x:v>石油：盈利系数</x:v>
      </x:c>
      <x:c r="B10" s="43" t="n">
        <x:f>CHOOSE($B$3,C10,D10,E10)</x:f>
        <x:v>1</x:v>
      </x:c>
      <x:c r="C10" s="40" t="n">
        <x:v>0.75</x:v>
      </x:c>
      <x:c r="D10" s="40" t="n">
        <x:v>1</x:v>
      </x:c>
      <x:c r="E10" s="40" t="n">
        <x:v>1.15</x:v>
      </x:c>
      <x:c r="F10" s="302"/>
      <x:c r="G10" s="302"/>
      <x:c r="H10" s="302"/>
      <x:c r="I10" s="302"/>
      <x:c r="J10" s="302"/>
      <x:c r="K10" s="302"/>
      <x:c r="L10" s="302"/>
      <x:c r="M10" s="302"/>
      <x:c r="N10" s="302"/>
      <x:c r="O10" s="302"/>
      <x:c r="P10" s="302"/>
      <x:c r="Q10" s="302"/>
      <x:c r="R10" s="302"/>
      <x:c r="S10" s="302"/>
      <x:c r="T10" s="302"/>
      <x:c r="U10" s="302"/>
      <x:c r="V10" s="302"/>
      <x:c r="W10" s="302"/>
    </x:row>
    <x:row r="11">
      <x:c r="A11" s="31" t="str">
        <x:v>石油：所有者收益系数</x:v>
      </x:c>
      <x:c r="B11" s="43" t="n">
        <x:f>CHOOSE($B$3,C11,D11,E11)</x:f>
        <x:v>1</x:v>
      </x:c>
      <x:c r="C11" s="40" t="n">
        <x:v>0.75</x:v>
      </x:c>
      <x:c r="D11" s="40" t="n">
        <x:v>1</x:v>
      </x:c>
      <x:c r="E11" s="40" t="n">
        <x:v>1.15</x:v>
      </x:c>
      <x:c r="F11" s="302"/>
      <x:c r="G11" s="302"/>
      <x:c r="H11" s="302"/>
      <x:c r="I11" s="302"/>
      <x:c r="J11" s="302"/>
      <x:c r="K11" s="302"/>
      <x:c r="L11" s="302"/>
      <x:c r="M11" s="302"/>
      <x:c r="N11" s="302"/>
      <x:c r="O11" s="302"/>
      <x:c r="P11" s="302"/>
      <x:c r="Q11" s="302"/>
      <x:c r="R11" s="302"/>
      <x:c r="S11" s="302"/>
      <x:c r="T11" s="302"/>
      <x:c r="U11" s="302"/>
      <x:c r="V11" s="302"/>
      <x:c r="W11" s="302"/>
    </x:row>
    <x:row r="12">
      <x:c r="A12" s="32" t="str">
        <x:v>石油：股息系数</x:v>
      </x:c>
      <x:c r="B12" s="44" t="n">
        <x:f>CHOOSE($B$3,C12,D12,E12)</x:f>
        <x:v>1</x:v>
      </x:c>
      <x:c r="C12" s="41" t="n">
        <x:v>0.8</x:v>
      </x:c>
      <x:c r="D12" s="41" t="n">
        <x:v>1</x:v>
      </x:c>
      <x:c r="E12" s="41" t="n">
        <x:v>1.05</x:v>
      </x:c>
      <x:c r="F12" s="302"/>
      <x:c r="G12" s="302"/>
      <x:c r="H12" s="302"/>
      <x:c r="I12" s="302"/>
      <x:c r="J12" s="302"/>
      <x:c r="K12" s="302"/>
      <x:c r="L12" s="302"/>
      <x:c r="M12" s="302"/>
      <x:c r="N12" s="302"/>
      <x:c r="O12" s="302"/>
      <x:c r="P12" s="302"/>
      <x:c r="Q12" s="302"/>
      <x:c r="R12" s="302"/>
      <x:c r="S12" s="302"/>
      <x:c r="T12" s="302"/>
      <x:c r="U12" s="302"/>
      <x:c r="V12" s="302"/>
      <x:c r="W12" s="302"/>
    </x:row>
    <x:row r="13">
      <x:c r="A13" s="302"/>
      <x:c r="B13" s="302"/>
      <x:c r="C13" s="302"/>
      <x:c r="D13" s="302"/>
      <x:c r="E13" s="302"/>
      <x:c r="F13" s="302"/>
      <x:c r="G13" s="302"/>
      <x:c r="H13" s="302"/>
      <x:c r="I13" s="302"/>
      <x:c r="J13" s="302"/>
      <x:c r="K13" s="302"/>
      <x:c r="L13" s="302"/>
      <x:c r="M13" s="302"/>
      <x:c r="N13" s="302"/>
      <x:c r="O13" s="302"/>
      <x:c r="P13" s="302"/>
      <x:c r="Q13" s="302"/>
      <x:c r="R13" s="302"/>
      <x:c r="S13" s="302"/>
      <x:c r="T13" s="302"/>
      <x:c r="U13" s="302"/>
      <x:c r="V13" s="302"/>
      <x:c r="W13" s="302"/>
    </x:row>
    <x:row r="14">
      <x:c r="A14" s="302"/>
      <x:c r="B14" s="302"/>
      <x:c r="C14" s="302"/>
      <x:c r="D14" s="302"/>
      <x:c r="E14" s="302"/>
      <x:c r="F14" s="302"/>
      <x:c r="G14" s="302"/>
      <x:c r="H14" s="302"/>
      <x:c r="I14" s="302"/>
      <x:c r="J14" s="302"/>
      <x:c r="K14" s="302"/>
      <x:c r="L14" s="302"/>
      <x:c r="M14" s="302"/>
      <x:c r="N14" s="302"/>
      <x:c r="O14" s="302"/>
      <x:c r="P14" s="302"/>
      <x:c r="Q14" s="302"/>
      <x:c r="R14" s="302"/>
      <x:c r="S14" s="302"/>
      <x:c r="T14" s="302"/>
      <x:c r="U14" s="302"/>
      <x:c r="V14" s="302"/>
      <x:c r="W14" s="302"/>
    </x:row>
    <x:row r="15" ht="34" customHeight="1">
      <x:c r="A15" s="19" t="str">
        <x:v>商品与年度</x:v>
      </x:c>
      <x:c r="B15" s="19" t="str">
        <x:v>当前观察</x:v>
      </x:c>
      <x:c r="C15" s="19" t="str">
        <x:v>2026H1实际均值</x:v>
      </x:c>
      <x:c r="D15" s="19" t="str">
        <x:v>悲观</x:v>
      </x:c>
      <x:c r="E15" s="19" t="str">
        <x:v>基准</x:v>
      </x:c>
      <x:c r="F15" s="19" t="str">
        <x:v>乐观</x:v>
      </x:c>
      <x:c r="G15" s="19" t="str">
        <x:v>当前选择</x:v>
      </x:c>
      <x:c r="H15" s="302"/>
      <x:c r="I15" s="19" t="str">
        <x:v>2027情景概率</x:v>
      </x:c>
      <x:c r="J15" s="19" t="str">
        <x:v>悲观</x:v>
      </x:c>
      <x:c r="K15" s="19" t="str">
        <x:v>基准</x:v>
      </x:c>
      <x:c r="L15" s="19" t="str">
        <x:v>高价延续</x:v>
      </x:c>
      <x:c r="M15" s="19" t="str">
        <x:v>合计</x:v>
      </x:c>
      <x:c r="N15" s="302"/>
      <x:c r="O15" s="302"/>
      <x:c r="P15" s="302"/>
      <x:c r="Q15" s="302"/>
      <x:c r="R15" s="302"/>
      <x:c r="S15" s="302"/>
      <x:c r="T15" s="302"/>
      <x:c r="U15" s="302"/>
      <x:c r="V15" s="302"/>
      <x:c r="W15" s="302"/>
    </x:row>
    <x:row r="16" ht="30" customHeight="1">
      <x:c r="A16" s="45" t="str">
        <x:v>动力煤2026H2均价（元/吨；现价2026-09下旬）</x:v>
      </x:c>
      <x:c r="B16" s="48" t="n">
        <x:v>987.7</x:v>
      </x:c>
      <x:c r="C16" s="48" t="n">
        <x:v>771</x:v>
      </x:c>
      <x:c r="D16" s="54" t="n">
        <x:v>860</x:v>
      </x:c>
      <x:c r="E16" s="54" t="n">
        <x:v>920</x:v>
      </x:c>
      <x:c r="F16" s="54" t="n">
        <x:v>990</x:v>
      </x:c>
      <x:c r="G16" s="57" t="n">
        <x:f>CHOOSE($B$3,D16,E16,F16)</x:f>
        <x:v>920</x:v>
      </x:c>
      <x:c r="H16" s="302"/>
      <x:c r="I16" s="62" t="str">
        <x:v>概率</x:v>
      </x:c>
      <x:c r="J16" s="65" t="n">
        <x:v>0.25</x:v>
      </x:c>
      <x:c r="K16" s="65" t="n">
        <x:v>0.5</x:v>
      </x:c>
      <x:c r="L16" s="65" t="n">
        <x:v>0.25</x:v>
      </x:c>
      <x:c r="M16" s="66" t="n">
        <x:f>SUM(J16:L16)</x:f>
        <x:v>1</x:v>
      </x:c>
      <x:c r="N16" s="302"/>
      <x:c r="O16" s="302"/>
      <x:c r="P16" s="302"/>
      <x:c r="Q16" s="302"/>
      <x:c r="R16" s="302"/>
      <x:c r="S16" s="302"/>
      <x:c r="T16" s="302"/>
      <x:c r="U16" s="302"/>
      <x:c r="V16" s="302"/>
      <x:c r="W16" s="302"/>
    </x:row>
    <x:row r="17" ht="30" customHeight="1">
      <x:c r="A17" s="46" t="str">
        <x:v>Brent 2026H2均价（美元/桶；现价2026-10-06）</x:v>
      </x:c>
      <x:c r="B17" s="49" t="n">
        <x:v>125.44</x:v>
      </x:c>
      <x:c r="C17" s="49" t="n">
        <x:v>91.74</x:v>
      </x:c>
      <x:c r="D17" s="55" t="n">
        <x:v>90.7</x:v>
      </x:c>
      <x:c r="E17" s="55" t="n">
        <x:v>100.67</x:v>
      </x:c>
      <x:c r="F17" s="55" t="n">
        <x:v>108.2</x:v>
      </x:c>
      <x:c r="G17" s="58" t="n">
        <x:f>CHOOSE($B$3,D17,E17,F17)</x:f>
        <x:v>100.67</x:v>
      </x:c>
      <x:c r="H17" s="302"/>
      <x:c r="I17" s="302"/>
      <x:c r="J17" s="302"/>
      <x:c r="K17" s="302"/>
      <x:c r="L17" s="302"/>
      <x:c r="M17" s="302"/>
      <x:c r="N17" s="302"/>
      <x:c r="O17" s="302"/>
      <x:c r="P17" s="302"/>
      <x:c r="Q17" s="302"/>
      <x:c r="R17" s="302"/>
      <x:c r="S17" s="302"/>
      <x:c r="T17" s="302"/>
      <x:c r="U17" s="302"/>
      <x:c r="V17" s="302"/>
      <x:c r="W17" s="302"/>
    </x:row>
    <x:row r="18" ht="30" customHeight="1">
      <x:c r="A18" s="46" t="str">
        <x:v>动力煤2027条件价（元/吨）</x:v>
      </x:c>
      <x:c r="B18" s="49"/>
      <x:c r="C18" s="49"/>
      <x:c r="D18" s="55" t="n">
        <x:v>650</x:v>
      </x:c>
      <x:c r="E18" s="55" t="n">
        <x:v>780</x:v>
      </x:c>
      <x:c r="F18" s="55" t="n">
        <x:v>950</x:v>
      </x:c>
      <x:c r="G18" s="58" t="n">
        <x:f>CHOOSE($B$3,D18,E18,F18)</x:f>
        <x:v>780</x:v>
      </x:c>
      <x:c r="H18" s="302"/>
      <x:c r="I18" s="70" t="str">
        <x:v>基准中枢不是把现价永久化：煤价按780元/吨、Brent按85美元/桶；高价延续情景要求950元/吨、105美元/桶附近至少延续至2027年。</x:v>
      </x:c>
      <x:c r="J18" s="70"/>
      <x:c r="K18" s="70"/>
      <x:c r="L18" s="70"/>
      <x:c r="M18" s="70"/>
      <x:c r="N18" s="302"/>
      <x:c r="O18" s="302"/>
      <x:c r="P18" s="302"/>
      <x:c r="Q18" s="302"/>
      <x:c r="R18" s="302"/>
      <x:c r="S18" s="302"/>
      <x:c r="T18" s="302"/>
      <x:c r="U18" s="302"/>
      <x:c r="V18" s="302"/>
      <x:c r="W18" s="302"/>
    </x:row>
    <x:row r="19" ht="30" customHeight="1">
      <x:c r="A19" s="47" t="str">
        <x:v>Brent 2027条件价（美元/桶）</x:v>
      </x:c>
      <x:c r="B19" s="50"/>
      <x:c r="C19" s="50"/>
      <x:c r="D19" s="56" t="n">
        <x:v>65</x:v>
      </x:c>
      <x:c r="E19" s="56" t="n">
        <x:v>85</x:v>
      </x:c>
      <x:c r="F19" s="56" t="n">
        <x:v>105</x:v>
      </x:c>
      <x:c r="G19" s="59" t="n">
        <x:f>CHOOSE($B$3,D19,E19,F19)</x:f>
        <x:v>85</x:v>
      </x:c>
      <x:c r="H19" s="302"/>
      <x:c r="I19" s="70"/>
      <x:c r="J19" s="70"/>
      <x:c r="K19" s="70"/>
      <x:c r="L19" s="70"/>
      <x:c r="M19" s="70"/>
      <x:c r="N19" s="302"/>
      <x:c r="O19" s="302"/>
      <x:c r="P19" s="302"/>
      <x:c r="Q19" s="302"/>
      <x:c r="R19" s="302"/>
      <x:c r="S19" s="302"/>
      <x:c r="T19" s="302"/>
      <x:c r="U19" s="302"/>
      <x:c r="V19" s="302"/>
      <x:c r="W19" s="302"/>
    </x:row>
    <x:row r="20" ht="34" customHeight="1">
      <x:c r="A20" s="19" t="str">
        <x:v>估值权重</x:v>
      </x:c>
      <x:c r="B20" s="19" t="str">
        <x:v>盈利能力法</x:v>
      </x:c>
      <x:c r="C20" s="19" t="str">
        <x:v>所有者收益法</x:v>
      </x:c>
      <x:c r="D20" s="19" t="str">
        <x:v>股息回报法</x:v>
      </x:c>
      <x:c r="E20" s="19" t="str">
        <x:v>PB-ROE法</x:v>
      </x:c>
      <x:c r="F20" s="19" t="str">
        <x:v>权重合计</x:v>
      </x:c>
      <x:c r="G20" s="19" t="str">
        <x:v>检查</x:v>
      </x:c>
      <x:c r="H20" s="302"/>
      <x:c r="I20" s="302"/>
      <x:c r="J20" s="302"/>
      <x:c r="K20" s="302"/>
      <x:c r="L20" s="302"/>
      <x:c r="M20" s="302"/>
      <x:c r="N20" s="302"/>
      <x:c r="O20" s="302"/>
      <x:c r="P20" s="302"/>
      <x:c r="Q20" s="302"/>
      <x:c r="R20" s="302"/>
      <x:c r="S20" s="302"/>
      <x:c r="T20" s="302"/>
      <x:c r="U20" s="302"/>
      <x:c r="V20" s="302"/>
      <x:c r="W20" s="302"/>
    </x:row>
    <x:row r="21">
      <x:c r="A21" s="62" t="str">
        <x:v>权重</x:v>
      </x:c>
      <x:c r="B21" s="65" t="n">
        <x:v>0.35</x:v>
      </x:c>
      <x:c r="C21" s="65" t="n">
        <x:v>0.3</x:v>
      </x:c>
      <x:c r="D21" s="65" t="n">
        <x:v>0.2</x:v>
      </x:c>
      <x:c r="E21" s="65" t="n">
        <x:v>0.15</x:v>
      </x:c>
      <x:c r="F21" s="66" t="n">
        <x:f>SUM(B21:E21)</x:f>
        <x:v>0.9999999999999999</x:v>
      </x:c>
      <x:c r="G21" s="62" t="str">
        <x:f>IF(ABS(F21-1)&lt;0.0001,"权重正常","请调整至100%")</x:f>
        <x:v>权重正常</x:v>
      </x:c>
      <x:c r="H21" s="302"/>
      <x:c r="I21" s="302"/>
      <x:c r="J21" s="302"/>
      <x:c r="K21" s="302"/>
      <x:c r="L21" s="302"/>
      <x:c r="M21" s="302"/>
      <x:c r="N21" s="302"/>
      <x:c r="O21" s="302"/>
      <x:c r="P21" s="302"/>
      <x:c r="Q21" s="302"/>
      <x:c r="R21" s="302"/>
      <x:c r="S21" s="302"/>
      <x:c r="T21" s="302"/>
      <x:c r="U21" s="302"/>
      <x:c r="V21" s="302"/>
      <x:c r="W21" s="302"/>
    </x:row>
    <x:row r="22">
      <x:c r="A22" s="302"/>
      <x:c r="B22" s="302"/>
      <x:c r="C22" s="302"/>
      <x:c r="D22" s="302"/>
      <x:c r="E22" s="302"/>
      <x:c r="F22" s="302"/>
      <x:c r="G22" s="302"/>
      <x:c r="H22" s="302"/>
      <x:c r="I22" s="302"/>
      <x:c r="J22" s="302"/>
      <x:c r="K22" s="302"/>
      <x:c r="L22" s="302"/>
      <x:c r="M22" s="302"/>
      <x:c r="N22" s="302"/>
      <x:c r="O22" s="302"/>
      <x:c r="P22" s="302"/>
      <x:c r="Q22" s="302"/>
      <x:c r="R22" s="302"/>
      <x:c r="S22" s="302"/>
      <x:c r="T22" s="302"/>
      <x:c r="U22" s="302"/>
      <x:c r="V22" s="302"/>
      <x:c r="W22" s="302"/>
    </x:row>
    <x:row r="23">
      <x:c r="A23" s="302"/>
      <x:c r="B23" s="302"/>
      <x:c r="C23" s="302"/>
      <x:c r="D23" s="302"/>
      <x:c r="E23" s="302"/>
      <x:c r="F23" s="302"/>
      <x:c r="G23" s="302"/>
      <x:c r="H23" s="302"/>
      <x:c r="I23" s="302"/>
      <x:c r="J23" s="302"/>
      <x:c r="K23" s="302"/>
      <x:c r="L23" s="302"/>
      <x:c r="M23" s="302"/>
      <x:c r="N23" s="302"/>
      <x:c r="O23" s="302"/>
      <x:c r="P23" s="302"/>
      <x:c r="Q23" s="302"/>
      <x:c r="R23" s="302"/>
      <x:c r="S23" s="302"/>
      <x:c r="T23" s="302"/>
      <x:c r="U23" s="302"/>
      <x:c r="V23" s="302"/>
      <x:c r="W23" s="302"/>
    </x:row>
    <x:row r="24">
      <x:c r="A24" s="79" t="str">
        <x:v>公司估值与基本面假设（黄色单元格可编辑）</x:v>
      </x:c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1"/>
    </x:row>
    <x:row r="25">
      <x:c r="A25" s="302"/>
      <x:c r="B25" s="302"/>
      <x:c r="C25" s="302"/>
      <x:c r="D25" s="302"/>
      <x:c r="E25" s="302"/>
      <x:c r="F25" s="302"/>
      <x:c r="G25" s="302"/>
      <x:c r="H25" s="302"/>
      <x:c r="I25" s="302"/>
      <x:c r="J25" s="302"/>
      <x:c r="K25" s="302"/>
      <x:c r="L25" s="302"/>
      <x:c r="M25" s="302"/>
      <x:c r="N25" s="302"/>
      <x:c r="O25" s="302"/>
      <x:c r="P25" s="302"/>
      <x:c r="Q25" s="302"/>
      <x:c r="R25" s="302"/>
      <x:c r="S25" s="302"/>
      <x:c r="T25" s="302"/>
      <x:c r="U25" s="302"/>
      <x:c r="V25" s="302"/>
      <x:c r="W25" s="302"/>
    </x:row>
    <x:row r="26" ht="34" customHeight="1">
      <x:c r="A26" s="19" t="str">
        <x:v>公司</x:v>
      </x:c>
      <x:c r="B26" s="19" t="str">
        <x:v>行业</x:v>
      </x:c>
      <x:c r="C26" s="19" t="str">
        <x:v>盈利倍数</x:v>
      </x:c>
      <x:c r="D26" s="19" t="str">
        <x:v>所有者收益倍数</x:v>
      </x:c>
      <x:c r="E26" s="19" t="str">
        <x:v>要求股息率</x:v>
      </x:c>
      <x:c r="F26" s="19" t="str">
        <x:v>股权成本</x:v>
      </x:c>
      <x:c r="G26" s="19" t="str">
        <x:v>长期增长</x:v>
      </x:c>
      <x:c r="H26" s="19" t="str">
        <x:v>PB上限</x:v>
      </x:c>
      <x:c r="I26" s="19" t="str">
        <x:v>维持性资本开支占比</x:v>
      </x:c>
      <x:c r="J26" s="19" t="str">
        <x:v>安全边际</x:v>
      </x:c>
      <x:c r="K26" s="19" t="str">
        <x:v>业务类型</x:v>
      </x:c>
      <x:c r="L26" s="19" t="str">
        <x:v>护城河判断</x:v>
      </x:c>
      <x:c r="M26" s="19" t="str">
        <x:v>资本配置判断</x:v>
      </x:c>
      <x:c r="N26" s="19" t="str">
        <x:v>最好的一点</x:v>
      </x:c>
      <x:c r="O26" s="19" t="str">
        <x:v>最坏的一点</x:v>
      </x:c>
      <x:c r="P26" s="19" t="str">
        <x:v>价格弹性</x:v>
      </x:c>
      <x:c r="Q26" s="19" t="str">
        <x:v>H2/H1产量系数</x:v>
      </x:c>
      <x:c r="R26" s="19" t="str">
        <x:v>其他经营系数</x:v>
      </x:c>
      <x:c r="S26" s="19" t="str">
        <x:v>模型权重</x:v>
      </x:c>
      <x:c r="T26" s="19" t="str">
        <x:v>预计派息率</x:v>
      </x:c>
      <x:c r="U26" s="19" t="str">
        <x:v>增量ROIC</x:v>
      </x:c>
      <x:c r="V26" s="19" t="str">
        <x:v>2027基准PE</x:v>
      </x:c>
      <x:c r="W26" s="19" t="str">
        <x:v>前瞻判断</x:v>
      </x:c>
    </x:row>
    <x:row r="27" ht="50" customHeight="1">
      <x:c r="A27" s="113" t="str">
        <x:v>中国神华</x:v>
      </x:c>
      <x:c r="B27" s="113" t="str">
        <x:v>煤炭</x:v>
      </x:c>
      <x:c r="C27" s="101" t="n">
        <x:v>11</x:v>
      </x:c>
      <x:c r="D27" s="101" t="n">
        <x:v>10</x:v>
      </x:c>
      <x:c r="E27" s="104" t="n">
        <x:v>0.055</x:v>
      </x:c>
      <x:c r="F27" s="104" t="n">
        <x:v>0.09</x:v>
      </x:c>
      <x:c r="G27" s="104" t="n">
        <x:v>0.01</x:v>
      </x:c>
      <x:c r="H27" s="107" t="n">
        <x:v>1.8</x:v>
      </x:c>
      <x:c r="I27" s="110" t="n">
        <x:v>0.7</x:v>
      </x:c>
      <x:c r="J27" s="110" t="n">
        <x:v>0.3</x:v>
      </x:c>
      <x:c r="K27" s="113" t="str">
        <x:v>煤电运化一体化的周期龙头</x:v>
      </x:c>
      <x:c r="L27" s="113" t="str">
        <x:v>低成本+一体化，较强，趋势稳定</x:v>
      </x:c>
      <x:c r="M27" s="113" t="str">
        <x:v>高分红；并购与资本开支需跟踪</x:v>
      </x:c>
      <x:c r="N27" s="113" t="str">
        <x:v>一体化平滑煤价波动，现金流和资产负债表较强</x:v>
      </x:c>
      <x:c r="O27" s="113" t="str">
        <x:v>当前煤价高于中枢；新资产并表改变历史可比性</x:v>
      </x:c>
      <x:c r="P27" s="107" t="n">
        <x:v>0.55</x:v>
      </x:c>
      <x:c r="Q27" s="107" t="n">
        <x:v>1.03</x:v>
      </x:c>
      <x:c r="R27" s="107" t="n">
        <x:v>0.99</x:v>
      </x:c>
      <x:c r="S27" s="104" t="n">
        <x:v>0.7</x:v>
      </x:c>
      <x:c r="T27" s="104" t="n">
        <x:v>0.7</x:v>
      </x:c>
      <x:c r="U27" s="104" t="n">
        <x:v>0.11</x:v>
      </x:c>
      <x:c r="V27" s="101" t="n">
        <x:v>12</x:v>
      </x:c>
      <x:c r="W27" s="113" t="str">
        <x:v>煤价敏感度需结合长协、一体化与成本曲线</x:v>
      </x:c>
    </x:row>
    <x:row r="28" ht="50" customHeight="1">
      <x:c r="A28" s="118" t="str">
        <x:v>陕西煤业</x:v>
      </x:c>
      <x:c r="B28" s="118" t="str">
        <x:v>煤炭</x:v>
      </x:c>
      <x:c r="C28" s="102" t="n">
        <x:v>9.5</x:v>
      </x:c>
      <x:c r="D28" s="102" t="n">
        <x:v>8.5</x:v>
      </x:c>
      <x:c r="E28" s="105" t="n">
        <x:v>0.06</x:v>
      </x:c>
      <x:c r="F28" s="105" t="n">
        <x:v>0.095</x:v>
      </x:c>
      <x:c r="G28" s="105" t="n">
        <x:v>0.01</x:v>
      </x:c>
      <x:c r="H28" s="108" t="n">
        <x:v>2</x:v>
      </x:c>
      <x:c r="I28" s="111" t="n">
        <x:v>0.65</x:v>
      </x:c>
      <x:c r="J28" s="111" t="n">
        <x:v>0.35</x:v>
      </x:c>
      <x:c r="K28" s="118" t="str">
        <x:v>低成本动力煤+投资收益</x:v>
      </x:c>
      <x:c r="L28" s="118" t="str">
        <x:v>资源禀赋+低成本，较强，趋势稳定</x:v>
      </x:c>
      <x:c r="M28" s="118" t="str">
        <x:v>分红积极；金融资产波动需拆分</x:v>
      </x:c>
      <x:c r="N28" s="118" t="str">
        <x:v>吨煤成本和净现金能力突出，股东回报较好</x:v>
      </x:c>
      <x:c r="O28" s="118" t="str">
        <x:v>利润对煤价敏感；投资收益会放大报表波动</x:v>
      </x:c>
      <x:c r="P28" s="108" t="n">
        <x:v>0.9</x:v>
      </x:c>
      <x:c r="Q28" s="108" t="n">
        <x:v>1.01</x:v>
      </x:c>
      <x:c r="R28" s="108" t="n">
        <x:v>0.99</x:v>
      </x:c>
      <x:c r="S28" s="105" t="n">
        <x:v>0.7</x:v>
      </x:c>
      <x:c r="T28" s="105" t="n">
        <x:v>0.6</x:v>
      </x:c>
      <x:c r="U28" s="105" t="n">
        <x:v>0.12</x:v>
      </x:c>
      <x:c r="V28" s="102" t="n">
        <x:v>10.5</x:v>
      </x:c>
      <x:c r="W28" s="118" t="str">
        <x:v>煤价敏感度需结合长协、一体化与成本曲线</x:v>
      </x:c>
    </x:row>
    <x:row r="29" ht="50" customHeight="1">
      <x:c r="A29" s="118" t="str">
        <x:v>兖矿能源</x:v>
      </x:c>
      <x:c r="B29" s="118" t="str">
        <x:v>煤炭</x:v>
      </x:c>
      <x:c r="C29" s="102" t="n">
        <x:v>8.5</x:v>
      </x:c>
      <x:c r="D29" s="102" t="n">
        <x:v>8</x:v>
      </x:c>
      <x:c r="E29" s="105" t="n">
        <x:v>0.065</x:v>
      </x:c>
      <x:c r="F29" s="105" t="n">
        <x:v>0.1</x:v>
      </x:c>
      <x:c r="G29" s="105" t="n">
        <x:v>0.005</x:v>
      </x:c>
      <x:c r="H29" s="108" t="n">
        <x:v>1.6</x:v>
      </x:c>
      <x:c r="I29" s="111" t="n">
        <x:v>0.7</x:v>
      </x:c>
      <x:c r="J29" s="111" t="n">
        <x:v>0.4</x:v>
      </x:c>
      <x:c r="K29" s="118" t="str">
        <x:v>国内外煤炭+煤化工</x:v>
      </x:c>
      <x:c r="L29" s="118" t="str">
        <x:v>规模+资源，普通，波动加大</x:v>
      </x:c>
      <x:c r="M29" s="118" t="str">
        <x:v>扩张意愿较强；需约束杠杆与并购回报</x:v>
      </x:c>
      <x:c r="N29" s="118" t="str">
        <x:v>资源规模大、海外资产带来多区域配置</x:v>
      </x:c>
      <x:c r="O29" s="118" t="str">
        <x:v>负债和资本开支高于优质同业；煤化工拖累风险</x:v>
      </x:c>
      <x:c r="P29" s="108" t="n">
        <x:v>1.05</x:v>
      </x:c>
      <x:c r="Q29" s="108" t="n">
        <x:v>1.02</x:v>
      </x:c>
      <x:c r="R29" s="108" t="n">
        <x:v>0.98</x:v>
      </x:c>
      <x:c r="S29" s="105" t="n">
        <x:v>0.7</x:v>
      </x:c>
      <x:c r="T29" s="105" t="n">
        <x:v>0.5</x:v>
      </x:c>
      <x:c r="U29" s="105" t="n">
        <x:v>0.1</x:v>
      </x:c>
      <x:c r="V29" s="102" t="n">
        <x:v>9.5</x:v>
      </x:c>
      <x:c r="W29" s="118" t="str">
        <x:v>煤价敏感度需结合长协、一体化与成本曲线</x:v>
      </x:c>
    </x:row>
    <x:row r="30" ht="50" customHeight="1">
      <x:c r="A30" s="118" t="str">
        <x:v>中煤能源</x:v>
      </x:c>
      <x:c r="B30" s="118" t="str">
        <x:v>煤炭</x:v>
      </x:c>
      <x:c r="C30" s="102" t="n">
        <x:v>9</x:v>
      </x:c>
      <x:c r="D30" s="102" t="n">
        <x:v>8.5</x:v>
      </x:c>
      <x:c r="E30" s="105" t="n">
        <x:v>0.065</x:v>
      </x:c>
      <x:c r="F30" s="105" t="n">
        <x:v>0.095</x:v>
      </x:c>
      <x:c r="G30" s="105" t="n">
        <x:v>0.005</x:v>
      </x:c>
      <x:c r="H30" s="108" t="n">
        <x:v>1.4</x:v>
      </x:c>
      <x:c r="I30" s="111" t="n">
        <x:v>0.65</x:v>
      </x:c>
      <x:c r="J30" s="111" t="n">
        <x:v>0.35</x:v>
      </x:c>
      <x:c r="K30" s="118" t="str">
        <x:v>煤炭+煤化工+装备</x:v>
      </x:c>
      <x:c r="L30" s="118" t="str">
        <x:v>规模+央企资源，普通，略改善</x:v>
      </x:c>
      <x:c r="M30" s="118" t="str">
        <x:v>负债率下降；近年资本开支上升</x:v>
      </x:c>
      <x:c r="N30" s="118" t="str">
        <x:v>规模大、资产负债表改善，估值通常较低</x:v>
      </x:c>
      <x:c r="O30" s="118" t="str">
        <x:v>资本开支上行，煤化工和低效资产压低回报</x:v>
      </x:c>
      <x:c r="P30" s="108" t="n">
        <x:v>0.85</x:v>
      </x:c>
      <x:c r="Q30" s="108" t="n">
        <x:v>1.02</x:v>
      </x:c>
      <x:c r="R30" s="108" t="n">
        <x:v>0.99</x:v>
      </x:c>
      <x:c r="S30" s="105" t="n">
        <x:v>0.7</x:v>
      </x:c>
      <x:c r="T30" s="105" t="n">
        <x:v>0.45</x:v>
      </x:c>
      <x:c r="U30" s="105" t="n">
        <x:v>0.095</x:v>
      </x:c>
      <x:c r="V30" s="102" t="n">
        <x:v>10</x:v>
      </x:c>
      <x:c r="W30" s="118" t="str">
        <x:v>煤价敏感度需结合长协、一体化与成本曲线</x:v>
      </x:c>
    </x:row>
    <x:row r="31" ht="50" customHeight="1">
      <x:c r="A31" s="118" t="str">
        <x:v>潞安环能</x:v>
      </x:c>
      <x:c r="B31" s="118" t="str">
        <x:v>煤炭</x:v>
      </x:c>
      <x:c r="C31" s="102" t="n">
        <x:v>7.5</x:v>
      </x:c>
      <x:c r="D31" s="102" t="n">
        <x:v>7</x:v>
      </x:c>
      <x:c r="E31" s="105" t="n">
        <x:v>0.075</x:v>
      </x:c>
      <x:c r="F31" s="105" t="n">
        <x:v>0.105</x:v>
      </x:c>
      <x:c r="G31" s="105" t="n">
        <x:v>0</x:v>
      </x:c>
      <x:c r="H31" s="108" t="n">
        <x:v>1.2</x:v>
      </x:c>
      <x:c r="I31" s="111" t="n">
        <x:v>0.65</x:v>
      </x:c>
      <x:c r="J31" s="111" t="n">
        <x:v>0.45</x:v>
      </x:c>
      <x:c r="K31" s="118" t="str">
        <x:v>山西喷吹煤与动力煤</x:v>
      </x:c>
      <x:c r="L31" s="118" t="str">
        <x:v>区域资源+煤种优势，普通，趋弱</x:v>
      </x:c>
      <x:c r="M31" s="118" t="str">
        <x:v>高峰期分红高；盈利回落后稳定性不足</x:v>
      </x:c>
      <x:c r="N31" s="118" t="str">
        <x:v>账面杠杆较低，特定煤种具一定溢价</x:v>
      </x:c>
      <x:c r="O31" s="118" t="str">
        <x:v>盈利下滑快、历史资本开支波动大，价值陷阱风险较高</x:v>
      </x:c>
      <x:c r="P31" s="108" t="n">
        <x:v>1.1</x:v>
      </x:c>
      <x:c r="Q31" s="108" t="n">
        <x:v>0.98</x:v>
      </x:c>
      <x:c r="R31" s="108" t="n">
        <x:v>0.98</x:v>
      </x:c>
      <x:c r="S31" s="105" t="n">
        <x:v>0.7</x:v>
      </x:c>
      <x:c r="T31" s="105" t="n">
        <x:v>0.55</x:v>
      </x:c>
      <x:c r="U31" s="105" t="n">
        <x:v>0.09</x:v>
      </x:c>
      <x:c r="V31" s="102" t="n">
        <x:v>8.5</x:v>
      </x:c>
      <x:c r="W31" s="118" t="str">
        <x:v>煤价敏感度需结合长协、一体化与成本曲线</x:v>
      </x:c>
    </x:row>
    <x:row r="32" ht="50" customHeight="1">
      <x:c r="A32" s="123" t="str">
        <x:v>中国石油</x:v>
      </x:c>
      <x:c r="B32" s="123" t="str">
        <x:v>石油</x:v>
      </x:c>
      <x:c r="C32" s="102" t="n">
        <x:v>10.5</x:v>
      </x:c>
      <x:c r="D32" s="102" t="n">
        <x:v>9</x:v>
      </x:c>
      <x:c r="E32" s="105" t="n">
        <x:v>0.055</x:v>
      </x:c>
      <x:c r="F32" s="105" t="n">
        <x:v>0.09</x:v>
      </x:c>
      <x:c r="G32" s="105" t="n">
        <x:v>0.01</x:v>
      </x:c>
      <x:c r="H32" s="108" t="n">
        <x:v>1.4</x:v>
      </x:c>
      <x:c r="I32" s="111" t="n">
        <x:v>0.75</x:v>
      </x:c>
      <x:c r="J32" s="111" t="n">
        <x:v>0.35</x:v>
      </x:c>
      <x:c r="K32" s="123" t="str">
        <x:v>上游油气+炼化销售+天然气管销</x:v>
      </x:c>
      <x:c r="L32" s="123" t="str">
        <x:v>资源+全国网络+一体化，较强，趋势稳定</x:v>
      </x:c>
      <x:c r="M32" s="123" t="str">
        <x:v>现金流改善；资本开支规模大但更有纪律</x:v>
      </x:c>
      <x:c r="N32" s="123" t="str">
        <x:v>业务链完整、天然气占比高，盈利比纯上游更平滑</x:v>
      </x:c>
      <x:c r="O32" s="123" t="str">
        <x:v>当前油价显著高于中枢；炼化与政策定价影响回报</x:v>
      </x:c>
      <x:c r="P32" s="108" t="n">
        <x:v>0.35</x:v>
      </x:c>
      <x:c r="Q32" s="108" t="n">
        <x:v>1.02</x:v>
      </x:c>
      <x:c r="R32" s="108" t="n">
        <x:v>0.99</x:v>
      </x:c>
      <x:c r="S32" s="105" t="n">
        <x:v>0.7</x:v>
      </x:c>
      <x:c r="T32" s="105" t="n">
        <x:v>0.45</x:v>
      </x:c>
      <x:c r="U32" s="105" t="n">
        <x:v>0.11</x:v>
      </x:c>
      <x:c r="V32" s="102" t="n">
        <x:v>10.5</x:v>
      </x:c>
      <x:c r="W32" s="123" t="str">
        <x:v>油价敏感度需结合上游、炼化与天然气结构</x:v>
      </x:c>
    </x:row>
    <x:row r="33" ht="50" customHeight="1">
      <x:c r="A33" s="123" t="str">
        <x:v>中国石化</x:v>
      </x:c>
      <x:c r="B33" s="123" t="str">
        <x:v>石油</x:v>
      </x:c>
      <x:c r="C33" s="102" t="n">
        <x:v>9.5</x:v>
      </x:c>
      <x:c r="D33" s="102" t="n">
        <x:v>8</x:v>
      </x:c>
      <x:c r="E33" s="105" t="n">
        <x:v>0.06</x:v>
      </x:c>
      <x:c r="F33" s="105" t="n">
        <x:v>0.095</x:v>
      </x:c>
      <x:c r="G33" s="105" t="n">
        <x:v>0.005</x:v>
      </x:c>
      <x:c r="H33" s="108" t="n">
        <x:v>1.1</x:v>
      </x:c>
      <x:c r="I33" s="111" t="n">
        <x:v>0.7</x:v>
      </x:c>
      <x:c r="J33" s="111" t="n">
        <x:v>0.4</x:v>
      </x:c>
      <x:c r="K33" s="123" t="str">
        <x:v>炼化销售为主、上游为辅</x:v>
      </x:c>
      <x:c r="L33" s="123" t="str">
        <x:v>渠道+炼化规模，普通，承压</x:v>
      </x:c>
      <x:c r="M33" s="123" t="str">
        <x:v>分红传统较好；低回报项目需审视</x:v>
      </x:c>
      <x:c r="N33" s="123" t="str">
        <x:v>成品油销售网络和炼化规模大，股息具有参考价值</x:v>
      </x:c>
      <x:c r="O33" s="123" t="str">
        <x:v>炼化价差和化工景气低迷时回报偏低，资本消耗大</x:v>
      </x:c>
      <x:c r="P33" s="108" t="n">
        <x:v>-0.1</x:v>
      </x:c>
      <x:c r="Q33" s="108" t="n">
        <x:v>1</x:v>
      </x:c>
      <x:c r="R33" s="108" t="n">
        <x:v>0.95</x:v>
      </x:c>
      <x:c r="S33" s="105" t="n">
        <x:v>0.7</x:v>
      </x:c>
      <x:c r="T33" s="105" t="n">
        <x:v>0.65</x:v>
      </x:c>
      <x:c r="U33" s="105" t="n">
        <x:v>0.085</x:v>
      </x:c>
      <x:c r="V33" s="102" t="n">
        <x:v>9.5</x:v>
      </x:c>
      <x:c r="W33" s="123" t="str">
        <x:v>油价敏感度需结合上游、炼化与天然气结构</x:v>
      </x:c>
    </x:row>
    <x:row r="34" ht="50" customHeight="1">
      <x:c r="A34" s="128" t="str">
        <x:v>中国海油</x:v>
      </x:c>
      <x:c r="B34" s="128" t="str">
        <x:v>石油</x:v>
      </x:c>
      <x:c r="C34" s="103" t="n">
        <x:v>10</x:v>
      </x:c>
      <x:c r="D34" s="103" t="n">
        <x:v>9</x:v>
      </x:c>
      <x:c r="E34" s="106" t="n">
        <x:v>0.05</x:v>
      </x:c>
      <x:c r="F34" s="106" t="n">
        <x:v>0.09</x:v>
      </x:c>
      <x:c r="G34" s="106" t="n">
        <x:v>0.01</x:v>
      </x:c>
      <x:c r="H34" s="109" t="n">
        <x:v>1.8</x:v>
      </x:c>
      <x:c r="I34" s="112" t="n">
        <x:v>0.7</x:v>
      </x:c>
      <x:c r="J34" s="112" t="n">
        <x:v>0.35</x:v>
      </x:c>
      <x:c r="K34" s="128" t="str">
        <x:v>海上油气上游</x:v>
      </x:c>
      <x:c r="L34" s="128" t="str">
        <x:v>低成本海上资源+技术，较强，趋势稳定</x:v>
      </x:c>
      <x:c r="M34" s="128" t="str">
        <x:v>净现金与分红较好；投资纪律是核心</x:v>
      </x:c>
      <x:c r="N34" s="128" t="str">
        <x:v>桶油成本、资产负债表和现金回报在三桶油中较优</x:v>
      </x:c>
      <x:c r="O34" s="128" t="str">
        <x:v>对油价最敏感；储量接替、海外项目和事故风险需跟踪</x:v>
      </x:c>
      <x:c r="P34" s="109" t="n">
        <x:v>0.9</x:v>
      </x:c>
      <x:c r="Q34" s="109" t="n">
        <x:v>1.04</x:v>
      </x:c>
      <x:c r="R34" s="109" t="n">
        <x:v>1</x:v>
      </x:c>
      <x:c r="S34" s="106" t="n">
        <x:v>0.7</x:v>
      </x:c>
      <x:c r="T34" s="106" t="n">
        <x:v>0.45</x:v>
      </x:c>
      <x:c r="U34" s="106" t="n">
        <x:v>0.14</x:v>
      </x:c>
      <x:c r="V34" s="103" t="n">
        <x:v>10</x:v>
      </x:c>
      <x:c r="W34" s="128" t="str">
        <x:v>油价敏感度需结合上游、炼化与天然气结构</x:v>
      </x:c>
    </x:row>
    <x:row r="35">
      <x:c r="A35" s="302"/>
      <x:c r="B35" s="302"/>
      <x:c r="C35" s="302"/>
      <x:c r="D35" s="302"/>
      <x:c r="E35" s="302"/>
      <x:c r="F35" s="302"/>
      <x:c r="G35" s="302"/>
      <x:c r="H35" s="302"/>
      <x:c r="I35" s="302"/>
      <x:c r="J35" s="302"/>
      <x:c r="K35" s="302"/>
      <x:c r="L35" s="302"/>
      <x:c r="M35" s="302"/>
      <x:c r="N35" s="302"/>
      <x:c r="O35" s="302"/>
      <x:c r="P35" s="302"/>
      <x:c r="Q35" s="302"/>
      <x:c r="R35" s="302"/>
      <x:c r="S35" s="302"/>
      <x:c r="T35" s="302"/>
      <x:c r="U35" s="302"/>
      <x:c r="V35" s="302"/>
      <x:c r="W35" s="302"/>
    </x:row>
    <x:row r="36">
      <x:c r="A36" s="302"/>
      <x:c r="B36" s="302"/>
      <x:c r="C36" s="302"/>
      <x:c r="D36" s="302"/>
      <x:c r="E36" s="302"/>
      <x:c r="F36" s="302"/>
      <x:c r="G36" s="302"/>
      <x:c r="H36" s="302"/>
      <x:c r="I36" s="302"/>
      <x:c r="J36" s="302"/>
      <x:c r="K36" s="302"/>
      <x:c r="L36" s="302"/>
      <x:c r="M36" s="302"/>
      <x:c r="N36" s="302"/>
      <x:c r="O36" s="302"/>
      <x:c r="P36" s="302"/>
      <x:c r="Q36" s="302"/>
      <x:c r="R36" s="302"/>
      <x:c r="S36" s="302"/>
      <x:c r="T36" s="302"/>
      <x:c r="U36" s="302"/>
      <x:c r="V36" s="302"/>
      <x:c r="W36" s="302"/>
    </x:row>
    <x:row r="37">
      <x:c r="A37" s="139" t="str">
        <x:v>估值方法与周期处理</x:v>
      </x:c>
      <x:c r="B37" s="140"/>
      <x:c r="C37" s="140"/>
      <x:c r="D37" s="140"/>
      <x:c r="E37" s="140"/>
      <x:c r="F37" s="140"/>
      <x:c r="G37" s="140"/>
      <x:c r="H37" s="141"/>
      <x:c r="I37" s="302"/>
      <x:c r="J37" s="139" t="str">
        <x:v>宏观与方法来源</x:v>
      </x:c>
      <x:c r="K37" s="140"/>
      <x:c r="L37" s="140"/>
      <x:c r="M37" s="140"/>
      <x:c r="N37" s="140"/>
      <x:c r="O37" s="141"/>
      <x:c r="P37" s="302"/>
      <x:c r="Q37" s="302"/>
      <x:c r="R37" s="302"/>
      <x:c r="S37" s="302"/>
      <x:c r="T37" s="302"/>
      <x:c r="U37" s="302"/>
      <x:c r="V37" s="302"/>
      <x:c r="W37" s="302"/>
    </x:row>
    <x:row r="38" ht="32" customHeight="1">
      <x:c r="A38" s="92" t="str">
        <x:v>1</x:v>
      </x:c>
      <x:c r="B38" s="92" t="str">
        <x:v>实时前瞻</x:v>
      </x:c>
      <x:c r="C38" s="92" t="str">
        <x:v>2026E＝H1已实现＋H2商品价格、价格弹性、产量和其他经营因素；再与市场一致预期交叉验证。</x:v>
      </x:c>
      <x:c r="D38" s="92"/>
      <x:c r="E38" s="92"/>
      <x:c r="F38" s="92"/>
      <x:c r="G38" s="92"/>
      <x:c r="H38" s="92"/>
      <x:c r="I38" s="302"/>
      <x:c r="J38" s="92" t="str">
        <x:v>国家统计局煤价</x:v>
      </x:c>
      <x:c r="K38" s="92" t="str">
        <x:v>https://www.stats.gov.cn/zwfwck/sjfb/202610/t20261008_1965465.html</x:v>
      </x:c>
      <x:c r="L38" s="92"/>
      <x:c r="M38" s="92"/>
      <x:c r="N38" s="92"/>
      <x:c r="O38" s="92"/>
      <x:c r="P38" s="302"/>
      <x:c r="Q38" s="302"/>
      <x:c r="R38" s="302"/>
      <x:c r="S38" s="302"/>
      <x:c r="T38" s="302"/>
      <x:c r="U38" s="302"/>
      <x:c r="V38" s="302"/>
      <x:c r="W38" s="302"/>
    </x:row>
    <x:row r="39" ht="32" customHeight="1">
      <x:c r="A39" s="93" t="str">
        <x:v>2</x:v>
      </x:c>
      <x:c r="B39" s="93" t="str">
        <x:v>所有者收益</x:v>
      </x:c>
      <x:c r="C39" s="93" t="str">
        <x:v>采用经营现金流－维持性资本开支作为代理，并用历史周期数据估计OE/EPS转化率。</x:v>
      </x:c>
      <x:c r="D39" s="93"/>
      <x:c r="E39" s="93"/>
      <x:c r="F39" s="93"/>
      <x:c r="G39" s="93"/>
      <x:c r="H39" s="93"/>
      <x:c r="I39" s="302"/>
      <x:c r="J39" s="93" t="str">
        <x:v>发改委煤炭合理区间</x:v>
      </x:c>
      <x:c r="K39" s="93" t="str">
        <x:v>https://www.ndrc.gov.cn/fzggw/jgsj/jgs/sjdt/202204/t20220427_1323289.html</x:v>
      </x:c>
      <x:c r="L39" s="93"/>
      <x:c r="M39" s="93"/>
      <x:c r="N39" s="93"/>
      <x:c r="O39" s="93"/>
      <x:c r="P39" s="302"/>
      <x:c r="Q39" s="302"/>
      <x:c r="R39" s="302"/>
      <x:c r="S39" s="302"/>
      <x:c r="T39" s="302"/>
      <x:c r="U39" s="302"/>
      <x:c r="V39" s="302"/>
      <x:c r="W39" s="302"/>
    </x:row>
    <x:row r="40" ht="32" customHeight="1">
      <x:c r="A40" s="93" t="str">
        <x:v>3</x:v>
      </x:c>
      <x:c r="B40" s="93" t="str">
        <x:v>一美元测试</x:v>
      </x:c>
      <x:c r="C40" s="93" t="str">
        <x:v>留存现金按增量ROIC/股权成本计0.75—1.25倍效率系数；并购并不自动创造价值。</x:v>
      </x:c>
      <x:c r="D40" s="93"/>
      <x:c r="E40" s="93"/>
      <x:c r="F40" s="93"/>
      <x:c r="G40" s="93"/>
      <x:c r="H40" s="93"/>
      <x:c r="I40" s="302"/>
      <x:c r="J40" s="93" t="str">
        <x:v>EIA Brent现货</x:v>
      </x:c>
      <x:c r="K40" s="93" t="str">
        <x:v>https://www.eia.gov/dnav/pet/PET_PRI_SPT_S1_D.htm</x:v>
      </x:c>
      <x:c r="L40" s="93"/>
      <x:c r="M40" s="93"/>
      <x:c r="N40" s="93"/>
      <x:c r="O40" s="93"/>
      <x:c r="P40" s="302"/>
      <x:c r="Q40" s="302"/>
      <x:c r="R40" s="302"/>
      <x:c r="S40" s="302"/>
      <x:c r="T40" s="302"/>
      <x:c r="U40" s="302"/>
      <x:c r="V40" s="302"/>
      <x:c r="W40" s="302"/>
    </x:row>
    <x:row r="41" ht="32" customHeight="1">
      <x:c r="A41" s="93" t="str">
        <x:v>4</x:v>
      </x:c>
      <x:c r="B41" s="93" t="str">
        <x:v>条件中枢</x:v>
      </x:c>
      <x:c r="C41" s="93" t="str">
        <x:v>2027悲观、基准、高价延续三种商品价格分别估值，再按25%/50%/25%进行概率加权。</x:v>
      </x:c>
      <x:c r="D41" s="93"/>
      <x:c r="E41" s="93"/>
      <x:c r="F41" s="93"/>
      <x:c r="G41" s="93"/>
      <x:c r="H41" s="93"/>
      <x:c r="I41" s="302"/>
      <x:c r="J41" s="93" t="str">
        <x:v>EIA Brent月度历史</x:v>
      </x:c>
      <x:c r="K41" s="93" t="str">
        <x:v>https://www.eia.gov/dnav/pet/hist/LeafHandler.ashx?f=M&amp;n=PET&amp;s=RBRTE</x:v>
      </x:c>
      <x:c r="L41" s="93"/>
      <x:c r="M41" s="93"/>
      <x:c r="N41" s="93"/>
      <x:c r="O41" s="93"/>
      <x:c r="P41" s="302"/>
      <x:c r="Q41" s="302"/>
      <x:c r="R41" s="302"/>
      <x:c r="S41" s="302"/>
      <x:c r="T41" s="302"/>
      <x:c r="U41" s="302"/>
      <x:c r="V41" s="302"/>
      <x:c r="W41" s="302"/>
    </x:row>
    <x:row r="42" ht="32" customHeight="1">
      <x:c r="A42" s="93" t="str">
        <x:v>5</x:v>
      </x:c>
      <x:c r="B42" s="93" t="str">
        <x:v>四法交叉</x:v>
      </x:c>
      <x:c r="C42" s="93" t="str">
        <x:v>前瞻PE、股东现金回报、股息回报、PB-ROE分别占35%、30%、20%、15%。</x:v>
      </x:c>
      <x:c r="D42" s="93"/>
      <x:c r="E42" s="93"/>
      <x:c r="F42" s="93"/>
      <x:c r="G42" s="93"/>
      <x:c r="H42" s="93"/>
      <x:c r="I42" s="302"/>
      <x:c r="J42" s="93" t="str">
        <x:v>EIA短期油价预测</x:v>
      </x:c>
      <x:c r="K42" s="93" t="str">
        <x:v>https://www.eia.gov/outlooks/steo/report/global_oil.php?intent_instrument=sso</x:v>
      </x:c>
      <x:c r="L42" s="93"/>
      <x:c r="M42" s="93"/>
      <x:c r="N42" s="93"/>
      <x:c r="O42" s="93"/>
      <x:c r="P42" s="302"/>
      <x:c r="Q42" s="302"/>
      <x:c r="R42" s="302"/>
      <x:c r="S42" s="302"/>
      <x:c r="T42" s="302"/>
      <x:c r="U42" s="302"/>
      <x:c r="V42" s="302"/>
      <x:c r="W42" s="302"/>
    </x:row>
    <x:row r="43" ht="32" customHeight="1">
      <x:c r="A43" s="93" t="str">
        <x:v>6</x:v>
      </x:c>
      <x:c r="B43" s="93" t="str">
        <x:v>安全边际</x:v>
      </x:c>
      <x:c r="C43" s="93" t="str">
        <x:v>大买线＝概率加权中枢×（1－公司安全边际）；周期与资本配置越不确定，折价越高。</x:v>
      </x:c>
      <x:c r="D43" s="93"/>
      <x:c r="E43" s="93"/>
      <x:c r="F43" s="93"/>
      <x:c r="G43" s="93"/>
      <x:c r="H43" s="93"/>
      <x:c r="I43" s="302"/>
      <x:c r="J43" s="93" t="str">
        <x:v>公司财务原始数据</x:v>
      </x:c>
      <x:c r="K43" s="93" t="str">
        <x:v>https://data.eastmoney.com/bbsj/</x:v>
      </x:c>
      <x:c r="L43" s="93"/>
      <x:c r="M43" s="93"/>
      <x:c r="N43" s="93"/>
      <x:c r="O43" s="93"/>
      <x:c r="P43" s="302"/>
      <x:c r="Q43" s="302"/>
      <x:c r="R43" s="302"/>
      <x:c r="S43" s="302"/>
      <x:c r="T43" s="302"/>
      <x:c r="U43" s="302"/>
      <x:c r="V43" s="302"/>
      <x:c r="W43" s="302"/>
    </x:row>
    <x:row r="44" ht="32" customHeight="1">
      <x:c r="A44" s="94" t="str">
        <x:v>7</x:v>
      </x:c>
      <x:c r="B44" s="94" t="str">
        <x:v>研究重点</x:v>
      </x:c>
      <x:c r="C44" s="94" t="str">
        <x:v>煤企看成本曲线、资源寿命、长协、产销量与资本开支；油企看油价、桶油成本、储量接替、炼化价差和分红。</x:v>
      </x:c>
      <x:c r="D44" s="94"/>
      <x:c r="E44" s="94"/>
      <x:c r="F44" s="94"/>
      <x:c r="G44" s="94"/>
      <x:c r="H44" s="94"/>
      <x:c r="I44" s="302"/>
      <x:c r="J44" s="93" t="str">
        <x:v>市场一致预期</x:v>
      </x:c>
      <x:c r="K44" s="93" t="str">
        <x:v>https://data.eastmoney.com/report/profitforecast.jshtml</x:v>
      </x:c>
      <x:c r="L44" s="93"/>
      <x:c r="M44" s="93"/>
      <x:c r="N44" s="93"/>
      <x:c r="O44" s="93"/>
      <x:c r="P44" s="302"/>
      <x:c r="Q44" s="302"/>
      <x:c r="R44" s="302"/>
      <x:c r="S44" s="302"/>
      <x:c r="T44" s="302"/>
      <x:c r="U44" s="302"/>
      <x:c r="V44" s="302"/>
      <x:c r="W44" s="302"/>
    </x:row>
    <x:row r="45" ht="32" customHeight="1">
      <x:c r="A45" s="302"/>
      <x:c r="B45" s="302"/>
      <x:c r="C45" s="302"/>
      <x:c r="D45" s="302"/>
      <x:c r="E45" s="302"/>
      <x:c r="F45" s="302"/>
      <x:c r="G45" s="302"/>
      <x:c r="H45" s="302"/>
      <x:c r="I45" s="302"/>
      <x:c r="J45" s="93" t="str">
        <x:v>巴菲特框架</x:v>
      </x:c>
      <x:c r="K45" s="93" t="str">
        <x:v>能力圈、所有者收益、一美元测试、资本配置与安全边际</x:v>
      </x:c>
      <x:c r="L45" s="93"/>
      <x:c r="M45" s="93"/>
      <x:c r="N45" s="93"/>
      <x:c r="O45" s="93"/>
      <x:c r="P45" s="302"/>
      <x:c r="Q45" s="302"/>
      <x:c r="R45" s="302"/>
      <x:c r="S45" s="302"/>
      <x:c r="T45" s="302"/>
      <x:c r="U45" s="302"/>
      <x:c r="V45" s="302"/>
      <x:c r="W45" s="302"/>
    </x:row>
    <x:row r="46" ht="32" customHeight="1">
      <x:c r="A46" s="302"/>
      <x:c r="B46" s="302"/>
      <x:c r="C46" s="302"/>
      <x:c r="D46" s="302"/>
      <x:c r="E46" s="302"/>
      <x:c r="F46" s="302"/>
      <x:c r="G46" s="302"/>
      <x:c r="H46" s="302"/>
      <x:c r="I46" s="302"/>
      <x:c r="J46" s="94" t="str">
        <x:v>数据限制</x:v>
      </x:c>
      <x:c r="K46" s="94" t="str">
        <x:v>模型预测不等于公司指引；单位成本、长协占比、检修、税费和并购需按季更新。</x:v>
      </x:c>
      <x:c r="L46" s="94"/>
      <x:c r="M46" s="94"/>
      <x:c r="N46" s="94"/>
      <x:c r="O46" s="94"/>
      <x:c r="P46" s="302"/>
      <x:c r="Q46" s="302"/>
      <x:c r="R46" s="302"/>
      <x:c r="S46" s="302"/>
      <x:c r="T46" s="302"/>
      <x:c r="U46" s="302"/>
      <x:c r="V46" s="302"/>
      <x:c r="W46" s="302"/>
    </x:row>
  </x:sheetData>
  <x:mergeCells>
    <x:mergeCell ref="A2:W2"/>
    <x:mergeCell ref="I18:M19"/>
    <x:mergeCell ref="A24:W24"/>
    <x:mergeCell ref="A37:H37"/>
    <x:mergeCell ref="C38:H38"/>
    <x:mergeCell ref="C39:H39"/>
    <x:mergeCell ref="C40:H40"/>
    <x:mergeCell ref="C41:H41"/>
    <x:mergeCell ref="C42:H42"/>
    <x:mergeCell ref="C43:H43"/>
    <x:mergeCell ref="C44:H44"/>
    <x:mergeCell ref="J37:O37"/>
    <x:mergeCell ref="K38:O38"/>
    <x:mergeCell ref="K39:O39"/>
    <x:mergeCell ref="K40:O40"/>
    <x:mergeCell ref="K41:O41"/>
    <x:mergeCell ref="K42:O42"/>
    <x:mergeCell ref="K43:O43"/>
    <x:mergeCell ref="K44:O44"/>
    <x:mergeCell ref="K45:O45"/>
    <x:mergeCell ref="K46:O46"/>
  </x:mergeCells>
  <x:dataValidations count="1">
    <x:dataValidation type="whole" operator="between" sqref="B3:B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9" hidden="0" customWidth="1"/>
    <x:col min="5" max="5" width="12" hidden="0" customWidth="1"/>
    <x:col min="6" max="6" width="10" hidden="0" customWidth="1"/>
    <x:col min="7" max="7" width="12" hidden="0" customWidth="1"/>
    <x:col min="8" max="8" width="9" hidden="0" customWidth="1"/>
    <x:col min="9" max="9" width="13" hidden="0" customWidth="1"/>
    <x:col min="10" max="10" width="13" hidden="0" customWidth="1"/>
    <x:col min="11" max="11" width="10" hidden="0" customWidth="1"/>
    <x:col min="12" max="12" width="11" hidden="0" customWidth="1"/>
    <x:col min="13" max="13" width="13" hidden="0" customWidth="1"/>
    <x:col min="14" max="14" width="13" hidden="0" customWidth="1"/>
    <x:col min="15" max="15" width="12" hidden="0" customWidth="1"/>
    <x:col min="16" max="16" width="10" hidden="0" customWidth="1"/>
    <x:col min="17" max="17" width="13" hidden="0" customWidth="1"/>
    <x:col min="18" max="18" width="13" hidden="0" customWidth="1"/>
    <x:col min="19" max="19" width="11" hidden="0" customWidth="1"/>
    <x:col min="20" max="20" width="13" hidden="0" customWidth="1"/>
    <x:col min="21" max="21" width="12" hidden="0" customWidth="1"/>
    <x:col min="22" max="22" width="10" hidden="0" customWidth="1"/>
    <x:col min="23" max="23" width="12" hidden="0" customWidth="1"/>
    <x:col min="24" max="24" width="11" hidden="0" customWidth="1"/>
    <x:col min="25" max="25" width="10" hidden="0" customWidth="1"/>
    <x:col min="26" max="26" width="10" hidden="0" customWidth="1"/>
    <x:col min="27" max="27" width="13" hidden="0" customWidth="1"/>
    <x:col min="28" max="28" width="12" hidden="0" customWidth="1"/>
    <x:col min="29" max="29" width="13" hidden="0" customWidth="1"/>
    <x:col min="30" max="30" width="15" hidden="0" customWidth="1"/>
    <x:col min="31" max="31" width="14" hidden="0" customWidth="1"/>
    <x:col min="32" max="32" width="13" hidden="0" customWidth="1"/>
    <x:col min="33" max="33" width="13" hidden="0" customWidth="1"/>
    <x:col min="34" max="34" width="14" hidden="0" customWidth="1"/>
    <x:col min="35" max="35" width="11" hidden="0" customWidth="1"/>
    <x:col min="36" max="36" width="11" hidden="0" customWidth="1"/>
    <x:col min="37" max="37" width="11" hidden="0" customWidth="1"/>
    <x:col min="38" max="38" width="12" hidden="0" customWidth="1"/>
    <x:col min="39" max="39" width="12" hidden="0" customWidth="1"/>
    <x:col min="40" max="40" width="14" hidden="0" customWidth="1"/>
    <x:col min="41" max="41" width="14" hidden="0" customWidth="1"/>
    <x:col min="42" max="42" width="11" hidden="0" customWidth="1"/>
    <x:col min="43" max="43" width="13" hidden="0" customWidth="1"/>
    <x:col min="44" max="44" width="16" hidden="0" customWidth="1"/>
    <x:col min="45" max="45" width="38" hidden="0" customWidth="1"/>
  </x:cols>
  <x:sheetData>
    <x:row r="1">
      <x:c r="A1" s="302"/>
      <x:c r="B1" s="302"/>
      <x:c r="C1" s="302"/>
      <x:c r="D1" s="302"/>
      <x:c r="E1" s="302"/>
      <x:c r="F1" s="302"/>
      <x:c r="G1" s="302"/>
      <x:c r="H1" s="302"/>
      <x:c r="I1" s="302"/>
      <x:c r="J1" s="302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  <x:c r="V1" s="302"/>
      <x:c r="W1" s="302"/>
      <x:c r="X1" s="302"/>
      <x:c r="Y1" s="302"/>
      <x:c r="Z1" s="302"/>
      <x:c r="AA1" s="302"/>
      <x:c r="AB1" s="302"/>
      <x:c r="AC1" s="302"/>
      <x:c r="AD1" s="302"/>
      <x:c r="AE1" s="302"/>
      <x:c r="AF1" s="302"/>
      <x:c r="AG1" s="302"/>
      <x:c r="AH1" s="302"/>
      <x:c r="AI1" s="302"/>
      <x:c r="AJ1" s="302"/>
      <x:c r="AK1" s="302"/>
      <x:c r="AL1" s="302"/>
      <x:c r="AM1" s="302"/>
      <x:c r="AN1" s="302"/>
      <x:c r="AO1" s="302"/>
      <x:c r="AP1" s="302"/>
      <x:c r="AQ1" s="302"/>
      <x:c r="AR1" s="302"/>
      <x:c r="AS1" s="302"/>
    </x:row>
    <x:row r="2" ht="26" customHeight="1">
      <x:c r="A2" s="3" t="str">
        <x:v>2026E实时盈利、股息与条件估值</x:v>
      </x:c>
      <x:c r="B2" s="3" t="str">
        <x:v>2026E实时盈利、股息与条件估值</x:v>
      </x:c>
      <x:c r="C2" s="3" t="str">
        <x:v>2026E实时盈利、股息与条件估值</x:v>
      </x:c>
      <x:c r="D2" s="3" t="str">
        <x:v>2026E实时盈利、股息与条件估值</x:v>
      </x:c>
      <x:c r="E2" s="3" t="str">
        <x:v>2026E实时盈利、股息与条件估值</x:v>
      </x:c>
      <x:c r="F2" s="3" t="str">
        <x:v>2026E实时盈利、股息与条件估值</x:v>
      </x:c>
      <x:c r="G2" s="3" t="str">
        <x:v>2026E实时盈利、股息与条件估值</x:v>
      </x:c>
      <x:c r="H2" s="3" t="str">
        <x:v>2026E实时盈利、股息与条件估值</x:v>
      </x:c>
      <x:c r="I2" s="3" t="str">
        <x:v>2026E实时盈利、股息与条件估值</x:v>
      </x:c>
      <x:c r="J2" s="3" t="str">
        <x:v>2026E实时盈利、股息与条件估值</x:v>
      </x:c>
      <x:c r="K2" s="3" t="str">
        <x:v>2026E实时盈利、股息与条件估值</x:v>
      </x:c>
      <x:c r="L2" s="3" t="str">
        <x:v>2026E实时盈利、股息与条件估值</x:v>
      </x:c>
      <x:c r="M2" s="3" t="str">
        <x:v>2026E实时盈利、股息与条件估值</x:v>
      </x:c>
      <x:c r="N2" s="3" t="str">
        <x:v>2026E实时盈利、股息与条件估值</x:v>
      </x:c>
      <x:c r="O2" s="3" t="str">
        <x:v>2026E实时盈利、股息与条件估值</x:v>
      </x:c>
      <x:c r="P2" s="3" t="str">
        <x:v>2026E实时盈利、股息与条件估值</x:v>
      </x:c>
      <x:c r="Q2" s="3" t="str">
        <x:v>2026E实时盈利、股息与条件估值</x:v>
      </x:c>
      <x:c r="R2" s="3" t="str">
        <x:v>2026E实时盈利、股息与条件估值</x:v>
      </x:c>
      <x:c r="S2" s="3" t="str">
        <x:v>2026E实时盈利、股息与条件估值</x:v>
      </x:c>
      <x:c r="T2" s="3" t="str">
        <x:v>2026E实时盈利、股息与条件估值</x:v>
      </x:c>
      <x:c r="U2" s="3" t="str">
        <x:v>2026E实时盈利、股息与条件估值</x:v>
      </x:c>
      <x:c r="V2" s="3" t="str">
        <x:v>2026E实时盈利、股息与条件估值</x:v>
      </x:c>
      <x:c r="W2" s="3" t="str">
        <x:v>2026E实时盈利、股息与条件估值</x:v>
      </x:c>
      <x:c r="X2" s="3" t="str">
        <x:v>2026E实时盈利、股息与条件估值</x:v>
      </x:c>
      <x:c r="Y2" s="3" t="str">
        <x:v>2026E实时盈利、股息与条件估值</x:v>
      </x:c>
      <x:c r="Z2" s="3" t="str">
        <x:v>2026E实时盈利、股息与条件估值</x:v>
      </x:c>
      <x:c r="AA2" s="3" t="str">
        <x:v>2026E实时盈利、股息与条件估值</x:v>
      </x:c>
      <x:c r="AB2" s="3" t="str">
        <x:v>2026E实时盈利、股息与条件估值</x:v>
      </x:c>
      <x:c r="AC2" s="3" t="str">
        <x:v>2026E实时盈利、股息与条件估值</x:v>
      </x:c>
      <x:c r="AD2" s="3" t="str">
        <x:v>2026E实时盈利、股息与条件估值</x:v>
      </x:c>
      <x:c r="AE2" s="3" t="str">
        <x:v>2026E实时盈利、股息与条件估值</x:v>
      </x:c>
      <x:c r="AF2" s="3" t="str">
        <x:v>2026E实时盈利、股息与条件估值</x:v>
      </x:c>
      <x:c r="AG2" s="3" t="str">
        <x:v>2026E实时盈利、股息与条件估值</x:v>
      </x:c>
      <x:c r="AH2" s="3" t="str">
        <x:v>2026E实时盈利、股息与条件估值</x:v>
      </x:c>
      <x:c r="AI2" s="3" t="str">
        <x:v>2026E实时盈利、股息与条件估值</x:v>
      </x:c>
      <x:c r="AJ2" s="3" t="str">
        <x:v>2026E实时盈利、股息与条件估值</x:v>
      </x:c>
      <x:c r="AK2" s="3" t="str">
        <x:v>2026E实时盈利、股息与条件估值</x:v>
      </x:c>
      <x:c r="AL2" s="3" t="str">
        <x:v>2026E实时盈利、股息与条件估值</x:v>
      </x:c>
      <x:c r="AM2" s="3" t="str">
        <x:v>2026E实时盈利、股息与条件估值</x:v>
      </x:c>
      <x:c r="AN2" s="3" t="str">
        <x:v>2026E实时盈利、股息与条件估值</x:v>
      </x:c>
      <x:c r="AO2" s="3" t="str">
        <x:v>2026E实时盈利、股息与条件估值</x:v>
      </x:c>
      <x:c r="AP2" s="3" t="str">
        <x:v>2026E实时盈利、股息与条件估值</x:v>
      </x:c>
      <x:c r="AQ2" s="3" t="str">
        <x:v>2026E实时盈利、股息与条件估值</x:v>
      </x:c>
      <x:c r="AR2" s="3" t="str">
        <x:v>2026E实时盈利、股息与条件估值</x:v>
      </x:c>
      <x:c r="AS2" s="3" t="str">
        <x:v>2026E实时盈利、股息与条件估值</x:v>
      </x:c>
    </x:row>
    <x:row r="3">
      <x:c r="A3" s="70" t="str">
        <x:v>以2026H1实际业绩为锚，H2由商品价格×价格弹性×产量×其他经营因素推演；再与市场一致预期交叉验证。2027价值按悲观/基准/高价延续三个条件计算。</x:v>
      </x:c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  <x:c r="S3" s="70"/>
      <x:c r="T3" s="70"/>
      <x:c r="U3" s="70"/>
      <x:c r="V3" s="70"/>
      <x:c r="W3" s="70"/>
      <x:c r="X3" s="70"/>
      <x:c r="Y3" s="70"/>
      <x:c r="Z3" s="70"/>
      <x:c r="AA3" s="70"/>
      <x:c r="AB3" s="70"/>
      <x:c r="AC3" s="70"/>
      <x:c r="AD3" s="70"/>
      <x:c r="AE3" s="70"/>
      <x:c r="AF3" s="70"/>
      <x:c r="AG3" s="70"/>
      <x:c r="AH3" s="70"/>
      <x:c r="AI3" s="70"/>
      <x:c r="AJ3" s="70"/>
      <x:c r="AK3" s="70"/>
      <x:c r="AL3" s="70"/>
      <x:c r="AM3" s="70"/>
      <x:c r="AN3" s="70"/>
      <x:c r="AO3" s="70"/>
      <x:c r="AP3" s="70"/>
      <x:c r="AQ3" s="70"/>
      <x:c r="AR3" s="70"/>
      <x:c r="AS3" s="70"/>
    </x:row>
    <x:row r="4">
      <x:c r="A4" s="302"/>
      <x:c r="B4" s="302"/>
      <x:c r="C4" s="302"/>
      <x:c r="D4" s="302"/>
      <x:c r="E4" s="302"/>
      <x:c r="F4" s="302"/>
      <x:c r="G4" s="302"/>
      <x:c r="H4" s="302"/>
      <x:c r="I4" s="302"/>
      <x:c r="J4" s="302"/>
      <x:c r="K4" s="302"/>
      <x:c r="L4" s="302"/>
      <x:c r="M4" s="302"/>
      <x:c r="N4" s="302"/>
      <x:c r="O4" s="302"/>
      <x:c r="P4" s="302"/>
      <x:c r="Q4" s="302"/>
      <x:c r="R4" s="302"/>
      <x:c r="S4" s="302"/>
      <x:c r="T4" s="302"/>
      <x:c r="U4" s="302"/>
      <x:c r="V4" s="302"/>
      <x:c r="W4" s="302"/>
      <x:c r="X4" s="302"/>
      <x:c r="Y4" s="302"/>
      <x:c r="Z4" s="302"/>
      <x:c r="AA4" s="302"/>
      <x:c r="AB4" s="302"/>
      <x:c r="AC4" s="302"/>
      <x:c r="AD4" s="302"/>
      <x:c r="AE4" s="302"/>
      <x:c r="AF4" s="302"/>
      <x:c r="AG4" s="302"/>
      <x:c r="AH4" s="302"/>
      <x:c r="AI4" s="302"/>
      <x:c r="AJ4" s="302"/>
      <x:c r="AK4" s="302"/>
      <x:c r="AL4" s="302"/>
      <x:c r="AM4" s="302"/>
      <x:c r="AN4" s="302"/>
      <x:c r="AO4" s="302"/>
      <x:c r="AP4" s="302"/>
      <x:c r="AQ4" s="302"/>
      <x:c r="AR4" s="302"/>
      <x:c r="AS4" s="302"/>
    </x:row>
    <x:row r="5" ht="34" customHeight="1">
      <x:c r="A5" s="19" t="str">
        <x:v>行业</x:v>
      </x:c>
      <x:c r="B5" s="19" t="str">
        <x:v>代码</x:v>
      </x:c>
      <x:c r="C5" s="19" t="str">
        <x:v>公司</x:v>
      </x:c>
      <x:c r="D5" s="19" t="str">
        <x:v>当前价</x:v>
      </x:c>
      <x:c r="E5" s="19" t="str">
        <x:v>2026H1净利</x:v>
      </x:c>
      <x:c r="F5" s="19" t="str">
        <x:v>H1 EPS</x:v>
      </x:c>
      <x:c r="G5" s="19" t="str">
        <x:v>一致预期EPS</x:v>
      </x:c>
      <x:c r="H5" s="19" t="str">
        <x:v>研报数</x:v>
      </x:c>
      <x:c r="I5" s="19" t="str">
        <x:v>H1商品均价</x:v>
      </x:c>
      <x:c r="J5" s="19" t="str">
        <x:v>H2选择均价</x:v>
      </x:c>
      <x:c r="K5" s="19" t="str">
        <x:v>价格弹性</x:v>
      </x:c>
      <x:c r="L5" s="19" t="str">
        <x:v>产量系数</x:v>
      </x:c>
      <x:c r="M5" s="19" t="str">
        <x:v>其他经营系数</x:v>
      </x:c>
      <x:c r="N5" s="19" t="str">
        <x:v>H2/H1盈利系数</x:v>
      </x:c>
      <x:c r="O5" s="19" t="str">
        <x:v>模型全年EPS</x:v>
      </x:c>
      <x:c r="P5" s="19" t="str">
        <x:v>模型权重</x:v>
      </x:c>
      <x:c r="Q5" s="19" t="str">
        <x:v>选定2026E EPS</x:v>
      </x:c>
      <x:c r="R5" s="19" t="str">
        <x:v>选定2026E净利</x:v>
      </x:c>
      <x:c r="S5" s="19" t="str">
        <x:v>预计派息率</x:v>
      </x:c>
      <x:c r="T5" s="19" t="str">
        <x:v>中期已宣DPS</x:v>
      </x:c>
      <x:c r="U5" s="19" t="str">
        <x:v>预计全年DPS</x:v>
      </x:c>
      <x:c r="V5" s="19" t="str">
        <x:v>前瞻PE</x:v>
      </x:c>
      <x:c r="W5" s="19" t="str">
        <x:v>前瞻股息率</x:v>
      </x:c>
      <x:c r="X5" s="19" t="str">
        <x:v>2026E BPS</x:v>
      </x:c>
      <x:c r="Y5" s="19" t="str">
        <x:v>前瞻PB</x:v>
      </x:c>
      <x:c r="Z5" s="19" t="str">
        <x:v>OE/EPS</x:v>
      </x:c>
      <x:c r="AA5" s="19" t="str">
        <x:v>所有者收益/股</x:v>
      </x:c>
      <x:c r="AB5" s="19" t="str">
        <x:v>留存OE/股</x:v>
      </x:c>
      <x:c r="AC5" s="19" t="str">
        <x:v>资本效率系数</x:v>
      </x:c>
      <x:c r="AD5" s="19" t="str">
        <x:v>等价股东现金/股</x:v>
      </x:c>
      <x:c r="AE5" s="19" t="str">
        <x:v>股东现金回报率</x:v>
      </x:c>
      <x:c r="AF5" s="19" t="str">
        <x:v>2027悲观商品价</x:v>
      </x:c>
      <x:c r="AG5" s="19" t="str">
        <x:v>2027基准商品价</x:v>
      </x:c>
      <x:c r="AH5" s="19" t="str">
        <x:v>2027高价延续</x:v>
      </x:c>
      <x:c r="AI5" s="19" t="str">
        <x:v>悲观EPS</x:v>
      </x:c>
      <x:c r="AJ5" s="19" t="str">
        <x:v>基准EPS</x:v>
      </x:c>
      <x:c r="AK5" s="19" t="str">
        <x:v>高价EPS</x:v>
      </x:c>
      <x:c r="AL5" s="19" t="str">
        <x:v>悲观价值</x:v>
      </x:c>
      <x:c r="AM5" s="19" t="str">
        <x:v>基准价值</x:v>
      </x:c>
      <x:c r="AN5" s="19" t="str">
        <x:v>高价延续价值</x:v>
      </x:c>
      <x:c r="AO5" s="19" t="str">
        <x:v>概率加权中枢</x:v>
      </x:c>
      <x:c r="AP5" s="19" t="str">
        <x:v>大买线</x:v>
      </x:c>
      <x:c r="AQ5" s="19" t="str">
        <x:v>中枢潜在回报</x:v>
      </x:c>
      <x:c r="AR5" s="19" t="str">
        <x:v>结论</x:v>
      </x:c>
      <x:c r="AS5" s="19" t="str">
        <x:v>中枢成立条件</x:v>
      </x:c>
    </x:row>
    <x:row r="6" ht="46" customHeight="1">
      <x:c r="A6" s="253" t="str">
        <x:f>'原始数据'!A5</x:f>
        <x:v>煤炭</x:v>
      </x:c>
      <x:c r="B6" s="253" t="str">
        <x:f>'原始数据'!B5</x:f>
        <x:v>601088</x:v>
      </x:c>
      <x:c r="C6" s="253" t="str">
        <x:f>'原始数据'!C5</x:f>
        <x:v>中国神华</x:v>
      </x:c>
      <x:c r="D6" s="254" t="n">
        <x:f>'原始数据'!E5</x:f>
        <x:v>48.4</x:v>
      </x:c>
      <x:c r="E6" s="254" t="n">
        <x:f>'原始数据'!I5</x:f>
        <x:v>287.15</x:v>
      </x:c>
      <x:c r="F6" s="254" t="n">
        <x:f>E6/'原始数据'!G5</x:f>
        <x:v>1.3239165022715385</x:v>
      </x:c>
      <x:c r="G6" s="254" t="n">
        <x:f>'原始数据'!V5</x:f>
        <x:v>2.834285714286</x:v>
      </x:c>
      <x:c r="H6" s="255" t="n">
        <x:f>'原始数据'!U5</x:f>
        <x:v>21</x:v>
      </x:c>
      <x:c r="I6" s="254" t="n">
        <x:f>'参数设置'!C16</x:f>
        <x:v>771</x:v>
      </x:c>
      <x:c r="J6" s="254" t="n">
        <x:f>'参数设置'!G16</x:f>
        <x:v>920</x:v>
      </x:c>
      <x:c r="K6" s="256" t="n">
        <x:f>VLOOKUP(C6,'参数设置'!$A$27:$W$34,16,FALSE)</x:f>
        <x:v>0.55</x:v>
      </x:c>
      <x:c r="L6" s="256" t="n">
        <x:f>VLOOKUP(C6,'参数设置'!$A$27:$W$34,17,FALSE)</x:f>
        <x:v>1.03</x:v>
      </x:c>
      <x:c r="M6" s="256" t="n">
        <x:f>VLOOKUP(C6,'参数设置'!$A$27:$W$34,18,FALSE)</x:f>
        <x:v>0.99</x:v>
      </x:c>
      <x:c r="N6" s="257" t="n">
        <x:f>(1+K6*(J6/I6-1))*L6*M6</x:f>
        <x:v>1.1280844552529186</x:v>
      </x:c>
      <x:c r="O6" s="258" t="n">
        <x:f>F6*(1+N6)</x:f>
        <x:v>2.817406128536876</x:v>
      </x:c>
      <x:c r="P6" s="259" t="n">
        <x:f>VLOOKUP(C6,'参数设置'!$A$27:$W$34,19,FALSE)</x:f>
        <x:v>0.7</x:v>
      </x:c>
      <x:c r="Q6" s="258" t="n">
        <x:f>IF(G6&gt;0,O6*P6+G6*(1-P6),O6)</x:f>
        <x:v>2.8224700042616133</x:v>
      </x:c>
      <x:c r="R6" s="258" t="n">
        <x:f>Q6*'原始数据'!G5</x:f>
        <x:v>612.1777773244286</x:v>
      </x:c>
      <x:c r="S6" s="259" t="n">
        <x:f>VLOOKUP(C6,'参数设置'!$A$27:$W$34,20,FALSE)</x:f>
        <x:v>0.7</x:v>
      </x:c>
      <x:c r="T6" s="258" t="n">
        <x:f>'原始数据'!Y5</x:f>
        <x:v>0.9800000000000001</x:v>
      </x:c>
      <x:c r="U6" s="258" t="n">
        <x:f>MAX(T6,Q6*S6)</x:f>
        <x:v>1.9757290029831291</x:v>
      </x:c>
      <x:c r="V6" s="260" t="n">
        <x:f>D6/Q6</x:f>
        <x:v>17.14810075108732</x:v>
      </x:c>
      <x:c r="W6" s="261" t="n">
        <x:f>U6/D6</x:f>
        <x:v>0.040820847169072916</x:v>
      </x:c>
      <x:c r="X6" s="258" t="n">
        <x:f>'原始数据'!L5+(Q6-F6)-T6</x:f>
        <x:v>25.87795164445626</x:v>
      </x:c>
      <x:c r="Y6" s="257" t="n">
        <x:f>D6/X6</x:f>
        <x:v>1.8703180477720909</x:v>
      </x:c>
      <x:c r="Z6" s="257" t="n">
        <x:f>MAX(0.4,MIN(1.3,'估值模型'!N6/'估值模型'!K6))</x:f>
        <x:v>1.2845228802378372</x:v>
      </x:c>
      <x:c r="AA6" s="258" t="n">
        <x:f>Q6*Z6</x:f>
        <x:v>3.625527299259028</x:v>
      </x:c>
      <x:c r="AB6" s="258" t="n">
        <x:f>MAX(0,AA6-U6)</x:f>
        <x:v>1.649798296275899</x:v>
      </x:c>
      <x:c r="AC6" s="258" t="n">
        <x:f>MIN(1.25,MAX(0.75,VLOOKUP(C6,'参数设置'!$A$27:$W$34,21,FALSE)/VLOOKUP(C6,'参数设置'!$A$27:$W$34,6,FALSE)))</x:f>
        <x:v>1.2222222222222223</x:v>
      </x:c>
      <x:c r="AD6" s="258" t="n">
        <x:f>U6+AB6*AC6</x:f>
        <x:v>3.9921491428758946</x:v>
      </x:c>
      <x:c r="AE6" s="261" t="n">
        <x:f>AD6/D6</x:f>
        <x:v>0.0824824203073532</x:v>
      </x:c>
      <x:c r="AF6" s="258" t="n">
        <x:f>'参数设置'!D18</x:f>
        <x:v>650</x:v>
      </x:c>
      <x:c r="AG6" s="258" t="n">
        <x:f>'参数设置'!E18</x:f>
        <x:v>780</x:v>
      </x:c>
      <x:c r="AH6" s="258" t="n">
        <x:f>'参数设置'!F18</x:f>
        <x:v>950</x:v>
      </x:c>
      <x:c r="AI6" s="258" t="n">
        <x:f>MAX(0.01,Q6*(1+K6*(AF6/AVERAGE(I6,J6)-1)))</x:f>
        <x:v>2.4635272636250316</x:v>
      </x:c>
      <x:c r="AJ6" s="258" t="n">
        <x:f>MAX(0.01,Q6*(1+K6*(AG6/AVERAGE(I6,J6)-1)))</x:f>
        <x:v>2.7022104159664924</x:v>
      </x:c>
      <x:c r="AK6" s="258" t="n">
        <x:f>MAX(0.01,Q6*(1+K6*(AH6/AVERAGE(I6,J6)-1)))</x:f>
        <x:v>3.0143345382591726</x:v>
      </x:c>
      <x:c r="AL6" s="258" t="n">
        <x:f>AI6*(VLOOKUP(C6,'参数设置'!$A$27:$W$34,22,FALSE)+1)*'参数设置'!$B$21+(((AI6*S6)+MAX(0,AI6*Z6-AI6*S6)*AC6)/VLOOKUP(C6,'参数设置'!$A$27:$W$34,6,FALSE))*'参数设置'!$C$21+(AI6*S6/VLOOKUP(C6,'参数设置'!$A$27:$W$34,5,FALSE))*'参数设置'!$D$21+((X6+(AI6-Q6)*(1-S6)))*'估值模型'!AD6*'参数设置'!$E$21</x:f>
        <x:v>35.17567211180506</x:v>
      </x:c>
      <x:c r="AM6" s="258" t="n">
        <x:f>AJ6*(VLOOKUP(C6,'参数设置'!$A$27:$W$34,22,FALSE)+0)*'参数设置'!$B$21+(((AJ6*S6)+MAX(0,AJ6*Z6-AJ6*S6)*AC6)/VLOOKUP(C6,'参数设置'!$A$27:$W$34,6,FALSE))*'参数设置'!$C$21+(AJ6*S6/VLOOKUP(C6,'参数设置'!$A$27:$W$34,5,FALSE))*'参数设置'!$D$21+((X6+(AJ6-Q6)*(1-S6)))*'估值模型'!AD6*'参数设置'!$E$21</x:f>
        <x:v>37.06568536511222</x:v>
      </x:c>
      <x:c r="AN6" s="258" t="n">
        <x:f>AK6*(VLOOKUP(C6,'参数设置'!$A$27:$W$34,22,FALSE)+-1)*'参数设置'!$B$21+(((AK6*S6)+MAX(0,AK6*Z6-AK6*S6)*AC6)/VLOOKUP(C6,'参数设置'!$A$27:$W$34,6,FALSE))*'参数设置'!$C$21+(AK6*S6/VLOOKUP(C6,'参数设置'!$A$27:$W$34,5,FALSE))*'参数设置'!$D$21+((X6+(AK6-Q6)*(1-S6)))*'估值模型'!AD6*'参数设置'!$E$21</x:f>
        <x:v>39.60976154785927</x:v>
      </x:c>
      <x:c r="AO6" s="258" t="n">
        <x:f>AL6*'参数设置'!$J$16+AM6*'参数设置'!$K$16+AN6*'参数设置'!$L$16</x:f>
        <x:v>37.2292010974722</x:v>
      </x:c>
      <x:c r="AP6" s="258" t="n">
        <x:f>AO6*(1-VLOOKUP(C6,'参数设置'!$A$27:$W$34,10,FALSE))</x:f>
        <x:v>26.06044076823054</x:v>
      </x:c>
      <x:c r="AQ6" s="261" t="n">
        <x:f>AO6/D6-1</x:f>
        <x:v>-0.23080163021751654</x:v>
      </x:c>
      <x:c r="AR6" s="113" t="str">
        <x:f>IF(D6&lt;=AP6,"达到安全边际",IF(D6&lt;=AL6,"低于悲观价值",IF(D6&lt;=AO6,"合理偏低",IF(D6&lt;=AN6,"合理偏高","高价已充分反映"))))</x:f>
        <x:v>高价已充分反映</x:v>
      </x:c>
      <x:c r="AS6" s="113" t="str">
        <x:f>IF(A6="煤炭","基准：2027动力煤约780元/吨；高价延续：约950元/吨","基准：2027 Brent约85美元/桶；高价延续：约105美元/桶")</x:f>
        <x:v>基准：2027动力煤约780元/吨；高价延续：约950元/吨</x:v>
      </x:c>
    </x:row>
    <x:row r="7" ht="46" customHeight="1">
      <x:c r="A7" s="262" t="str">
        <x:f>'原始数据'!A6</x:f>
        <x:v>煤炭</x:v>
      </x:c>
      <x:c r="B7" s="262" t="str">
        <x:f>'原始数据'!B6</x:f>
        <x:v>601225</x:v>
      </x:c>
      <x:c r="C7" s="262" t="str">
        <x:f>'原始数据'!C6</x:f>
        <x:v>陕西煤业</x:v>
      </x:c>
      <x:c r="D7" s="263" t="n">
        <x:f>'原始数据'!E6</x:f>
        <x:v>26.97</x:v>
      </x:c>
      <x:c r="E7" s="263" t="n">
        <x:f>'原始数据'!I6</x:f>
        <x:v>112.72422101469999</x:v>
      </x:c>
      <x:c r="F7" s="263" t="n">
        <x:f>E7/'原始数据'!G6</x:f>
        <x:v>1.1627047036070137</x:v>
      </x:c>
      <x:c r="G7" s="263" t="n">
        <x:f>'原始数据'!V6</x:f>
        <x:v>2.208947368421</x:v>
      </x:c>
      <x:c r="H7" s="264" t="n">
        <x:f>'原始数据'!U6</x:f>
        <x:v>19</x:v>
      </x:c>
      <x:c r="I7" s="263" t="n">
        <x:f>'参数设置'!C16</x:f>
        <x:v>771</x:v>
      </x:c>
      <x:c r="J7" s="263" t="n">
        <x:f>'参数设置'!G16</x:f>
        <x:v>920</x:v>
      </x:c>
      <x:c r="K7" s="265" t="n">
        <x:f>VLOOKUP(C7,'参数设置'!$A$27:$W$34,16,FALSE)</x:f>
        <x:v>0.9</x:v>
      </x:c>
      <x:c r="L7" s="265" t="n">
        <x:f>VLOOKUP(C7,'参数设置'!$A$27:$W$34,17,FALSE)</x:f>
        <x:v>1.01</x:v>
      </x:c>
      <x:c r="M7" s="265" t="n">
        <x:f>VLOOKUP(C7,'参数设置'!$A$27:$W$34,18,FALSE)</x:f>
        <x:v>0.99</x:v>
      </x:c>
      <x:c r="N7" s="266" t="n">
        <x:f>(1+K7*(J7/I7-1))*L7*M7</x:f>
        <x:v>1.1738125680933853</x:v>
      </x:c>
      <x:c r="O7" s="267" t="n">
        <x:f>F7*(1+N7)</x:f>
        <x:v>2.527502097682221</x:v>
      </x:c>
      <x:c r="P7" s="268" t="n">
        <x:f>VLOOKUP(C7,'参数设置'!$A$27:$W$34,19,FALSE)</x:f>
        <x:v>0.7</x:v>
      </x:c>
      <x:c r="Q7" s="267" t="n">
        <x:f>IF(G7&gt;0,O7*P7+G7*(1-P7),O7)</x:f>
        <x:v>2.4319356789038546</x:v>
      </x:c>
      <x:c r="R7" s="267" t="n">
        <x:f>Q7*'原始数据'!G6</x:f>
        <x:v>235.7761640697287</x:v>
      </x:c>
      <x:c r="S7" s="268" t="n">
        <x:f>VLOOKUP(C7,'参数设置'!$A$27:$W$34,20,FALSE)</x:f>
        <x:v>0.6</x:v>
      </x:c>
      <x:c r="T7" s="267" t="n">
        <x:f>'原始数据'!Y6</x:f>
        <x:v>0.057999999999999996</x:v>
      </x:c>
      <x:c r="U7" s="267" t="n">
        <x:f>MAX(T7,Q7*S7)</x:f>
        <x:v>1.4591614073423127</x:v>
      </x:c>
      <x:c r="V7" s="269" t="n">
        <x:f>D7/Q7</x:f>
        <x:v>11.089931462396315</x:v>
      </x:c>
      <x:c r="W7" s="270" t="n">
        <x:f>U7/D7</x:f>
        <x:v>0.054103129675280415</x:v>
      </x:c>
      <x:c r="X7" s="267" t="n">
        <x:f>'原始数据'!L6+(Q7-F7)-T7</x:f>
        <x:v>16.54513680686363</x:v>
      </x:c>
      <x:c r="Y7" s="266" t="n">
        <x:f>D7/X7</x:f>
        <x:v>1.6300862491999273</x:v>
      </x:c>
      <x:c r="Z7" s="266" t="n">
        <x:f>MAX(0.4,MIN(1.3,'估值模型'!N7/'估值模型'!K7))</x:f>
        <x:v>1.3</x:v>
      </x:c>
      <x:c r="AA7" s="267" t="n">
        <x:f>Q7*Z7</x:f>
        <x:v>3.161516382575011</x:v>
      </x:c>
      <x:c r="AB7" s="267" t="n">
        <x:f>MAX(0,AA7-U7)</x:f>
        <x:v>1.7023549752326983</x:v>
      </x:c>
      <x:c r="AC7" s="267" t="n">
        <x:f>MIN(1.25,MAX(0.75,VLOOKUP(C7,'参数设置'!$A$27:$W$34,21,FALSE)/VLOOKUP(C7,'参数设置'!$A$27:$W$34,6,FALSE)))</x:f>
        <x:v>1.25</x:v>
      </x:c>
      <x:c r="AD7" s="267" t="n">
        <x:f>U7+AB7*AC7</x:f>
        <x:v>3.5871051263831855</x:v>
      </x:c>
      <x:c r="AE7" s="270" t="n">
        <x:f>AD7/D7</x:f>
        <x:v>0.1330035271183977</x:v>
      </x:c>
      <x:c r="AF7" s="267" t="n">
        <x:f>'参数设置'!D18</x:f>
        <x:v>650</x:v>
      </x:c>
      <x:c r="AG7" s="267" t="n">
        <x:f>'参数设置'!E18</x:f>
        <x:v>780</x:v>
      </x:c>
      <x:c r="AH7" s="267" t="n">
        <x:f>'参数设置'!F18</x:f>
        <x:v>950</x:v>
      </x:c>
      <x:c r="AI7" s="267" t="n">
        <x:f>MAX(0.01,Q7*(1+K7*(AF7/AVERAGE(I7,J7)-1)))</x:f>
        <x:v>1.925845693447754</x:v>
      </x:c>
      <x:c r="AJ7" s="267" t="n">
        <x:f>MAX(0.01,Q7*(1+K7*(AG7/AVERAGE(I7,J7)-1)))</x:f>
        <x:v>2.2623761185592275</x:v>
      </x:c>
      <x:c r="AK7" s="267" t="n">
        <x:f>MAX(0.01,Q7*(1+K7*(AH7/AVERAGE(I7,J7)-1)))</x:f>
        <x:v>2.7024543667819243</x:v>
      </x:c>
      <x:c r="AL7" s="267" t="n">
        <x:f>AI7*(VLOOKUP(C7,'参数设置'!$A$27:$W$34,22,FALSE)+1)*'参数设置'!$B$21+(((AI7*S7)+MAX(0,AI7*Z7-AI7*S7)*AC7)/VLOOKUP(C7,'参数设置'!$A$27:$W$34,6,FALSE))*'参数设置'!$C$21+(AI7*S7/VLOOKUP(C7,'参数设置'!$A$27:$W$34,5,FALSE))*'参数设置'!$D$21+((X7+(AI7-Q7)*(1-S7)))*'估值模型'!AD7*'参数设置'!$E$21</x:f>
        <x:v>25.476417066307402</x:v>
      </x:c>
      <x:c r="AM7" s="267" t="n">
        <x:f>AJ7*(VLOOKUP(C7,'参数设置'!$A$27:$W$34,22,FALSE)+0)*'参数设置'!$B$21+(((AJ7*S7)+MAX(0,AJ7*Z7-AJ7*S7)*AC7)/VLOOKUP(C7,'参数设置'!$A$27:$W$34,6,FALSE))*'参数设置'!$C$21+(AJ7*S7/VLOOKUP(C7,'参数设置'!$A$27:$W$34,5,FALSE))*'参数设置'!$D$21+((X7+(AJ7-Q7)*(1-S7)))*'估值模型'!AD7*'参数设置'!$E$21</x:f>
        <x:v>28.320088183035647</x:v>
      </x:c>
      <x:c r="AN7" s="267" t="n">
        <x:f>AK7*(VLOOKUP(C7,'参数设置'!$A$27:$W$34,22,FALSE)+-1)*'参数设置'!$B$21+(((AK7*S7)+MAX(0,AK7*Z7-AK7*S7)*AC7)/VLOOKUP(C7,'参数设置'!$A$27:$W$34,6,FALSE))*'参数设置'!$C$21+(AK7*S7/VLOOKUP(C7,'参数设置'!$A$27:$W$34,5,FALSE))*'参数设置'!$D$21+((X7+(AK7-Q7)*(1-S7)))*'估值模型'!AD7*'参数设置'!$E$21</x:f>
        <x:v>31.974320759307698</x:v>
      </x:c>
      <x:c r="AO7" s="267" t="n">
        <x:f>AL7*'参数设置'!$J$16+AM7*'参数设置'!$K$16+AN7*'参数设置'!$L$16</x:f>
        <x:v>28.5227285479216</x:v>
      </x:c>
      <x:c r="AP7" s="267" t="n">
        <x:f>AO7*(1-VLOOKUP(C7,'参数设置'!$A$27:$W$34,10,FALSE))</x:f>
        <x:v>18.53977355614904</x:v>
      </x:c>
      <x:c r="AQ7" s="270" t="n">
        <x:f>AO7/D7-1</x:f>
        <x:v>0.057572434109069315</x:v>
      </x:c>
      <x:c r="AR7" s="118" t="str">
        <x:f>IF(D7&lt;=AP7,"达到安全边际",IF(D7&lt;=AL7,"低于悲观价值",IF(D7&lt;=AO7,"合理偏低",IF(D7&lt;=AN7,"合理偏高","高价已充分反映"))))</x:f>
        <x:v>合理偏低</x:v>
      </x:c>
      <x:c r="AS7" s="118" t="str">
        <x:f>IF(A7="煤炭","基准：2027动力煤约780元/吨；高价延续：约950元/吨","基准：2027 Brent约85美元/桶；高价延续：约105美元/桶")</x:f>
        <x:v>基准：2027动力煤约780元/吨；高价延续：约950元/吨</x:v>
      </x:c>
    </x:row>
    <x:row r="8" ht="46" customHeight="1">
      <x:c r="A8" s="262" t="str">
        <x:f>'原始数据'!A7</x:f>
        <x:v>煤炭</x:v>
      </x:c>
      <x:c r="B8" s="262" t="str">
        <x:f>'原始数据'!B7</x:f>
        <x:v>600188</x:v>
      </x:c>
      <x:c r="C8" s="262" t="str">
        <x:f>'原始数据'!C7</x:f>
        <x:v>兖矿能源</x:v>
      </x:c>
      <x:c r="D8" s="263" t="n">
        <x:f>'原始数据'!E7</x:f>
        <x:v>20.48</x:v>
      </x:c>
      <x:c r="E8" s="263" t="n">
        <x:f>'原始数据'!I7</x:f>
        <x:v>71.49644</x:v>
      </x:c>
      <x:c r="F8" s="263" t="n">
        <x:f>E8/'原始数据'!G7</x:f>
        <x:v>0.7123392858391471</x:v>
      </x:c>
      <x:c r="G8" s="263" t="n">
        <x:f>'原始数据'!V7</x:f>
        <x:v>1.722</x:v>
      </x:c>
      <x:c r="H8" s="264" t="n">
        <x:f>'原始数据'!U7</x:f>
        <x:v>20</x:v>
      </x:c>
      <x:c r="I8" s="263" t="n">
        <x:f>'参数设置'!C16</x:f>
        <x:v>771</x:v>
      </x:c>
      <x:c r="J8" s="263" t="n">
        <x:f>'参数设置'!G16</x:f>
        <x:v>920</x:v>
      </x:c>
      <x:c r="K8" s="265" t="n">
        <x:f>VLOOKUP(C8,'参数设置'!$A$27:$W$34,16,FALSE)</x:f>
        <x:v>1.05</x:v>
      </x:c>
      <x:c r="L8" s="265" t="n">
        <x:f>VLOOKUP(C8,'参数设置'!$A$27:$W$34,17,FALSE)</x:f>
        <x:v>1.02</x:v>
      </x:c>
      <x:c r="M8" s="265" t="n">
        <x:f>VLOOKUP(C8,'参数设置'!$A$27:$W$34,18,FALSE)</x:f>
        <x:v>0.98</x:v>
      </x:c>
      <x:c r="N8" s="266" t="n">
        <x:f>(1+K8*(J8/I8-1))*L8*M8</x:f>
        <x:v>1.2024371206225681</x:v>
      </x:c>
      <x:c r="O8" s="267" t="n">
        <x:f>F8*(1+N8)</x:f>
        <x:v>1.5688824856099075</x:v>
      </x:c>
      <x:c r="P8" s="268" t="n">
        <x:f>VLOOKUP(C8,'参数设置'!$A$27:$W$34,19,FALSE)</x:f>
        <x:v>0.7</x:v>
      </x:c>
      <x:c r="Q8" s="267" t="n">
        <x:f>IF(G8&gt;0,O8*P8+G8*(1-P8),O8)</x:f>
        <x:v>1.6148177399269352</x:v>
      </x:c>
      <x:c r="R8" s="267" t="n">
        <x:f>Q8*'原始数据'!G7</x:f>
        <x:v>162.07686694917496</x:v>
      </x:c>
      <x:c r="S8" s="268" t="n">
        <x:f>VLOOKUP(C8,'参数设置'!$A$27:$W$34,20,FALSE)</x:f>
        <x:v>0.5</x:v>
      </x:c>
      <x:c r="T8" s="267" t="n">
        <x:f>'原始数据'!Y7</x:f>
        <x:v>0.2</x:v>
      </x:c>
      <x:c r="U8" s="267" t="n">
        <x:f>MAX(T8,Q8*S8)</x:f>
        <x:v>0.8074088699634676</x:v>
      </x:c>
      <x:c r="V8" s="269" t="n">
        <x:f>D8/Q8</x:f>
        <x:v>12.682545833888751</x:v>
      </x:c>
      <x:c r="W8" s="270" t="n">
        <x:f>U8/D8</x:f>
        <x:v>0.03942426122868494</x:v>
      </x:c>
      <x:c r="X8" s="267" t="n">
        <x:f>'原始数据'!L7+(Q8-F8)-T8</x:f>
        <x:v>18.79117345907801</x:v>
      </x:c>
      <x:c r="Y8" s="266" t="n">
        <x:f>D8/X8</x:f>
        <x:v>1.0898733942613956</x:v>
      </x:c>
      <x:c r="Z8" s="266" t="n">
        <x:f>MAX(0.4,MIN(1.3,'估值模型'!N8/'估值模型'!K8))</x:f>
        <x:v>1.0967735786880286</x:v>
      </x:c>
      <x:c r="AA8" s="267" t="n">
        <x:f>Q8*Z8</x:f>
        <x:v>1.771089431548579</x:v>
      </x:c>
      <x:c r="AB8" s="267" t="n">
        <x:f>MAX(0,AA8-U8)</x:f>
        <x:v>0.9636805615851114</x:v>
      </x:c>
      <x:c r="AC8" s="267" t="n">
        <x:f>MIN(1.25,MAX(0.75,VLOOKUP(C8,'参数设置'!$A$27:$W$34,21,FALSE)/VLOOKUP(C8,'参数设置'!$A$27:$W$34,6,FALSE)))</x:f>
        <x:v>1</x:v>
      </x:c>
      <x:c r="AD8" s="267" t="n">
        <x:f>U8+AB8*AC8</x:f>
        <x:v>1.771089431548579</x:v>
      </x:c>
      <x:c r="AE8" s="270" t="n">
        <x:f>AD8/D8</x:f>
        <x:v>0.08647897614983295</x:v>
      </x:c>
      <x:c r="AF8" s="267" t="n">
        <x:f>'参数设置'!D18</x:f>
        <x:v>650</x:v>
      </x:c>
      <x:c r="AG8" s="267" t="n">
        <x:f>'参数设置'!E18</x:f>
        <x:v>780</x:v>
      </x:c>
      <x:c r="AH8" s="267" t="n">
        <x:f>'参数设置'!F18</x:f>
        <x:v>950</x:v>
      </x:c>
      <x:c r="AI8" s="267" t="n">
        <x:f>MAX(0.01,Q8*(1+K8*(AF8/AVERAGE(I8,J8)-1)))</x:f>
        <x:v>1.2227636753929298</x:v>
      </x:c>
      <x:c r="AJ8" s="267" t="n">
        <x:f>MAX(0.01,Q8*(1+K8*(AG8/AVERAGE(I8,J8)-1)))</x:f>
        <x:v>1.4834645878707853</x:v>
      </x:c>
      <x:c r="AK8" s="267" t="n">
        <x:f>MAX(0.01,Q8*(1+K8*(AH8/AVERAGE(I8,J8)-1)))</x:f>
        <x:v>1.8243811657264422</x:v>
      </x:c>
      <x:c r="AL8" s="267" t="n">
        <x:f>AI8*(VLOOKUP(C8,'参数设置'!$A$27:$W$34,22,FALSE)+1)*'参数设置'!$B$21+(((AI8*S8)+MAX(0,AI8*Z8-AI8*S8)*AC8)/VLOOKUP(C8,'参数设置'!$A$27:$W$34,6,FALSE))*'参数设置'!$C$21+(AI8*S8/VLOOKUP(C8,'参数设置'!$A$27:$W$34,5,FALSE))*'参数设置'!$D$21+((X8+(AI8-Q8)*(1-S8)))*'估值模型'!AD8*'参数设置'!$E$21</x:f>
        <x:v>14.860951211174843</x:v>
      </x:c>
      <x:c r="AM8" s="267" t="n">
        <x:f>AJ8*(VLOOKUP(C8,'参数设置'!$A$27:$W$34,22,FALSE)+0)*'参数设置'!$B$21+(((AJ8*S8)+MAX(0,AJ8*Z8-AJ8*S8)*AC8)/VLOOKUP(C8,'参数设置'!$A$27:$W$34,6,FALSE))*'参数设置'!$C$21+(AJ8*S8/VLOOKUP(C8,'参数设置'!$A$27:$W$34,5,FALSE))*'参数设置'!$D$21+((X8+(AJ8-Q8)*(1-S8)))*'估值模型'!AD8*'参数设置'!$E$21</x:f>
        <x:v>16.589966513399254</x:v>
      </x:c>
      <x:c r="AN8" s="267" t="n">
        <x:f>AK8*(VLOOKUP(C8,'参数设置'!$A$27:$W$34,22,FALSE)+-1)*'参数设置'!$B$21+(((AK8*S8)+MAX(0,AK8*Z8-AK8*S8)*AC8)/VLOOKUP(C8,'参数设置'!$A$27:$W$34,6,FALSE))*'参数设置'!$C$21+(AK8*S8/VLOOKUP(C8,'参数设置'!$A$27:$W$34,5,FALSE))*'参数设置'!$D$21+((X8+(AK8-Q8)*(1-S8)))*'估值模型'!AD8*'参数设置'!$E$21</x:f>
        <x:v>18.772102644349065</x:v>
      </x:c>
      <x:c r="AO8" s="267" t="n">
        <x:f>AL8*'参数设置'!$J$16+AM8*'参数设置'!$K$16+AN8*'参数设置'!$L$16</x:f>
        <x:v>16.703246720580605</x:v>
      </x:c>
      <x:c r="AP8" s="267" t="n">
        <x:f>AO8*(1-VLOOKUP(C8,'参数设置'!$A$27:$W$34,10,FALSE))</x:f>
        <x:v>10.021948032348362</x:v>
      </x:c>
      <x:c r="AQ8" s="270" t="n">
        <x:f>AO8/D8-1</x:f>
        <x:v>-0.18441178122165014</x:v>
      </x:c>
      <x:c r="AR8" s="118" t="str">
        <x:f>IF(D8&lt;=AP8,"达到安全边际",IF(D8&lt;=AL8,"低于悲观价值",IF(D8&lt;=AO8,"合理偏低",IF(D8&lt;=AN8,"合理偏高","高价已充分反映"))))</x:f>
        <x:v>高价已充分反映</x:v>
      </x:c>
      <x:c r="AS8" s="118" t="str">
        <x:f>IF(A8="煤炭","基准：2027动力煤约780元/吨；高价延续：约950元/吨","基准：2027 Brent约85美元/桶；高价延续：约105美元/桶")</x:f>
        <x:v>基准：2027动力煤约780元/吨；高价延续：约950元/吨</x:v>
      </x:c>
    </x:row>
    <x:row r="9" ht="46" customHeight="1">
      <x:c r="A9" s="262" t="str">
        <x:f>'原始数据'!A8</x:f>
        <x:v>煤炭</x:v>
      </x:c>
      <x:c r="B9" s="262" t="str">
        <x:f>'原始数据'!B8</x:f>
        <x:v>601898</x:v>
      </x:c>
      <x:c r="C9" s="262" t="str">
        <x:f>'原始数据'!C8</x:f>
        <x:v>中煤能源</x:v>
      </x:c>
      <x:c r="D9" s="263" t="n">
        <x:f>'原始数据'!E8</x:f>
        <x:v>14.39</x:v>
      </x:c>
      <x:c r="E9" s="263" t="n">
        <x:f>'原始数据'!I8</x:f>
        <x:v>81.49301</x:v>
      </x:c>
      <x:c r="F9" s="263" t="n">
        <x:f>E9/'原始数据'!G8</x:f>
        <x:v>0.6146397079512554</x:v>
      </x:c>
      <x:c r="G9" s="263" t="n">
        <x:f>'原始数据'!V8</x:f>
        <x:v>1.472272727273</x:v>
      </x:c>
      <x:c r="H9" s="264" t="n">
        <x:f>'原始数据'!U8</x:f>
        <x:v>23</x:v>
      </x:c>
      <x:c r="I9" s="263" t="n">
        <x:f>'参数设置'!C16</x:f>
        <x:v>771</x:v>
      </x:c>
      <x:c r="J9" s="263" t="n">
        <x:f>'参数设置'!G16</x:f>
        <x:v>920</x:v>
      </x:c>
      <x:c r="K9" s="265" t="n">
        <x:f>VLOOKUP(C9,'参数设置'!$A$27:$W$34,16,FALSE)</x:f>
        <x:v>0.85</x:v>
      </x:c>
      <x:c r="L9" s="265" t="n">
        <x:f>VLOOKUP(C9,'参数设置'!$A$27:$W$34,17,FALSE)</x:f>
        <x:v>1.02</x:v>
      </x:c>
      <x:c r="M9" s="265" t="n">
        <x:f>VLOOKUP(C9,'参数设置'!$A$27:$W$34,18,FALSE)</x:f>
        <x:v>0.99</x:v>
      </x:c>
      <x:c r="N9" s="266" t="n">
        <x:f>(1+K9*(J9/I9-1))*L9*M9</x:f>
        <x:v>1.1756770038910505</x:v>
      </x:c>
      <x:c r="O9" s="267" t="n">
        <x:f>F9*(1+N9)</x:f>
        <x:v>1.3372574782678577</x:v>
      </x:c>
      <x:c r="P9" s="268" t="n">
        <x:f>VLOOKUP(C9,'参数设置'!$A$27:$W$34,19,FALSE)</x:f>
        <x:v>0.7</x:v>
      </x:c>
      <x:c r="Q9" s="267" t="n">
        <x:f>IF(G9&gt;0,O9*P9+G9*(1-P9),O9)</x:f>
        <x:v>1.3777620529694006</x:v>
      </x:c>
      <x:c r="R9" s="267" t="n">
        <x:f>Q9*'原始数据'!G8</x:f>
        <x:v>182.67283305614254</x:v>
      </x:c>
      <x:c r="S9" s="268" t="n">
        <x:f>VLOOKUP(C9,'参数设置'!$A$27:$W$34,20,FALSE)</x:f>
        <x:v>0.45</x:v>
      </x:c>
      <x:c r="T9" s="267" t="n">
        <x:f>'原始数据'!Y8</x:f>
        <x:v>0.184</x:v>
      </x:c>
      <x:c r="U9" s="267" t="n">
        <x:f>MAX(T9,Q9*S9)</x:f>
        <x:v>0.6199929238362303</x:v>
      </x:c>
      <x:c r="V9" s="269" t="n">
        <x:f>D9/Q9</x:f>
        <x:v>10.44447404324003</x:v>
      </x:c>
      <x:c r="W9" s="270" t="n">
        <x:f>U9/D9</x:f>
        <x:v>0.04308498428326826</x:v>
      </x:c>
      <x:c r="X9" s="267" t="n">
        <x:f>'原始数据'!L8+(Q9-F9)-T9</x:f>
        <x:v>16.15283296504942</x:v>
      </x:c>
      <x:c r="Y9" s="266" t="n">
        <x:f>D9/X9</x:f>
        <x:v>0.8908653999664494</x:v>
      </x:c>
      <x:c r="Z9" s="266" t="n">
        <x:f>MAX(0.4,MIN(1.3,'估值模型'!N9/'估值模型'!K9))</x:f>
        <x:v>1.3</x:v>
      </x:c>
      <x:c r="AA9" s="267" t="n">
        <x:f>Q9*Z9</x:f>
        <x:v>1.7910906688602208</x:v>
      </x:c>
      <x:c r="AB9" s="267" t="n">
        <x:f>MAX(0,AA9-U9)</x:f>
        <x:v>1.1710977450239906</x:v>
      </x:c>
      <x:c r="AC9" s="267" t="n">
        <x:f>MIN(1.25,MAX(0.75,VLOOKUP(C9,'参数设置'!$A$27:$W$34,21,FALSE)/VLOOKUP(C9,'参数设置'!$A$27:$W$34,6,FALSE)))</x:f>
        <x:v>1</x:v>
      </x:c>
      <x:c r="AD9" s="267" t="n">
        <x:f>U9+AB9*AC9</x:f>
        <x:v>1.7910906688602208</x:v>
      </x:c>
      <x:c r="AE9" s="270" t="n">
        <x:f>AD9/D9</x:f>
        <x:v>0.12446773237388609</x:v>
      </x:c>
      <x:c r="AF9" s="267" t="n">
        <x:f>'参数设置'!D18</x:f>
        <x:v>650</x:v>
      </x:c>
      <x:c r="AG9" s="267" t="n">
        <x:f>'参数设置'!E18</x:f>
        <x:v>780</x:v>
      </x:c>
      <x:c r="AH9" s="267" t="n">
        <x:f>'参数设置'!F18</x:f>
        <x:v>950</x:v>
      </x:c>
      <x:c r="AI9" s="267" t="n">
        <x:f>MAX(0.01,Q9*(1+K9*(AF9/AVERAGE(I9,J9)-1)))</x:f>
        <x:v>1.1069759983837233</x:v>
      </x:c>
      <x:c r="AJ9" s="267" t="n">
        <x:f>MAX(0.01,Q9*(1+K9*(AG9/AVERAGE(I9,J9)-1)))</x:f>
        <x:v>1.287038336471386</x:v>
      </x:c>
      <x:c r="AK9" s="267" t="n">
        <x:f>MAX(0.01,Q9*(1+K9*(AH9/AVERAGE(I9,J9)-1)))</x:f>
        <x:v>1.522504470893714</x:v>
      </x:c>
      <x:c r="AL9" s="267" t="n">
        <x:f>AI9*(VLOOKUP(C9,'参数设置'!$A$27:$W$34,22,FALSE)+1)*'参数设置'!$B$21+(((AI9*S9)+MAX(0,AI9*Z9-AI9*S9)*AC9)/VLOOKUP(C9,'参数设置'!$A$27:$W$34,6,FALSE))*'参数设置'!$C$21+(AI9*S9/VLOOKUP(C9,'参数设置'!$A$27:$W$34,5,FALSE))*'参数设置'!$D$21+((X9+(AI9-Q9)*(1-S9)))*'估值模型'!AD9*'参数设置'!$E$21</x:f>
        <x:v>12.979664979157358</x:v>
      </x:c>
      <x:c r="AM9" s="267" t="n">
        <x:f>AJ9*(VLOOKUP(C9,'参数设置'!$A$27:$W$34,22,FALSE)+0)*'参数设置'!$B$21+(((AJ9*S9)+MAX(0,AJ9*Z9-AJ9*S9)*AC9)/VLOOKUP(C9,'参数设置'!$A$27:$W$34,6,FALSE))*'参数设置'!$C$21+(AJ9*S9/VLOOKUP(C9,'参数设置'!$A$27:$W$34,5,FALSE))*'参数设置'!$D$21+((X9+(AJ9-Q9)*(1-S9)))*'估值模型'!AD9*'参数设置'!$E$21</x:f>
        <x:v>14.227302586392993</x:v>
      </x:c>
      <x:c r="AN9" s="267" t="n">
        <x:f>AK9*(VLOOKUP(C9,'参数设置'!$A$27:$W$34,22,FALSE)+-1)*'参数设置'!$B$21+(((AK9*S9)+MAX(0,AK9*Z9-AK9*S9)*AC9)/VLOOKUP(C9,'参数设置'!$A$27:$W$34,6,FALSE))*'参数设置'!$C$21+(AK9*S9/VLOOKUP(C9,'参数设置'!$A$27:$W$34,5,FALSE))*'参数设置'!$D$21+((X9+(AK9-Q9)*(1-S9)))*'估值模型'!AD9*'参数设置'!$E$21</x:f>
        <x:v>15.832606522610112</x:v>
      </x:c>
      <x:c r="AO9" s="267" t="n">
        <x:f>AL9*'参数设置'!$J$16+AM9*'参数设置'!$K$16+AN9*'参数设置'!$L$16</x:f>
        <x:v>14.316719168638365</x:v>
      </x:c>
      <x:c r="AP9" s="267" t="n">
        <x:f>AO9*(1-VLOOKUP(C9,'参数设置'!$A$27:$W$34,10,FALSE))</x:f>
        <x:v>9.305867459614937</x:v>
      </x:c>
      <x:c r="AQ9" s="270" t="n">
        <x:f>AO9/D9-1</x:f>
        <x:v>-0.005092483068911413</x:v>
      </x:c>
      <x:c r="AR9" s="118" t="str">
        <x:f>IF(D9&lt;=AP9,"达到安全边际",IF(D9&lt;=AL9,"低于悲观价值",IF(D9&lt;=AO9,"合理偏低",IF(D9&lt;=AN9,"合理偏高","高价已充分反映"))))</x:f>
        <x:v>合理偏高</x:v>
      </x:c>
      <x:c r="AS9" s="118" t="str">
        <x:f>IF(A9="煤炭","基准：2027动力煤约780元/吨；高价延续：约950元/吨","基准：2027 Brent约85美元/桶；高价延续：约105美元/桶")</x:f>
        <x:v>基准：2027动力煤约780元/吨；高价延续：约950元/吨</x:v>
      </x:c>
    </x:row>
    <x:row r="10" ht="46" customHeight="1">
      <x:c r="A10" s="262" t="str">
        <x:f>'原始数据'!A9</x:f>
        <x:v>煤炭</x:v>
      </x:c>
      <x:c r="B10" s="262" t="str">
        <x:f>'原始数据'!B9</x:f>
        <x:v>601699</x:v>
      </x:c>
      <x:c r="C10" s="262" t="str">
        <x:f>'原始数据'!C9</x:f>
        <x:v>潞安环能</x:v>
      </x:c>
      <x:c r="D10" s="263" t="n">
        <x:f>'原始数据'!E9</x:f>
        <x:v>15.52</x:v>
      </x:c>
      <x:c r="E10" s="263" t="n">
        <x:f>'原始数据'!I9</x:f>
        <x:v>17.7788913844</x:v>
      </x:c>
      <x:c r="F10" s="263" t="n">
        <x:f>E10/'原始数据'!G9</x:f>
        <x:v>0.5943316409002153</x:v>
      </x:c>
      <x:c r="G10" s="263" t="n">
        <x:f>'原始数据'!V9</x:f>
        <x:v>1.228666666667</x:v>
      </x:c>
      <x:c r="H10" s="264" t="n">
        <x:f>'原始数据'!U9</x:f>
        <x:v>15</x:v>
      </x:c>
      <x:c r="I10" s="263" t="n">
        <x:f>'参数设置'!C16</x:f>
        <x:v>771</x:v>
      </x:c>
      <x:c r="J10" s="263" t="n">
        <x:f>'参数设置'!G16</x:f>
        <x:v>920</x:v>
      </x:c>
      <x:c r="K10" s="265" t="n">
        <x:f>VLOOKUP(C10,'参数设置'!$A$27:$W$34,16,FALSE)</x:f>
        <x:v>1.1</x:v>
      </x:c>
      <x:c r="L10" s="265" t="n">
        <x:f>VLOOKUP(C10,'参数设置'!$A$27:$W$34,17,FALSE)</x:f>
        <x:v>0.98</x:v>
      </x:c>
      <x:c r="M10" s="265" t="n">
        <x:f>VLOOKUP(C10,'参数设置'!$A$27:$W$34,18,FALSE)</x:f>
        <x:v>0.98</x:v>
      </x:c>
      <x:c r="N10" s="266" t="n">
        <x:f>(1+K10*(J10/I10-1))*L10*M10</x:f>
        <x:v>1.1645628534370944</x:v>
      </x:c>
      <x:c r="O10" s="267" t="n">
        <x:f>F10*(1+N10)</x:f>
        <x:v>1.2864681925149206</x:v>
      </x:c>
      <x:c r="P10" s="268" t="n">
        <x:f>VLOOKUP(C10,'参数设置'!$A$27:$W$34,19,FALSE)</x:f>
        <x:v>0.7</x:v>
      </x:c>
      <x:c r="Q10" s="267" t="n">
        <x:f>IF(G10&gt;0,O10*P10+G10*(1-P10),O10)</x:f>
        <x:v>1.2691277347605445</x:v>
      </x:c>
      <x:c r="R10" s="267" t="n">
        <x:f>Q10*'原始数据'!G9</x:f>
        <x:v>37.964803817378524</x:v>
      </x:c>
      <x:c r="S10" s="268" t="n">
        <x:f>VLOOKUP(C10,'参数设置'!$A$27:$W$34,20,FALSE)</x:f>
        <x:v>0.55</x:v>
      </x:c>
      <x:c r="T10" s="267" t="n">
        <x:f>'原始数据'!Y9</x:f>
        <x:v>0</x:v>
      </x:c>
      <x:c r="U10" s="267" t="n">
        <x:f>MAX(T10,Q10*S10)</x:f>
        <x:v>0.6980202541182996</x:v>
      </x:c>
      <x:c r="V10" s="269" t="n">
        <x:f>D10/Q10</x:f>
        <x:v>12.228871511446616</x:v>
      </x:c>
      <x:c r="W10" s="270" t="n">
        <x:f>U10/D10</x:f>
        <x:v>0.0449755318375193</x:v>
      </x:c>
      <x:c r="X10" s="267" t="n">
        <x:f>'原始数据'!L9+(Q10-F10)-T10</x:f>
        <x:v>16.747371899597642</x:v>
      </x:c>
      <x:c r="Y10" s="266" t="n">
        <x:f>D10/X10</x:f>
        <x:v>0.9267125667862472</x:v>
      </x:c>
      <x:c r="Z10" s="266" t="n">
        <x:f>MAX(0.4,MIN(1.3,'估值模型'!N10/'估值模型'!K10))</x:f>
        <x:v>1.2496540439431714</x:v>
      </x:c>
      <x:c r="AA10" s="267" t="n">
        <x:f>Q10*Z10</x:f>
        <x:v>1.5859706060239511</x:v>
      </x:c>
      <x:c r="AB10" s="267" t="n">
        <x:f>MAX(0,AA10-U10)</x:f>
        <x:v>0.8879503519056515</x:v>
      </x:c>
      <x:c r="AC10" s="267" t="n">
        <x:f>MIN(1.25,MAX(0.75,VLOOKUP(C10,'参数设置'!$A$27:$W$34,21,FALSE)/VLOOKUP(C10,'参数设置'!$A$27:$W$34,6,FALSE)))</x:f>
        <x:v>0.8571428571428571</x:v>
      </x:c>
      <x:c r="AD10" s="267" t="n">
        <x:f>U10+AB10*AC10</x:f>
        <x:v>1.4591205557517153</x:v>
      </x:c>
      <x:c r="AE10" s="270" t="n">
        <x:f>AD10/D10</x:f>
        <x:v>0.09401549972627032</x:v>
      </x:c>
      <x:c r="AF10" s="267" t="n">
        <x:f>'参数设置'!D18</x:f>
        <x:v>650</x:v>
      </x:c>
      <x:c r="AG10" s="267" t="n">
        <x:f>'参数设置'!E18</x:f>
        <x:v>780</x:v>
      </x:c>
      <x:c r="AH10" s="267" t="n">
        <x:f>'参数设置'!F18</x:f>
        <x:v>950</x:v>
      </x:c>
      <x:c r="AI10" s="267" t="n">
        <x:f>MAX(0.01,Q10*(1+K10*(AF10/AVERAGE(I10,J10)-1)))</x:f>
        <x:v>0.946329485960716</x:v>
      </x:c>
      <x:c r="AJ10" s="267" t="n">
        <x:f>MAX(0.01,Q10*(1+K10*(AG10/AVERAGE(I10,J10)-1)))</x:f>
        <x:v>1.16097793784807</x:v>
      </x:c>
      <x:c r="AK10" s="267" t="n">
        <x:f>MAX(0.01,Q10*(1+K10*(AH10/AVERAGE(I10,J10)-1)))</x:f>
        <x:v>1.4416720672392254</x:v>
      </x:c>
      <x:c r="AL10" s="267" t="n">
        <x:f>AI10*(VLOOKUP(C10,'参数设置'!$A$27:$W$34,22,FALSE)+1)*'参数设置'!$B$21+(((AI10*S10)+MAX(0,AI10*Z10-AI10*S10)*AC10)/VLOOKUP(C10,'参数设置'!$A$27:$W$34,6,FALSE))*'参数设置'!$C$21+(AI10*S10/VLOOKUP(C10,'参数设置'!$A$27:$W$34,5,FALSE))*'参数设置'!$D$21+((X10+(AI10-Q10)*(1-S10)))*'估值模型'!AD10*'参数设置'!$E$21</x:f>
        <x:v>10.63144228079746</x:v>
      </x:c>
      <x:c r="AM10" s="267" t="n">
        <x:f>AJ10*(VLOOKUP(C10,'参数设置'!$A$27:$W$34,22,FALSE)+0)*'参数设置'!$B$21+(((AJ10*S10)+MAX(0,AJ10*Z10-AJ10*S10)*AC10)/VLOOKUP(C10,'参数设置'!$A$27:$W$34,6,FALSE))*'参数设置'!$C$21+(AJ10*S10/VLOOKUP(C10,'参数设置'!$A$27:$W$34,5,FALSE))*'参数设置'!$D$21+((X10+(AJ10-Q10)*(1-S10)))*'估值模型'!AD10*'参数设置'!$E$21</x:f>
        <x:v>11.976101985277458</x:v>
      </x:c>
      <x:c r="AN10" s="267" t="n">
        <x:f>AK10*(VLOOKUP(C10,'参数设置'!$A$27:$W$34,22,FALSE)+-1)*'参数设置'!$B$21+(((AK10*S10)+MAX(0,AK10*Z10-AK10*S10)*AC10)/VLOOKUP(C10,'参数设置'!$A$27:$W$34,6,FALSE))*'参数设置'!$C$21+(AK10*S10/VLOOKUP(C10,'参数设置'!$A$27:$W$34,5,FALSE))*'参数设置'!$D$21+((X10+(AK10-Q10)*(1-S10)))*'估值模型'!AD10*'参数设置'!$E$21</x:f>
        <x:v>13.663045640022666</x:v>
      </x:c>
      <x:c r="AO10" s="267" t="n">
        <x:f>AL10*'参数设置'!$J$16+AM10*'参数设置'!$K$16+AN10*'参数设置'!$L$16</x:f>
        <x:v>12.06167297284376</x:v>
      </x:c>
      <x:c r="AP10" s="267" t="n">
        <x:f>AO10*(1-VLOOKUP(C10,'参数设置'!$A$27:$W$34,10,FALSE))</x:f>
        <x:v>6.633920135064069</x:v>
      </x:c>
      <x:c r="AQ10" s="270" t="n">
        <x:f>AO10/D10-1</x:f>
        <x:v>-0.22283034968790194</x:v>
      </x:c>
      <x:c r="AR10" s="118" t="str">
        <x:f>IF(D10&lt;=AP10,"达到安全边际",IF(D10&lt;=AL10,"低于悲观价值",IF(D10&lt;=AO10,"合理偏低",IF(D10&lt;=AN10,"合理偏高","高价已充分反映"))))</x:f>
        <x:v>高价已充分反映</x:v>
      </x:c>
      <x:c r="AS10" s="118" t="str">
        <x:f>IF(A10="煤炭","基准：2027动力煤约780元/吨；高价延续：约950元/吨","基准：2027 Brent约85美元/桶；高价延续：约105美元/桶")</x:f>
        <x:v>基准：2027动力煤约780元/吨；高价延续：约950元/吨</x:v>
      </x:c>
    </x:row>
    <x:row r="11" ht="46" customHeight="1">
      <x:c r="A11" s="271" t="str">
        <x:f>'原始数据'!A10</x:f>
        <x:v>石油</x:v>
      </x:c>
      <x:c r="B11" s="271" t="str">
        <x:f>'原始数据'!B10</x:f>
        <x:v>601857</x:v>
      </x:c>
      <x:c r="C11" s="271" t="str">
        <x:f>'原始数据'!C10</x:f>
        <x:v>中国石油</x:v>
      </x:c>
      <x:c r="D11" s="272" t="n">
        <x:f>'原始数据'!E10</x:f>
        <x:v>11.6</x:v>
      </x:c>
      <x:c r="E11" s="272" t="n">
        <x:f>'原始数据'!I10</x:f>
        <x:v>1039.34</x:v>
      </x:c>
      <x:c r="F11" s="272" t="n">
        <x:f>E11/'原始数据'!G10</x:f>
        <x:v>0.5678802574388724</x:v>
      </x:c>
      <x:c r="G11" s="272" t="n">
        <x:f>'原始数据'!V10</x:f>
        <x:v>1.015384615385</x:v>
      </x:c>
      <x:c r="H11" s="273" t="n">
        <x:f>'原始数据'!U10</x:f>
        <x:v>13</x:v>
      </x:c>
      <x:c r="I11" s="272" t="n">
        <x:f>'参数设置'!C17</x:f>
        <x:v>91.74</x:v>
      </x:c>
      <x:c r="J11" s="272" t="n">
        <x:f>'参数设置'!G17</x:f>
        <x:v>100.67</x:v>
      </x:c>
      <x:c r="K11" s="274" t="n">
        <x:f>VLOOKUP(C11,'参数设置'!$A$27:$W$34,16,FALSE)</x:f>
        <x:v>0.35</x:v>
      </x:c>
      <x:c r="L11" s="274" t="n">
        <x:f>VLOOKUP(C11,'参数设置'!$A$27:$W$34,17,FALSE)</x:f>
        <x:v>1.02</x:v>
      </x:c>
      <x:c r="M11" s="274" t="n">
        <x:f>VLOOKUP(C11,'参数设置'!$A$27:$W$34,18,FALSE)</x:f>
        <x:v>0.99</x:v>
      </x:c>
      <x:c r="N11" s="275" t="n">
        <x:f>(1+K11*(J11/I11-1))*L11*M11</x:f>
        <x:v>1.0442029856115107</x:v>
      </x:c>
      <x:c r="O11" s="276" t="n">
        <x:f>F11*(1+N11)</x:f>
        <x:v>1.1608625177263763</x:v>
      </x:c>
      <x:c r="P11" s="277" t="n">
        <x:f>VLOOKUP(C11,'参数设置'!$A$27:$W$34,19,FALSE)</x:f>
        <x:v>0.7</x:v>
      </x:c>
      <x:c r="Q11" s="276" t="n">
        <x:f>IF(G11&gt;0,O11*P11+G11*(1-P11),O11)</x:f>
        <x:v>1.1172191470239634</x:v>
      </x:c>
      <x:c r="R11" s="276" t="n">
        <x:f>Q11*'原始数据'!G10</x:f>
        <x:v>2044.7454072531768</x:v>
      </x:c>
      <x:c r="S11" s="277" t="n">
        <x:f>VLOOKUP(C11,'参数设置'!$A$27:$W$34,20,FALSE)</x:f>
        <x:v>0.45</x:v>
      </x:c>
      <x:c r="T11" s="276" t="n">
        <x:f>'原始数据'!Y10</x:f>
        <x:v>0.26</x:v>
      </x:c>
      <x:c r="U11" s="276" t="n">
        <x:f>MAX(T11,Q11*S11)</x:f>
        <x:v>0.5027486161607836</x:v>
      </x:c>
      <x:c r="V11" s="278" t="n">
        <x:f>D11/Q11</x:f>
        <x:v>10.382922661950396</x:v>
      </x:c>
      <x:c r="W11" s="279" t="n">
        <x:f>U11/D11</x:f>
        <x:v>0.04334039794489514</x:v>
      </x:c>
      <x:c r="X11" s="276" t="n">
        <x:f>'原始数据'!L10+(Q11-F11)-T11</x:f>
        <x:v>10.388476278294942</x:v>
      </x:c>
      <x:c r="Y11" s="275" t="n">
        <x:f>D11/X11</x:f>
        <x:v>1.1166218884511816</x:v>
      </x:c>
      <x:c r="Z11" s="275" t="n">
        <x:f>MAX(0.4,MIN(1.3,'估值模型'!N11/'估值模型'!K11))</x:f>
        <x:v>1.3</x:v>
      </x:c>
      <x:c r="AA11" s="276" t="n">
        <x:f>Q11*Z11</x:f>
        <x:v>1.4523848911311525</x:v>
      </x:c>
      <x:c r="AB11" s="276" t="n">
        <x:f>MAX(0,AA11-U11)</x:f>
        <x:v>0.949636274970369</x:v>
      </x:c>
      <x:c r="AC11" s="276" t="n">
        <x:f>MIN(1.25,MAX(0.75,VLOOKUP(C11,'参数设置'!$A$27:$W$34,21,FALSE)/VLOOKUP(C11,'参数设置'!$A$27:$W$34,6,FALSE)))</x:f>
        <x:v>1.2222222222222223</x:v>
      </x:c>
      <x:c r="AD11" s="276" t="n">
        <x:f>U11+AB11*AC11</x:f>
        <x:v>1.663415174457901</x:v>
      </x:c>
      <x:c r="AE11" s="279" t="n">
        <x:f>AD11/D11</x:f>
        <x:v>0.14339785986706044</x:v>
      </x:c>
      <x:c r="AF11" s="276" t="n">
        <x:f>'参数设置'!D19</x:f>
        <x:v>65</x:v>
      </x:c>
      <x:c r="AG11" s="276" t="n">
        <x:f>'参数设置'!E19</x:f>
        <x:v>85</x:v>
      </x:c>
      <x:c r="AH11" s="276" t="n">
        <x:f>'参数设置'!F19</x:f>
        <x:v>105</x:v>
      </x:c>
      <x:c r="AI11" s="276" t="n">
        <x:f>MAX(0.01,Q11*(1+K11*(AF11/AVERAGE(I11,J11)-1)))</x:f>
        <x:v>0.990385944809848</x:v>
      </x:c>
      <x:c r="AJ11" s="276" t="n">
        <x:f>MAX(0.01,Q11*(1+K11*(AG11/AVERAGE(I11,J11)-1)))</x:f>
        <x:v>1.071676252269624</x:v>
      </x:c>
      <x:c r="AK11" s="276" t="n">
        <x:f>MAX(0.01,Q11*(1+K11*(AH11/AVERAGE(I11,J11)-1)))</x:f>
        <x:v>1.1529665597293999</x:v>
      </x:c>
      <x:c r="AL11" s="276" t="n">
        <x:f>AI11*(VLOOKUP(C11,'参数设置'!$A$27:$W$34,22,FALSE)+1)*'参数设置'!$B$21+(((AI11*S11)+MAX(0,AI11*Z11-AI11*S11)*AC11)/VLOOKUP(C11,'参数设置'!$A$27:$W$34,6,FALSE))*'参数设置'!$C$21+(AI11*S11/VLOOKUP(C11,'参数设置'!$A$27:$W$34,5,FALSE))*'参数设置'!$D$21+((X11+(AI11-Q11)*(1-S11)))*'估值模型'!AD11*'参数设置'!$E$21</x:f>
        <x:v>11.872645957527451</x:v>
      </x:c>
      <x:c r="AM11" s="276" t="n">
        <x:f>AJ11*(VLOOKUP(C11,'参数设置'!$A$27:$W$34,22,FALSE)+0)*'参数设置'!$B$21+(((AJ11*S11)+MAX(0,AJ11*Z11-AJ11*S11)*AC11)/VLOOKUP(C11,'参数设置'!$A$27:$W$34,6,FALSE))*'参数设置'!$C$21+(AJ11*S11/VLOOKUP(C11,'参数设置'!$A$27:$W$34,5,FALSE))*'参数设置'!$D$21+((X11+(AJ11-Q11)*(1-S11)))*'估值模型'!AD11*'参数设置'!$E$21</x:f>
        <x:v>12.367065422989254</x:v>
      </x:c>
      <x:c r="AN11" s="276" t="n">
        <x:f>AK11*(VLOOKUP(C11,'参数设置'!$A$27:$W$34,22,FALSE)+-1)*'参数设置'!$B$21+(((AK11*S11)+MAX(0,AK11*Z11-AK11*S11)*AC11)/VLOOKUP(C11,'参数设置'!$A$27:$W$34,6,FALSE))*'参数设置'!$C$21+(AK11*S11/VLOOKUP(C11,'参数设置'!$A$27:$W$34,5,FALSE))*'参数设置'!$D$21+((X11+(AK11-Q11)*(1-S11)))*'估值模型'!AD11*'参数设置'!$E$21</x:f>
        <x:v>12.804581673229219</x:v>
      </x:c>
      <x:c r="AO11" s="276" t="n">
        <x:f>AL11*'参数设置'!$J$16+AM11*'参数设置'!$K$16+AN11*'参数设置'!$L$16</x:f>
        <x:v>12.352839619183793</x:v>
      </x:c>
      <x:c r="AP11" s="276" t="n">
        <x:f>AO11*(1-VLOOKUP(C11,'参数设置'!$A$27:$W$34,10,FALSE))</x:f>
        <x:v>8.029345752469466</x:v>
      </x:c>
      <x:c r="AQ11" s="279" t="n">
        <x:f>AO11/D11-1</x:f>
        <x:v>0.06489996717101665</x:v>
      </x:c>
      <x:c r="AR11" s="123" t="str">
        <x:f>IF(D11&lt;=AP11,"达到安全边际",IF(D11&lt;=AL11,"低于悲观价值",IF(D11&lt;=AO11,"合理偏低",IF(D11&lt;=AN11,"合理偏高","高价已充分反映"))))</x:f>
        <x:v>低于悲观价值</x:v>
      </x:c>
      <x:c r="AS11" s="123" t="str">
        <x:f>IF(A11="煤炭","基准：2027动力煤约780元/吨；高价延续：约950元/吨","基准：2027 Brent约85美元/桶；高价延续：约105美元/桶")</x:f>
        <x:v>基准：2027 Brent约85美元/桶；高价延续：约105美元/桶</x:v>
      </x:c>
    </x:row>
    <x:row r="12" ht="46" customHeight="1">
      <x:c r="A12" s="271" t="str">
        <x:f>'原始数据'!A11</x:f>
        <x:v>石油</x:v>
      </x:c>
      <x:c r="B12" s="271" t="str">
        <x:f>'原始数据'!B11</x:f>
        <x:v>600028</x:v>
      </x:c>
      <x:c r="C12" s="271" t="str">
        <x:f>'原始数据'!C11</x:f>
        <x:v>中国石化</x:v>
      </x:c>
      <x:c r="D12" s="272" t="n">
        <x:f>'原始数据'!E11</x:f>
        <x:v>5.39</x:v>
      </x:c>
      <x:c r="E12" s="272" t="n">
        <x:f>'原始数据'!I11</x:f>
        <x:v>256.27</x:v>
      </x:c>
      <x:c r="F12" s="272" t="n">
        <x:f>E12/'原始数据'!G11</x:f>
        <x:v>0.21229433433155415</x:v>
      </x:c>
      <x:c r="G12" s="272" t="n">
        <x:f>'原始数据'!V11</x:f>
        <x:v>0.358181818182</x:v>
      </x:c>
      <x:c r="H12" s="273" t="n">
        <x:f>'原始数据'!U11</x:f>
        <x:v>11</x:v>
      </x:c>
      <x:c r="I12" s="272" t="n">
        <x:f>'参数设置'!C17</x:f>
        <x:v>91.74</x:v>
      </x:c>
      <x:c r="J12" s="272" t="n">
        <x:f>'参数设置'!G17</x:f>
        <x:v>100.67</x:v>
      </x:c>
      <x:c r="K12" s="274" t="n">
        <x:f>VLOOKUP(C12,'参数设置'!$A$27:$W$34,16,FALSE)</x:f>
        <x:v>-0.1</x:v>
      </x:c>
      <x:c r="L12" s="274" t="n">
        <x:f>VLOOKUP(C12,'参数设置'!$A$27:$W$34,17,FALSE)</x:f>
        <x:v>1</x:v>
      </x:c>
      <x:c r="M12" s="274" t="n">
        <x:f>VLOOKUP(C12,'参数设置'!$A$27:$W$34,18,FALSE)</x:f>
        <x:v>0.95</x:v>
      </x:c>
      <x:c r="N12" s="275" t="n">
        <x:f>(1+K12*(J12/I12-1))*L12*M12</x:f>
        <x:v>0.9407526705908</x:v>
      </x:c>
      <x:c r="O12" s="276" t="n">
        <x:f>F12*(1+N12)</x:f>
        <x:v>0.4120107963052599</x:v>
      </x:c>
      <x:c r="P12" s="277" t="n">
        <x:f>VLOOKUP(C12,'参数设置'!$A$27:$W$34,19,FALSE)</x:f>
        <x:v>0.7</x:v>
      </x:c>
      <x:c r="Q12" s="276" t="n">
        <x:f>IF(G12&gt;0,O12*P12+G12*(1-P12),O12)</x:f>
        <x:v>0.39586210286828194</x:v>
      </x:c>
      <x:c r="R12" s="276" t="n">
        <x:f>Q12*'原始数据'!G11</x:f>
        <x:v>477.86287571677343</x:v>
      </x:c>
      <x:c r="S12" s="277" t="n">
        <x:f>VLOOKUP(C12,'参数设置'!$A$27:$W$34,20,FALSE)</x:f>
        <x:v>0.65</x:v>
      </x:c>
      <x:c r="T12" s="276" t="n">
        <x:f>'原始数据'!Y11</x:f>
        <x:v>0.10500000000000001</x:v>
      </x:c>
      <x:c r="U12" s="276" t="n">
        <x:f>MAX(T12,Q12*S12)</x:f>
        <x:v>0.25731036686438324</x:v>
      </x:c>
      <x:c r="V12" s="278" t="n">
        <x:f>D12/Q12</x:f>
        <x:v>13.615852492435865</x:v>
      </x:c>
      <x:c r="W12" s="279" t="n">
        <x:f>U12/D12</x:f>
        <x:v>0.04773847251658316</x:v>
      </x:c>
      <x:c r="X12" s="276" t="n">
        <x:f>'原始数据'!L11+(Q12-F12)-T12</x:f>
        <x:v>8.410492877262987</x:v>
      </x:c>
      <x:c r="Y12" s="275" t="n">
        <x:f>D12/X12</x:f>
        <x:v>0.6408661274265366</x:v>
      </x:c>
      <x:c r="Z12" s="275" t="n">
        <x:f>MAX(0.4,MIN(1.3,'估值模型'!N12/'估值模型'!K12))</x:f>
        <x:v>1.1330780226241317</x:v>
      </x:c>
      <x:c r="AA12" s="276" t="n">
        <x:f>Q12*Z12</x:f>
        <x:v>0.4485426487498235</x:v>
      </x:c>
      <x:c r="AB12" s="276" t="n">
        <x:f>MAX(0,AA12-U12)</x:f>
        <x:v>0.19123228188544028</x:v>
      </x:c>
      <x:c r="AC12" s="276" t="n">
        <x:f>MIN(1.25,MAX(0.75,VLOOKUP(C12,'参数设置'!$A$27:$W$34,21,FALSE)/VLOOKUP(C12,'参数设置'!$A$27:$W$34,6,FALSE)))</x:f>
        <x:v>0.8947368421052632</x:v>
      </x:c>
      <x:c r="AD12" s="276" t="n">
        <x:f>U12+AB12*AC12</x:f>
        <x:v>0.4284129348671456</x:v>
      </x:c>
      <x:c r="AE12" s="279" t="n">
        <x:f>AD12/D12</x:f>
        <x:v>0.07948291927034241</x:v>
      </x:c>
      <x:c r="AF12" s="276" t="n">
        <x:f>'参数设置'!D19</x:f>
        <x:v>65</x:v>
      </x:c>
      <x:c r="AG12" s="276" t="n">
        <x:f>'参数设置'!E19</x:f>
        <x:v>85</x:v>
      </x:c>
      <x:c r="AH12" s="276" t="n">
        <x:f>'参数设置'!F19</x:f>
        <x:v>105</x:v>
      </x:c>
      <x:c r="AI12" s="276" t="n">
        <x:f>MAX(0.01,Q12*(1+K12*(AF12/AVERAGE(I12,J12)-1)))</x:f>
        <x:v>0.4087022638994183</x:v>
      </x:c>
      <x:c r="AJ12" s="276" t="n">
        <x:f>MAX(0.01,Q12*(1+K12*(AG12/AVERAGE(I12,J12)-1)))</x:f>
        <x:v>0.4004727102822823</x:v>
      </x:c>
      <x:c r="AK12" s="276" t="n">
        <x:f>MAX(0.01,Q12*(1+K12*(AH12/AVERAGE(I12,J12)-1)))</x:f>
        <x:v>0.3922431566651464</x:v>
      </x:c>
      <x:c r="AL12" s="276" t="n">
        <x:f>AI12*(VLOOKUP(C12,'参数设置'!$A$27:$W$34,22,FALSE)+1)*'参数设置'!$B$21+(((AI12*S12)+MAX(0,AI12*Z12-AI12*S12)*AC12)/VLOOKUP(C12,'参数设置'!$A$27:$W$34,6,FALSE))*'参数设置'!$C$21+(AI12*S12/VLOOKUP(C12,'参数设置'!$A$27:$W$34,5,FALSE))*'参数设置'!$D$21+((X12+(AI12-Q12)*(1-S12)))*'估值模型'!AD12*'参数设置'!$E$21</x:f>
        <x:v>4.759704614995401</x:v>
      </x:c>
      <x:c r="AM12" s="276" t="n">
        <x:f>AJ12*(VLOOKUP(C12,'参数设置'!$A$27:$W$34,22,FALSE)+0)*'参数设置'!$B$21+(((AJ12*S12)+MAX(0,AJ12*Z12-AJ12*S12)*AC12)/VLOOKUP(C12,'参数设置'!$A$27:$W$34,6,FALSE))*'参数设置'!$C$21+(AJ12*S12/VLOOKUP(C12,'参数设置'!$A$27:$W$34,5,FALSE))*'参数设置'!$D$21+((X12+(AJ12-Q12)*(1-S12)))*'估值模型'!AD12*'参数设置'!$E$21</x:f>
        <x:v>4.5430059745971585</x:v>
      </x:c>
      <x:c r="AN12" s="276" t="n">
        <x:f>AK12*(VLOOKUP(C12,'参数设置'!$A$27:$W$34,22,FALSE)+-1)*'参数设置'!$B$21+(((AK12*S12)+MAX(0,AK12*Z12-AK12*S12)*AC12)/VLOOKUP(C12,'参数设置'!$A$27:$W$34,6,FALSE))*'参数设置'!$C$21+(AK12*S12/VLOOKUP(C12,'参数设置'!$A$27:$W$34,5,FALSE))*'参数设置'!$D$21+((X12+(AK12-Q12)*(1-S12)))*'估值模型'!AD12*'参数设置'!$E$21</x:f>
        <x:v>4.332068021730913</x:v>
      </x:c>
      <x:c r="AO12" s="276" t="n">
        <x:f>AL12*'参数设置'!$J$16+AM12*'参数设置'!$K$16+AN12*'参数设置'!$L$16</x:f>
        <x:v>4.5444461464801575</x:v>
      </x:c>
      <x:c r="AP12" s="276" t="n">
        <x:f>AO12*(1-VLOOKUP(C12,'参数设置'!$A$27:$W$34,10,FALSE))</x:f>
        <x:v>2.7266676878880944</x:v>
      </x:c>
      <x:c r="AQ12" s="279" t="n">
        <x:f>AO12/D12-1</x:f>
        <x:v>-0.1568745553840153</x:v>
      </x:c>
      <x:c r="AR12" s="123" t="str">
        <x:f>IF(D12&lt;=AP12,"达到安全边际",IF(D12&lt;=AL12,"低于悲观价值",IF(D12&lt;=AO12,"合理偏低",IF(D12&lt;=AN12,"合理偏高","高价已充分反映"))))</x:f>
        <x:v>高价已充分反映</x:v>
      </x:c>
      <x:c r="AS12" s="123" t="str">
        <x:f>IF(A12="煤炭","基准：2027动力煤约780元/吨；高价延续：约950元/吨","基准：2027 Brent约85美元/桶；高价延续：约105美元/桶")</x:f>
        <x:v>基准：2027 Brent约85美元/桶；高价延续：约105美元/桶</x:v>
      </x:c>
    </x:row>
    <x:row r="13" ht="46" customHeight="1">
      <x:c r="A13" s="280" t="str">
        <x:f>'原始数据'!A12</x:f>
        <x:v>石油</x:v>
      </x:c>
      <x:c r="B13" s="280" t="str">
        <x:f>'原始数据'!B12</x:f>
        <x:v>600938</x:v>
      </x:c>
      <x:c r="C13" s="280" t="str">
        <x:f>'原始数据'!C12</x:f>
        <x:v>中国海油</x:v>
      </x:c>
      <x:c r="D13" s="281" t="n">
        <x:f>'原始数据'!E12</x:f>
        <x:v>33.82</x:v>
      </x:c>
      <x:c r="E13" s="281" t="n">
        <x:f>'原始数据'!I12</x:f>
        <x:v>858.18</x:v>
      </x:c>
      <x:c r="F13" s="281" t="n">
        <x:f>E13/'原始数据'!G12</x:f>
        <x:v>1.8055561347458675</x:v>
      </x:c>
      <x:c r="G13" s="281" t="n">
        <x:f>'原始数据'!V12</x:f>
        <x:v>3.439777777778</x:v>
      </x:c>
      <x:c r="H13" s="282" t="n">
        <x:f>'原始数据'!U12</x:f>
        <x:v>18</x:v>
      </x:c>
      <x:c r="I13" s="281" t="n">
        <x:f>'参数设置'!C17</x:f>
        <x:v>91.74</x:v>
      </x:c>
      <x:c r="J13" s="281" t="n">
        <x:f>'参数设置'!G17</x:f>
        <x:v>100.67</x:v>
      </x:c>
      <x:c r="K13" s="283" t="n">
        <x:f>VLOOKUP(C13,'参数设置'!$A$27:$W$34,16,FALSE)</x:f>
        <x:v>0.9</x:v>
      </x:c>
      <x:c r="L13" s="283" t="n">
        <x:f>VLOOKUP(C13,'参数设置'!$A$27:$W$34,17,FALSE)</x:f>
        <x:v>1.04</x:v>
      </x:c>
      <x:c r="M13" s="283" t="n">
        <x:f>VLOOKUP(C13,'参数设置'!$A$27:$W$34,18,FALSE)</x:f>
        <x:v>1</x:v>
      </x:c>
      <x:c r="N13" s="284" t="n">
        <x:f>(1+K13*(J13/I13-1))*L13*M13</x:f>
        <x:v>1.1311105297580117</x:v>
      </x:c>
      <x:c r="O13" s="285" t="n">
        <x:f>F13*(1+N13)</x:f>
        <x:v>3.8478396908260937</x:v>
      </x:c>
      <x:c r="P13" s="286" t="n">
        <x:f>VLOOKUP(C13,'参数设置'!$A$27:$W$34,19,FALSE)</x:f>
        <x:v>0.7</x:v>
      </x:c>
      <x:c r="Q13" s="285" t="n">
        <x:f>IF(G13&gt;0,O13*P13+G13*(1-P13),O13)</x:f>
        <x:v>3.725421116911666</x:v>
      </x:c>
      <x:c r="R13" s="285" t="n">
        <x:f>Q13*'原始数据'!G12</x:f>
        <x:v>1770.6909425783338</x:v>
      </x:c>
      <x:c r="S13" s="286" t="n">
        <x:f>VLOOKUP(C13,'参数设置'!$A$27:$W$34,20,FALSE)</x:f>
        <x:v>0.45</x:v>
      </x:c>
      <x:c r="T13" s="285" t="n">
        <x:f>'原始数据'!Y12</x:f>
        <x:v>0.8132400000000001</x:v>
      </x:c>
      <x:c r="U13" s="285" t="n">
        <x:f>MAX(T13,Q13*S13)</x:f>
        <x:v>1.6764395026102497</x:v>
      </x:c>
      <x:c r="V13" s="287" t="n">
        <x:f>D13/Q13</x:f>
        <x:v>9.07816833014476</x:v>
      </x:c>
      <x:c r="W13" s="288" t="n">
        <x:f>U13/D13</x:f>
        <x:v>0.0495694708045609</x:v>
      </x:c>
      <x:c r="X13" s="285" t="n">
        <x:f>'原始数据'!L12+(Q13-F13)-T13</x:f>
        <x:v>19.170160248558368</x:v>
      </x:c>
      <x:c r="Y13" s="284" t="n">
        <x:f>D13/X13</x:f>
        <x:v>1.7642001715944617</x:v>
      </x:c>
      <x:c r="Z13" s="284" t="n">
        <x:f>MAX(0.4,MIN(1.3,'估值模型'!N13/'估值模型'!K13))</x:f>
        <x:v>1.0906123377507277</x:v>
      </x:c>
      <x:c r="AA13" s="285" t="n">
        <x:f>Q13*Z13</x:f>
        <x:v>4.062990233420959</x:v>
      </x:c>
      <x:c r="AB13" s="285" t="n">
        <x:f>MAX(0,AA13-U13)</x:f>
        <x:v>2.3865507308107095</x:v>
      </x:c>
      <x:c r="AC13" s="285" t="n">
        <x:f>MIN(1.25,MAX(0.75,VLOOKUP(C13,'参数设置'!$A$27:$W$34,21,FALSE)/VLOOKUP(C13,'参数设置'!$A$27:$W$34,6,FALSE)))</x:f>
        <x:v>1.25</x:v>
      </x:c>
      <x:c r="AD13" s="285" t="n">
        <x:f>U13+AB13*AC13</x:f>
        <x:v>4.659627916123636</x:v>
      </x:c>
      <x:c r="AE13" s="288" t="n">
        <x:f>AD13/D13</x:f>
        <x:v>0.13777728906338368</x:v>
      </x:c>
      <x:c r="AF13" s="285" t="n">
        <x:f>'参数设置'!D19</x:f>
        <x:v>65</x:v>
      </x:c>
      <x:c r="AG13" s="285" t="n">
        <x:f>'参数设置'!E19</x:f>
        <x:v>85</x:v>
      </x:c>
      <x:c r="AH13" s="285" t="n">
        <x:f>'参数设置'!F19</x:f>
        <x:v>105</x:v>
      </x:c>
      <x:c r="AI13" s="285" t="n">
        <x:f>MAX(0.01,Q13*(1+K13*(AF13/AVERAGE(I13,J13)-1)))</x:f>
        <x:v>2.637883157783703</x:v>
      </x:c>
      <x:c r="AJ13" s="285" t="n">
        <x:f>MAX(0.01,Q13*(1+K13*(AG13/AVERAGE(I13,J13)-1)))</x:f>
        <x:v>3.334911171966022</x:v>
      </x:c>
      <x:c r="AK13" s="285" t="n">
        <x:f>MAX(0.01,Q13*(1+K13*(AH13/AVERAGE(I13,J13)-1)))</x:f>
        <x:v>4.031939186148341</x:v>
      </x:c>
      <x:c r="AL13" s="285" t="n">
        <x:f>AI13*(VLOOKUP(C13,'参数设置'!$A$27:$W$34,22,FALSE)+1)*'参数设置'!$B$21+(((AI13*S13)+MAX(0,AI13*Z13-AI13*S13)*AC13)/VLOOKUP(C13,'参数设置'!$A$27:$W$34,6,FALSE))*'参数设置'!$C$21+(AI13*S13/VLOOKUP(C13,'参数设置'!$A$27:$W$34,5,FALSE))*'参数设置'!$D$21+((X13+(AI13-Q13)*(1-S13)))*'估值模型'!AD13*'参数设置'!$E$21</x:f>
        <x:v>30.91639386008827</x:v>
      </x:c>
      <x:c r="AM13" s="285" t="n">
        <x:f>AJ13*(VLOOKUP(C13,'参数设置'!$A$27:$W$34,22,FALSE)+0)*'参数设置'!$B$21+(((AJ13*S13)+MAX(0,AJ13*Z13-AJ13*S13)*AC13)/VLOOKUP(C13,'参数设置'!$A$27:$W$34,6,FALSE))*'参数设置'!$C$21+(AJ13*S13/VLOOKUP(C13,'参数设置'!$A$27:$W$34,5,FALSE))*'参数设置'!$D$21+((X13+(AJ13-Q13)*(1-S13)))*'估值模型'!AD13*'参数设置'!$E$21</x:f>
        <x:v>36.69695368492266</x:v>
      </x:c>
      <x:c r="AN13" s="285" t="n">
        <x:f>AK13*(VLOOKUP(C13,'参数设置'!$A$27:$W$34,22,FALSE)+-1)*'参数设置'!$B$21+(((AK13*S13)+MAX(0,AK13*Z13-AK13*S13)*AC13)/VLOOKUP(C13,'参数设置'!$A$27:$W$34,6,FALSE))*'参数设置'!$C$21+(AK13*S13/VLOOKUP(C13,'参数设置'!$A$27:$W$34,5,FALSE))*'参数设置'!$D$21+((X13+(AK13-Q13)*(1-S13)))*'估值模型'!AD13*'参数设置'!$E$21</x:f>
        <x:v>41.98959389982943</x:v>
      </x:c>
      <x:c r="AO13" s="285" t="n">
        <x:f>AL13*'参数设置'!$J$16+AM13*'参数设置'!$K$16+AN13*'参数设置'!$L$16</x:f>
        <x:v>36.57497378244076</x:v>
      </x:c>
      <x:c r="AP13" s="285" t="n">
        <x:f>AO13*(1-VLOOKUP(C13,'参数设置'!$A$27:$W$34,10,FALSE))</x:f>
        <x:v>23.773732958586493</x:v>
      </x:c>
      <x:c r="AQ13" s="288" t="n">
        <x:f>AO13/D13-1</x:f>
        <x:v>0.08145989894857353</x:v>
      </x:c>
      <x:c r="AR13" s="128" t="str">
        <x:f>IF(D13&lt;=AP13,"达到安全边际",IF(D13&lt;=AL13,"低于悲观价值",IF(D13&lt;=AO13,"合理偏低",IF(D13&lt;=AN13,"合理偏高","高价已充分反映"))))</x:f>
        <x:v>合理偏低</x:v>
      </x:c>
      <x:c r="AS13" s="128" t="str">
        <x:f>IF(A13="煤炭","基准：2027动力煤约780元/吨；高价延续：约950元/吨","基准：2027 Brent约85美元/桶；高价延续：约105美元/桶")</x:f>
        <x:v>基准：2027 Brent约85美元/桶；高价延续：约105美元/桶</x:v>
      </x:c>
    </x:row>
  </x:sheetData>
  <x:mergeCells>
    <x:mergeCell ref="A2:AS2"/>
    <x:mergeCell ref="A3:AS3"/>
  </x:mergeCells>
  <x:conditionalFormatting sqref="AQ6:AQ13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R6:AR13">
    <x:cfRule type="containsText" dxfId="0" priority="2" operator="containsText" text="安全边际"/>
    <x:cfRule type="containsText" dxfId="1" priority="3" operator="containsText" text="充分反映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9" hidden="0" customWidth="1"/>
    <x:col min="5" max="5" width="9" hidden="0" customWidth="1"/>
    <x:col min="6" max="6" width="9" hidden="0" customWidth="1"/>
    <x:col min="7" max="7" width="10" hidden="0" customWidth="1"/>
    <x:col min="8" max="8" width="8" hidden="0" customWidth="1"/>
    <x:col min="9" max="9" width="12" hidden="0" customWidth="1"/>
    <x:col min="10" max="10" width="12" hidden="0" customWidth="1"/>
    <x:col min="11" max="11" width="11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2" hidden="0" customWidth="1"/>
    <x:col min="17" max="17" width="11" hidden="0" customWidth="1"/>
    <x:col min="18" max="18" width="12" hidden="0" customWidth="1"/>
    <x:col min="19" max="19" width="12" hidden="0" customWidth="1"/>
    <x:col min="20" max="20" width="11" hidden="0" customWidth="1"/>
    <x:col min="21" max="21" width="12" hidden="0" customWidth="1"/>
    <x:col min="22" max="22" width="14" hidden="0" customWidth="1"/>
    <x:col min="23" max="23" width="12" hidden="0" customWidth="1"/>
    <x:col min="24" max="24" width="10" hidden="0" customWidth="1"/>
    <x:col min="25" max="25" width="12" hidden="0" customWidth="1"/>
    <x:col min="26" max="26" width="10" hidden="0" customWidth="1"/>
    <x:col min="27" max="27" width="13" hidden="0" customWidth="1"/>
    <x:col min="28" max="28" width="10" hidden="0" customWidth="1"/>
    <x:col min="29" max="29" width="11" hidden="0" customWidth="1"/>
    <x:col min="30" max="30" width="10" hidden="0" customWidth="1"/>
    <x:col min="31" max="31" width="11" hidden="0" customWidth="1"/>
    <x:col min="32" max="32" width="11" hidden="0" customWidth="1"/>
    <x:col min="33" max="33" width="10" hidden="0" customWidth="1"/>
    <x:col min="34" max="34" width="10" hidden="0" customWidth="1"/>
    <x:col min="35" max="35" width="12" hidden="0" customWidth="1"/>
    <x:col min="36" max="36" width="11" hidden="0" customWidth="1"/>
    <x:col min="37" max="37" width="13" hidden="0" customWidth="1"/>
    <x:col min="38" max="38" width="18" hidden="0" customWidth="1"/>
    <x:col min="39" max="39" width="34" hidden="0" customWidth="1"/>
    <x:col min="40" max="40" width="34" hidden="0" customWidth="1"/>
  </x:cols>
  <x:sheetData>
    <x:row r="1">
      <x:c r="A1" s="302"/>
      <x:c r="B1" s="302"/>
      <x:c r="C1" s="302"/>
      <x:c r="D1" s="302"/>
      <x:c r="E1" s="302"/>
      <x:c r="F1" s="302"/>
      <x:c r="G1" s="302"/>
      <x:c r="H1" s="302"/>
      <x:c r="I1" s="302"/>
      <x:c r="J1" s="302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  <x:c r="V1" s="302"/>
      <x:c r="W1" s="302"/>
      <x:c r="X1" s="302"/>
      <x:c r="Y1" s="302"/>
      <x:c r="Z1" s="302"/>
      <x:c r="AA1" s="302"/>
      <x:c r="AB1" s="302"/>
      <x:c r="AC1" s="302"/>
      <x:c r="AD1" s="302"/>
      <x:c r="AE1" s="302"/>
      <x:c r="AF1" s="302"/>
      <x:c r="AG1" s="302"/>
      <x:c r="AH1" s="302"/>
      <x:c r="AI1" s="302"/>
      <x:c r="AJ1" s="302"/>
      <x:c r="AK1" s="302"/>
      <x:c r="AL1" s="302"/>
      <x:c r="AM1" s="302"/>
      <x:c r="AN1" s="302"/>
    </x:row>
    <x:row r="2" ht="26" customHeight="1">
      <x:c r="A2" s="3" t="str">
        <x:v>煤炭与石油公司估值模型</x:v>
      </x:c>
      <x:c r="B2" s="3" t="str">
        <x:v>煤炭与石油公司估值模型</x:v>
      </x:c>
      <x:c r="C2" s="3" t="str">
        <x:v>煤炭与石油公司估值模型</x:v>
      </x:c>
      <x:c r="D2" s="3" t="str">
        <x:v>煤炭与石油公司估值模型</x:v>
      </x:c>
      <x:c r="E2" s="3" t="str">
        <x:v>煤炭与石油公司估值模型</x:v>
      </x:c>
      <x:c r="F2" s="3" t="str">
        <x:v>煤炭与石油公司估值模型</x:v>
      </x:c>
      <x:c r="G2" s="3" t="str">
        <x:v>煤炭与石油公司估值模型</x:v>
      </x:c>
      <x:c r="H2" s="3" t="str">
        <x:v>煤炭与石油公司估值模型</x:v>
      </x:c>
      <x:c r="I2" s="3" t="str">
        <x:v>煤炭与石油公司估值模型</x:v>
      </x:c>
      <x:c r="J2" s="3" t="str">
        <x:v>煤炭与石油公司估值模型</x:v>
      </x:c>
      <x:c r="K2" s="3" t="str">
        <x:v>煤炭与石油公司估值模型</x:v>
      </x:c>
      <x:c r="L2" s="3" t="str">
        <x:v>煤炭与石油公司估值模型</x:v>
      </x:c>
      <x:c r="M2" s="3" t="str">
        <x:v>煤炭与石油公司估值模型</x:v>
      </x:c>
      <x:c r="N2" s="3" t="str">
        <x:v>煤炭与石油公司估值模型</x:v>
      </x:c>
      <x:c r="O2" s="3" t="str">
        <x:v>煤炭与石油公司估值模型</x:v>
      </x:c>
      <x:c r="P2" s="3" t="str">
        <x:v>煤炭与石油公司估值模型</x:v>
      </x:c>
      <x:c r="Q2" s="3" t="str">
        <x:v>煤炭与石油公司估值模型</x:v>
      </x:c>
      <x:c r="R2" s="3" t="str">
        <x:v>煤炭与石油公司估值模型</x:v>
      </x:c>
      <x:c r="S2" s="3" t="str">
        <x:v>煤炭与石油公司估值模型</x:v>
      </x:c>
      <x:c r="T2" s="3" t="str">
        <x:v>煤炭与石油公司估值模型</x:v>
      </x:c>
      <x:c r="U2" s="3" t="str">
        <x:v>煤炭与石油公司估值模型</x:v>
      </x:c>
      <x:c r="V2" s="3" t="str">
        <x:v>煤炭与石油公司估值模型</x:v>
      </x:c>
      <x:c r="W2" s="3" t="str">
        <x:v>煤炭与石油公司估值模型</x:v>
      </x:c>
      <x:c r="X2" s="3" t="str">
        <x:v>煤炭与石油公司估值模型</x:v>
      </x:c>
      <x:c r="Y2" s="3" t="str">
        <x:v>煤炭与石油公司估值模型</x:v>
      </x:c>
      <x:c r="Z2" s="3" t="str">
        <x:v>煤炭与石油公司估值模型</x:v>
      </x:c>
      <x:c r="AA2" s="3" t="str">
        <x:v>煤炭与石油公司估值模型</x:v>
      </x:c>
      <x:c r="AB2" s="3" t="str">
        <x:v>煤炭与石油公司估值模型</x:v>
      </x:c>
      <x:c r="AC2" s="3" t="str">
        <x:v>煤炭与石油公司估值模型</x:v>
      </x:c>
      <x:c r="AD2" s="3" t="str">
        <x:v>煤炭与石油公司估值模型</x:v>
      </x:c>
      <x:c r="AE2" s="3" t="str">
        <x:v>煤炭与石油公司估值模型</x:v>
      </x:c>
      <x:c r="AF2" s="3" t="str">
        <x:v>煤炭与石油公司估值模型</x:v>
      </x:c>
      <x:c r="AG2" s="3" t="str">
        <x:v>煤炭与石油公司估值模型</x:v>
      </x:c>
      <x:c r="AH2" s="3" t="str">
        <x:v>煤炭与石油公司估值模型</x:v>
      </x:c>
      <x:c r="AI2" s="3" t="str">
        <x:v>煤炭与石油公司估值模型</x:v>
      </x:c>
      <x:c r="AJ2" s="3" t="str">
        <x:v>煤炭与石油公司估值模型</x:v>
      </x:c>
      <x:c r="AK2" s="3" t="str">
        <x:v>煤炭与石油公司估值模型</x:v>
      </x:c>
      <x:c r="AL2" s="3" t="str">
        <x:v>煤炭与石油公司估值模型</x:v>
      </x:c>
      <x:c r="AM2" s="3" t="str">
        <x:v>煤炭与石油公司估值模型</x:v>
      </x:c>
      <x:c r="AN2" s="3" t="str">
        <x:v>煤炭与石油公司估值模型</x:v>
      </x:c>
    </x:row>
    <x:row r="3">
      <x:c r="A3" s="143" t="str">
        <x:v>先用10年与近5年中位数归一化，再按周期情景调整，最后用四种方法交叉估值。</x:v>
      </x:c>
      <x:c r="B3" s="143"/>
      <x:c r="C3" s="143"/>
      <x:c r="D3" s="143"/>
      <x:c r="E3" s="143"/>
      <x:c r="F3" s="143"/>
      <x:c r="G3" s="143"/>
      <x:c r="H3" s="143"/>
      <x:c r="I3" s="143"/>
      <x:c r="J3" s="143"/>
      <x:c r="K3" s="143"/>
      <x:c r="L3" s="143"/>
      <x:c r="M3" s="143"/>
      <x:c r="N3" s="143"/>
      <x:c r="O3" s="143"/>
      <x:c r="P3" s="143"/>
      <x:c r="Q3" s="143"/>
      <x:c r="R3" s="143"/>
      <x:c r="S3" s="143"/>
      <x:c r="T3" s="143"/>
      <x:c r="U3" s="143"/>
      <x:c r="V3" s="143"/>
      <x:c r="W3" s="143"/>
      <x:c r="X3" s="143"/>
      <x:c r="Y3" s="143"/>
      <x:c r="Z3" s="143"/>
      <x:c r="AA3" s="143"/>
      <x:c r="AB3" s="143"/>
      <x:c r="AC3" s="143"/>
      <x:c r="AD3" s="143"/>
      <x:c r="AE3" s="143"/>
      <x:c r="AF3" s="143"/>
      <x:c r="AG3" s="143"/>
      <x:c r="AH3" s="143"/>
      <x:c r="AI3" s="143"/>
      <x:c r="AJ3" s="143"/>
      <x:c r="AK3" s="143"/>
      <x:c r="AL3" s="143"/>
      <x:c r="AM3" s="143"/>
      <x:c r="AN3" s="143"/>
    </x:row>
    <x:row r="4">
      <x:c r="A4" s="302"/>
      <x:c r="B4" s="302"/>
      <x:c r="C4" s="302"/>
      <x:c r="D4" s="302"/>
      <x:c r="E4" s="302"/>
      <x:c r="F4" s="302"/>
      <x:c r="G4" s="302"/>
      <x:c r="H4" s="302"/>
      <x:c r="I4" s="302"/>
      <x:c r="J4" s="302"/>
      <x:c r="K4" s="302"/>
      <x:c r="L4" s="302"/>
      <x:c r="M4" s="302"/>
      <x:c r="N4" s="302"/>
      <x:c r="O4" s="302"/>
      <x:c r="P4" s="302"/>
      <x:c r="Q4" s="302"/>
      <x:c r="R4" s="302"/>
      <x:c r="S4" s="302"/>
      <x:c r="T4" s="302"/>
      <x:c r="U4" s="302"/>
      <x:c r="V4" s="302"/>
      <x:c r="W4" s="302"/>
      <x:c r="X4" s="302"/>
      <x:c r="Y4" s="302"/>
      <x:c r="Z4" s="302"/>
      <x:c r="AA4" s="302"/>
      <x:c r="AB4" s="302"/>
      <x:c r="AC4" s="302"/>
      <x:c r="AD4" s="302"/>
      <x:c r="AE4" s="302"/>
      <x:c r="AF4" s="302"/>
      <x:c r="AG4" s="302"/>
      <x:c r="AH4" s="302"/>
      <x:c r="AI4" s="302"/>
      <x:c r="AJ4" s="302"/>
      <x:c r="AK4" s="302"/>
      <x:c r="AL4" s="302"/>
      <x:c r="AM4" s="302"/>
      <x:c r="AN4" s="302"/>
    </x:row>
    <x:row r="5" ht="34" customHeight="1">
      <x:c r="A5" s="19" t="str">
        <x:v>行业</x:v>
      </x:c>
      <x:c r="B5" s="19" t="str">
        <x:v>代码</x:v>
      </x:c>
      <x:c r="C5" s="19" t="str">
        <x:v>公司</x:v>
      </x:c>
      <x:c r="D5" s="19" t="str">
        <x:v>股价</x:v>
      </x:c>
      <x:c r="E5" s="19" t="str">
        <x:v>TTM EPS</x:v>
      </x:c>
      <x:c r="F5" s="19" t="str">
        <x:v>TTM PE</x:v>
      </x:c>
      <x:c r="G5" s="19" t="str">
        <x:v>最新BPS</x:v>
      </x:c>
      <x:c r="H5" s="19" t="str">
        <x:v>PB</x:v>
      </x:c>
      <x:c r="I5" s="19" t="str">
        <x:v>EPS 10年中位</x:v>
      </x:c>
      <x:c r="J5" s="19" t="str">
        <x:v>EPS 5年中位</x:v>
      </x:c>
      <x:c r="K5" s="19" t="str">
        <x:v>归一EPS</x:v>
      </x:c>
      <x:c r="L5" s="19" t="str">
        <x:v>OE 10年中位</x:v>
      </x:c>
      <x:c r="M5" s="19" t="str">
        <x:v>OE 5年中位</x:v>
      </x:c>
      <x:c r="N5" s="19" t="str">
        <x:v>归一OE</x:v>
      </x:c>
      <x:c r="O5" s="19" t="str">
        <x:v>DPS 10年中位</x:v>
      </x:c>
      <x:c r="P5" s="19" t="str">
        <x:v>DPS 5年中位</x:v>
      </x:c>
      <x:c r="Q5" s="19" t="str">
        <x:v>归一DPS</x:v>
      </x:c>
      <x:c r="R5" s="19" t="str">
        <x:v>ROE 10年中位</x:v>
      </x:c>
      <x:c r="S5" s="19" t="str">
        <x:v>ROE 5年中位</x:v>
      </x:c>
      <x:c r="T5" s="19" t="str">
        <x:v>归一ROE</x:v>
      </x:c>
      <x:c r="U5" s="19" t="str">
        <x:v>10年现金转化</x:v>
      </x:c>
      <x:c r="V5" s="19" t="str">
        <x:v>10年资本开支/现金流</x:v>
      </x:c>
      <x:c r="W5" s="19" t="str">
        <x:v>净负债/权益</x:v>
      </x:c>
      <x:c r="X5" s="19" t="str">
        <x:v>盈利系数</x:v>
      </x:c>
      <x:c r="Y5" s="19" t="str">
        <x:v>盈利能力价值</x:v>
      </x:c>
      <x:c r="Z5" s="19" t="str">
        <x:v>OE系数</x:v>
      </x:c>
      <x:c r="AA5" s="19" t="str">
        <x:v>所有者收益价值</x:v>
      </x:c>
      <x:c r="AB5" s="19" t="str">
        <x:v>股息系数</x:v>
      </x:c>
      <x:c r="AC5" s="19" t="str">
        <x:v>股息价值</x:v>
      </x:c>
      <x:c r="AD5" s="19" t="str">
        <x:v>合理PB</x:v>
      </x:c>
      <x:c r="AE5" s="19" t="str">
        <x:v>PB-ROE价值</x:v>
      </x:c>
      <x:c r="AF5" s="19" t="str">
        <x:v>内在价值</x:v>
      </x:c>
      <x:c r="AG5" s="19" t="str">
        <x:v>大买线</x:v>
      </x:c>
      <x:c r="AH5" s="19" t="str">
        <x:v>潜在回报</x:v>
      </x:c>
      <x:c r="AI5" s="19" t="str">
        <x:v>当前安全边际</x:v>
      </x:c>
      <x:c r="AJ5" s="19" t="str">
        <x:v>归一股息率</x:v>
      </x:c>
      <x:c r="AK5" s="19" t="str">
        <x:v>结论</x:v>
      </x:c>
      <x:c r="AL5" s="19" t="str">
        <x:v>周期位置</x:v>
      </x:c>
      <x:c r="AM5" s="19" t="str">
        <x:v>最好的一点</x:v>
      </x:c>
      <x:c r="AN5" s="19" t="str">
        <x:v>最坏的一点</x:v>
      </x:c>
    </x:row>
    <x:row r="6" ht="38" customHeight="1">
      <x:c r="A6" s="226" t="str">
        <x:f>'原始数据'!A5</x:f>
        <x:v>煤炭</x:v>
      </x:c>
      <x:c r="B6" s="226" t="str">
        <x:f>'原始数据'!B5</x:f>
        <x:v>601088</x:v>
      </x:c>
      <x:c r="C6" s="226" t="str">
        <x:f>'原始数据'!C5</x:f>
        <x:v>中国神华</x:v>
      </x:c>
      <x:c r="D6" s="229" t="n">
        <x:f>'原始数据'!E5</x:f>
        <x:v>48.4</x:v>
      </x:c>
      <x:c r="E6" s="229" t="n">
        <x:f>'原始数据'!K5</x:f>
        <x:v>2.488815486997037</x:v>
      </x:c>
      <x:c r="F6" s="232" t="n">
        <x:f>IF(E6&gt;0,D6/E6,"n.a.")</x:f>
        <x:v>19.447002099138583</x:v>
      </x:c>
      <x:c r="G6" s="235" t="n">
        <x:f>'原始数据'!L5</x:f>
        <x:v>25.359398142466187</x:v>
      </x:c>
      <x:c r="H6" s="238" t="n">
        <x:f>IF(G6&gt;0,D6/G6,"n.a.")</x:f>
        <x:v>1.9085626452210875</x:v>
      </x:c>
      <x:c r="I6" s="235" t="n">
        <x:f>MEDIAN('周期归一化'!$E$6:$E$15)</x:f>
        <x:v>2.1927957794283652</x:v>
      </x:c>
      <x:c r="J6" s="235" t="n">
        <x:f>MEDIAN('周期归一化'!$E$11:$E$15)</x:f>
        <x:v>2.5729117328665576</x:v>
      </x:c>
      <x:c r="K6" s="235" t="n">
        <x:f>CHOOSE('参数设置'!$B$4,I6,I6*60%+J6*40%,J6)</x:f>
        <x:v>2.3448421608036423</x:v>
      </x:c>
      <x:c r="L6" s="235" t="n">
        <x:f>MEDIAN('周期归一化'!$J$6:$J$15)</x:f>
        <x:v>3.031621252928368</x:v>
      </x:c>
      <x:c r="M6" s="235" t="n">
        <x:f>MEDIAN('周期归一化'!$J$11:$J$15)</x:f>
        <x:v>2.9825766358539694</x:v>
      </x:c>
      <x:c r="N6" s="235" t="n">
        <x:f>CHOOSE('参数设置'!$B$4,L6,L6*60%+M6*40%,M6)</x:f>
        <x:v>3.0120034060986085</x:v>
      </x:c>
      <x:c r="O6" s="235" t="n">
        <x:f>MEDIAN('周期归一化'!$M$6:$M$15)</x:f>
        <x:v>1.9100000000000001</x:v>
      </x:c>
      <x:c r="P6" s="235" t="n">
        <x:f>MEDIAN('周期归一化'!$M$11:$M$15)</x:f>
        <x:v>2.2600000000000002</x:v>
      </x:c>
      <x:c r="Q6" s="235" t="n">
        <x:f>CHOOSE('参数设置'!$B$4,O6,O6*60%+P6*40%,P6)</x:f>
        <x:v>2.0500000000000003</x:v>
      </x:c>
      <x:c r="R6" s="241" t="n">
        <x:f>MEDIAN('周期归一化'!$F$6:$F$15)</x:f>
        <x:v>0.13575</x:v>
      </x:c>
      <x:c r="S6" s="241" t="n">
        <x:f>MEDIAN('周期归一化'!$F$11:$F$15)</x:f>
        <x:v>0.136</x:v>
      </x:c>
      <x:c r="T6" s="241" t="n">
        <x:f>CHOOSE('参数设置'!$B$4,R6,R6*60%+S6*40%,S6)</x:f>
        <x:v>0.13585000000000003</x:v>
      </x:c>
      <x:c r="U6" s="241" t="n">
        <x:f>SUM('原始数据'!$J$16:$J$25)/SUM('原始数据'!$F$16:$F$25)</x:f>
        <x:v>1.803702843299123</x:v>
      </x:c>
      <x:c r="V6" s="241" t="n">
        <x:f>SUM('原始数据'!$K$16:$K$25)/SUM('原始数据'!$J$16:$J$25)</x:f>
        <x:v>0.32826238451507256</x:v>
      </x:c>
      <x:c r="W6" s="241" t="n">
        <x:f>'原始数据'!Q5</x:f>
        <x:v>0.060318418416133564</x:v>
      </x:c>
      <x:c r="X6" s="241" t="n">
        <x:f>IF(A6="煤炭",'参数设置'!$B$7,'参数设置'!$B$10)</x:f>
        <x:v>1</x:v>
      </x:c>
      <x:c r="Y6" s="235" t="n">
        <x:f>K6*X6*VLOOKUP(C6,'参数设置'!$A$27:$O$34,3,FALSE)</x:f>
        <x:v>25.793263768840063</x:v>
      </x:c>
      <x:c r="Z6" s="241" t="n">
        <x:f>IF(A6="煤炭",'参数设置'!$B$8,'参数设置'!$B$11)</x:f>
        <x:v>1</x:v>
      </x:c>
      <x:c r="AA6" s="235" t="n">
        <x:f>N6*Z6*VLOOKUP(C6,'参数设置'!$A$27:$O$34,4,FALSE)</x:f>
        <x:v>30.120034060986086</x:v>
      </x:c>
      <x:c r="AB6" s="241" t="n">
        <x:f>IF(A6="煤炭",'参数设置'!$B$9,'参数设置'!$B$12)</x:f>
        <x:v>1</x:v>
      </x:c>
      <x:c r="AC6" s="235" t="n">
        <x:f>Q6*AB6/VLOOKUP(C6,'参数设置'!$A$27:$O$34,5,FALSE)</x:f>
        <x:v>37.27272727272728</x:v>
      </x:c>
      <x:c r="AD6" s="238" t="n">
        <x:f>MAX(0.5,MIN(VLOOKUP(C6,'参数设置'!$A$27:$O$34,8,FALSE),(T6-VLOOKUP(C6,'参数设置'!$A$27:$O$34,7,FALSE))/(VLOOKUP(C6,'参数设置'!$A$27:$O$34,6,FALSE)-VLOOKUP(C6,'参数设置'!$A$27:$O$34,7,FALSE))))</x:f>
        <x:v>1.573125</x:v>
      </x:c>
      <x:c r="AE6" s="235" t="n">
        <x:f>G6*AD6</x:f>
        <x:v>39.89350320286712</x:v>
      </x:c>
      <x:c r="AF6" s="235" t="n">
        <x:f>Y6*'参数设置'!$B$21+AA6*'参数设置'!$C$21+AC6*'参数设置'!$D$21+AE6*'参数设置'!$E$21</x:f>
        <x:v>31.502223472365372</x:v>
      </x:c>
      <x:c r="AG6" s="235" t="n">
        <x:f>AF6*(1-VLOOKUP(C6,'参数设置'!$A$27:$O$34,10,FALSE))</x:f>
        <x:v>22.051556430655758</x:v>
      </x:c>
      <x:c r="AH6" s="241" t="n">
        <x:f>AF6/D6-1</x:f>
        <x:v>-0.34912761420732696</x:v>
      </x:c>
      <x:c r="AI6" s="241" t="n">
        <x:f>1-D6/AF6</x:f>
        <x:v>-0.536399487561817</x:v>
      </x:c>
      <x:c r="AJ6" s="241" t="n">
        <x:f>Q6/D6</x:f>
        <x:v>0.04235537190082645</x:v>
      </x:c>
      <x:c r="AK6" s="92" t="str">
        <x:f>IF(D6&lt;=AG6,"达到安全边际",IF(D6&lt;=AF6*85%,"小仓观察",IF(D6&lt;=AF6,"接近合理",IF(D6&lt;=AF6*120%,"偏贵","高估等待"))))</x:f>
        <x:v>高估等待</x:v>
      </x:c>
      <x:c r="AL6" s="92" t="str">
        <x:f>IF(A6="煤炭",IF('参数设置'!$B$16&gt;'参数设置'!$E$16*105%,"高位：不外推现价","接近H2假设"),IF('参数设置'!$B$17&gt;'参数设置'!$E$17*105%,"高位：按中期回落","接近H2假设"))</x:f>
        <x:v>高位：不外推现价</x:v>
      </x:c>
      <x:c r="AM6" s="92" t="str">
        <x:f>VLOOKUP(C6,'参数设置'!$A$27:$O$34,14,FALSE)</x:f>
        <x:v>一体化平滑煤价波动，现金流和资产负债表较强</x:v>
      </x:c>
      <x:c r="AN6" s="92" t="str">
        <x:f>VLOOKUP(C6,'参数设置'!$A$27:$O$34,15,FALSE)</x:f>
        <x:v>当前煤价高于中枢；新资产并表改变历史可比性</x:v>
      </x:c>
    </x:row>
    <x:row r="7" ht="38" customHeight="1">
      <x:c r="A7" s="227" t="str">
        <x:f>'原始数据'!A6</x:f>
        <x:v>煤炭</x:v>
      </x:c>
      <x:c r="B7" s="227" t="str">
        <x:f>'原始数据'!B6</x:f>
        <x:v>601225</x:v>
      </x:c>
      <x:c r="C7" s="227" t="str">
        <x:f>'原始数据'!C6</x:f>
        <x:v>陕西煤业</x:v>
      </x:c>
      <x:c r="D7" s="230" t="n">
        <x:f>'原始数据'!E6</x:f>
        <x:v>26.97</x:v>
      </x:c>
      <x:c r="E7" s="230" t="n">
        <x:f>'原始数据'!K6</x:f>
        <x:v>2.104046129011862</x:v>
      </x:c>
      <x:c r="F7" s="233" t="n">
        <x:f>IF(E7&gt;0,D7/E7,"n.a.")</x:f>
        <x:v>12.818160033718515</x:v>
      </x:c>
      <x:c r="G7" s="236" t="n">
        <x:f>'原始数据'!L6</x:f>
        <x:v>15.333905831566788</x:v>
      </x:c>
      <x:c r="H7" s="239" t="n">
        <x:f>IF(G7&gt;0,D7/G7,"n.a.")</x:f>
        <x:v>1.7588473736729775</x:v>
      </x:c>
      <x:c r="I7" s="236" t="n">
        <x:f>MEDIAN('周期归一化'!$E$16:$E$25)</x:f>
        <x:v>1.6309887131191334</x:v>
      </x:c>
      <x:c r="J7" s="236" t="n">
        <x:f>MEDIAN('周期归一化'!$E$21:$E$25)</x:f>
        <x:v>2.3063214609757607</x:v>
      </x:c>
      <x:c r="K7" s="236" t="n">
        <x:f>CHOOSE('参数设置'!$B$4,I7,I7*60%+J7*40%,J7)</x:f>
        <x:v>1.9011218122617843</x:v>
      </x:c>
      <x:c r="L7" s="236" t="n">
        <x:f>MEDIAN('周期归一化'!$J$16:$J$25)</x:f>
        <x:v>2.1178096002894016</x:v>
      </x:c>
      <x:c r="M7" s="236" t="n">
        <x:f>MEDIAN('周期归一化'!$J$21:$J$25)</x:f>
        <x:v>3.461873974548169</x:v>
      </x:c>
      <x:c r="N7" s="236" t="n">
        <x:f>CHOOSE('参数设置'!$B$4,L7,L7*60%+M7*40%,M7)</x:f>
        <x:v>2.6554353499929086</x:v>
      </x:c>
      <x:c r="O7" s="236" t="n">
        <x:f>MEDIAN('周期归一化'!$M$16:$M$25)</x:f>
        <x:v>0.8740000000000001</x:v>
      </x:c>
      <x:c r="P7" s="236" t="n">
        <x:f>MEDIAN('周期归一化'!$M$21:$M$25)</x:f>
        <x:v>1.3479999999999996</x:v>
      </x:c>
      <x:c r="Q7" s="236" t="n">
        <x:f>CHOOSE('参数设置'!$B$4,O7,O7*60%+P7*40%,P7)</x:f>
        <x:v>1.0636</x:v>
      </x:c>
      <x:c r="R7" s="242" t="n">
        <x:f>MEDIAN('周期归一化'!$F$16:$F$25)</x:f>
        <x:v>0.21295</x:v>
      </x:c>
      <x:c r="S7" s="242" t="n">
        <x:f>MEDIAN('周期归一化'!$F$21:$F$25)</x:f>
        <x:v>0.2132</x:v>
      </x:c>
      <x:c r="T7" s="242" t="n">
        <x:f>CHOOSE('参数设置'!$B$4,R7,R7*60%+S7*40%,S7)</x:f>
        <x:v>0.21305000000000002</x:v>
      </x:c>
      <x:c r="U7" s="242" t="n">
        <x:f>SUM('原始数据'!$J$26:$J$35)/SUM('原始数据'!$F$26:$F$35)</x:f>
        <x:v>1.8509681287224775</x:v>
      </x:c>
      <x:c r="V7" s="242" t="n">
        <x:f>SUM('原始数据'!$K$26:$K$35)/SUM('原始数据'!$J$26:$J$35)</x:f>
        <x:v>0.27763808468692197</x:v>
      </x:c>
      <x:c r="W7" s="242" t="n">
        <x:f>'原始数据'!Q6</x:f>
        <x:v>-0.1075273820193009</x:v>
      </x:c>
      <x:c r="X7" s="242" t="n">
        <x:f>IF(A7="煤炭",'参数设置'!$B$7,'参数设置'!$B$10)</x:f>
        <x:v>1</x:v>
      </x:c>
      <x:c r="Y7" s="236" t="n">
        <x:f>K7*X7*VLOOKUP(C7,'参数设置'!$A$27:$O$34,3,FALSE)</x:f>
        <x:v>18.060657216486952</x:v>
      </x:c>
      <x:c r="Z7" s="242" t="n">
        <x:f>IF(A7="煤炭",'参数设置'!$B$8,'参数设置'!$B$11)</x:f>
        <x:v>1</x:v>
      </x:c>
      <x:c r="AA7" s="236" t="n">
        <x:f>N7*Z7*VLOOKUP(C7,'参数设置'!$A$27:$O$34,4,FALSE)</x:f>
        <x:v>22.571200474939722</x:v>
      </x:c>
      <x:c r="AB7" s="242" t="n">
        <x:f>IF(A7="煤炭",'参数设置'!$B$9,'参数设置'!$B$12)</x:f>
        <x:v>1</x:v>
      </x:c>
      <x:c r="AC7" s="236" t="n">
        <x:f>Q7*AB7/VLOOKUP(C7,'参数设置'!$A$27:$O$34,5,FALSE)</x:f>
        <x:v>17.72666666666667</x:v>
      </x:c>
      <x:c r="AD7" s="239" t="n">
        <x:f>MAX(0.5,MIN(VLOOKUP(C7,'参数设置'!$A$27:$O$34,8,FALSE),(T7-VLOOKUP(C7,'参数设置'!$A$27:$O$34,7,FALSE))/(VLOOKUP(C7,'参数设置'!$A$27:$O$34,6,FALSE)-VLOOKUP(C7,'参数设置'!$A$27:$O$34,7,FALSE))))</x:f>
        <x:v>2</x:v>
      </x:c>
      <x:c r="AE7" s="236" t="n">
        <x:f>G7*AD7</x:f>
        <x:v>30.667811663133577</x:v>
      </x:c>
      <x:c r="AF7" s="236" t="n">
        <x:f>Y7*'参数设置'!$B$21+AA7*'参数设置'!$C$21+AC7*'参数设置'!$D$21+AE7*'参数设置'!$E$21</x:f>
        <x:v>21.23809525105572</x:v>
      </x:c>
      <x:c r="AG7" s="236" t="n">
        <x:f>AF7*(1-VLOOKUP(C7,'参数设置'!$A$27:$O$34,10,FALSE))</x:f>
        <x:v>13.80476191318622</x:v>
      </x:c>
      <x:c r="AH7" s="242" t="n">
        <x:f>AF7/D7-1</x:f>
        <x:v>-0.21252891171465615</x:v>
      </x:c>
      <x:c r="AI7" s="242" t="n">
        <x:f>1-D7/AF7</x:f>
        <x:v>-0.2698878916017362</x:v>
      </x:c>
      <x:c r="AJ7" s="242" t="n">
        <x:f>Q7/D7</x:f>
        <x:v>0.039436410826844646</x:v>
      </x:c>
      <x:c r="AK7" s="93" t="str">
        <x:f>IF(D7&lt;=AG7,"达到安全边际",IF(D7&lt;=AF7*85%,"小仓观察",IF(D7&lt;=AF7,"接近合理",IF(D7&lt;=AF7*120%,"偏贵","高估等待"))))</x:f>
        <x:v>高估等待</x:v>
      </x:c>
      <x:c r="AL7" s="93" t="str">
        <x:f>IF(A7="煤炭",IF('参数设置'!$B$16&gt;'参数设置'!$E$16*105%,"高位：不外推现价","接近H2假设"),IF('参数设置'!$B$17&gt;'参数设置'!$E$17*105%,"高位：按中期回落","接近H2假设"))</x:f>
        <x:v>高位：不外推现价</x:v>
      </x:c>
      <x:c r="AM7" s="93" t="str">
        <x:f>VLOOKUP(C7,'参数设置'!$A$27:$O$34,14,FALSE)</x:f>
        <x:v>吨煤成本和净现金能力突出，股东回报较好</x:v>
      </x:c>
      <x:c r="AN7" s="93" t="str">
        <x:f>VLOOKUP(C7,'参数设置'!$A$27:$O$34,15,FALSE)</x:f>
        <x:v>利润对煤价敏感；投资收益会放大报表波动</x:v>
      </x:c>
    </x:row>
    <x:row r="8" ht="38" customHeight="1">
      <x:c r="A8" s="227" t="str">
        <x:f>'原始数据'!A7</x:f>
        <x:v>煤炭</x:v>
      </x:c>
      <x:c r="B8" s="227" t="str">
        <x:f>'原始数据'!B7</x:f>
        <x:v>600188</x:v>
      </x:c>
      <x:c r="C8" s="227" t="str">
        <x:f>'原始数据'!C7</x:f>
        <x:v>兖矿能源</x:v>
      </x:c>
      <x:c r="D8" s="230" t="n">
        <x:f>'原始数据'!E7</x:f>
        <x:v>20.48</x:v>
      </x:c>
      <x:c r="E8" s="230" t="n">
        <x:f>'原始数据'!K7</x:f>
        <x:v>1.0652252298524971</x:v>
      </x:c>
      <x:c r="F8" s="233" t="n">
        <x:f>IF(E8&gt;0,D8/E8,"n.a.")</x:f>
        <x:v>19.225980971963917</x:v>
      </x:c>
      <x:c r="G8" s="236" t="n">
        <x:f>'原始数据'!L7</x:f>
        <x:v>18.08869500499022</x:v>
      </x:c>
      <x:c r="H8" s="239" t="n">
        <x:f>IF(G8&gt;0,D8/G8,"n.a.")</x:f>
        <x:v>1.1321988675440697</x:v>
      </x:c>
      <x:c r="I8" s="236" t="n">
        <x:f>MEDIAN('周期归一化'!$E$26:$E$35)</x:f>
        <x:v>0.9115936930990041</x:v>
      </x:c>
      <x:c r="J8" s="236" t="n">
        <x:f>MEDIAN('周期归一化'!$E$31:$E$35)</x:f>
        <x:v>1.6199210636563712</x:v>
      </x:c>
      <x:c r="K8" s="236" t="n">
        <x:f>CHOOSE('参数设置'!$B$4,I8,I8*60%+J8*40%,J8)</x:f>
        <x:v>1.194924641321951</x:v>
      </x:c>
      <x:c r="L8" s="236" t="n">
        <x:f>MEDIAN('周期归一化'!$J$26:$J$35)</x:f>
        <x:v>1.329660651906274</x:v>
      </x:c>
      <x:c r="M8" s="236" t="n">
        <x:f>MEDIAN('周期归一化'!$J$31:$J$35)</x:f>
        <x:v>1.2819134599535524</x:v>
      </x:c>
      <x:c r="N8" s="236" t="n">
        <x:f>CHOOSE('参数设置'!$B$4,L8,L8*60%+M8*40%,M8)</x:f>
        <x:v>1.3105617751251852</x:v>
      </x:c>
      <x:c r="O8" s="236" t="n">
        <x:f>MEDIAN('周期归一化'!$M$26:$M$35)</x:f>
        <x:v>0.685</x:v>
      </x:c>
      <x:c r="P8" s="236" t="n">
        <x:f>MEDIAN('周期归一化'!$M$31:$M$35)</x:f>
        <x:v>1.49</x:v>
      </x:c>
      <x:c r="Q8" s="236" t="n">
        <x:f>CHOOSE('参数设置'!$B$4,O8,O8*60%+P8*40%,P8)</x:f>
        <x:v>1.0070000000000001</x:v>
      </x:c>
      <x:c r="R8" s="242" t="n">
        <x:f>MEDIAN('周期归一化'!$F$26:$F$35)</x:f>
        <x:v>0.1607</x:v>
      </x:c>
      <x:c r="S8" s="242" t="n">
        <x:f>MEDIAN('周期归一化'!$F$31:$F$35)</x:f>
        <x:v>0.2175</x:v>
      </x:c>
      <x:c r="T8" s="242" t="n">
        <x:f>CHOOSE('参数设置'!$B$4,R8,R8*60%+S8*40%,S8)</x:f>
        <x:v>0.18342000000000003</x:v>
      </x:c>
      <x:c r="U8" s="242" t="n">
        <x:f>SUM('原始数据'!$J$36:$J$45)/SUM('原始数据'!$F$36:$F$45)</x:f>
        <x:v>1.9835986517907214</x:v>
      </x:c>
      <x:c r="V8" s="242" t="n">
        <x:f>SUM('原始数据'!$K$36:$K$45)/SUM('原始数据'!$J$36:$J$45)</x:f>
        <x:v>0.5544070773569112</x:v>
      </x:c>
      <x:c r="W8" s="242" t="n">
        <x:f>'原始数据'!Q7</x:f>
        <x:v>0.4133061178549634</x:v>
      </x:c>
      <x:c r="X8" s="242" t="n">
        <x:f>IF(A8="煤炭",'参数设置'!$B$7,'参数设置'!$B$10)</x:f>
        <x:v>1</x:v>
      </x:c>
      <x:c r="Y8" s="236" t="n">
        <x:f>K8*X8*VLOOKUP(C8,'参数设置'!$A$27:$O$34,3,FALSE)</x:f>
        <x:v>10.156859451236583</x:v>
      </x:c>
      <x:c r="Z8" s="242" t="n">
        <x:f>IF(A8="煤炭",'参数设置'!$B$8,'参数设置'!$B$11)</x:f>
        <x:v>1</x:v>
      </x:c>
      <x:c r="AA8" s="236" t="n">
        <x:f>N8*Z8*VLOOKUP(C8,'参数设置'!$A$27:$O$34,4,FALSE)</x:f>
        <x:v>10.484494201001482</x:v>
      </x:c>
      <x:c r="AB8" s="242" t="n">
        <x:f>IF(A8="煤炭",'参数设置'!$B$9,'参数设置'!$B$12)</x:f>
        <x:v>1</x:v>
      </x:c>
      <x:c r="AC8" s="236" t="n">
        <x:f>Q8*AB8/VLOOKUP(C8,'参数设置'!$A$27:$O$34,5,FALSE)</x:f>
        <x:v>15.492307692307694</x:v>
      </x:c>
      <x:c r="AD8" s="239" t="n">
        <x:f>MAX(0.5,MIN(VLOOKUP(C8,'参数设置'!$A$27:$O$34,8,FALSE),(T8-VLOOKUP(C8,'参数设置'!$A$27:$O$34,7,FALSE))/(VLOOKUP(C8,'参数设置'!$A$27:$O$34,6,FALSE)-VLOOKUP(C8,'参数设置'!$A$27:$O$34,7,FALSE))))</x:f>
        <x:v>1.6</x:v>
      </x:c>
      <x:c r="AE8" s="236" t="n">
        <x:f>G8*AD8</x:f>
        <x:v>28.941912007984357</x:v>
      </x:c>
      <x:c r="AF8" s="236" t="n">
        <x:f>Y8*'参数设置'!$B$21+AA8*'参数设置'!$C$21+AC8*'参数设置'!$D$21+AE8*'参数设置'!$E$21</x:f>
        <x:v>14.13999740789244</x:v>
      </x:c>
      <x:c r="AG8" s="236" t="n">
        <x:f>AF8*(1-VLOOKUP(C8,'参数设置'!$A$27:$O$34,10,FALSE))</x:f>
        <x:v>8.483998444735464</x:v>
      </x:c>
      <x:c r="AH8" s="242" t="n">
        <x:f>AF8/D8-1</x:f>
        <x:v>-0.30957043906775195</x:v>
      </x:c>
      <x:c r="AI8" s="242" t="n">
        <x:f>1-D8/AF8</x:f>
        <x:v>-0.44837367428149566</x:v>
      </x:c>
      <x:c r="AJ8" s="242" t="n">
        <x:f>Q8/D8</x:f>
        <x:v>0.049169921875</x:v>
      </x:c>
      <x:c r="AK8" s="93" t="str">
        <x:f>IF(D8&lt;=AG8,"达到安全边际",IF(D8&lt;=AF8*85%,"小仓观察",IF(D8&lt;=AF8,"接近合理",IF(D8&lt;=AF8*120%,"偏贵","高估等待"))))</x:f>
        <x:v>高估等待</x:v>
      </x:c>
      <x:c r="AL8" s="93" t="str">
        <x:f>IF(A8="煤炭",IF('参数设置'!$B$16&gt;'参数设置'!$E$16*105%,"高位：不外推现价","接近H2假设"),IF('参数设置'!$B$17&gt;'参数设置'!$E$17*105%,"高位：按中期回落","接近H2假设"))</x:f>
        <x:v>高位：不外推现价</x:v>
      </x:c>
      <x:c r="AM8" s="93" t="str">
        <x:f>VLOOKUP(C8,'参数设置'!$A$27:$O$34,14,FALSE)</x:f>
        <x:v>资源规模大、海外资产带来多区域配置</x:v>
      </x:c>
      <x:c r="AN8" s="93" t="str">
        <x:f>VLOOKUP(C8,'参数设置'!$A$27:$O$34,15,FALSE)</x:f>
        <x:v>负债和资本开支高于优质同业；煤化工拖累风险</x:v>
      </x:c>
    </x:row>
    <x:row r="9" ht="38" customHeight="1">
      <x:c r="A9" s="227" t="str">
        <x:f>'原始数据'!A8</x:f>
        <x:v>煤炭</x:v>
      </x:c>
      <x:c r="B9" s="227" t="str">
        <x:f>'原始数据'!B8</x:f>
        <x:v>601898</x:v>
      </x:c>
      <x:c r="C9" s="227" t="str">
        <x:f>'原始数据'!C8</x:f>
        <x:v>中煤能源</x:v>
      </x:c>
      <x:c r="D9" s="230" t="n">
        <x:f>'原始数据'!E8</x:f>
        <x:v>14.39</x:v>
      </x:c>
      <x:c r="E9" s="230" t="n">
        <x:f>'原始数据'!K8</x:f>
        <x:v>1.3826567163625256</x:v>
      </x:c>
      <x:c r="F9" s="233" t="n">
        <x:f>IF(E9&gt;0,D9/E9,"n.a.")</x:f>
        <x:v>10.407500162337486</x:v>
      </x:c>
      <x:c r="G9" s="236" t="n">
        <x:f>'原始数据'!L8</x:f>
        <x:v>15.573710620031276</x:v>
      </x:c>
      <x:c r="H9" s="239" t="n">
        <x:f>IF(G9&gt;0,D9/G9,"n.a.")</x:f>
        <x:v>0.9239930258811436</x:v>
      </x:c>
      <x:c r="I9" s="236" t="n">
        <x:f>MEDIAN('周期归一化'!$E$36:$E$45)</x:f>
        <x:v>0.7408877277931348</x:v>
      </x:c>
      <x:c r="J9" s="236" t="n">
        <x:f>MEDIAN('周期归一化'!$E$41:$E$45)</x:f>
        <x:v>1.377141454545109</x:v>
      </x:c>
      <x:c r="K9" s="236" t="n">
        <x:f>CHOOSE('参数设置'!$B$4,I9,I9*60%+J9*40%,J9)</x:f>
        <x:v>0.9953892184939246</x:v>
      </x:c>
      <x:c r="L9" s="236" t="n">
        <x:f>MEDIAN('周期归一化'!$J$36:$J$45)</x:f>
        <x:v>1.1902514415593353</x:v>
      </x:c>
      <x:c r="M9" s="236" t="n">
        <x:f>MEDIAN('周期归一化'!$J$41:$J$45)</x:f>
        <x:v>2.3789460255850523</x:v>
      </x:c>
      <x:c r="N9" s="236" t="n">
        <x:f>CHOOSE('参数设置'!$B$4,L9,L9*60%+M9*40%,M9)</x:f>
        <x:v>1.665729275169622</x:v>
      </x:c>
      <x:c r="O9" s="236" t="n">
        <x:f>MEDIAN('周期归一化'!$M$36:$M$45)</x:f>
        <x:v>0.2175</x:v>
      </x:c>
      <x:c r="P9" s="236" t="n">
        <x:f>MEDIAN('周期归一化'!$M$41:$M$45)</x:f>
        <x:v>0.413</x:v>
      </x:c>
      <x:c r="Q9" s="236" t="n">
        <x:f>CHOOSE('参数设置'!$B$4,O9,O9*60%+P9*40%,P9)</x:f>
        <x:v>0.2957</x:v>
      </x:c>
      <x:c r="R9" s="242" t="n">
        <x:f>MEDIAN('周期归一化'!$F$36:$F$45)</x:f>
        <x:v>0.0868</x:v>
      </x:c>
      <x:c r="S9" s="242" t="n">
        <x:f>MEDIAN('周期归一化'!$F$41:$F$45)</x:f>
        <x:v>0.1298</x:v>
      </x:c>
      <x:c r="T9" s="242" t="n">
        <x:f>CHOOSE('参数设置'!$B$4,R9,R9*60%+S9*40%,S9)</x:f>
        <x:v>0.10400000000000001</x:v>
      </x:c>
      <x:c r="U9" s="242" t="n">
        <x:f>SUM('原始数据'!$J$46:$J$55)/SUM('原始数据'!$F$46:$F$55)</x:f>
        <x:v>2.7179373375346927</x:v>
      </x:c>
      <x:c r="V9" s="242" t="n">
        <x:f>SUM('原始数据'!$K$46:$K$55)/SUM('原始数据'!$J$46:$J$55)</x:f>
        <x:v>0.42929905839202614</x:v>
      </x:c>
      <x:c r="W9" s="242" t="n">
        <x:f>'原始数据'!Q8</x:f>
        <x:v>-0.08584095101470221</x:v>
      </x:c>
      <x:c r="X9" s="242" t="n">
        <x:f>IF(A9="煤炭",'参数设置'!$B$7,'参数设置'!$B$10)</x:f>
        <x:v>1</x:v>
      </x:c>
      <x:c r="Y9" s="236" t="n">
        <x:f>K9*X9*VLOOKUP(C9,'参数设置'!$A$27:$O$34,3,FALSE)</x:f>
        <x:v>8.958502966445321</x:v>
      </x:c>
      <x:c r="Z9" s="242" t="n">
        <x:f>IF(A9="煤炭",'参数设置'!$B$8,'参数设置'!$B$11)</x:f>
        <x:v>1</x:v>
      </x:c>
      <x:c r="AA9" s="236" t="n">
        <x:f>N9*Z9*VLOOKUP(C9,'参数设置'!$A$27:$O$34,4,FALSE)</x:f>
        <x:v>14.158698838941786</x:v>
      </x:c>
      <x:c r="AB9" s="242" t="n">
        <x:f>IF(A9="煤炭",'参数设置'!$B$9,'参数设置'!$B$12)</x:f>
        <x:v>1</x:v>
      </x:c>
      <x:c r="AC9" s="236" t="n">
        <x:f>Q9*AB9/VLOOKUP(C9,'参数设置'!$A$27:$O$34,5,FALSE)</x:f>
        <x:v>4.549230769230769</x:v>
      </x:c>
      <x:c r="AD9" s="239" t="n">
        <x:f>MAX(0.5,MIN(VLOOKUP(C9,'参数设置'!$A$27:$O$34,8,FALSE),(T9-VLOOKUP(C9,'参数设置'!$A$27:$O$34,7,FALSE))/(VLOOKUP(C9,'参数设置'!$A$27:$O$34,6,FALSE)-VLOOKUP(C9,'参数设置'!$A$27:$O$34,7,FALSE))))</x:f>
        <x:v>1.1</x:v>
      </x:c>
      <x:c r="AE9" s="236" t="n">
        <x:f>G9*AD9</x:f>
        <x:v>17.131081682034406</x:v>
      </x:c>
      <x:c r="AF9" s="236" t="n">
        <x:f>Y9*'参数设置'!$B$21+AA9*'参数设置'!$C$21+AC9*'参数设置'!$D$21+AE9*'参数设置'!$E$21</x:f>
        <x:v>10.862594096089714</x:v>
      </x:c>
      <x:c r="AG9" s="236" t="n">
        <x:f>AF9*(1-VLOOKUP(C9,'参数设置'!$A$27:$O$34,10,FALSE))</x:f>
        <x:v>7.060686162458314</x:v>
      </x:c>
      <x:c r="AH9" s="242" t="n">
        <x:f>AF9/D9-1</x:f>
        <x:v>-0.24512897177972803</x:v>
      </x:c>
      <x:c r="AI9" s="242" t="n">
        <x:f>1-D9/AF9</x:f>
        <x:v>-0.3247296062714957</x:v>
      </x:c>
      <x:c r="AJ9" s="242" t="n">
        <x:f>Q9/D9</x:f>
        <x:v>0.020548992355802643</x:v>
      </x:c>
      <x:c r="AK9" s="93" t="str">
        <x:f>IF(D9&lt;=AG9,"达到安全边际",IF(D9&lt;=AF9*85%,"小仓观察",IF(D9&lt;=AF9,"接近合理",IF(D9&lt;=AF9*120%,"偏贵","高估等待"))))</x:f>
        <x:v>高估等待</x:v>
      </x:c>
      <x:c r="AL9" s="93" t="str">
        <x:f>IF(A9="煤炭",IF('参数设置'!$B$16&gt;'参数设置'!$E$16*105%,"高位：不外推现价","接近H2假设"),IF('参数设置'!$B$17&gt;'参数设置'!$E$17*105%,"高位：按中期回落","接近H2假设"))</x:f>
        <x:v>高位：不外推现价</x:v>
      </x:c>
      <x:c r="AM9" s="93" t="str">
        <x:f>VLOOKUP(C9,'参数设置'!$A$27:$O$34,14,FALSE)</x:f>
        <x:v>规模大、资产负债表改善，估值通常较低</x:v>
      </x:c>
      <x:c r="AN9" s="93" t="str">
        <x:f>VLOOKUP(C9,'参数设置'!$A$27:$O$34,15,FALSE)</x:f>
        <x:v>资本开支上行，煤化工和低效资产压低回报</x:v>
      </x:c>
    </x:row>
    <x:row r="10" ht="38" customHeight="1">
      <x:c r="A10" s="227" t="str">
        <x:f>'原始数据'!A9</x:f>
        <x:v>煤炭</x:v>
      </x:c>
      <x:c r="B10" s="227" t="str">
        <x:f>'原始数据'!B9</x:f>
        <x:v>601699</x:v>
      </x:c>
      <x:c r="C10" s="227" t="str">
        <x:f>'原始数据'!C9</x:f>
        <x:v>潞安环能</x:v>
      </x:c>
      <x:c r="D10" s="230" t="n">
        <x:f>'原始数据'!E9</x:f>
        <x:v>15.52</x:v>
      </x:c>
      <x:c r="E10" s="230" t="n">
        <x:f>'原始数据'!K9</x:f>
        <x:v>0.5163600688264246</x:v>
      </x:c>
      <x:c r="F10" s="233" t="n">
        <x:f>IF(E10&gt;0,D10/E10,"n.a.")</x:f>
        <x:v>30.056545687728377</x:v>
      </x:c>
      <x:c r="G10" s="236" t="n">
        <x:f>'原始数据'!L9</x:f>
        <x:v>16.072575805737312</x:v>
      </x:c>
      <x:c r="H10" s="239" t="n">
        <x:f>IF(G10&gt;0,D10/G10,"n.a.")</x:f>
        <x:v>0.9656199595873075</x:v>
      </x:c>
      <x:c r="I10" s="236" t="n">
        <x:f>MEDIAN('周期归一化'!$E$46:$E$55)</x:f>
        <x:v>0.8070155898614606</x:v>
      </x:c>
      <x:c r="J10" s="236" t="n">
        <x:f>MEDIAN('周期归一化'!$E$51:$E$55)</x:f>
        <x:v>2.2501480374901566</x:v>
      </x:c>
      <x:c r="K10" s="236" t="n">
        <x:f>CHOOSE('参数设置'!$B$4,I10,I10*60%+J10*40%,J10)</x:f>
        <x:v>1.384268568912939</x:v>
      </x:c>
      <x:c r="L10" s="236" t="n">
        <x:f>MEDIAN('周期归一化'!$J$46:$J$55)</x:f>
        <x:v>1.400816563097837</x:v>
      </x:c>
      <x:c r="M10" s="236" t="n">
        <x:f>MEDIAN('周期归一化'!$J$51:$J$55)</x:f>
        <x:v>2.223417192966947</x:v>
      </x:c>
      <x:c r="N10" s="236" t="n">
        <x:f>CHOOSE('参数设置'!$B$4,L10,L10*60%+M10*40%,M10)</x:f>
        <x:v>1.729856815045481</x:v>
      </x:c>
      <x:c r="O10" s="236" t="n">
        <x:f>MEDIAN('周期归一化'!$M$46:$M$55)</x:f>
        <x:v>0.2775</x:v>
      </x:c>
      <x:c r="P10" s="236" t="n">
        <x:f>MEDIAN('周期归一化'!$M$51:$M$55)</x:f>
        <x:v>0.673</x:v>
      </x:c>
      <x:c r="Q10" s="236" t="n">
        <x:f>CHOOSE('参数设置'!$B$4,O10,O10*60%+P10*40%,P10)</x:f>
        <x:v>0.4357000000000001</x:v>
      </x:c>
      <x:c r="R10" s="242" t="n">
        <x:f>MEDIAN('周期归一化'!$F$46:$F$55)</x:f>
        <x:v>0.10115</x:v>
      </x:c>
      <x:c r="S10" s="242" t="n">
        <x:f>MEDIAN('周期归一化'!$F$51:$F$55)</x:f>
        <x:v>0.1637</x:v>
      </x:c>
      <x:c r="T10" s="242" t="n">
        <x:f>CHOOSE('参数设置'!$B$4,R10,R10*60%+S10*40%,S10)</x:f>
        <x:v>0.12617</x:v>
      </x:c>
      <x:c r="U10" s="242" t="n">
        <x:f>SUM('原始数据'!$J$56:$J$65)/SUM('原始数据'!$F$56:$F$65)</x:f>
        <x:v>1.8878397605232864</x:v>
      </x:c>
      <x:c r="V10" s="242" t="n">
        <x:f>SUM('原始数据'!$K$56:$K$65)/SUM('原始数据'!$J$56:$J$65)</x:f>
        <x:v>0.27259704731602036</x:v>
      </x:c>
      <x:c r="W10" s="242" t="n">
        <x:f>'原始数据'!Q9</x:f>
        <x:v>-0.1398235826372861</x:v>
      </x:c>
      <x:c r="X10" s="242" t="n">
        <x:f>IF(A10="煤炭",'参数设置'!$B$7,'参数设置'!$B$10)</x:f>
        <x:v>1</x:v>
      </x:c>
      <x:c r="Y10" s="236" t="n">
        <x:f>K10*X10*VLOOKUP(C10,'参数设置'!$A$27:$O$34,3,FALSE)</x:f>
        <x:v>10.382014266847042</x:v>
      </x:c>
      <x:c r="Z10" s="242" t="n">
        <x:f>IF(A10="煤炭",'参数设置'!$B$8,'参数设置'!$B$11)</x:f>
        <x:v>1</x:v>
      </x:c>
      <x:c r="AA10" s="236" t="n">
        <x:f>N10*Z10*VLOOKUP(C10,'参数设置'!$A$27:$O$34,4,FALSE)</x:f>
        <x:v>12.108997705318366</x:v>
      </x:c>
      <x:c r="AB10" s="242" t="n">
        <x:f>IF(A10="煤炭",'参数设置'!$B$9,'参数设置'!$B$12)</x:f>
        <x:v>1</x:v>
      </x:c>
      <x:c r="AC10" s="236" t="n">
        <x:f>Q10*AB10/VLOOKUP(C10,'参数设置'!$A$27:$O$34,5,FALSE)</x:f>
        <x:v>5.809333333333335</x:v>
      </x:c>
      <x:c r="AD10" s="239" t="n">
        <x:f>MAX(0.5,MIN(VLOOKUP(C10,'参数设置'!$A$27:$O$34,8,FALSE),(T10-VLOOKUP(C10,'参数设置'!$A$27:$O$34,7,FALSE))/(VLOOKUP(C10,'参数设置'!$A$27:$O$34,6,FALSE)-VLOOKUP(C10,'参数设置'!$A$27:$O$34,7,FALSE))))</x:f>
        <x:v>1.2</x:v>
      </x:c>
      <x:c r="AE10" s="236" t="n">
        <x:f>G10*AD10</x:f>
        <x:v>19.287090966884772</x:v>
      </x:c>
      <x:c r="AF10" s="236" t="n">
        <x:f>Y10*'参数设置'!$B$21+AA10*'参数设置'!$C$21+AC10*'参数设置'!$D$21+AE10*'参数设置'!$E$21</x:f>
        <x:v>11.321334616691356</x:v>
      </x:c>
      <x:c r="AG10" s="236" t="n">
        <x:f>AF10*(1-VLOOKUP(C10,'参数设置'!$A$27:$O$34,10,FALSE))</x:f>
        <x:v>6.226734039180246</x:v>
      </x:c>
      <x:c r="AH10" s="242" t="n">
        <x:f>AF10/D10-1</x:f>
        <x:v>-0.27053256335751574</x:v>
      </x:c>
      <x:c r="AI10" s="242" t="n">
        <x:f>1-D10/AF10</x:f>
        <x:v>-0.3708631115909635</x:v>
      </x:c>
      <x:c r="AJ10" s="242" t="n">
        <x:f>Q10/D10</x:f>
        <x:v>0.02807345360824743</x:v>
      </x:c>
      <x:c r="AK10" s="93" t="str">
        <x:f>IF(D10&lt;=AG10,"达到安全边际",IF(D10&lt;=AF10*85%,"小仓观察",IF(D10&lt;=AF10,"接近合理",IF(D10&lt;=AF10*120%,"偏贵","高估等待"))))</x:f>
        <x:v>高估等待</x:v>
      </x:c>
      <x:c r="AL10" s="93" t="str">
        <x:f>IF(A10="煤炭",IF('参数设置'!$B$16&gt;'参数设置'!$E$16*105%,"高位：不外推现价","接近H2假设"),IF('参数设置'!$B$17&gt;'参数设置'!$E$17*105%,"高位：按中期回落","接近H2假设"))</x:f>
        <x:v>高位：不外推现价</x:v>
      </x:c>
      <x:c r="AM10" s="93" t="str">
        <x:f>VLOOKUP(C10,'参数设置'!$A$27:$O$34,14,FALSE)</x:f>
        <x:v>账面杠杆较低，特定煤种具一定溢价</x:v>
      </x:c>
      <x:c r="AN10" s="93" t="str">
        <x:f>VLOOKUP(C10,'参数设置'!$A$27:$O$34,15,FALSE)</x:f>
        <x:v>盈利下滑快、历史资本开支波动大，价值陷阱风险较高</x:v>
      </x:c>
    </x:row>
    <x:row r="11" ht="38" customHeight="1">
      <x:c r="A11" s="227" t="str">
        <x:f>'原始数据'!A10</x:f>
        <x:v>石油</x:v>
      </x:c>
      <x:c r="B11" s="227" t="str">
        <x:f>'原始数据'!B10</x:f>
        <x:v>601857</x:v>
      </x:c>
      <x:c r="C11" s="227" t="str">
        <x:f>'原始数据'!C10</x:f>
        <x:v>中国石油</x:v>
      </x:c>
      <x:c r="D11" s="230" t="n">
        <x:f>'原始数据'!E10</x:f>
        <x:v>11.6</x:v>
      </x:c>
      <x:c r="E11" s="230" t="n">
        <x:f>'原始数据'!K10</x:f>
        <x:v>0.9619935490404976</x:v>
      </x:c>
      <x:c r="F11" s="233" t="n">
        <x:f>IF(E11&gt;0,D11/E11,"n.a.")</x:f>
        <x:v>12.058292918460795</x:v>
      </x:c>
      <x:c r="G11" s="236" t="n">
        <x:f>'原始数据'!L10</x:f>
        <x:v>10.09913738870985</x:v>
      </x:c>
      <x:c r="H11" s="239" t="n">
        <x:f>IF(G11&gt;0,D11/G11,"n.a.")</x:f>
        <x:v>1.1486129511385805</x:v>
      </x:c>
      <x:c r="I11" s="236" t="n">
        <x:f>MEDIAN('周期归一化'!$E$56:$E$65)</x:f>
        <x:v>0.39665125203401835</x:v>
      </x:c>
      <x:c r="J11" s="236" t="n">
        <x:f>MEDIAN('周期归一化'!$E$61:$E$65)</x:f>
        <x:v>0.859475246364515</x:v>
      </x:c>
      <x:c r="K11" s="236" t="n">
        <x:f>CHOOSE('参数设置'!$B$4,I11,I11*60%+J11*40%,J11)</x:f>
        <x:v>0.581780849766217</x:v>
      </x:c>
      <x:c r="L11" s="236" t="n">
        <x:f>MEDIAN('周期归一化'!$J$56:$J$65)</x:f>
        <x:v>0.8904013460252246</x:v>
      </x:c>
      <x:c r="M11" s="236" t="n">
        <x:f>MEDIAN('周期归一化'!$J$61:$J$65)</x:f>
        <x:v>1.0540772555146223</x:v>
      </x:c>
      <x:c r="N11" s="236" t="n">
        <x:f>CHOOSE('参数设置'!$B$4,L11,L11*60%+M11*40%,M11)</x:f>
        <x:v>0.9558717098209837</x:v>
      </x:c>
      <x:c r="O11" s="236" t="n">
        <x:f>MEDIAN('周期归一化'!$M$56:$M$65)</x:f>
        <x:v>0.20271</x:v>
      </x:c>
      <x:c r="P11" s="236" t="n">
        <x:f>MEDIAN('周期归一化'!$M$61:$M$65)</x:f>
        <x:v>0.44</x:v>
      </x:c>
      <x:c r="Q11" s="236" t="n">
        <x:f>CHOOSE('参数设置'!$B$4,O11,O11*60%+P11*40%,P11)</x:f>
        <x:v>0.297626</x:v>
      </x:c>
      <x:c r="R11" s="242" t="n">
        <x:f>MEDIAN('周期归一化'!$F$56:$F$65)</x:f>
        <x:v>0.05900000000000001</x:v>
      </x:c>
      <x:c r="S11" s="242" t="n">
        <x:f>MEDIAN('周期归一化'!$F$61:$F$65)</x:f>
        <x:v>0.111</x:v>
      </x:c>
      <x:c r="T11" s="242" t="n">
        <x:f>CHOOSE('参数设置'!$B$4,R11,R11*60%+S11*40%,S11)</x:f>
        <x:v>0.07980000000000001</x:v>
      </x:c>
      <x:c r="U11" s="242" t="n">
        <x:f>SUM('原始数据'!$J$66:$J$75)/SUM('原始数据'!$F$66:$F$75)</x:f>
        <x:v>4.210416492397671</x:v>
      </x:c>
      <x:c r="V11" s="242" t="n">
        <x:f>SUM('原始数据'!$K$66:$K$75)/SUM('原始数据'!$J$66:$J$75)</x:f>
        <x:v>0.7274685043902394</x:v>
      </x:c>
      <x:c r="W11" s="242" t="n">
        <x:f>'原始数据'!Q10</x:f>
        <x:v>0.0690408871893467</x:v>
      </x:c>
      <x:c r="X11" s="242" t="n">
        <x:f>IF(A11="煤炭",'参数设置'!$B$7,'参数设置'!$B$10)</x:f>
        <x:v>1</x:v>
      </x:c>
      <x:c r="Y11" s="236" t="n">
        <x:f>K11*X11*VLOOKUP(C11,'参数设置'!$A$27:$O$34,3,FALSE)</x:f>
        <x:v>6.108698922545279</x:v>
      </x:c>
      <x:c r="Z11" s="242" t="n">
        <x:f>IF(A11="煤炭",'参数设置'!$B$8,'参数设置'!$B$11)</x:f>
        <x:v>1</x:v>
      </x:c>
      <x:c r="AA11" s="236" t="n">
        <x:f>N11*Z11*VLOOKUP(C11,'参数设置'!$A$27:$O$34,4,FALSE)</x:f>
        <x:v>8.602845388388854</x:v>
      </x:c>
      <x:c r="AB11" s="242" t="n">
        <x:f>IF(A11="煤炭",'参数设置'!$B$9,'参数设置'!$B$12)</x:f>
        <x:v>1</x:v>
      </x:c>
      <x:c r="AC11" s="236" t="n">
        <x:f>Q11*AB11/VLOOKUP(C11,'参数设置'!$A$27:$O$34,5,FALSE)</x:f>
        <x:v>5.411381818181818</x:v>
      </x:c>
      <x:c r="AD11" s="239" t="n">
        <x:f>MAX(0.5,MIN(VLOOKUP(C11,'参数设置'!$A$27:$O$34,8,FALSE),(T11-VLOOKUP(C11,'参数设置'!$A$27:$O$34,7,FALSE))/(VLOOKUP(C11,'参数设置'!$A$27:$O$34,6,FALSE)-VLOOKUP(C11,'参数设置'!$A$27:$O$34,7,FALSE))))</x:f>
        <x:v>0.8725000000000002</x:v>
      </x:c>
      <x:c r="AE11" s="236" t="n">
        <x:f>G11*AD11</x:f>
        <x:v>8.811497371649347</x:v>
      </x:c>
      <x:c r="AF11" s="236" t="n">
        <x:f>Y11*'参数设置'!$B$21+AA11*'参数设置'!$C$21+AC11*'参数设置'!$D$21+AE11*'参数设置'!$E$21</x:f>
        <x:v>7.12289920879127</x:v>
      </x:c>
      <x:c r="AG11" s="236" t="n">
        <x:f>AF11*(1-VLOOKUP(C11,'参数设置'!$A$27:$O$34,10,FALSE))</x:f>
        <x:v>4.629884485714325</x:v>
      </x:c>
      <x:c r="AH11" s="242" t="n">
        <x:f>AF11/D11-1</x:f>
        <x:v>-0.38595696475937324</x:v>
      </x:c>
      <x:c r="AI11" s="242" t="n">
        <x:f>1-D11/AF11</x:f>
        <x:v>-0.628550350071355</x:v>
      </x:c>
      <x:c r="AJ11" s="242" t="n">
        <x:f>Q11/D11</x:f>
        <x:v>0.025657413793103448</x:v>
      </x:c>
      <x:c r="AK11" s="93" t="str">
        <x:f>IF(D11&lt;=AG11,"达到安全边际",IF(D11&lt;=AF11*85%,"小仓观察",IF(D11&lt;=AF11,"接近合理",IF(D11&lt;=AF11*120%,"偏贵","高估等待"))))</x:f>
        <x:v>高估等待</x:v>
      </x:c>
      <x:c r="AL11" s="93" t="str">
        <x:f>IF(A11="煤炭",IF('参数设置'!$B$16&gt;'参数设置'!$E$16*105%,"高位：不外推现价","接近H2假设"),IF('参数设置'!$B$17&gt;'参数设置'!$E$17*105%,"高位：按中期回落","接近H2假设"))</x:f>
        <x:v>高位：按中期回落</x:v>
      </x:c>
      <x:c r="AM11" s="93" t="str">
        <x:f>VLOOKUP(C11,'参数设置'!$A$27:$O$34,14,FALSE)</x:f>
        <x:v>业务链完整、天然气占比高，盈利比纯上游更平滑</x:v>
      </x:c>
      <x:c r="AN11" s="93" t="str">
        <x:f>VLOOKUP(C11,'参数设置'!$A$27:$O$34,15,FALSE)</x:f>
        <x:v>当前油价显著高于中枢；炼化与政策定价影响回报</x:v>
      </x:c>
    </x:row>
    <x:row r="12" ht="38" customHeight="1">
      <x:c r="A12" s="227" t="str">
        <x:f>'原始数据'!A11</x:f>
        <x:v>石油</x:v>
      </x:c>
      <x:c r="B12" s="227" t="str">
        <x:f>'原始数据'!B11</x:f>
        <x:v>600028</x:v>
      </x:c>
      <x:c r="C12" s="227" t="str">
        <x:f>'原始数据'!C11</x:f>
        <x:v>中国石化</x:v>
      </x:c>
      <x:c r="D12" s="230" t="n">
        <x:f>'原始数据'!E11</x:f>
        <x:v>5.39</x:v>
      </x:c>
      <x:c r="E12" s="230" t="n">
        <x:f>'原始数据'!K11</x:f>
        <x:v>0.2978350256457005</x:v>
      </x:c>
      <x:c r="F12" s="233" t="n">
        <x:f>IF(E12&gt;0,D12/E12,"n.a.")</x:f>
        <x:v>18.097267063585235</x:v>
      </x:c>
      <x:c r="G12" s="236" t="n">
        <x:f>'原始数据'!L11</x:f>
        <x:v>8.33192510872626</x:v>
      </x:c>
      <x:c r="H12" s="239" t="n">
        <x:f>IF(G12&gt;0,D12/G12,"n.a.")</x:f>
        <x:v>0.6469093192346269</x:v>
      </x:c>
      <x:c r="I12" s="236" t="n">
        <x:f>MEDIAN('周期归一化'!$E$66:$E$75)</x:f>
        <x:v>0.4503933610361052</x:v>
      </x:c>
      <x:c r="J12" s="236" t="n">
        <x:f>MEDIAN('周期归一化'!$E$71:$E$75)</x:f>
        <x:v>0.5008761203687033</x:v>
      </x:c>
      <x:c r="K12" s="236" t="n">
        <x:f>CHOOSE('参数设置'!$B$4,I12,I12*60%+J12*40%,J12)</x:f>
        <x:v>0.47058646476914445</x:v>
      </x:c>
      <x:c r="L12" s="236" t="n">
        <x:f>MEDIAN('周期归一化'!$J$66:$J$75)</x:f>
        <x:v>0.601971283796544</x:v>
      </x:c>
      <x:c r="M12" s="236" t="n">
        <x:f>MEDIAN('周期归一化'!$J$71:$J$75)</x:f>
        <x:v>0.4300710267409412</x:v>
      </x:c>
      <x:c r="N12" s="236" t="n">
        <x:f>CHOOSE('参数设置'!$B$4,L12,L12*60%+M12*40%,M12)</x:f>
        <x:v>0.5332111809743029</x:v>
      </x:c>
      <x:c r="O12" s="236" t="n">
        <x:f>MEDIAN('周期归一化'!$M$66:$M$75)</x:f>
        <x:v>0.3275</x:v>
      </x:c>
      <x:c r="P12" s="236" t="n">
        <x:f>MEDIAN('周期归一化'!$M$71:$M$75)</x:f>
        <x:v>0.345</x:v>
      </x:c>
      <x:c r="Q12" s="236" t="n">
        <x:f>CHOOSE('参数设置'!$B$4,O12,O12*60%+P12*40%,P12)</x:f>
        <x:v>0.3345</x:v>
      </x:c>
      <x:c r="R12" s="242" t="n">
        <x:f>MEDIAN('周期归一化'!$F$66:$F$75)</x:f>
        <x:v>0.07365</x:v>
      </x:c>
      <x:c r="S12" s="242" t="n">
        <x:f>MEDIAN('周期归一化'!$F$71:$F$75)</x:f>
        <x:v>0.0759</x:v>
      </x:c>
      <x:c r="T12" s="242" t="n">
        <x:f>CHOOSE('参数设置'!$B$4,R12,R12*60%+S12*40%,S12)</x:f>
        <x:v>0.07454999999999999</x:v>
      </x:c>
      <x:c r="U12" s="242" t="n">
        <x:f>SUM('原始数据'!$J$76:$J$85)/SUM('原始数据'!$F$76:$F$85)</x:f>
        <x:v>3.2274502290618323</x:v>
      </x:c>
      <x:c r="V12" s="242" t="n">
        <x:f>SUM('原始数据'!$K$76:$K$85)/SUM('原始数据'!$J$76:$J$85)</x:f>
        <x:v>0.745970776233385</x:v>
      </x:c>
      <x:c r="W12" s="242" t="n">
        <x:f>'原始数据'!Q11</x:f>
        <x:v>0.37937071975778597</x:v>
      </x:c>
      <x:c r="X12" s="242" t="n">
        <x:f>IF(A12="煤炭",'参数设置'!$B$7,'参数设置'!$B$10)</x:f>
        <x:v>1</x:v>
      </x:c>
      <x:c r="Y12" s="236" t="n">
        <x:f>K12*X12*VLOOKUP(C12,'参数设置'!$A$27:$O$34,3,FALSE)</x:f>
        <x:v>4.470571415306872</x:v>
      </x:c>
      <x:c r="Z12" s="242" t="n">
        <x:f>IF(A12="煤炭",'参数设置'!$B$8,'参数设置'!$B$11)</x:f>
        <x:v>1</x:v>
      </x:c>
      <x:c r="AA12" s="236" t="n">
        <x:f>N12*Z12*VLOOKUP(C12,'参数设置'!$A$27:$O$34,4,FALSE)</x:f>
        <x:v>4.265689447794423</x:v>
      </x:c>
      <x:c r="AB12" s="242" t="n">
        <x:f>IF(A12="煤炭",'参数设置'!$B$9,'参数设置'!$B$12)</x:f>
        <x:v>1</x:v>
      </x:c>
      <x:c r="AC12" s="236" t="n">
        <x:f>Q12*AB12/VLOOKUP(C12,'参数设置'!$A$27:$O$34,5,FALSE)</x:f>
        <x:v>5.575</x:v>
      </x:c>
      <x:c r="AD12" s="239" t="n">
        <x:f>MAX(0.5,MIN(VLOOKUP(C12,'参数设置'!$A$27:$O$34,8,FALSE),(T12-VLOOKUP(C12,'参数设置'!$A$27:$O$34,7,FALSE))/(VLOOKUP(C12,'参数设置'!$A$27:$O$34,6,FALSE)-VLOOKUP(C12,'参数设置'!$A$27:$O$34,7,FALSE))))</x:f>
        <x:v>0.7727777777777777</x:v>
      </x:c>
      <x:c r="AE12" s="236" t="n">
        <x:f>G12*AD12</x:f>
        <x:v>6.4387265701323475</x:v>
      </x:c>
      <x:c r="AF12" s="236" t="n">
        <x:f>Y12*'参数设置'!$B$21+AA12*'参数设置'!$C$21+AC12*'参数设置'!$D$21+AE12*'参数设置'!$E$21</x:f>
        <x:v>4.9252158152155845</x:v>
      </x:c>
      <x:c r="AG12" s="236" t="n">
        <x:f>AF12*(1-VLOOKUP(C12,'参数设置'!$A$27:$O$34,10,FALSE))</x:f>
        <x:v>2.9551294891293507</x:v>
      </x:c>
      <x:c r="AH12" s="242" t="n">
        <x:f>AF12/D12-1</x:f>
        <x:v>-0.08623083205647775</x:v>
      </x:c>
      <x:c r="AI12" s="242" t="n">
        <x:f>1-D12/AF12</x:f>
        <x:v>-0.09436828805522524</x:v>
      </x:c>
      <x:c r="AJ12" s="242" t="n">
        <x:f>Q12/D12</x:f>
        <x:v>0.06205936920222635</x:v>
      </x:c>
      <x:c r="AK12" s="93" t="str">
        <x:f>IF(D12&lt;=AG12,"达到安全边际",IF(D12&lt;=AF12*85%,"小仓观察",IF(D12&lt;=AF12,"接近合理",IF(D12&lt;=AF12*120%,"偏贵","高估等待"))))</x:f>
        <x:v>偏贵</x:v>
      </x:c>
      <x:c r="AL12" s="93" t="str">
        <x:f>IF(A12="煤炭",IF('参数设置'!$B$16&gt;'参数设置'!$E$16*105%,"高位：不外推现价","接近H2假设"),IF('参数设置'!$B$17&gt;'参数设置'!$E$17*105%,"高位：按中期回落","接近H2假设"))</x:f>
        <x:v>高位：按中期回落</x:v>
      </x:c>
      <x:c r="AM12" s="93" t="str">
        <x:f>VLOOKUP(C12,'参数设置'!$A$27:$O$34,14,FALSE)</x:f>
        <x:v>成品油销售网络和炼化规模大，股息具有参考价值</x:v>
      </x:c>
      <x:c r="AN12" s="93" t="str">
        <x:f>VLOOKUP(C12,'参数设置'!$A$27:$O$34,15,FALSE)</x:f>
        <x:v>炼化价差和化工景气低迷时回报偏低，资本消耗大</x:v>
      </x:c>
    </x:row>
    <x:row r="13" ht="38" customHeight="1">
      <x:c r="A13" s="228" t="str">
        <x:f>'原始数据'!A12</x:f>
        <x:v>石油</x:v>
      </x:c>
      <x:c r="B13" s="228" t="str">
        <x:f>'原始数据'!B12</x:f>
        <x:v>600938</x:v>
      </x:c>
      <x:c r="C13" s="228" t="str">
        <x:f>'原始数据'!C12</x:f>
        <x:v>中国海油</x:v>
      </x:c>
      <x:c r="D13" s="231" t="n">
        <x:f>'原始数据'!E12</x:f>
        <x:v>33.82</x:v>
      </x:c>
      <x:c r="E13" s="231" t="n">
        <x:f>'原始数据'!K12</x:f>
        <x:v>2.9111536705164593</x:v>
      </x:c>
      <x:c r="F13" s="234" t="n">
        <x:f>IF(E13&gt;0,D13/E13,"n.a.")</x:f>
        <x:v>11.617387409851192</x:v>
      </x:c>
      <x:c r="G13" s="237" t="n">
        <x:f>'原始数据'!L12</x:f>
        <x:v>18.06353526639257</x:v>
      </x:c>
      <x:c r="H13" s="240" t="n">
        <x:f>IF(G13&gt;0,D13/G13,"n.a.")</x:f>
        <x:v>1.87228023203866</x:v>
      </x:c>
      <x:c r="I13" s="237" t="n">
        <x:f>MEDIAN('周期归一化'!$E$76:$E$85)</x:f>
        <x:v>2.0240078505521826</x:v>
      </x:c>
      <x:c r="J13" s="237" t="n">
        <x:f>MEDIAN('周期归一化'!$E$81:$E$85)</x:f>
        <x:v>2.6055779486277064</x:v>
      </x:c>
      <x:c r="K13" s="237" t="n">
        <x:f>CHOOSE('参数设置'!$B$4,I13,I13*60%+J13*40%,J13)</x:f>
        <x:v>2.256635889782392</x:v>
      </x:c>
      <x:c r="L13" s="237" t="n">
        <x:f>MEDIAN('周期归一化'!$J$76:$J$85)</x:f>
        <x:v>2.265072674723</x:v>
      </x:c>
      <x:c r="M13" s="237" t="n">
        <x:f>MEDIAN('周期归一化'!$J$81:$J$85)</x:f>
        <x:v>2.7551783459349206</x:v>
      </x:c>
      <x:c r="N13" s="237" t="n">
        <x:f>CHOOSE('参数设置'!$B$4,L13,L13*60%+M13*40%,M13)</x:f>
        <x:v>2.461114943207768</x:v>
      </x:c>
      <x:c r="O13" s="237" t="n">
        <x:f>MEDIAN('周期归一化'!$M$76:$M$85)</x:f>
        <x:v>1.21326</x:v>
      </x:c>
      <x:c r="P13" s="237" t="n">
        <x:f>MEDIAN('周期归一化'!$M$81:$M$85)</x:f>
        <x:v>1.21326</x:v>
      </x:c>
      <x:c r="Q13" s="237" t="n">
        <x:f>CHOOSE('参数设置'!$B$4,O13,O13*60%+P13*40%,P13)</x:f>
        <x:v>1.21326</x:v>
      </x:c>
      <x:c r="R13" s="243" t="n">
        <x:f>MEDIAN('周期归一化'!$F$76:$F$85)</x:f>
        <x:v>0.155</x:v>
      </x:c>
      <x:c r="S13" s="243" t="n">
        <x:f>MEDIAN('周期归一化'!$F$81:$F$85)</x:f>
        <x:v>0.1936</x:v>
      </x:c>
      <x:c r="T13" s="243" t="n">
        <x:f>CHOOSE('参数设置'!$B$4,R13,R13*60%+S13*40%,S13)</x:f>
        <x:v>0.17044</x:v>
      </x:c>
      <x:c r="U13" s="243" t="n">
        <x:f>SUM('原始数据'!$J$86:$J$95)/SUM('原始数据'!$F$86:$F$95)</x:f>
        <x:v>1.8016210492772158</x:v>
      </x:c>
      <x:c r="V13" s="243" t="n">
        <x:f>SUM('原始数据'!$K$86:$K$95)/SUM('原始数据'!$J$86:$J$95)</x:f>
        <x:v>0.5528792170323532</x:v>
      </x:c>
      <x:c r="W13" s="243" t="n">
        <x:f>'原始数据'!Q12</x:f>
        <x:v>-0.2868643855570864</x:v>
      </x:c>
      <x:c r="X13" s="243" t="n">
        <x:f>IF(A13="煤炭",'参数设置'!$B$7,'参数设置'!$B$10)</x:f>
        <x:v>1</x:v>
      </x:c>
      <x:c r="Y13" s="237" t="n">
        <x:f>K13*X13*VLOOKUP(C13,'参数设置'!$A$27:$O$34,3,FALSE)</x:f>
        <x:v>22.566358897823918</x:v>
      </x:c>
      <x:c r="Z13" s="243" t="n">
        <x:f>IF(A13="煤炭",'参数设置'!$B$8,'参数设置'!$B$11)</x:f>
        <x:v>1</x:v>
      </x:c>
      <x:c r="AA13" s="237" t="n">
        <x:f>N13*Z13*VLOOKUP(C13,'参数设置'!$A$27:$O$34,4,FALSE)</x:f>
        <x:v>22.150034488869913</x:v>
      </x:c>
      <x:c r="AB13" s="243" t="n">
        <x:f>IF(A13="煤炭",'参数设置'!$B$9,'参数设置'!$B$12)</x:f>
        <x:v>1</x:v>
      </x:c>
      <x:c r="AC13" s="237" t="n">
        <x:f>Q13*AB13/VLOOKUP(C13,'参数设置'!$A$27:$O$34,5,FALSE)</x:f>
        <x:v>24.2652</x:v>
      </x:c>
      <x:c r="AD13" s="240" t="n">
        <x:f>MAX(0.5,MIN(VLOOKUP(C13,'参数设置'!$A$27:$O$34,8,FALSE),(T13-VLOOKUP(C13,'参数设置'!$A$27:$O$34,7,FALSE))/(VLOOKUP(C13,'参数设置'!$A$27:$O$34,6,FALSE)-VLOOKUP(C13,'参数设置'!$A$27:$O$34,7,FALSE))))</x:f>
        <x:v>1.8</x:v>
      </x:c>
      <x:c r="AE13" s="237" t="n">
        <x:f>G13*AD13</x:f>
        <x:v>32.51436347950663</x:v>
      </x:c>
      <x:c r="AF13" s="237" t="n">
        <x:f>Y13*'参数设置'!$B$21+AA13*'参数设置'!$C$21+AC13*'参数设置'!$D$21+AE13*'参数设置'!$E$21</x:f>
        <x:v>24.27343048282534</x:v>
      </x:c>
      <x:c r="AG13" s="237" t="n">
        <x:f>AF13*(1-VLOOKUP(C13,'参数设置'!$A$27:$O$34,10,FALSE))</x:f>
        <x:v>15.777729813836471</x:v>
      </x:c>
      <x:c r="AH13" s="243" t="n">
        <x:f>AF13/D13-1</x:f>
        <x:v>-0.2822758579886061</x:v>
      </x:c>
      <x:c r="AI13" s="243" t="n">
        <x:f>1-D13/AF13</x:f>
        <x:v>-0.3932929679605581</x:v>
      </x:c>
      <x:c r="AJ13" s="243" t="n">
        <x:f>Q13/D13</x:f>
        <x:v>0.03587403903015967</x:v>
      </x:c>
      <x:c r="AK13" s="94" t="str">
        <x:f>IF(D13&lt;=AG13,"达到安全边际",IF(D13&lt;=AF13*85%,"小仓观察",IF(D13&lt;=AF13,"接近合理",IF(D13&lt;=AF13*120%,"偏贵","高估等待"))))</x:f>
        <x:v>高估等待</x:v>
      </x:c>
      <x:c r="AL13" s="94" t="str">
        <x:f>IF(A13="煤炭",IF('参数设置'!$B$16&gt;'参数设置'!$E$16*105%,"高位：不外推现价","接近H2假设"),IF('参数设置'!$B$17&gt;'参数设置'!$E$17*105%,"高位：按中期回落","接近H2假设"))</x:f>
        <x:v>高位：按中期回落</x:v>
      </x:c>
      <x:c r="AM13" s="94" t="str">
        <x:f>VLOOKUP(C13,'参数设置'!$A$27:$O$34,14,FALSE)</x:f>
        <x:v>桶油成本、资产负债表和现金回报在三桶油中较优</x:v>
      </x:c>
      <x:c r="AN13" s="94" t="str">
        <x:f>VLOOKUP(C13,'参数设置'!$A$27:$O$34,15,FALSE)</x:f>
        <x:v>对油价最敏感；储量接替、海外项目和事故风险需跟踪</x:v>
      </x:c>
    </x:row>
    <x:row r="14">
      <x:c r="A14" s="302"/>
      <x:c r="B14" s="302"/>
      <x:c r="C14" s="302"/>
      <x:c r="D14" s="302"/>
      <x:c r="E14" s="302"/>
      <x:c r="F14" s="302"/>
      <x:c r="G14" s="302"/>
      <x:c r="H14" s="302"/>
      <x:c r="I14" s="302"/>
      <x:c r="J14" s="302"/>
      <x:c r="K14" s="302"/>
      <x:c r="L14" s="302"/>
      <x:c r="M14" s="302"/>
      <x:c r="N14" s="302"/>
      <x:c r="O14" s="302"/>
      <x:c r="P14" s="302"/>
      <x:c r="Q14" s="302"/>
      <x:c r="R14" s="302"/>
      <x:c r="S14" s="302"/>
      <x:c r="T14" s="302"/>
      <x:c r="U14" s="302"/>
      <x:c r="V14" s="302"/>
      <x:c r="W14" s="302"/>
      <x:c r="X14" s="302"/>
      <x:c r="Y14" s="302"/>
      <x:c r="Z14" s="302"/>
      <x:c r="AA14" s="302"/>
      <x:c r="AB14" s="302"/>
      <x:c r="AC14" s="302"/>
      <x:c r="AD14" s="302"/>
      <x:c r="AE14" s="302"/>
      <x:c r="AF14" s="302"/>
      <x:c r="AG14" s="302"/>
      <x:c r="AH14" s="302"/>
      <x:c r="AI14" s="302"/>
      <x:c r="AJ14" s="302"/>
      <x:c r="AK14" s="302"/>
      <x:c r="AL14" s="302"/>
      <x:c r="AM14" s="302"/>
      <x:c r="AN14" s="302"/>
    </x:row>
    <x:row r="15">
      <x:c r="A15" s="302"/>
      <x:c r="B15" s="302"/>
      <x:c r="C15" s="302"/>
      <x:c r="D15" s="302"/>
      <x:c r="E15" s="302"/>
      <x:c r="F15" s="302"/>
      <x:c r="G15" s="302"/>
      <x:c r="H15" s="302"/>
      <x:c r="I15" s="302"/>
      <x:c r="J15" s="302"/>
      <x:c r="K15" s="302"/>
      <x:c r="L15" s="302"/>
      <x:c r="M15" s="302"/>
      <x:c r="N15" s="302"/>
      <x:c r="O15" s="302"/>
      <x:c r="P15" s="302"/>
      <x:c r="Q15" s="302"/>
      <x:c r="R15" s="302"/>
      <x:c r="S15" s="302"/>
      <x:c r="T15" s="302"/>
      <x:c r="U15" s="302"/>
      <x:c r="V15" s="302"/>
      <x:c r="W15" s="302"/>
      <x:c r="X15" s="302"/>
      <x:c r="Y15" s="302"/>
      <x:c r="Z15" s="302"/>
      <x:c r="AA15" s="302"/>
      <x:c r="AB15" s="302"/>
      <x:c r="AC15" s="302"/>
      <x:c r="AD15" s="302"/>
      <x:c r="AE15" s="302"/>
      <x:c r="AF15" s="302"/>
      <x:c r="AG15" s="302"/>
      <x:c r="AH15" s="302"/>
      <x:c r="AI15" s="302"/>
      <x:c r="AJ15" s="302"/>
      <x:c r="AK15" s="302"/>
      <x:c r="AL15" s="302"/>
      <x:c r="AM15" s="302"/>
      <x:c r="AN15" s="302"/>
    </x:row>
    <x:row r="16">
      <x:c r="A16" s="302"/>
      <x:c r="B16" s="302"/>
      <x:c r="C16" s="302"/>
      <x:c r="D16" s="302"/>
      <x:c r="E16" s="302"/>
      <x:c r="F16" s="302"/>
      <x:c r="G16" s="302"/>
      <x:c r="H16" s="302"/>
      <x:c r="I16" s="302"/>
      <x:c r="J16" s="302"/>
      <x:c r="K16" s="302"/>
      <x:c r="L16" s="302"/>
      <x:c r="M16" s="302"/>
      <x:c r="N16" s="302"/>
      <x:c r="O16" s="302"/>
      <x:c r="P16" s="302"/>
      <x:c r="Q16" s="302"/>
      <x:c r="R16" s="302"/>
      <x:c r="S16" s="302"/>
      <x:c r="T16" s="302"/>
      <x:c r="U16" s="302"/>
      <x:c r="V16" s="302"/>
      <x:c r="W16" s="302"/>
      <x:c r="X16" s="302"/>
      <x:c r="Y16" s="302"/>
      <x:c r="Z16" s="302"/>
      <x:c r="AA16" s="302"/>
      <x:c r="AB16" s="302"/>
      <x:c r="AC16" s="302"/>
      <x:c r="AD16" s="302"/>
      <x:c r="AE16" s="302"/>
      <x:c r="AF16" s="302"/>
      <x:c r="AG16" s="302"/>
      <x:c r="AH16" s="302"/>
      <x:c r="AI16" s="302"/>
      <x:c r="AJ16" s="302"/>
      <x:c r="AK16" s="302"/>
      <x:c r="AL16" s="302"/>
      <x:c r="AM16" s="302"/>
      <x:c r="AN16" s="302"/>
    </x:row>
    <x:row r="17">
      <x:c r="A17" s="79" t="str">
        <x:v>巴菲特八问快速筛选</x:v>
      </x:c>
      <x:c r="B17" s="80"/>
      <x:c r="C17" s="80"/>
      <x:c r="D17" s="80"/>
      <x:c r="E17" s="80"/>
      <x:c r="F17" s="80"/>
      <x:c r="G17" s="80"/>
      <x:c r="H17" s="80"/>
      <x:c r="I17" s="80"/>
      <x:c r="J17" s="81"/>
      <x:c r="K17" s="302"/>
      <x:c r="L17" s="302"/>
      <x:c r="M17" s="302"/>
      <x:c r="N17" s="302"/>
      <x:c r="O17" s="302"/>
      <x:c r="P17" s="302"/>
      <x:c r="Q17" s="302"/>
      <x:c r="R17" s="302"/>
      <x:c r="S17" s="302"/>
      <x:c r="T17" s="302"/>
      <x:c r="U17" s="302"/>
      <x:c r="V17" s="302"/>
      <x:c r="W17" s="302"/>
      <x:c r="X17" s="302"/>
      <x:c r="Y17" s="302"/>
      <x:c r="Z17" s="302"/>
      <x:c r="AA17" s="302"/>
      <x:c r="AB17" s="302"/>
      <x:c r="AC17" s="302"/>
      <x:c r="AD17" s="302"/>
      <x:c r="AE17" s="302"/>
      <x:c r="AF17" s="302"/>
      <x:c r="AG17" s="302"/>
      <x:c r="AH17" s="302"/>
      <x:c r="AI17" s="302"/>
      <x:c r="AJ17" s="302"/>
      <x:c r="AK17" s="302"/>
      <x:c r="AL17" s="302"/>
      <x:c r="AM17" s="302"/>
      <x:c r="AN17" s="302"/>
    </x:row>
    <x:row r="18" ht="34" customHeight="1">
      <x:c r="A18" s="19" t="str">
        <x:v>公司</x:v>
      </x:c>
      <x:c r="B18" s="19" t="str">
        <x:v>能力圈</x:v>
      </x:c>
      <x:c r="C18" s="19" t="str">
        <x:v>十年存在性</x:v>
      </x:c>
      <x:c r="D18" s="19" t="str">
        <x:v>护城河/成本优势</x:v>
      </x:c>
      <x:c r="E18" s="19" t="str">
        <x:v>定价权</x:v>
      </x:c>
      <x:c r="F18" s="19" t="str">
        <x:v>现金质量</x:v>
      </x:c>
      <x:c r="G18" s="19" t="str">
        <x:v>债务安全</x:v>
      </x:c>
      <x:c r="H18" s="19" t="str">
        <x:v>诚信否决</x:v>
      </x:c>
      <x:c r="I18" s="19" t="str">
        <x:v>价格合理</x:v>
      </x:c>
      <x:c r="J18" s="19" t="str">
        <x:v>总体判断</x:v>
      </x:c>
      <x:c r="K18" s="302"/>
      <x:c r="L18" s="302"/>
      <x:c r="M18" s="302"/>
      <x:c r="N18" s="302"/>
      <x:c r="O18" s="302"/>
      <x:c r="P18" s="302"/>
      <x:c r="Q18" s="302"/>
      <x:c r="R18" s="302"/>
      <x:c r="S18" s="302"/>
      <x:c r="T18" s="302"/>
      <x:c r="U18" s="302"/>
      <x:c r="V18" s="302"/>
      <x:c r="W18" s="302"/>
      <x:c r="X18" s="302"/>
      <x:c r="Y18" s="302"/>
      <x:c r="Z18" s="302"/>
      <x:c r="AA18" s="302"/>
      <x:c r="AB18" s="302"/>
      <x:c r="AC18" s="302"/>
      <x:c r="AD18" s="302"/>
      <x:c r="AE18" s="302"/>
      <x:c r="AF18" s="302"/>
      <x:c r="AG18" s="302"/>
      <x:c r="AH18" s="302"/>
      <x:c r="AI18" s="302"/>
      <x:c r="AJ18" s="302"/>
      <x:c r="AK18" s="302"/>
      <x:c r="AL18" s="302"/>
      <x:c r="AM18" s="302"/>
      <x:c r="AN18" s="302"/>
    </x:row>
    <x:row r="19" ht="48" customHeight="1">
      <x:c r="A19" s="92" t="str">
        <x:v>中国神华</x:v>
      </x:c>
      <x:c r="B19" s="92" t="str">
        <x:v>圈内（驱动清晰）</x:v>
      </x:c>
      <x:c r="C19" s="92" t="str">
        <x:v>是</x:v>
      </x:c>
      <x:c r="D19" s="92" t="str">
        <x:v>低成本+一体化，较强，趋势稳定</x:v>
      </x:c>
      <x:c r="E19" s="92" t="str">
        <x:v>否（商品定价）</x:v>
      </x:c>
      <x:c r="F19" s="92" t="str">
        <x:f>IF(U6&gt;=90%,"通过",IF(U6&gt;=70%,"部分通过","需深查"))</x:f>
        <x:v>通过</x:v>
      </x:c>
      <x:c r="G19" s="92" t="str">
        <x:f>IF(AND(W6&lt;50%,'原始数据'!R5&gt;=5),"通过","需核验")</x:f>
        <x:v>通过</x:v>
      </x:c>
      <x:c r="H19" s="92" t="str">
        <x:v>未见公开否决项</x:v>
      </x:c>
      <x:c r="I19" s="92" t="str">
        <x:f>IF(D6&lt;=AG6,"是",IF(D6&lt;=AF6,"接近","否"))</x:f>
        <x:v>否</x:v>
      </x:c>
      <x:c r="J19" s="92" t="str">
        <x:f>IF(H19&lt;&gt;"未见公开否决项","否决",IF(AND(F19="通过",G19="通过",I19="是"),"通过筛选","有条件通过：需更大折价"))</x:f>
        <x:v>有条件通过：需更大折价</x:v>
      </x:c>
      <x:c r="K19" s="302"/>
      <x:c r="L19" s="302"/>
      <x:c r="M19" s="302"/>
      <x:c r="N19" s="302"/>
      <x:c r="O19" s="302"/>
      <x:c r="P19" s="302"/>
      <x:c r="Q19" s="302"/>
      <x:c r="R19" s="302"/>
      <x:c r="S19" s="302"/>
      <x:c r="T19" s="302"/>
      <x:c r="U19" s="302"/>
      <x:c r="V19" s="302"/>
      <x:c r="W19" s="302"/>
      <x:c r="X19" s="302"/>
      <x:c r="Y19" s="302"/>
      <x:c r="Z19" s="302"/>
      <x:c r="AA19" s="302"/>
      <x:c r="AB19" s="302"/>
      <x:c r="AC19" s="302"/>
      <x:c r="AD19" s="302"/>
      <x:c r="AE19" s="302"/>
      <x:c r="AF19" s="302"/>
      <x:c r="AG19" s="302"/>
      <x:c r="AH19" s="302"/>
      <x:c r="AI19" s="302"/>
      <x:c r="AJ19" s="302"/>
      <x:c r="AK19" s="302"/>
      <x:c r="AL19" s="302"/>
      <x:c r="AM19" s="302"/>
      <x:c r="AN19" s="302"/>
    </x:row>
    <x:row r="20" ht="48" customHeight="1">
      <x:c r="A20" s="93" t="str">
        <x:v>陕西煤业</x:v>
      </x:c>
      <x:c r="B20" s="93" t="str">
        <x:v>圈内（驱动清晰）</x:v>
      </x:c>
      <x:c r="C20" s="93" t="str">
        <x:v>是</x:v>
      </x:c>
      <x:c r="D20" s="93" t="str">
        <x:v>资源禀赋+低成本，较强，趋势稳定</x:v>
      </x:c>
      <x:c r="E20" s="93" t="str">
        <x:v>否（商品定价）</x:v>
      </x:c>
      <x:c r="F20" s="93" t="str">
        <x:f>IF(U7&gt;=90%,"通过",IF(U7&gt;=70%,"部分通过","需深查"))</x:f>
        <x:v>通过</x:v>
      </x:c>
      <x:c r="G20" s="93" t="str">
        <x:f>IF(AND(W7&lt;50%,'原始数据'!R6&gt;=5),"通过","需核验")</x:f>
        <x:v>通过</x:v>
      </x:c>
      <x:c r="H20" s="93" t="str">
        <x:v>未见公开否决项</x:v>
      </x:c>
      <x:c r="I20" s="93" t="str">
        <x:f>IF(D7&lt;=AG7,"是",IF(D7&lt;=AF7,"接近","否"))</x:f>
        <x:v>否</x:v>
      </x:c>
      <x:c r="J20" s="93" t="str">
        <x:f>IF(H20&lt;&gt;"未见公开否决项","否决",IF(AND(F20="通过",G20="通过",I20="是"),"通过筛选","有条件通过：需更大折价"))</x:f>
        <x:v>有条件通过：需更大折价</x:v>
      </x:c>
      <x:c r="K20" s="302"/>
      <x:c r="L20" s="302"/>
      <x:c r="M20" s="302"/>
      <x:c r="N20" s="302"/>
      <x:c r="O20" s="302"/>
      <x:c r="P20" s="302"/>
      <x:c r="Q20" s="302"/>
      <x:c r="R20" s="302"/>
      <x:c r="S20" s="302"/>
      <x:c r="T20" s="302"/>
      <x:c r="U20" s="302"/>
      <x:c r="V20" s="302"/>
      <x:c r="W20" s="302"/>
      <x:c r="X20" s="302"/>
      <x:c r="Y20" s="302"/>
      <x:c r="Z20" s="302"/>
      <x:c r="AA20" s="302"/>
      <x:c r="AB20" s="302"/>
      <x:c r="AC20" s="302"/>
      <x:c r="AD20" s="302"/>
      <x:c r="AE20" s="302"/>
      <x:c r="AF20" s="302"/>
      <x:c r="AG20" s="302"/>
      <x:c r="AH20" s="302"/>
      <x:c r="AI20" s="302"/>
      <x:c r="AJ20" s="302"/>
      <x:c r="AK20" s="302"/>
      <x:c r="AL20" s="302"/>
      <x:c r="AM20" s="302"/>
      <x:c r="AN20" s="302"/>
    </x:row>
    <x:row r="21" ht="48" customHeight="1">
      <x:c r="A21" s="93" t="str">
        <x:v>兖矿能源</x:v>
      </x:c>
      <x:c r="B21" s="93" t="str">
        <x:v>圈内（驱动清晰）</x:v>
      </x:c>
      <x:c r="C21" s="93" t="str">
        <x:v>是</x:v>
      </x:c>
      <x:c r="D21" s="93" t="str">
        <x:v>规模+资源，普通，波动加大</x:v>
      </x:c>
      <x:c r="E21" s="93" t="str">
        <x:v>否（商品定价）</x:v>
      </x:c>
      <x:c r="F21" s="93" t="str">
        <x:f>IF(U8&gt;=90%,"通过",IF(U8&gt;=70%,"部分通过","需深查"))</x:f>
        <x:v>通过</x:v>
      </x:c>
      <x:c r="G21" s="93" t="str">
        <x:f>IF(AND(W8&lt;50%,'原始数据'!R7&gt;=5),"通过","需核验")</x:f>
        <x:v>通过</x:v>
      </x:c>
      <x:c r="H21" s="93" t="str">
        <x:v>未见公开否决项</x:v>
      </x:c>
      <x:c r="I21" s="93" t="str">
        <x:f>IF(D8&lt;=AG8,"是",IF(D8&lt;=AF8,"接近","否"))</x:f>
        <x:v>否</x:v>
      </x:c>
      <x:c r="J21" s="93" t="str">
        <x:f>IF(H21&lt;&gt;"未见公开否决项","否决",IF(AND(F21="通过",G21="通过",I21="是"),"通过筛选","有条件通过：需更大折价"))</x:f>
        <x:v>有条件通过：需更大折价</x:v>
      </x:c>
      <x:c r="K21" s="302"/>
      <x:c r="L21" s="302"/>
      <x:c r="M21" s="302"/>
      <x:c r="N21" s="302"/>
      <x:c r="O21" s="302"/>
      <x:c r="P21" s="302"/>
      <x:c r="Q21" s="302"/>
      <x:c r="R21" s="302"/>
      <x:c r="S21" s="302"/>
      <x:c r="T21" s="302"/>
      <x:c r="U21" s="302"/>
      <x:c r="V21" s="302"/>
      <x:c r="W21" s="302"/>
      <x:c r="X21" s="302"/>
      <x:c r="Y21" s="302"/>
      <x:c r="Z21" s="302"/>
      <x:c r="AA21" s="302"/>
      <x:c r="AB21" s="302"/>
      <x:c r="AC21" s="302"/>
      <x:c r="AD21" s="302"/>
      <x:c r="AE21" s="302"/>
      <x:c r="AF21" s="302"/>
      <x:c r="AG21" s="302"/>
      <x:c r="AH21" s="302"/>
      <x:c r="AI21" s="302"/>
      <x:c r="AJ21" s="302"/>
      <x:c r="AK21" s="302"/>
      <x:c r="AL21" s="302"/>
      <x:c r="AM21" s="302"/>
      <x:c r="AN21" s="302"/>
    </x:row>
    <x:row r="22" ht="48" customHeight="1">
      <x:c r="A22" s="93" t="str">
        <x:v>中煤能源</x:v>
      </x:c>
      <x:c r="B22" s="93" t="str">
        <x:v>圈内（驱动清晰）</x:v>
      </x:c>
      <x:c r="C22" s="93" t="str">
        <x:v>是</x:v>
      </x:c>
      <x:c r="D22" s="93" t="str">
        <x:v>规模+央企资源，普通，略改善</x:v>
      </x:c>
      <x:c r="E22" s="93" t="str">
        <x:v>否（商品定价）</x:v>
      </x:c>
      <x:c r="F22" s="93" t="str">
        <x:f>IF(U9&gt;=90%,"通过",IF(U9&gt;=70%,"部分通过","需深查"))</x:f>
        <x:v>通过</x:v>
      </x:c>
      <x:c r="G22" s="93" t="str">
        <x:f>IF(AND(W9&lt;50%,'原始数据'!R8&gt;=5),"通过","需核验")</x:f>
        <x:v>通过</x:v>
      </x:c>
      <x:c r="H22" s="93" t="str">
        <x:v>未见公开否决项</x:v>
      </x:c>
      <x:c r="I22" s="93" t="str">
        <x:f>IF(D9&lt;=AG9,"是",IF(D9&lt;=AF9,"接近","否"))</x:f>
        <x:v>否</x:v>
      </x:c>
      <x:c r="J22" s="93" t="str">
        <x:f>IF(H22&lt;&gt;"未见公开否决项","否决",IF(AND(F22="通过",G22="通过",I22="是"),"通过筛选","有条件通过：需更大折价"))</x:f>
        <x:v>有条件通过：需更大折价</x:v>
      </x:c>
      <x:c r="K22" s="302"/>
      <x:c r="L22" s="302"/>
      <x:c r="M22" s="302"/>
      <x:c r="N22" s="302"/>
      <x:c r="O22" s="302"/>
      <x:c r="P22" s="302"/>
      <x:c r="Q22" s="302"/>
      <x:c r="R22" s="302"/>
      <x:c r="S22" s="302"/>
      <x:c r="T22" s="302"/>
      <x:c r="U22" s="302"/>
      <x:c r="V22" s="302"/>
      <x:c r="W22" s="302"/>
      <x:c r="X22" s="302"/>
      <x:c r="Y22" s="302"/>
      <x:c r="Z22" s="302"/>
      <x:c r="AA22" s="302"/>
      <x:c r="AB22" s="302"/>
      <x:c r="AC22" s="302"/>
      <x:c r="AD22" s="302"/>
      <x:c r="AE22" s="302"/>
      <x:c r="AF22" s="302"/>
      <x:c r="AG22" s="302"/>
      <x:c r="AH22" s="302"/>
      <x:c r="AI22" s="302"/>
      <x:c r="AJ22" s="302"/>
      <x:c r="AK22" s="302"/>
      <x:c r="AL22" s="302"/>
      <x:c r="AM22" s="302"/>
      <x:c r="AN22" s="302"/>
    </x:row>
    <x:row r="23" ht="48" customHeight="1">
      <x:c r="A23" s="93" t="str">
        <x:v>潞安环能</x:v>
      </x:c>
      <x:c r="B23" s="93" t="str">
        <x:v>圈内（驱动清晰）</x:v>
      </x:c>
      <x:c r="C23" s="93" t="str">
        <x:v>是</x:v>
      </x:c>
      <x:c r="D23" s="93" t="str">
        <x:v>区域资源+煤种优势，普通，趋弱</x:v>
      </x:c>
      <x:c r="E23" s="93" t="str">
        <x:v>否（商品定价）</x:v>
      </x:c>
      <x:c r="F23" s="93" t="str">
        <x:f>IF(U10&gt;=90%,"通过",IF(U10&gt;=70%,"部分通过","需深查"))</x:f>
        <x:v>通过</x:v>
      </x:c>
      <x:c r="G23" s="93" t="str">
        <x:f>IF(AND(W10&lt;50%,'原始数据'!R9&gt;=5),"通过","需核验")</x:f>
        <x:v>需核验</x:v>
      </x:c>
      <x:c r="H23" s="93" t="str">
        <x:v>未见公开否决项</x:v>
      </x:c>
      <x:c r="I23" s="93" t="str">
        <x:f>IF(D10&lt;=AG10,"是",IF(D10&lt;=AF10,"接近","否"))</x:f>
        <x:v>否</x:v>
      </x:c>
      <x:c r="J23" s="93" t="str">
        <x:f>IF(H23&lt;&gt;"未见公开否决项","否决",IF(AND(F23="通过",G23="通过",I23="是"),"通过筛选","有条件通过：需更大折价"))</x:f>
        <x:v>有条件通过：需更大折价</x:v>
      </x:c>
      <x:c r="K23" s="302"/>
      <x:c r="L23" s="302"/>
      <x:c r="M23" s="302"/>
      <x:c r="N23" s="302"/>
      <x:c r="O23" s="302"/>
      <x:c r="P23" s="302"/>
      <x:c r="Q23" s="302"/>
      <x:c r="R23" s="302"/>
      <x:c r="S23" s="302"/>
      <x:c r="T23" s="302"/>
      <x:c r="U23" s="302"/>
      <x:c r="V23" s="302"/>
      <x:c r="W23" s="302"/>
      <x:c r="X23" s="302"/>
      <x:c r="Y23" s="302"/>
      <x:c r="Z23" s="302"/>
      <x:c r="AA23" s="302"/>
      <x:c r="AB23" s="302"/>
      <x:c r="AC23" s="302"/>
      <x:c r="AD23" s="302"/>
      <x:c r="AE23" s="302"/>
      <x:c r="AF23" s="302"/>
      <x:c r="AG23" s="302"/>
      <x:c r="AH23" s="302"/>
      <x:c r="AI23" s="302"/>
      <x:c r="AJ23" s="302"/>
      <x:c r="AK23" s="302"/>
      <x:c r="AL23" s="302"/>
      <x:c r="AM23" s="302"/>
      <x:c r="AN23" s="302"/>
    </x:row>
    <x:row r="24" ht="48" customHeight="1">
      <x:c r="A24" s="93" t="str">
        <x:v>中国石油</x:v>
      </x:c>
      <x:c r="B24" s="93" t="str">
        <x:v>圈内（驱动清晰）</x:v>
      </x:c>
      <x:c r="C24" s="93" t="str">
        <x:v>是</x:v>
      </x:c>
      <x:c r="D24" s="93" t="str">
        <x:v>资源+全国网络+一体化，较强，趋势稳定</x:v>
      </x:c>
      <x:c r="E24" s="93" t="str">
        <x:v>否（商品定价）</x:v>
      </x:c>
      <x:c r="F24" s="93" t="str">
        <x:f>IF(U11&gt;=90%,"通过",IF(U11&gt;=70%,"部分通过","需深查"))</x:f>
        <x:v>通过</x:v>
      </x:c>
      <x:c r="G24" s="93" t="str">
        <x:f>IF(AND(W11&lt;50%,'原始数据'!R10&gt;=5),"通过","需核验")</x:f>
        <x:v>通过</x:v>
      </x:c>
      <x:c r="H24" s="93" t="str">
        <x:v>未见公开否决项</x:v>
      </x:c>
      <x:c r="I24" s="93" t="str">
        <x:f>IF(D11&lt;=AG11,"是",IF(D11&lt;=AF11,"接近","否"))</x:f>
        <x:v>否</x:v>
      </x:c>
      <x:c r="J24" s="93" t="str">
        <x:f>IF(H24&lt;&gt;"未见公开否决项","否决",IF(AND(F24="通过",G24="通过",I24="是"),"通过筛选","有条件通过：需更大折价"))</x:f>
        <x:v>有条件通过：需更大折价</x:v>
      </x:c>
      <x:c r="K24" s="302"/>
      <x:c r="L24" s="302"/>
      <x:c r="M24" s="302"/>
      <x:c r="N24" s="302"/>
      <x:c r="O24" s="302"/>
      <x:c r="P24" s="302"/>
      <x:c r="Q24" s="302"/>
      <x:c r="R24" s="302"/>
      <x:c r="S24" s="302"/>
      <x:c r="T24" s="302"/>
      <x:c r="U24" s="302"/>
      <x:c r="V24" s="302"/>
      <x:c r="W24" s="302"/>
      <x:c r="X24" s="302"/>
      <x:c r="Y24" s="302"/>
      <x:c r="Z24" s="302"/>
      <x:c r="AA24" s="302"/>
      <x:c r="AB24" s="302"/>
      <x:c r="AC24" s="302"/>
      <x:c r="AD24" s="302"/>
      <x:c r="AE24" s="302"/>
      <x:c r="AF24" s="302"/>
      <x:c r="AG24" s="302"/>
      <x:c r="AH24" s="302"/>
      <x:c r="AI24" s="302"/>
      <x:c r="AJ24" s="302"/>
      <x:c r="AK24" s="302"/>
      <x:c r="AL24" s="302"/>
      <x:c r="AM24" s="302"/>
      <x:c r="AN24" s="302"/>
    </x:row>
    <x:row r="25" ht="48" customHeight="1">
      <x:c r="A25" s="93" t="str">
        <x:v>中国石化</x:v>
      </x:c>
      <x:c r="B25" s="93" t="str">
        <x:v>圈内（驱动清晰）</x:v>
      </x:c>
      <x:c r="C25" s="93" t="str">
        <x:v>是</x:v>
      </x:c>
      <x:c r="D25" s="93" t="str">
        <x:v>渠道+炼化规模，普通，承压</x:v>
      </x:c>
      <x:c r="E25" s="93" t="str">
        <x:v>否（商品定价）</x:v>
      </x:c>
      <x:c r="F25" s="93" t="str">
        <x:f>IF(U12&gt;=90%,"通过",IF(U12&gt;=70%,"部分通过","需深查"))</x:f>
        <x:v>通过</x:v>
      </x:c>
      <x:c r="G25" s="93" t="str">
        <x:f>IF(AND(W12&lt;50%,'原始数据'!R11&gt;=5),"通过","需核验")</x:f>
        <x:v>通过</x:v>
      </x:c>
      <x:c r="H25" s="93" t="str">
        <x:v>未见公开否决项</x:v>
      </x:c>
      <x:c r="I25" s="93" t="str">
        <x:f>IF(D12&lt;=AG12,"是",IF(D12&lt;=AF12,"接近","否"))</x:f>
        <x:v>否</x:v>
      </x:c>
      <x:c r="J25" s="93" t="str">
        <x:f>IF(H25&lt;&gt;"未见公开否决项","否决",IF(AND(F25="通过",G25="通过",I25="是"),"通过筛选","有条件通过：需更大折价"))</x:f>
        <x:v>有条件通过：需更大折价</x:v>
      </x:c>
      <x:c r="K25" s="302"/>
      <x:c r="L25" s="302"/>
      <x:c r="M25" s="302"/>
      <x:c r="N25" s="302"/>
      <x:c r="O25" s="302"/>
      <x:c r="P25" s="302"/>
      <x:c r="Q25" s="302"/>
      <x:c r="R25" s="302"/>
      <x:c r="S25" s="302"/>
      <x:c r="T25" s="302"/>
      <x:c r="U25" s="302"/>
      <x:c r="V25" s="302"/>
      <x:c r="W25" s="302"/>
      <x:c r="X25" s="302"/>
      <x:c r="Y25" s="302"/>
      <x:c r="Z25" s="302"/>
      <x:c r="AA25" s="302"/>
      <x:c r="AB25" s="302"/>
      <x:c r="AC25" s="302"/>
      <x:c r="AD25" s="302"/>
      <x:c r="AE25" s="302"/>
      <x:c r="AF25" s="302"/>
      <x:c r="AG25" s="302"/>
      <x:c r="AH25" s="302"/>
      <x:c r="AI25" s="302"/>
      <x:c r="AJ25" s="302"/>
      <x:c r="AK25" s="302"/>
      <x:c r="AL25" s="302"/>
      <x:c r="AM25" s="302"/>
      <x:c r="AN25" s="302"/>
    </x:row>
    <x:row r="26" ht="48" customHeight="1">
      <x:c r="A26" s="94" t="str">
        <x:v>中国海油</x:v>
      </x:c>
      <x:c r="B26" s="94" t="str">
        <x:v>圈内（驱动清晰）</x:v>
      </x:c>
      <x:c r="C26" s="94" t="str">
        <x:v>是</x:v>
      </x:c>
      <x:c r="D26" s="94" t="str">
        <x:v>低成本海上资源+技术，较强，趋势稳定</x:v>
      </x:c>
      <x:c r="E26" s="94" t="str">
        <x:v>否（商品定价）</x:v>
      </x:c>
      <x:c r="F26" s="94" t="str">
        <x:f>IF(U13&gt;=90%,"通过",IF(U13&gt;=70%,"部分通过","需深查"))</x:f>
        <x:v>通过</x:v>
      </x:c>
      <x:c r="G26" s="94" t="str">
        <x:f>IF(AND(W13&lt;50%,'原始数据'!R12&gt;=5),"通过","需核验")</x:f>
        <x:v>通过</x:v>
      </x:c>
      <x:c r="H26" s="94" t="str">
        <x:v>未见公开否决项</x:v>
      </x:c>
      <x:c r="I26" s="94" t="str">
        <x:f>IF(D13&lt;=AG13,"是",IF(D13&lt;=AF13,"接近","否"))</x:f>
        <x:v>否</x:v>
      </x:c>
      <x:c r="J26" s="94" t="str">
        <x:f>IF(H26&lt;&gt;"未见公开否决项","否决",IF(AND(F26="通过",G26="通过",I26="是"),"通过筛选","有条件通过：需更大折价"))</x:f>
        <x:v>有条件通过：需更大折价</x:v>
      </x:c>
      <x:c r="K26" s="302"/>
      <x:c r="L26" s="302"/>
      <x:c r="M26" s="302"/>
      <x:c r="N26" s="302"/>
      <x:c r="O26" s="302"/>
      <x:c r="P26" s="302"/>
      <x:c r="Q26" s="302"/>
      <x:c r="R26" s="302"/>
      <x:c r="S26" s="302"/>
      <x:c r="T26" s="302"/>
      <x:c r="U26" s="302"/>
      <x:c r="V26" s="302"/>
      <x:c r="W26" s="302"/>
      <x:c r="X26" s="302"/>
      <x:c r="Y26" s="302"/>
      <x:c r="Z26" s="302"/>
      <x:c r="AA26" s="302"/>
      <x:c r="AB26" s="302"/>
      <x:c r="AC26" s="302"/>
      <x:c r="AD26" s="302"/>
      <x:c r="AE26" s="302"/>
      <x:c r="AF26" s="302"/>
      <x:c r="AG26" s="302"/>
      <x:c r="AH26" s="302"/>
      <x:c r="AI26" s="302"/>
      <x:c r="AJ26" s="302"/>
      <x:c r="AK26" s="302"/>
      <x:c r="AL26" s="302"/>
      <x:c r="AM26" s="302"/>
      <x:c r="AN26" s="302"/>
    </x:row>
  </x:sheetData>
  <x:mergeCells>
    <x:mergeCell ref="A2:AN2"/>
    <x:mergeCell ref="A3:AN3"/>
    <x:mergeCell ref="A17:J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8" hidden="0" customWidth="1"/>
    <x:col min="5" max="5" width="12" hidden="0" customWidth="1"/>
    <x:col min="6" max="6" width="9" hidden="0" customWidth="1"/>
    <x:col min="7" max="7" width="14" hidden="0" customWidth="1"/>
    <x:col min="8" max="8" width="13" hidden="0" customWidth="1"/>
    <x:col min="9" max="9" width="16" hidden="0" customWidth="1"/>
    <x:col min="10" max="10" width="14" hidden="0" customWidth="1"/>
    <x:col min="11" max="11" width="12" hidden="0" customWidth="1"/>
    <x:col min="12" max="12" width="13" hidden="0" customWidth="1"/>
    <x:col min="13" max="13" width="13" hidden="0" customWidth="1"/>
    <x:col min="14" max="14" width="44" hidden="0" customWidth="1"/>
  </x:cols>
  <x:sheetData>
    <x:row r="1">
      <x:c r="A1" s="302"/>
      <x:c r="B1" s="302"/>
      <x:c r="C1" s="302"/>
      <x:c r="D1" s="302"/>
      <x:c r="E1" s="302"/>
      <x:c r="F1" s="302"/>
      <x:c r="G1" s="302"/>
      <x:c r="H1" s="302"/>
      <x:c r="I1" s="302"/>
      <x:c r="J1" s="302"/>
      <x:c r="K1" s="302"/>
      <x:c r="L1" s="302"/>
      <x:c r="M1" s="302"/>
      <x:c r="N1" s="302"/>
    </x:row>
    <x:row r="2" ht="26" customHeight="1">
      <x:c r="A2" s="3" t="str">
        <x:v>周期归一化计算（按当前股本重算每股数据）</x:v>
      </x:c>
      <x:c r="B2" s="3" t="str">
        <x:v>周期归一化计算（按当前股本重算每股数据）</x:v>
      </x:c>
      <x:c r="C2" s="3" t="str">
        <x:v>周期归一化计算（按当前股本重算每股数据）</x:v>
      </x:c>
      <x:c r="D2" s="3" t="str">
        <x:v>周期归一化计算（按当前股本重算每股数据）</x:v>
      </x:c>
      <x:c r="E2" s="3" t="str">
        <x:v>周期归一化计算（按当前股本重算每股数据）</x:v>
      </x:c>
      <x:c r="F2" s="3" t="str">
        <x:v>周期归一化计算（按当前股本重算每股数据）</x:v>
      </x:c>
      <x:c r="G2" s="3" t="str">
        <x:v>周期归一化计算（按当前股本重算每股数据）</x:v>
      </x:c>
      <x:c r="H2" s="3" t="str">
        <x:v>周期归一化计算（按当前股本重算每股数据）</x:v>
      </x:c>
      <x:c r="I2" s="3" t="str">
        <x:v>周期归一化计算（按当前股本重算每股数据）</x:v>
      </x:c>
      <x:c r="J2" s="3" t="str">
        <x:v>周期归一化计算（按当前股本重算每股数据）</x:v>
      </x:c>
      <x:c r="K2" s="3" t="str">
        <x:v>周期归一化计算（按当前股本重算每股数据）</x:v>
      </x:c>
      <x:c r="L2" s="3" t="str">
        <x:v>周期归一化计算（按当前股本重算每股数据）</x:v>
      </x:c>
      <x:c r="M2" s="3" t="str">
        <x:v>周期归一化计算（按当前股本重算每股数据）</x:v>
      </x:c>
      <x:c r="N2" s="3" t="str">
        <x:v>周期归一化计算（按当前股本重算每股数据）</x:v>
      </x:c>
    </x:row>
    <x:row r="3">
      <x:c r="A3" s="143" t="str">
        <x:v>所有者收益代理＝经营现金流－维持性资本开支；历史利润和分红按最新股本折算，提高跨期可比性。</x:v>
      </x:c>
      <x:c r="B3" s="143"/>
      <x:c r="C3" s="143"/>
      <x:c r="D3" s="143"/>
      <x:c r="E3" s="143"/>
      <x:c r="F3" s="143"/>
      <x:c r="G3" s="143"/>
      <x:c r="H3" s="143"/>
      <x:c r="I3" s="143"/>
      <x:c r="J3" s="143"/>
      <x:c r="K3" s="143"/>
      <x:c r="L3" s="143"/>
      <x:c r="M3" s="143"/>
      <x:c r="N3" s="143"/>
    </x:row>
    <x:row r="4">
      <x:c r="A4" s="302"/>
      <x:c r="B4" s="302"/>
      <x:c r="C4" s="302"/>
      <x:c r="D4" s="302"/>
      <x:c r="E4" s="302"/>
      <x:c r="F4" s="302"/>
      <x:c r="G4" s="302"/>
      <x:c r="H4" s="302"/>
      <x:c r="I4" s="302"/>
      <x:c r="J4" s="302"/>
      <x:c r="K4" s="302"/>
      <x:c r="L4" s="302"/>
      <x:c r="M4" s="302"/>
      <x:c r="N4" s="302"/>
    </x:row>
    <x:row r="5" ht="34" customHeight="1">
      <x:c r="A5" s="19" t="str">
        <x:v>行业</x:v>
      </x:c>
      <x:c r="B5" s="19" t="str">
        <x:v>代码</x:v>
      </x:c>
      <x:c r="C5" s="19" t="str">
        <x:v>公司</x:v>
      </x:c>
      <x:c r="D5" s="19" t="str">
        <x:v>年度</x:v>
      </x:c>
      <x:c r="E5" s="19" t="str">
        <x:v>折算EPS</x:v>
      </x:c>
      <x:c r="F5" s="19" t="str">
        <x:v>ROE</x:v>
      </x:c>
      <x:c r="G5" s="19" t="str">
        <x:v>经营现金流/股</x:v>
      </x:c>
      <x:c r="H5" s="19" t="str">
        <x:v>资本开支/股</x:v>
      </x:c>
      <x:c r="I5" s="19" t="str">
        <x:v>维持性资本开支比例</x:v>
      </x:c>
      <x:c r="J5" s="19" t="str">
        <x:v>所有者收益/股</x:v>
      </x:c>
      <x:c r="K5" s="19" t="str">
        <x:v>现金转化率</x:v>
      </x:c>
      <x:c r="L5" s="19" t="str">
        <x:v>自由现金流/股</x:v>
      </x:c>
      <x:c r="M5" s="19" t="str">
        <x:v>折算每股分红</x:v>
      </x:c>
      <x:c r="N5" s="19" t="str">
        <x:v>数据来源</x:v>
      </x:c>
    </x:row>
    <x:row r="6">
      <x:c r="A6" s="208" t="str">
        <x:f>'原始数据'!A16</x:f>
        <x:v>煤炭</x:v>
      </x:c>
      <x:c r="B6" s="208" t="str">
        <x:f>'原始数据'!B16</x:f>
        <x:v>601088</x:v>
      </x:c>
      <x:c r="C6" s="208" t="str">
        <x:f>'原始数据'!C16</x:f>
        <x:v>中国神华</x:v>
      </x:c>
      <x:c r="D6" s="208" t="n">
        <x:f>'原始数据'!D16</x:f>
        <x:v>2016</x:v>
      </x:c>
      <x:c r="E6" s="211" t="n">
        <x:f>IF('原始数据'!F16="","",'原始数据'!F16/VLOOKUP(C6,'原始数据'!$C$5:$G$12,5,FALSE))</x:f>
        <x:v>1.0471457983489878</x:v>
      </x:c>
      <x:c r="F6" s="214" t="n">
        <x:f>IF('原始数据'!H16="","",'原始数据'!H16)</x:f>
        <x:v>0.0751</x:v>
      </x:c>
      <x:c r="G6" s="211" t="n">
        <x:f>IF('原始数据'!J16="","",'原始数据'!J16/VLOOKUP(C6,'原始数据'!$C$5:$G$12,5,FALSE))</x:f>
        <x:v>3.775248300731339</x:v>
      </x:c>
      <x:c r="H6" s="211" t="n">
        <x:f>IF('原始数据'!K16="","",'原始数据'!K16/VLOOKUP(C6,'原始数据'!$C$5:$G$12,5,FALSE))</x:f>
        <x:v>1.3397306537700284</x:v>
      </x:c>
      <x:c r="I6" s="217" t="n">
        <x:f>IF('原始数据'!F16="","",VLOOKUP(C6,'参数设置'!$A$27:$O$34,9,FALSE))</x:f>
        <x:v>0.7</x:v>
      </x:c>
      <x:c r="J6" s="220" t="n">
        <x:f>IF(G6="","",G6-H6*I6)</x:f>
        <x:v>2.837436843092319</x:v>
      </x:c>
      <x:c r="K6" s="223" t="n">
        <x:f>IF('原始数据'!F16="","",IF('原始数据'!F16&lt;&gt;0,'原始数据'!J16/'原始数据'!F16,"n.a."))</x:f>
        <x:v>3.6052747446283906</x:v>
      </x:c>
      <x:c r="L6" s="220" t="n">
        <x:f>IF(G6="","",G6-H6)</x:f>
        <x:v>2.4355176469613102</x:v>
      </x:c>
      <x:c r="M6" s="220" t="n">
        <x:f>IF(OR('原始数据'!Q16="",'原始数据'!P16=""),"",'原始数据'!Q16*'原始数据'!P16/VLOOKUP(C6,'原始数据'!$C$5:$G$12,5,FALSE))</x:f>
        <x:v>0.45999999999999996</x:v>
      </x:c>
      <x:c r="N6" s="205" t="str">
        <x:f>'原始数据'!S16</x:f>
        <x:v>https://www.sse.com.cn/assortment/stock/list/info/announcement/index.shtml?productId=601088</x:v>
      </x:c>
    </x:row>
    <x:row r="7">
      <x:c r="A7" s="209" t="str">
        <x:f>'原始数据'!A17</x:f>
        <x:v>煤炭</x:v>
      </x:c>
      <x:c r="B7" s="209" t="str">
        <x:f>'原始数据'!B17</x:f>
        <x:v>601088</x:v>
      </x:c>
      <x:c r="C7" s="209" t="str">
        <x:f>'原始数据'!C17</x:f>
        <x:v>中国神华</x:v>
      </x:c>
      <x:c r="D7" s="209" t="n">
        <x:f>'原始数据'!D17</x:f>
        <x:v>2017</x:v>
      </x:c>
      <x:c r="E7" s="212" t="n">
        <x:f>IF('原始数据'!F17="","",'原始数据'!F17/VLOOKUP(C7,'原始数据'!$C$5:$G$12,5,FALSE))</x:f>
        <x:v>2.0764488076894754</x:v>
      </x:c>
      <x:c r="F7" s="215" t="n">
        <x:f>IF('原始数据'!H17="","",'原始数据'!H17)</x:f>
        <x:v>0.1467</x:v>
      </x:c>
      <x:c r="G7" s="212" t="n">
        <x:f>IF('原始数据'!J17="","",'原始数据'!J17/VLOOKUP(C7,'原始数据'!$C$5:$G$12,5,FALSE))</x:f>
        <x:v>4.387020826193329</x:v>
      </x:c>
      <x:c r="H7" s="212" t="n">
        <x:f>IF('原始数据'!K17="","",'原始数据'!K17/VLOOKUP(C7,'原始数据'!$C$5:$G$12,5,FALSE))</x:f>
        <x:v>0.9344642057475028</x:v>
      </x:c>
      <x:c r="I7" s="218" t="n">
        <x:f>IF('原始数据'!F17="","",VLOOKUP(C7,'参数设置'!$A$27:$O$34,9,FALSE))</x:f>
        <x:v>0.7</x:v>
      </x:c>
      <x:c r="J7" s="221" t="n">
        <x:f>IF(G7="","",G7-H7*I7)</x:f>
        <x:v>3.7328958821700766</x:v>
      </x:c>
      <x:c r="K7" s="224" t="n">
        <x:f>IF('原始数据'!F17="","",IF('原始数据'!F17&lt;&gt;0,'原始数据'!J17/'原始数据'!F17,"n.a."))</x:f>
        <x:v>2.1127517374603104</x:v>
      </x:c>
      <x:c r="L7" s="221" t="n">
        <x:f>IF(G7="","",G7-H7)</x:f>
        <x:v>3.452556620445826</x:v>
      </x:c>
      <x:c r="M7" s="221" t="n">
        <x:f>IF(OR('原始数据'!Q17="",'原始数据'!P17=""),"",'原始数据'!Q17*'原始数据'!P17/VLOOKUP(C7,'原始数据'!$C$5:$G$12,5,FALSE))</x:f>
        <x:v>0.9099999999999999</x:v>
      </x:c>
      <x:c r="N7" s="206" t="str">
        <x:f>'原始数据'!S17</x:f>
        <x:v>https://www.sse.com.cn/assortment/stock/list/info/announcement/index.shtml?productId=601088</x:v>
      </x:c>
    </x:row>
    <x:row r="8">
      <x:c r="A8" s="209" t="str">
        <x:f>'原始数据'!A18</x:f>
        <x:v>煤炭</x:v>
      </x:c>
      <x:c r="B8" s="209" t="str">
        <x:f>'原始数据'!B18</x:f>
        <x:v>601088</x:v>
      </x:c>
      <x:c r="C8" s="209" t="str">
        <x:f>'原始数据'!C18</x:f>
        <x:v>中国神华</x:v>
      </x:c>
      <x:c r="D8" s="209" t="n">
        <x:f>'原始数据'!D18</x:f>
        <x:v>2018</x:v>
      </x:c>
      <x:c r="E8" s="212" t="n">
        <x:f>IF('原始数据'!F18="","",'原始数据'!F18/VLOOKUP(C8,'原始数据'!$C$5:$G$12,5,FALSE))</x:f>
        <x:v>2.0225054920823813</x:v>
      </x:c>
      <x:c r="F8" s="215" t="n">
        <x:f>IF('原始数据'!H18="","",'原始数据'!H18)</x:f>
        <x:v>0.1394</x:v>
      </x:c>
      <x:c r="G8" s="212" t="n">
        <x:f>IF('原始数据'!J18="","",'原始数据'!J18/VLOOKUP(C8,'原始数据'!$C$5:$G$12,5,FALSE))</x:f>
        <x:v>4.06870915871352</x:v>
      </x:c>
      <x:c r="H8" s="212" t="n">
        <x:f>IF('原始数据'!K18="","",'原始数据'!K18/VLOOKUP(C8,'原始数据'!$C$5:$G$12,5,FALSE))</x:f>
        <x:v>0.9652165061833418</x:v>
      </x:c>
      <x:c r="I8" s="218" t="n">
        <x:f>IF('原始数据'!F18="","",VLOOKUP(C8,'参数设置'!$A$27:$O$34,9,FALSE))</x:f>
        <x:v>0.7</x:v>
      </x:c>
      <x:c r="J8" s="221" t="n">
        <x:f>IF(G8="","",G8-H8*I8)</x:f>
        <x:v>3.393057604385181</x:v>
      </x:c>
      <x:c r="K8" s="224" t="n">
        <x:f>IF('原始数据'!F18="","",IF('原始数据'!F18&lt;&gt;0,'原始数据'!J18/'原始数据'!F18,"n.a."))</x:f>
        <x:v>2.011717236191214</x:v>
      </x:c>
      <x:c r="L8" s="221" t="n">
        <x:f>IF(G8="","",G8-H8)</x:f>
        <x:v>3.103492652530178</x:v>
      </x:c>
      <x:c r="M8" s="221" t="n">
        <x:f>IF(OR('原始数据'!Q18="",'原始数据'!P18=""),"",'原始数据'!Q18*'原始数据'!P18/VLOOKUP(C8,'原始数据'!$C$5:$G$12,5,FALSE))</x:f>
        <x:v>0.8800000000000001</x:v>
      </x:c>
      <x:c r="N8" s="206" t="str">
        <x:f>'原始数据'!S18</x:f>
        <x:v>https://www.sse.com.cn/assortment/stock/list/info/announcement/index.shtml?productId=601088</x:v>
      </x:c>
    </x:row>
    <x:row r="9">
      <x:c r="A9" s="209" t="str">
        <x:f>'原始数据'!A19</x:f>
        <x:v>煤炭</x:v>
      </x:c>
      <x:c r="B9" s="209" t="str">
        <x:f>'原始数据'!B19</x:f>
        <x:v>601088</x:v>
      </x:c>
      <x:c r="C9" s="209" t="str">
        <x:f>'原始数据'!C19</x:f>
        <x:v>中国神华</x:v>
      </x:c>
      <x:c r="D9" s="209" t="n">
        <x:f>'原始数据'!D19</x:f>
        <x:v>2019</x:v>
      </x:c>
      <x:c r="E9" s="212" t="n">
        <x:f>IF('原始数据'!F19="","",'原始数据'!F19/VLOOKUP(C9,'原始数据'!$C$5:$G$12,5,FALSE))</x:f>
        <x:v>1.9940584615442813</x:v>
      </x:c>
      <x:c r="F9" s="215" t="n">
        <x:f>IF('原始数据'!H19="","",'原始数据'!H19)</x:f>
        <x:v>0.1273</x:v>
      </x:c>
      <x:c r="G9" s="212" t="n">
        <x:f>IF('原始数据'!J19="","",'原始数据'!J19/VLOOKUP(C9,'原始数据'!$C$5:$G$12,5,FALSE))</x:f>
        <x:v>2.909527243334414</x:v>
      </x:c>
      <x:c r="H9" s="212" t="n">
        <x:f>IF('原始数据'!K19="","",'原始数据'!K19/VLOOKUP(C9,'原始数据'!$C$5:$G$12,5,FALSE))</x:f>
        <x:v>0.8764175097224334</x:v>
      </x:c>
      <x:c r="I9" s="218" t="n">
        <x:f>IF('原始数据'!F19="","",VLOOKUP(C9,'参数设置'!$A$27:$O$34,9,FALSE))</x:f>
        <x:v>0.7</x:v>
      </x:c>
      <x:c r="J9" s="221" t="n">
        <x:f>IF(G9="","",G9-H9*I9)</x:f>
        <x:v>2.296034986528711</x:v>
      </x:c>
      <x:c r="K9" s="224" t="n">
        <x:f>IF('原始数据'!F19="","",IF('原始数据'!F19&lt;&gt;0,'原始数据'!J19/'原始数据'!F19,"n.a."))</x:f>
        <x:v>1.4590982658959537</x:v>
      </x:c>
      <x:c r="L9" s="221" t="n">
        <x:f>IF(G9="","",G9-H9)</x:f>
        <x:v>2.0331097336119806</x:v>
      </x:c>
      <x:c r="M9" s="221" t="n">
        <x:f>IF(OR('原始数据'!Q19="",'原始数据'!P19=""),"",'原始数据'!Q19*'原始数据'!P19/VLOOKUP(C9,'原始数据'!$C$5:$G$12,5,FALSE))</x:f>
        <x:v>1.26</x:v>
      </x:c>
      <x:c r="N9" s="206" t="str">
        <x:f>'原始数据'!S19</x:f>
        <x:v>https://www.sse.com.cn/assortment/stock/list/info/announcement/index.shtml?productId=601088</x:v>
      </x:c>
    </x:row>
    <x:row r="10">
      <x:c r="A10" s="209" t="str">
        <x:f>'原始数据'!A20</x:f>
        <x:v>煤炭</x:v>
      </x:c>
      <x:c r="B10" s="209" t="str">
        <x:f>'原始数据'!B20</x:f>
        <x:v>601088</x:v>
      </x:c>
      <x:c r="C10" s="209" t="str">
        <x:f>'原始数据'!C20</x:f>
        <x:v>中国神华</x:v>
      </x:c>
      <x:c r="D10" s="209" t="n">
        <x:f>'原始数据'!D20</x:f>
        <x:v>2020</x:v>
      </x:c>
      <x:c r="E10" s="212" t="n">
        <x:f>IF('原始数据'!F20="","",'原始数据'!F20/VLOOKUP(C10,'原始数据'!$C$5:$G$12,5,FALSE))</x:f>
        <x:v>1.8059484378887745</x:v>
      </x:c>
      <x:c r="F10" s="215" t="n">
        <x:f>IF('原始数据'!H20="","",'原始数据'!H20)</x:f>
        <x:v>0.11</x:v>
      </x:c>
      <x:c r="G10" s="212" t="n">
        <x:f>IF('原始数据'!J20="","",'原始数据'!J20/VLOOKUP(C10,'原始数据'!$C$5:$G$12,5,FALSE))</x:f>
        <x:v>3.7478616943461986</x:v>
      </x:c>
      <x:c r="H10" s="212" t="n">
        <x:f>IF('原始数据'!K20="","",'原始数据'!K20/VLOOKUP(C10,'原始数据'!$C$5:$G$12,5,FALSE))</x:f>
        <x:v>0.953136891919189</x:v>
      </x:c>
      <x:c r="I10" s="218" t="n">
        <x:f>IF('原始数据'!F20="","",VLOOKUP(C10,'参数设置'!$A$27:$O$34,9,FALSE))</x:f>
        <x:v>0.7</x:v>
      </x:c>
      <x:c r="J10" s="221" t="n">
        <x:f>IF(G10="","",G10-H10*I10)</x:f>
        <x:v>3.0806658700027665</x:v>
      </x:c>
      <x:c r="K10" s="224" t="n">
        <x:f>IF('原始数据'!F20="","",IF('原始数据'!F20&lt;&gt;0,'原始数据'!J20/'原始数据'!F20,"n.a."))</x:f>
        <x:v>2.0752872095991832</x:v>
      </x:c>
      <x:c r="L10" s="221" t="n">
        <x:f>IF(G10="","",G10-H10)</x:f>
        <x:v>2.7947248024270097</x:v>
      </x:c>
      <x:c r="M10" s="221" t="n">
        <x:f>IF(OR('原始数据'!Q20="",'原始数据'!P20=""),"",'原始数据'!Q20*'原始数据'!P20/VLOOKUP(C10,'原始数据'!$C$5:$G$12,5,FALSE))</x:f>
        <x:v>1.81</x:v>
      </x:c>
      <x:c r="N10" s="206" t="str">
        <x:f>'原始数据'!S20</x:f>
        <x:v>https://www.sse.com.cn/assortment/stock/list/info/announcement/index.shtml?productId=601088</x:v>
      </x:c>
    </x:row>
    <x:row r="11">
      <x:c r="A11" s="209" t="str">
        <x:f>'原始数据'!A21</x:f>
        <x:v>煤炭</x:v>
      </x:c>
      <x:c r="B11" s="209" t="str">
        <x:f>'原始数据'!B21</x:f>
        <x:v>601088</x:v>
      </x:c>
      <x:c r="C11" s="209" t="str">
        <x:f>'原始数据'!C21</x:f>
        <x:v>中国神华</x:v>
      </x:c>
      <x:c r="D11" s="209" t="n">
        <x:f>'原始数据'!D21</x:f>
        <x:v>2021</x:v>
      </x:c>
      <x:c r="E11" s="212" t="n">
        <x:f>IF('原始数据'!F21="","",'原始数据'!F21/VLOOKUP(C11,'原始数据'!$C$5:$G$12,5,FALSE))</x:f>
        <x:v>2.309142751167255</x:v>
      </x:c>
      <x:c r="F11" s="215" t="n">
        <x:f>IF('原始数据'!H21="","",'原始数据'!H21)</x:f>
        <x:v>0.136</x:v>
      </x:c>
      <x:c r="G11" s="212" t="n">
        <x:f>IF('原始数据'!J21="","",'原始数据'!J21/VLOOKUP(C11,'原始数据'!$C$5:$G$12,5,FALSE))</x:f>
        <x:v>4.350044297033594</x:v>
      </x:c>
      <x:c r="H11" s="212" t="n">
        <x:f>IF('原始数据'!K21="","",'原始数据'!K21/VLOOKUP(C11,'原始数据'!$C$5:$G$12,5,FALSE))</x:f>
        <x:v>1.089839396855115</x:v>
      </x:c>
      <x:c r="I11" s="218" t="n">
        <x:f>IF('原始数据'!F21="","",VLOOKUP(C11,'参数设置'!$A$27:$O$34,9,FALSE))</x:f>
        <x:v>0.7</x:v>
      </x:c>
      <x:c r="J11" s="221" t="n">
        <x:f>IF(G11="","",G11-H11*I11)</x:f>
        <x:v>3.587156719235013</x:v>
      </x:c>
      <x:c r="K11" s="224" t="n">
        <x:f>IF('原始数据'!F21="","",IF('原始数据'!F21&lt;&gt;0,'原始数据'!J21/'原始数据'!F21,"n.a."))</x:f>
        <x:v>1.883835156936347</x:v>
      </x:c>
      <x:c r="L11" s="221" t="n">
        <x:f>IF(G11="","",G11-H11)</x:f>
        <x:v>3.2602049001784787</x:v>
      </x:c>
      <x:c r="M11" s="221" t="n">
        <x:f>IF(OR('原始数据'!Q21="",'原始数据'!P21=""),"",'原始数据'!Q21*'原始数据'!P21/VLOOKUP(C11,'原始数据'!$C$5:$G$12,5,FALSE))</x:f>
        <x:v>2.54</x:v>
      </x:c>
      <x:c r="N11" s="206" t="str">
        <x:f>'原始数据'!S21</x:f>
        <x:v>https://www.sse.com.cn/assortment/stock/list/info/announcement/index.shtml?productId=601088</x:v>
      </x:c>
    </x:row>
    <x:row r="12">
      <x:c r="A12" s="209" t="str">
        <x:f>'原始数据'!A22</x:f>
        <x:v>煤炭</x:v>
      </x:c>
      <x:c r="B12" s="209" t="str">
        <x:f>'原始数据'!B22</x:f>
        <x:v>601088</x:v>
      </x:c>
      <x:c r="C12" s="209" t="str">
        <x:f>'原始数据'!C22</x:f>
        <x:v>中国神华</x:v>
      </x:c>
      <x:c r="D12" s="209" t="n">
        <x:f>'原始数据'!D22</x:f>
        <x:v>2022</x:v>
      </x:c>
      <x:c r="E12" s="212" t="n">
        <x:f>IF('原始数据'!F22="","",'原始数据'!F22/VLOOKUP(C12,'原始数据'!$C$5:$G$12,5,FALSE))</x:f>
        <x:v>3.211148756754592</x:v>
      </x:c>
      <x:c r="F12" s="215" t="n">
        <x:f>IF('原始数据'!H22="","",'原始数据'!H22)</x:f>
        <x:v>0.1808</x:v>
      </x:c>
      <x:c r="G12" s="212" t="n">
        <x:f>IF('原始数据'!J22="","",'原始数据'!J22/VLOOKUP(C12,'原始数据'!$C$5:$G$12,5,FALSE))</x:f>
        <x:v>5.059329739169946</x:v>
      </x:c>
      <x:c r="H12" s="212" t="n">
        <x:f>IF('原始数据'!K22="","",'原始数据'!K22/VLOOKUP(C12,'原始数据'!$C$5:$G$12,5,FALSE))</x:f>
        <x:v>1.3224872349349401</x:v>
      </x:c>
      <x:c r="I12" s="218" t="n">
        <x:f>IF('原始数据'!F22="","",VLOOKUP(C12,'参数设置'!$A$27:$O$34,9,FALSE))</x:f>
        <x:v>0.7</x:v>
      </x:c>
      <x:c r="J12" s="221" t="n">
        <x:f>IF(G12="","",G12-H12*I12)</x:f>
        <x:v>4.1335886747154875</x:v>
      </x:c>
      <x:c r="K12" s="224" t="n">
        <x:f>IF('原始数据'!F22="","",IF('原始数据'!F22&lt;&gt;0,'原始数据'!J22/'原始数据'!F22,"n.a."))</x:f>
        <x:v>1.575551343900758</x:v>
      </x:c>
      <x:c r="L12" s="221" t="n">
        <x:f>IF(G12="","",G12-H12)</x:f>
        <x:v>3.7368425042350055</x:v>
      </x:c>
      <x:c r="M12" s="221" t="n">
        <x:f>IF(OR('原始数据'!Q22="",'原始数据'!P22=""),"",'原始数据'!Q22*'原始数据'!P22/VLOOKUP(C12,'原始数据'!$C$5:$G$12,5,FALSE))</x:f>
        <x:v>2.55</x:v>
      </x:c>
      <x:c r="N12" s="206" t="str">
        <x:f>'原始数据'!S22</x:f>
        <x:v>https://www.sse.com.cn/assortment/stock/list/info/announcement/index.shtml?productId=601088</x:v>
      </x:c>
    </x:row>
    <x:row r="13">
      <x:c r="A13" s="209" t="str">
        <x:f>'原始数据'!A23</x:f>
        <x:v>煤炭</x:v>
      </x:c>
      <x:c r="B13" s="209" t="str">
        <x:f>'原始数据'!B23</x:f>
        <x:v>601088</x:v>
      </x:c>
      <x:c r="C13" s="209" t="str">
        <x:f>'原始数据'!C23</x:f>
        <x:v>中国神华</x:v>
      </x:c>
      <x:c r="D13" s="209" t="n">
        <x:f>'原始数据'!D23</x:f>
        <x:v>2023</x:v>
      </x:c>
      <x:c r="E13" s="212" t="n">
        <x:f>IF('原始数据'!F23="","",'原始数据'!F23/VLOOKUP(C13,'原始数据'!$C$5:$G$12,5,FALSE))</x:f>
        <x:v>2.7522156255127017</x:v>
      </x:c>
      <x:c r="F13" s="215" t="n">
        <x:f>IF('原始数据'!H23="","",'原始数据'!H23)</x:f>
        <x:v>0.1452</x:v>
      </x:c>
      <x:c r="G13" s="212" t="n">
        <x:f>IF('原始数据'!J23="","",'原始数据'!J23/VLOOKUP(C13,'原始数据'!$C$5:$G$12,5,FALSE))</x:f>
        <x:v>4.13505482637045</x:v>
      </x:c>
      <x:c r="H13" s="212" t="n">
        <x:f>IF('原始数据'!K23="","",'原始数据'!K23/VLOOKUP(C13,'原始数据'!$C$5:$G$12,5,FALSE))</x:f>
        <x:v>1.7097725777551012</x:v>
      </x:c>
      <x:c r="I13" s="218" t="n">
        <x:f>IF('原始数据'!F23="","",VLOOKUP(C13,'参数设置'!$A$27:$O$34,9,FALSE))</x:f>
        <x:v>0.7</x:v>
      </x:c>
      <x:c r="J13" s="221" t="n">
        <x:f>IF(G13="","",G13-H13*I13)</x:f>
        <x:v>2.938214021941879</x:v>
      </x:c>
      <x:c r="K13" s="224" t="n">
        <x:f>IF('原始数据'!F23="","",IF('原始数据'!F23&lt;&gt;0,'原始数据'!J23/'原始数据'!F23,"n.a."))</x:f>
        <x:v>1.5024458069487718</x:v>
      </x:c>
      <x:c r="L13" s="221" t="n">
        <x:f>IF(G13="","",G13-H13)</x:f>
        <x:v>2.4252822486153485</x:v>
      </x:c>
      <x:c r="M13" s="221" t="n">
        <x:f>IF(OR('原始数据'!Q23="",'原始数据'!P23=""),"",'原始数据'!Q23*'原始数据'!P23/VLOOKUP(C13,'原始数据'!$C$5:$G$12,5,FALSE))</x:f>
        <x:v>2.2600000000000002</x:v>
      </x:c>
      <x:c r="N13" s="206" t="str">
        <x:f>'原始数据'!S23</x:f>
        <x:v>https://www.sse.com.cn/assortment/stock/list/info/announcement/index.shtml?productId=601088</x:v>
      </x:c>
    </x:row>
    <x:row r="14">
      <x:c r="A14" s="209" t="str">
        <x:f>'原始数据'!A24</x:f>
        <x:v>煤炭</x:v>
      </x:c>
      <x:c r="B14" s="209" t="str">
        <x:f>'原始数据'!B24</x:f>
        <x:v>601088</x:v>
      </x:c>
      <x:c r="C14" s="209" t="str">
        <x:f>'原始数据'!C24</x:f>
        <x:v>中国神华</x:v>
      </x:c>
      <x:c r="D14" s="209" t="n">
        <x:f>'原始数据'!D24</x:f>
        <x:v>2024</x:v>
      </x:c>
      <x:c r="E14" s="212" t="n">
        <x:f>IF('原始数据'!F24="","",'原始数据'!F24/VLOOKUP(C14,'原始数据'!$C$5:$G$12,5,FALSE))</x:f>
        <x:v>2.5729117328665576</x:v>
      </x:c>
      <x:c r="F14" s="215" t="n">
        <x:f>IF('原始数据'!H24="","",'原始数据'!H24)</x:f>
        <x:v>0.1355</x:v>
      </x:c>
      <x:c r="G14" s="212" t="n">
        <x:f>IF('原始数据'!J24="","",'原始数据'!J24/VLOOKUP(C14,'原始数据'!$C$5:$G$12,5,FALSE))</x:f>
        <x:v>4.199556278109188</x:v>
      </x:c>
      <x:c r="H14" s="212" t="n">
        <x:f>IF('原始数据'!K24="","",'原始数据'!K24/VLOOKUP(C14,'原始数据'!$C$5:$G$12,5,FALSE))</x:f>
        <x:v>1.7385423460788847</x:v>
      </x:c>
      <x:c r="I14" s="218" t="n">
        <x:f>IF('原始数据'!F24="","",VLOOKUP(C14,'参数设置'!$A$27:$O$34,9,FALSE))</x:f>
        <x:v>0.7</x:v>
      </x:c>
      <x:c r="J14" s="221" t="n">
        <x:f>IF(G14="","",G14-H14*I14)</x:f>
        <x:v>2.9825766358539694</x:v>
      </x:c>
      <x:c r="K14" s="224" t="n">
        <x:f>IF('原始数据'!F24="","",IF('原始数据'!F24&lt;&gt;0,'原始数据'!J24/'原始数据'!F24,"n.a."))</x:f>
        <x:v>1.6322193351850194</x:v>
      </x:c>
      <x:c r="L14" s="221" t="n">
        <x:f>IF(G14="","",G14-H14)</x:f>
        <x:v>2.461013932030304</x:v>
      </x:c>
      <x:c r="M14" s="221" t="n">
        <x:f>IF(OR('原始数据'!Q24="",'原始数据'!P24=""),"",'原始数据'!Q24*'原始数据'!P24/VLOOKUP(C14,'原始数据'!$C$5:$G$12,5,FALSE))</x:f>
        <x:v>2.2600000000000002</x:v>
      </x:c>
      <x:c r="N14" s="206" t="str">
        <x:f>'原始数据'!S24</x:f>
        <x:v>https://www.sse.com.cn/assortment/stock/list/info/announcement/index.shtml?productId=601088</x:v>
      </x:c>
    </x:row>
    <x:row r="15">
      <x:c r="A15" s="209" t="str">
        <x:f>'原始数据'!A25</x:f>
        <x:v>煤炭</x:v>
      </x:c>
      <x:c r="B15" s="209" t="str">
        <x:f>'原始数据'!B25</x:f>
        <x:v>601088</x:v>
      </x:c>
      <x:c r="C15" s="209" t="str">
        <x:f>'原始数据'!C25</x:f>
        <x:v>中国神华</x:v>
      </x:c>
      <x:c r="D15" s="209" t="n">
        <x:f>'原始数据'!D25</x:f>
        <x:v>2025</x:v>
      </x:c>
      <x:c r="E15" s="212" t="n">
        <x:f>IF('原始数据'!F25="","",'原始数据'!F25/VLOOKUP(C15,'原始数据'!$C$5:$G$12,5,FALSE))</x:f>
        <x:v>2.436624176512225</x:v>
      </x:c>
      <x:c r="F15" s="215" t="n">
        <x:f>IF('原始数据'!H25="","",'原始数据'!H25)</x:f>
        <x:v>0.1276</x:v>
      </x:c>
      <x:c r="G15" s="212" t="n">
        <x:f>IF('原始数据'!J25="","",'原始数据'!J25/VLOOKUP(C15,'原始数据'!$C$5:$G$12,5,FALSE))</x:f>
        <x:v>3.4606250650879127</x:v>
      </x:c>
      <x:c r="H15" s="212" t="n">
        <x:f>IF('原始数据'!K25="","",'原始数据'!K25/VLOOKUP(C15,'原始数据'!$C$5:$G$12,5,FALSE))</x:f>
        <x:v>2.231409050215494</x:v>
      </x:c>
      <x:c r="I15" s="218" t="n">
        <x:f>IF('原始数据'!F25="","",VLOOKUP(C15,'参数设置'!$A$27:$O$34,9,FALSE))</x:f>
        <x:v>0.7</x:v>
      </x:c>
      <x:c r="J15" s="221" t="n">
        <x:f>IF(G15="","",G15-H15*I15)</x:f>
        <x:v>1.8986387299370668</x:v>
      </x:c>
      <x:c r="K15" s="224" t="n">
        <x:f>IF('原始数据'!F25="","",IF('原始数据'!F25&lt;&gt;0,'原始数据'!J25/'原始数据'!F25,"n.a."))</x:f>
        <x:v>1.4202539310109936</x:v>
      </x:c>
      <x:c r="L15" s="221" t="n">
        <x:f>IF(G15="","",G15-H15)</x:f>
        <x:v>1.2292160148724185</x:v>
      </x:c>
      <x:c r="M15" s="221" t="n">
        <x:f>IF(OR('原始数据'!Q25="",'原始数据'!P25=""),"",'原始数据'!Q25*'原始数据'!P25/VLOOKUP(C15,'原始数据'!$C$5:$G$12,5,FALSE))</x:f>
        <x:v>2.0100000000000002</x:v>
      </x:c>
      <x:c r="N15" s="206" t="str">
        <x:f>'原始数据'!S25</x:f>
        <x:v>https://www.sse.com.cn/assortment/stock/list/info/announcement/index.shtml?productId=601088</x:v>
      </x:c>
    </x:row>
    <x:row r="16">
      <x:c r="A16" s="209" t="str">
        <x:f>'原始数据'!A26</x:f>
        <x:v>煤炭</x:v>
      </x:c>
      <x:c r="B16" s="209" t="str">
        <x:f>'原始数据'!B26</x:f>
        <x:v>601225</x:v>
      </x:c>
      <x:c r="C16" s="209" t="str">
        <x:f>'原始数据'!C26</x:f>
        <x:v>陕西煤业</x:v>
      </x:c>
      <x:c r="D16" s="209" t="n">
        <x:f>'原始数据'!D26</x:f>
        <x:v>2016</x:v>
      </x:c>
      <x:c r="E16" s="212" t="n">
        <x:f>IF('原始数据'!F26="","",'原始数据'!F26/VLOOKUP(C16,'原始数据'!$C$5:$G$12,5,FALSE))</x:f>
        <x:v>0.2841552689231563</x:v>
      </x:c>
      <x:c r="F16" s="215" t="n">
        <x:f>IF('原始数据'!H26="","",'原始数据'!H26)</x:f>
        <x:v>0.08349999999999999</x:v>
      </x:c>
      <x:c r="G16" s="212" t="n">
        <x:f>IF('原始数据'!J26="","",'原始数据'!J26/VLOOKUP(C16,'原始数据'!$C$5:$G$12,5,FALSE))</x:f>
        <x:v>0.8526599170706549</x:v>
      </x:c>
      <x:c r="H16" s="212" t="n">
        <x:f>IF('原始数据'!K26="","",'原始数据'!K26/VLOOKUP(C16,'原始数据'!$C$5:$G$12,5,FALSE))</x:f>
        <x:v>0.20719317235585352</x:v>
      </x:c>
      <x:c r="I16" s="218" t="n">
        <x:f>IF('原始数据'!F26="","",VLOOKUP(C16,'参数设置'!$A$27:$O$34,9,FALSE))</x:f>
        <x:v>0.65</x:v>
      </x:c>
      <x:c r="J16" s="221" t="n">
        <x:f>IF(G16="","",G16-H16*I16)</x:f>
        <x:v>0.7179843550393501</x:v>
      </x:c>
      <x:c r="K16" s="224" t="n">
        <x:f>IF('原始数据'!F26="","",IF('原始数据'!F26&lt;&gt;0,'原始数据'!J26/'原始数据'!F26,"n.a."))</x:f>
        <x:v>3.0006831135031273</x:v>
      </x:c>
      <x:c r="L16" s="221" t="n">
        <x:f>IF(G16="","",G16-H16)</x:f>
        <x:v>0.6454667447148014</x:v>
      </x:c>
      <x:c r="M16" s="221" t="n">
        <x:f>IF(OR('原始数据'!Q26="",'原始数据'!P26=""),"",'原始数据'!Q26*'原始数据'!P26/VLOOKUP(C16,'原始数据'!$C$5:$G$12,5,FALSE))</x:f>
        <x:v>0.11000000000000001</x:v>
      </x:c>
      <x:c r="N16" s="206" t="str">
        <x:f>'原始数据'!S26</x:f>
        <x:v>https://www.sse.com.cn/assortment/stock/list/info/announcement/index.shtml?productId=601225</x:v>
      </x:c>
    </x:row>
    <x:row r="17">
      <x:c r="A17" s="209" t="str">
        <x:f>'原始数据'!A27</x:f>
        <x:v>煤炭</x:v>
      </x:c>
      <x:c r="B17" s="209" t="str">
        <x:f>'原始数据'!B27</x:f>
        <x:v>601225</x:v>
      </x:c>
      <x:c r="C17" s="209" t="str">
        <x:f>'原始数据'!C27</x:f>
        <x:v>陕西煤业</x:v>
      </x:c>
      <x:c r="D17" s="209" t="n">
        <x:f>'原始数据'!D27</x:f>
        <x:v>2017</x:v>
      </x:c>
      <x:c r="E17" s="212" t="n">
        <x:f>IF('原始数据'!F27="","",'原始数据'!F27/VLOOKUP(C17,'原始数据'!$C$5:$G$12,5,FALSE))</x:f>
        <x:v>1.077813310328004</x:v>
      </x:c>
      <x:c r="F17" s="215" t="n">
        <x:f>IF('原始数据'!H27="","",'原始数据'!H27)</x:f>
        <x:v>0.2659</x:v>
      </x:c>
      <x:c r="G17" s="212" t="n">
        <x:f>IF('原始数据'!J27="","",'原始数据'!J27/VLOOKUP(C17,'原始数据'!$C$5:$G$12,5,FALSE))</x:f>
        <x:v>1.7463501439051057</x:v>
      </x:c>
      <x:c r="H17" s="212" t="n">
        <x:f>IF('原始数据'!K27="","",'原始数据'!K27/VLOOKUP(C17,'原始数据'!$C$5:$G$12,5,FALSE))</x:f>
        <x:v>0.5169769132707581</x:v>
      </x:c>
      <x:c r="I17" s="218" t="n">
        <x:f>IF('原始数据'!F27="","",VLOOKUP(C17,'参数设置'!$A$27:$O$34,9,FALSE))</x:f>
        <x:v>0.65</x:v>
      </x:c>
      <x:c r="J17" s="221" t="n">
        <x:f>IF(G17="","",G17-H17*I17)</x:f>
        <x:v>1.410315150279113</x:v>
      </x:c>
      <x:c r="K17" s="224" t="n">
        <x:f>IF('原始数据'!F27="","",IF('原始数据'!F27&lt;&gt;0,'原始数据'!J27/'原始数据'!F27,"n.a."))</x:f>
        <x:v>1.6202714581188926</x:v>
      </x:c>
      <x:c r="L17" s="221" t="n">
        <x:f>IF(G17="","",G17-H17)</x:f>
        <x:v>1.2293732306343474</x:v>
      </x:c>
      <x:c r="M17" s="221" t="n">
        <x:f>IF(OR('原始数据'!Q27="",'原始数据'!P27=""),"",'原始数据'!Q27*'原始数据'!P27/VLOOKUP(C17,'原始数据'!$C$5:$G$12,5,FALSE))</x:f>
        <x:v>0.418</x:v>
      </x:c>
      <x:c r="N17" s="206" t="str">
        <x:f>'原始数据'!S27</x:f>
        <x:v>https://www.sse.com.cn/assortment/stock/list/info/announcement/index.shtml?productId=601225</x:v>
      </x:c>
    </x:row>
    <x:row r="18">
      <x:c r="A18" s="209" t="str">
        <x:f>'原始数据'!A28</x:f>
        <x:v>煤炭</x:v>
      </x:c>
      <x:c r="B18" s="209" t="str">
        <x:f>'原始数据'!B28</x:f>
        <x:v>601225</x:v>
      </x:c>
      <x:c r="C18" s="209" t="str">
        <x:f>'原始数据'!C28</x:f>
        <x:v>陕西煤业</x:v>
      </x:c>
      <x:c r="D18" s="209" t="n">
        <x:f>'原始数据'!D28</x:f>
        <x:v>2018</x:v>
      </x:c>
      <x:c r="E18" s="212" t="n">
        <x:f>IF('原始数据'!F28="","",'原始数据'!F28/VLOOKUP(C18,'原始数据'!$C$5:$G$12,5,FALSE))</x:f>
        <x:v>1.1338658869654459</x:v>
      </x:c>
      <x:c r="F18" s="215" t="n">
        <x:f>IF('原始数据'!H28="","",'原始数据'!H28)</x:f>
        <x:v>0.2291</x:v>
      </x:c>
      <x:c r="G18" s="212" t="n">
        <x:f>IF('原始数据'!J28="","",'原始数据'!J28/VLOOKUP(C18,'原始数据'!$C$5:$G$12,5,FALSE))</x:f>
        <x:v>2.03798543508819</x:v>
      </x:c>
      <x:c r="H18" s="212" t="n">
        <x:f>IF('原始数据'!K28="","",'原始数据'!K28/VLOOKUP(C18,'原始数据'!$C$5:$G$12,5,FALSE))</x:f>
        <x:v>0.4561351171810211</x:v>
      </x:c>
      <x:c r="I18" s="218" t="n">
        <x:f>IF('原始数据'!F28="","",VLOOKUP(C18,'参数设置'!$A$27:$O$34,9,FALSE))</x:f>
        <x:v>0.65</x:v>
      </x:c>
      <x:c r="J18" s="221" t="n">
        <x:f>IF(G18="","",G18-H18*I18)</x:f>
        <x:v>1.741497608920526</x:v>
      </x:c>
      <x:c r="K18" s="224" t="n">
        <x:f>IF('原始数据'!F28="","",IF('原始数据'!F28&lt;&gt;0,'原始数据'!J28/'原始数据'!F28,"n.a."))</x:f>
        <x:v>1.7973778543972514</x:v>
      </x:c>
      <x:c r="L18" s="221" t="n">
        <x:f>IF(G18="","",G18-H18)</x:f>
        <x:v>1.5818503179071688</x:v>
      </x:c>
      <x:c r="M18" s="221" t="n">
        <x:f>IF(OR('原始数据'!Q28="",'原始数据'!P28=""),"",'原始数据'!Q28*'原始数据'!P28/VLOOKUP(C18,'原始数据'!$C$5:$G$12,5,FALSE))</x:f>
        <x:v>0.32999999999999996</x:v>
      </x:c>
      <x:c r="N18" s="206" t="str">
        <x:f>'原始数据'!S28</x:f>
        <x:v>https://www.sse.com.cn/assortment/stock/list/info/announcement/index.shtml?productId=601225</x:v>
      </x:c>
    </x:row>
    <x:row r="19">
      <x:c r="A19" s="209" t="str">
        <x:f>'原始数据'!A29</x:f>
        <x:v>煤炭</x:v>
      </x:c>
      <x:c r="B19" s="209" t="str">
        <x:f>'原始数据'!B29</x:f>
        <x:v>601225</x:v>
      </x:c>
      <x:c r="C19" s="209" t="str">
        <x:f>'原始数据'!C29</x:f>
        <x:v>陕西煤业</x:v>
      </x:c>
      <x:c r="D19" s="209" t="n">
        <x:f>'原始数据'!D29</x:f>
        <x:v>2019</x:v>
      </x:c>
      <x:c r="E19" s="212" t="n">
        <x:f>IF('原始数据'!F29="","",'原始数据'!F29/VLOOKUP(C19,'原始数据'!$C$5:$G$12,5,FALSE))</x:f>
        <x:v>1.200645642242393</x:v>
      </x:c>
      <x:c r="F19" s="215" t="n">
        <x:f>IF('原始数据'!H29="","",'原始数据'!H29)</x:f>
        <x:v>0.2127</x:v>
      </x:c>
      <x:c r="G19" s="212" t="n">
        <x:f>IF('原始数据'!J29="","",'原始数据'!J29/VLOOKUP(C19,'原始数据'!$C$5:$G$12,5,FALSE))</x:f>
        <x:v>1.9990758536348636</x:v>
      </x:c>
      <x:c r="H19" s="212" t="n">
        <x:f>IF('原始数据'!K29="","",'原始数据'!K29/VLOOKUP(C19,'原始数据'!$C$5:$G$12,5,FALSE))</x:f>
        <x:v>0.504564065183084</x:v>
      </x:c>
      <x:c r="I19" s="218" t="n">
        <x:f>IF('原始数据'!F29="","",VLOOKUP(C19,'参数设置'!$A$27:$O$34,9,FALSE))</x:f>
        <x:v>0.65</x:v>
      </x:c>
      <x:c r="J19" s="221" t="n">
        <x:f>IF(G19="","",G19-H19*I19)</x:f>
        <x:v>1.671109211265859</x:v>
      </x:c>
      <x:c r="K19" s="224" t="n">
        <x:f>IF('原始数据'!F29="","",IF('原始数据'!F29&lt;&gt;0,'原始数据'!J29/'原始数据'!F29,"n.a."))</x:f>
        <x:v>1.6650007156993278</x:v>
      </x:c>
      <x:c r="L19" s="221" t="n">
        <x:f>IF(G19="","",G19-H19)</x:f>
        <x:v>1.4945117884517796</x:v>
      </x:c>
      <x:c r="M19" s="221" t="n">
        <x:f>IF(OR('原始数据'!Q29="",'原始数据'!P29=""),"",'原始数据'!Q29*'原始数据'!P29/VLOOKUP(C19,'原始数据'!$C$5:$G$12,5,FALSE))</x:f>
        <x:v>0.36</x:v>
      </x:c>
      <x:c r="N19" s="206" t="str">
        <x:f>'原始数据'!S29</x:f>
        <x:v>https://www.sse.com.cn/assortment/stock/list/info/announcement/index.shtml?productId=601225</x:v>
      </x:c>
    </x:row>
    <x:row r="20">
      <x:c r="A20" s="209" t="str">
        <x:f>'原始数据'!A30</x:f>
        <x:v>煤炭</x:v>
      </x:c>
      <x:c r="B20" s="209" t="str">
        <x:f>'原始数据'!B30</x:f>
        <x:v>601225</x:v>
      </x:c>
      <x:c r="C20" s="209" t="str">
        <x:f>'原始数据'!C30</x:f>
        <x:v>陕西煤业</x:v>
      </x:c>
      <x:c r="D20" s="209" t="n">
        <x:f>'原始数据'!D30</x:f>
        <x:v>2020</x:v>
      </x:c>
      <x:c r="E20" s="212" t="n">
        <x:f>IF('原始数据'!F30="","",'原始数据'!F30/VLOOKUP(C20,'原始数据'!$C$5:$G$12,5,FALSE))</x:f>
        <x:v>1.5327599772068077</x:v>
      </x:c>
      <x:c r="F20" s="215" t="n">
        <x:f>IF('原始数据'!H30="","",'原始数据'!H30)</x:f>
        <x:v>0.1937</x:v>
      </x:c>
      <x:c r="G20" s="212" t="n">
        <x:f>IF('原始数据'!J30="","",'原始数据'!J30/VLOOKUP(C20,'原始数据'!$C$5:$G$12,5,FALSE))</x:f>
        <x:v>2.1811796362877773</x:v>
      </x:c>
      <x:c r="H20" s="212" t="n">
        <x:f>IF('原始数据'!K30="","",'原始数据'!K30/VLOOKUP(C20,'原始数据'!$C$5:$G$12,5,FALSE))</x:f>
        <x:v>0.8563233208066015</x:v>
      </x:c>
      <x:c r="I20" s="218" t="n">
        <x:f>IF('原始数据'!F30="","",VLOOKUP(C20,'参数设置'!$A$27:$O$34,9,FALSE))</x:f>
        <x:v>0.65</x:v>
      </x:c>
      <x:c r="J20" s="221" t="n">
        <x:f>IF(G20="","",G20-H20*I20)</x:f>
        <x:v>1.6245694777634863</x:v>
      </x:c>
      <x:c r="K20" s="224" t="n">
        <x:f>IF('原始数据'!F30="","",IF('原始数据'!F30&lt;&gt;0,'原始数据'!J30/'原始数据'!F30,"n.a."))</x:f>
        <x:v>1.4230405730338833</x:v>
      </x:c>
      <x:c r="L20" s="221" t="n">
        <x:f>IF(G20="","",G20-H20)</x:f>
        <x:v>1.3248563154811759</x:v>
      </x:c>
      <x:c r="M20" s="221" t="n">
        <x:f>IF(OR('原始数据'!Q30="",'原始数据'!P30=""),"",'原始数据'!Q30*'原始数据'!P30/VLOOKUP(C20,'原始数据'!$C$5:$G$12,5,FALSE))</x:f>
        <x:v>0.8</x:v>
      </x:c>
      <x:c r="N20" s="206" t="str">
        <x:f>'原始数据'!S30</x:f>
        <x:v>https://www.sse.com.cn/assortment/stock/list/info/announcement/index.shtml?productId=601225</x:v>
      </x:c>
    </x:row>
    <x:row r="21">
      <x:c r="A21" s="209" t="str">
        <x:f>'原始数据'!A31</x:f>
        <x:v>煤炭</x:v>
      </x:c>
      <x:c r="B21" s="209" t="str">
        <x:f>'原始数据'!B31</x:f>
        <x:v>601225</x:v>
      </x:c>
      <x:c r="C21" s="209" t="str">
        <x:f>'原始数据'!C31</x:f>
        <x:v>陕西煤业</x:v>
      </x:c>
      <x:c r="D21" s="209" t="n">
        <x:f>'原始数据'!D31</x:f>
        <x:v>2021</x:v>
      </x:c>
      <x:c r="E21" s="212" t="n">
        <x:f>IF('原始数据'!F31="","",'原始数据'!F31/VLOOKUP(C21,'原始数据'!$C$5:$G$12,5,FALSE))</x:f>
        <x:v>2.20931839435379</x:v>
      </x:c>
      <x:c r="F21" s="215" t="n">
        <x:f>IF('原始数据'!H31="","",'原始数据'!H31)</x:f>
        <x:v>0.215</x:v>
      </x:c>
      <x:c r="G21" s="212" t="n">
        <x:f>IF('原始数据'!J31="","",'原始数据'!J31/VLOOKUP(C21,'原始数据'!$C$5:$G$12,5,FALSE))</x:f>
        <x:v>5.426264940603404</x:v>
      </x:c>
      <x:c r="H21" s="212" t="n">
        <x:f>IF('原始数据'!K31="","",'原始数据'!K31/VLOOKUP(C21,'原始数据'!$C$5:$G$12,5,FALSE))</x:f>
        <x:v>0.8668923611758639</x:v>
      </x:c>
      <x:c r="I21" s="218" t="n">
        <x:f>IF('原始数据'!F31="","",VLOOKUP(C21,'参数设置'!$A$27:$O$34,9,FALSE))</x:f>
        <x:v>0.65</x:v>
      </x:c>
      <x:c r="J21" s="221" t="n">
        <x:f>IF(G21="","",G21-H21*I21)</x:f>
        <x:v>4.862784905839092</x:v>
      </x:c>
      <x:c r="K21" s="224" t="n">
        <x:f>IF('原始数据'!F31="","",IF('原始数据'!F31&lt;&gt;0,'原始数据'!J31/'原始数据'!F31,"n.a."))</x:f>
        <x:v>2.4560810042006405</x:v>
      </x:c>
      <x:c r="L21" s="221" t="n">
        <x:f>IF(G21="","",G21-H21)</x:f>
        <x:v>4.55937257942754</x:v>
      </x:c>
      <x:c r="M21" s="221" t="n">
        <x:f>IF(OR('原始数据'!Q31="",'原始数据'!P31=""),"",'原始数据'!Q31*'原始数据'!P31/VLOOKUP(C21,'原始数据'!$C$5:$G$12,5,FALSE))</x:f>
        <x:v>1.35</x:v>
      </x:c>
      <x:c r="N21" s="206" t="str">
        <x:f>'原始数据'!S31</x:f>
        <x:v>https://www.sse.com.cn/assortment/stock/list/info/announcement/index.shtml?productId=601225</x:v>
      </x:c>
    </x:row>
    <x:row r="22">
      <x:c r="A22" s="209" t="str">
        <x:f>'原始数据'!A32</x:f>
        <x:v>煤炭</x:v>
      </x:c>
      <x:c r="B22" s="209" t="str">
        <x:f>'原始数据'!B32</x:f>
        <x:v>601225</x:v>
      </x:c>
      <x:c r="C22" s="209" t="str">
        <x:f>'原始数据'!C32</x:f>
        <x:v>陕西煤业</x:v>
      </x:c>
      <x:c r="D22" s="209" t="n">
        <x:f>'原始数据'!D32</x:f>
        <x:v>2022</x:v>
      </x:c>
      <x:c r="E22" s="212" t="n">
        <x:f>IF('原始数据'!F32="","",'原始数据'!F32/VLOOKUP(C22,'原始数据'!$C$5:$G$12,5,FALSE))</x:f>
        <x:v>3.6309877378215574</x:v>
      </x:c>
      <x:c r="F22" s="215" t="n">
        <x:f>IF('原始数据'!H32="","",'原始数据'!H32)</x:f>
        <x:v>0.3247</x:v>
      </x:c>
      <x:c r="G22" s="212" t="n">
        <x:f>IF('原始数据'!J32="","",'原始数据'!J32/VLOOKUP(C22,'原始数据'!$C$5:$G$12,5,FALSE))</x:f>
        <x:v>5.789022448971635</x:v>
      </x:c>
      <x:c r="H22" s="212" t="n">
        <x:f>IF('原始数据'!K32="","",'原始数据'!K32/VLOOKUP(C22,'原始数据'!$C$5:$G$12,5,FALSE))</x:f>
        <x:v>1.0496536706828263</x:v>
      </x:c>
      <x:c r="I22" s="218" t="n">
        <x:f>IF('原始数据'!F32="","",VLOOKUP(C22,'参数设置'!$A$27:$O$34,9,FALSE))</x:f>
        <x:v>0.65</x:v>
      </x:c>
      <x:c r="J22" s="221" t="n">
        <x:f>IF(G22="","",G22-H22*I22)</x:f>
        <x:v>5.106747563027798</x:v>
      </x:c>
      <x:c r="K22" s="224" t="n">
        <x:f>IF('原始数据'!F32="","",IF('原始数据'!F32&lt;&gt;0,'原始数据'!J32/'原始数据'!F32,"n.a."))</x:f>
        <x:v>1.5943381985764593</x:v>
      </x:c>
      <x:c r="L22" s="221" t="n">
        <x:f>IF(G22="","",G22-H22)</x:f>
        <x:v>4.739368778288808</x:v>
      </x:c>
      <x:c r="M22" s="221" t="n">
        <x:f>IF(OR('原始数据'!Q32="",'原始数据'!P32=""),"",'原始数据'!Q32*'原始数据'!P32/VLOOKUP(C22,'原始数据'!$C$5:$G$12,5,FALSE))</x:f>
        <x:v>2.18</x:v>
      </x:c>
      <x:c r="N22" s="206" t="str">
        <x:f>'原始数据'!S32</x:f>
        <x:v>https://www.sse.com.cn/assortment/stock/list/info/announcement/index.shtml?productId=601225</x:v>
      </x:c>
    </x:row>
    <x:row r="23">
      <x:c r="A23" s="209" t="str">
        <x:f>'原始数据'!A33</x:f>
        <x:v>煤炭</x:v>
      </x:c>
      <x:c r="B23" s="209" t="str">
        <x:f>'原始数据'!B33</x:f>
        <x:v>601225</x:v>
      </x:c>
      <x:c r="C23" s="209" t="str">
        <x:f>'原始数据'!C33</x:f>
        <x:v>陕西煤业</x:v>
      </x:c>
      <x:c r="D23" s="209" t="n">
        <x:f>'原始数据'!D33</x:f>
        <x:v>2023</x:v>
      </x:c>
      <x:c r="E23" s="212" t="n">
        <x:f>IF('原始数据'!F33="","",'原始数据'!F33/VLOOKUP(C23,'原始数据'!$C$5:$G$12,5,FALSE))</x:f>
        <x:v>2.3826890656328006</x:v>
      </x:c>
      <x:c r="F23" s="215" t="n">
        <x:f>IF('原始数据'!H33="","",'原始数据'!H33)</x:f>
        <x:v>0.2064</x:v>
      </x:c>
      <x:c r="G23" s="212" t="n">
        <x:f>IF('原始数据'!J33="","",'原始数据'!J33/VLOOKUP(C23,'原始数据'!$C$5:$G$12,5,FALSE))</x:f>
        <x:v>4.330635859984528</x:v>
      </x:c>
      <x:c r="H23" s="212" t="n">
        <x:f>IF('原始数据'!K33="","",'原始数据'!K33/VLOOKUP(C23,'原始数据'!$C$5:$G$12,5,FALSE))</x:f>
        <x:v>1.3365567468251676</x:v>
      </x:c>
      <x:c r="I23" s="218" t="n">
        <x:f>IF('原始数据'!F33="","",VLOOKUP(C23,'参数设置'!$A$27:$O$34,9,FALSE))</x:f>
        <x:v>0.65</x:v>
      </x:c>
      <x:c r="J23" s="221" t="n">
        <x:f>IF(G23="","",G23-H23*I23)</x:f>
        <x:v>3.461873974548169</x:v>
      </x:c>
      <x:c r="K23" s="224" t="n">
        <x:f>IF('原始数据'!F33="","",IF('原始数据'!F33&lt;&gt;0,'原始数据'!J33/'原始数据'!F33,"n.a."))</x:f>
        <x:v>1.8175413327942507</x:v>
      </x:c>
      <x:c r="L23" s="221" t="n">
        <x:f>IF(G23="","",G23-H23)</x:f>
        <x:v>2.9940791131593603</x:v>
      </x:c>
      <x:c r="M23" s="221" t="n">
        <x:f>IF(OR('原始数据'!Q33="",'原始数据'!P33=""),"",'原始数据'!Q33*'原始数据'!P33/VLOOKUP(C23,'原始数据'!$C$5:$G$12,5,FALSE))</x:f>
        <x:v>1.315</x:v>
      </x:c>
      <x:c r="N23" s="206" t="str">
        <x:f>'原始数据'!S33</x:f>
        <x:v>https://www.sse.com.cn/assortment/stock/list/info/announcement/index.shtml?productId=601225</x:v>
      </x:c>
    </x:row>
    <x:row r="24">
      <x:c r="A24" s="209" t="str">
        <x:f>'原始数据'!A34</x:f>
        <x:v>煤炭</x:v>
      </x:c>
      <x:c r="B24" s="209" t="str">
        <x:f>'原始数据'!B34</x:f>
        <x:v>601225</x:v>
      </x:c>
      <x:c r="C24" s="209" t="str">
        <x:f>'原始数据'!C34</x:f>
        <x:v>陕西煤业</x:v>
      </x:c>
      <x:c r="D24" s="209" t="n">
        <x:f>'原始数据'!D34</x:f>
        <x:v>2024</x:v>
      </x:c>
      <x:c r="E24" s="212" t="n">
        <x:f>IF('原始数据'!F34="","",'原始数据'!F34/VLOOKUP(C24,'原始数据'!$C$5:$G$12,5,FALSE))</x:f>
        <x:v>2.3063214609757607</x:v>
      </x:c>
      <x:c r="F24" s="215" t="n">
        <x:f>IF('原始数据'!H34="","",'原始数据'!H34)</x:f>
        <x:v>0.2132</x:v>
      </x:c>
      <x:c r="G24" s="212" t="n">
        <x:f>IF('原始数据'!J34="","",'原始数据'!J34/VLOOKUP(C24,'原始数据'!$C$5:$G$12,5,FALSE))</x:f>
        <x:v>4.368255740372358</x:v>
      </x:c>
      <x:c r="H24" s="212" t="n">
        <x:f>IF('原始数据'!K34="","",'原始数据'!K34/VLOOKUP(C24,'原始数据'!$C$5:$G$12,5,FALSE))</x:f>
        <x:v>1.4330261339989685</x:v>
      </x:c>
      <x:c r="I24" s="218" t="n">
        <x:f>IF('原始数据'!F34="","",VLOOKUP(C24,'参数设置'!$A$27:$O$34,9,FALSE))</x:f>
        <x:v>0.65</x:v>
      </x:c>
      <x:c r="J24" s="221" t="n">
        <x:f>IF(G24="","",G24-H24*I24)</x:f>
        <x:v>3.436788753273028</x:v>
      </x:c>
      <x:c r="K24" s="224" t="n">
        <x:f>IF('原始数据'!F34="","",IF('原始数据'!F34&lt;&gt;0,'原始数据'!J34/'原始数据'!F34,"n.a."))</x:f>
        <x:v>1.8940359417738026</x:v>
      </x:c>
      <x:c r="L24" s="221" t="n">
        <x:f>IF(G24="","",G24-H24)</x:f>
        <x:v>2.9352296063733894</x:v>
      </x:c>
      <x:c r="M24" s="221" t="n">
        <x:f>IF(OR('原始数据'!Q34="",'原始数据'!P34=""),"",'原始数据'!Q34*'原始数据'!P34/VLOOKUP(C24,'原始数据'!$C$5:$G$12,5,FALSE))</x:f>
        <x:v>1.3479999999999996</x:v>
      </x:c>
      <x:c r="N24" s="206" t="str">
        <x:f>'原始数据'!S34</x:f>
        <x:v>https://www.sse.com.cn/assortment/stock/list/info/announcement/index.shtml?productId=601225</x:v>
      </x:c>
    </x:row>
    <x:row r="25">
      <x:c r="A25" s="209" t="str">
        <x:f>'原始数据'!A35</x:f>
        <x:v>煤炭</x:v>
      </x:c>
      <x:c r="B25" s="209" t="str">
        <x:f>'原始数据'!B35</x:f>
        <x:v>601225</x:v>
      </x:c>
      <x:c r="C25" s="209" t="str">
        <x:f>'原始数据'!C35</x:f>
        <x:v>陕西煤业</x:v>
      </x:c>
      <x:c r="D25" s="209" t="n">
        <x:f>'原始数据'!D35</x:f>
        <x:v>2025</x:v>
      </x:c>
      <x:c r="E25" s="212" t="n">
        <x:f>IF('原始数据'!F35="","",'原始数据'!F35/VLOOKUP(C25,'原始数据'!$C$5:$G$12,5,FALSE))</x:f>
        <x:v>1.7292174490314594</x:v>
      </x:c>
      <x:c r="F25" s="215" t="n">
        <x:f>IF('原始数据'!H35="","",'原始数据'!H35)</x:f>
        <x:v>0.1788</x:v>
      </x:c>
      <x:c r="G25" s="212" t="n">
        <x:f>IF('原始数据'!J35="","",'原始数据'!J35/VLOOKUP(C25,'原始数据'!$C$5:$G$12,5,FALSE))</x:f>
        <x:v>3.637882698510572</x:v>
      </x:c>
      <x:c r="H25" s="212" t="n">
        <x:f>IF('原始数据'!K35="","",'原始数据'!K35/VLOOKUP(C25,'原始数据'!$C$5:$G$12,5,FALSE))</x:f>
        <x:v>1.7596324720804537</x:v>
      </x:c>
      <x:c r="I25" s="218" t="n">
        <x:f>IF('原始数据'!F35="","",VLOOKUP(C25,'参数设置'!$A$27:$O$34,9,FALSE))</x:f>
        <x:v>0.65</x:v>
      </x:c>
      <x:c r="J25" s="221" t="n">
        <x:f>IF(G25="","",G25-H25*I25)</x:f>
        <x:v>2.494121591658277</x:v>
      </x:c>
      <x:c r="K25" s="224" t="n">
        <x:f>IF('原始数据'!F35="","",IF('原始数据'!F35&lt;&gt;0,'原始数据'!J35/'原始数据'!F35,"n.a."))</x:f>
        <x:v>2.1037739935762056</x:v>
      </x:c>
      <x:c r="L25" s="221" t="n">
        <x:f>IF(G25="","",G25-H25)</x:f>
        <x:v>1.8782502264301182</x:v>
      </x:c>
      <x:c r="M25" s="221" t="n">
        <x:f>IF(OR('原始数据'!Q35="",'原始数据'!P35=""),"",'原始数据'!Q35*'原始数据'!P35/VLOOKUP(C25,'原始数据'!$C$5:$G$12,5,FALSE))</x:f>
        <x:v>0.9480000000000001</x:v>
      </x:c>
      <x:c r="N25" s="206" t="str">
        <x:f>'原始数据'!S35</x:f>
        <x:v>https://www.sse.com.cn/assortment/stock/list/info/announcement/index.shtml?productId=601225</x:v>
      </x:c>
    </x:row>
    <x:row r="26">
      <x:c r="A26" s="209" t="str">
        <x:f>'原始数据'!A36</x:f>
        <x:v>煤炭</x:v>
      </x:c>
      <x:c r="B26" s="209" t="str">
        <x:f>'原始数据'!B36</x:f>
        <x:v>600188</x:v>
      </x:c>
      <x:c r="C26" s="209" t="str">
        <x:f>'原始数据'!C36</x:f>
        <x:v>兖矿能源</x:v>
      </x:c>
      <x:c r="D26" s="209" t="n">
        <x:f>'原始数据'!D36</x:f>
        <x:v>2016</x:v>
      </x:c>
      <x:c r="E26" s="212" t="n">
        <x:f>IF('原始数据'!F36="","",'原始数据'!F36/VLOOKUP(C26,'原始数据'!$C$5:$G$12,5,FALSE))</x:f>
        <x:v>0.21538765299042437</x:v>
      </x:c>
      <x:c r="F26" s="215" t="n">
        <x:f>IF('原始数据'!H36="","",'原始数据'!H36)</x:f>
        <x:v>0.051699999999999996</x:v>
      </x:c>
      <x:c r="G26" s="212" t="n">
        <x:f>IF('原始数据'!J36="","",'原始数据'!J36/VLOOKUP(C26,'原始数据'!$C$5:$G$12,5,FALSE))</x:f>
        <x:v>0.621259433493172</x:v>
      </x:c>
      <x:c r="H26" s="212" t="n">
        <x:f>IF('原始数据'!K36="","",'原始数据'!K36/VLOOKUP(C26,'原始数据'!$C$5:$G$12,5,FALSE))</x:f>
        <x:v>0.7200064308609782</x:v>
      </x:c>
      <x:c r="I26" s="218" t="n">
        <x:f>IF('原始数据'!F36="","",VLOOKUP(C26,'参数设置'!$A$27:$O$34,9,FALSE))</x:f>
        <x:v>0.7</x:v>
      </x:c>
      <x:c r="J26" s="221" t="n">
        <x:f>IF(G26="","",G26-H26*I26)</x:f>
        <x:v>0.1172549318904873</x:v>
      </x:c>
      <x:c r="K26" s="224" t="n">
        <x:f>IF('原始数据'!F36="","",IF('原始数据'!F36&lt;&gt;0,'原始数据'!J36/'原始数据'!F36,"n.a."))</x:f>
        <x:v>2.88437811948669</x:v>
      </x:c>
      <x:c r="L26" s="221" t="n">
        <x:f>IF(G26="","",G26-H26)</x:f>
        <x:v>-0.09874699736780612</x:v>
      </x:c>
      <x:c r="M26" s="221" t="n">
        <x:f>IF(OR('原始数据'!Q36="",'原始数据'!P36=""),"",'原始数据'!Q36*'原始数据'!P36/VLOOKUP(C26,'原始数据'!$C$5:$G$12,5,FALSE))</x:f>
        <x:v>0.12</x:v>
      </x:c>
      <x:c r="N26" s="206" t="str">
        <x:f>'原始数据'!S36</x:f>
        <x:v>https://www.sse.com.cn/assortment/stock/list/info/announcement/index.shtml?productId=600188</x:v>
      </x:c>
    </x:row>
    <x:row r="27">
      <x:c r="A27" s="209" t="str">
        <x:f>'原始数据'!A37</x:f>
        <x:v>煤炭</x:v>
      </x:c>
      <x:c r="B27" s="209" t="str">
        <x:f>'原始数据'!B37</x:f>
        <x:v>600188</x:v>
      </x:c>
      <x:c r="C27" s="209" t="str">
        <x:f>'原始数据'!C37</x:f>
        <x:v>兖矿能源</x:v>
      </x:c>
      <x:c r="D27" s="209" t="n">
        <x:f>'原始数据'!D37</x:f>
        <x:v>2017</x:v>
      </x:c>
      <x:c r="E27" s="212" t="n">
        <x:f>IF('原始数据'!F37="","",'原始数据'!F37/VLOOKUP(C27,'原始数据'!$C$5:$G$12,5,FALSE))</x:f>
        <x:v>0.6745758517220821</x:v>
      </x:c>
      <x:c r="F27" s="215" t="n">
        <x:f>IF('原始数据'!H37="","",'原始数据'!H37)</x:f>
        <x:v>0.14</x:v>
      </x:c>
      <x:c r="G27" s="212" t="n">
        <x:f>IF('原始数据'!J37="","",'原始数据'!J37/VLOOKUP(C27,'原始数据'!$C$5:$G$12,5,FALSE))</x:f>
        <x:v>1.600409567461173</x:v>
      </x:c>
      <x:c r="H27" s="212" t="n">
        <x:f>IF('原始数据'!K37="","",'原始数据'!K37/VLOOKUP(C27,'原始数据'!$C$5:$G$12,5,FALSE))</x:f>
        <x:v>1.013641625853123</x:v>
      </x:c>
      <x:c r="I27" s="218" t="n">
        <x:f>IF('原始数据'!F37="","",VLOOKUP(C27,'参数设置'!$A$27:$O$34,9,FALSE))</x:f>
        <x:v>0.7</x:v>
      </x:c>
      <x:c r="J27" s="221" t="n">
        <x:f>IF(G27="","",G27-H27*I27)</x:f>
        <x:v>0.8908604293639869</x:v>
      </x:c>
      <x:c r="K27" s="224" t="n">
        <x:f>IF('原始数据'!F37="","",IF('原始数据'!F37&lt;&gt;0,'原始数据'!J37/'原始数据'!F37,"n.a."))</x:f>
        <x:v>2.372467919472048</x:v>
      </x:c>
      <x:c r="L27" s="221" t="n">
        <x:f>IF(G27="","",G27-H27)</x:f>
        <x:v>0.58676794160805</x:v>
      </x:c>
      <x:c r="M27" s="221" t="n">
        <x:f>IF(OR('原始数据'!Q37="",'原始数据'!P37=""),"",'原始数据'!Q37*'原始数据'!P37/VLOOKUP(C27,'原始数据'!$C$5:$G$12,5,FALSE))</x:f>
        <x:v>0.48</x:v>
      </x:c>
      <x:c r="N27" s="206" t="str">
        <x:f>'原始数据'!S37</x:f>
        <x:v>https://www.sse.com.cn/assortment/stock/list/info/announcement/index.shtml?productId=600188</x:v>
      </x:c>
    </x:row>
    <x:row r="28">
      <x:c r="A28" s="209" t="str">
        <x:f>'原始数据'!A38</x:f>
        <x:v>煤炭</x:v>
      </x:c>
      <x:c r="B28" s="209" t="str">
        <x:f>'原始数据'!B38</x:f>
        <x:v>600188</x:v>
      </x:c>
      <x:c r="C28" s="209" t="str">
        <x:f>'原始数据'!C38</x:f>
        <x:v>兖矿能源</x:v>
      </x:c>
      <x:c r="D28" s="209" t="n">
        <x:f>'原始数据'!D38</x:f>
        <x:v>2018</x:v>
      </x:c>
      <x:c r="E28" s="212" t="n">
        <x:f>IF('原始数据'!F38="","",'原始数据'!F38/VLOOKUP(C28,'原始数据'!$C$5:$G$12,5,FALSE))</x:f>
        <x:v>0.7879865105354018</x:v>
      </x:c>
      <x:c r="F28" s="215" t="n">
        <x:f>IF('原始数据'!H38="","",'原始数据'!H38)</x:f>
        <x:v>0.1623</x:v>
      </x:c>
      <x:c r="G28" s="212" t="n">
        <x:f>IF('原始数据'!J38="","",'原始数据'!J38/VLOOKUP(C28,'原始数据'!$C$5:$G$12,5,FALSE))</x:f>
        <x:v>2.235003161877841</x:v>
      </x:c>
      <x:c r="H28" s="212" t="n">
        <x:f>IF('原始数据'!K38="","",'原始数据'!K38/VLOOKUP(C28,'原始数据'!$C$5:$G$12,5,FALSE))</x:f>
        <x:v>1.0650332373835276</x:v>
      </x:c>
      <x:c r="I28" s="218" t="n">
        <x:f>IF('原始数据'!F38="","",VLOOKUP(C28,'参数设置'!$A$27:$O$34,9,FALSE))</x:f>
        <x:v>0.7</x:v>
      </x:c>
      <x:c r="J28" s="221" t="n">
        <x:f>IF(G28="","",G28-H28*I28)</x:f>
        <x:v>1.4894798957093718</x:v>
      </x:c>
      <x:c r="K28" s="224" t="n">
        <x:f>IF('原始数据'!F38="","",IF('原始数据'!F38&lt;&gt;0,'原始数据'!J38/'原始数据'!F38,"n.a."))</x:f>
        <x:v>2.83634698309652</x:v>
      </x:c>
      <x:c r="L28" s="221" t="n">
        <x:f>IF(G28="","",G28-H28)</x:f>
        <x:v>1.1699699244943136</x:v>
      </x:c>
      <x:c r="M28" s="221" t="n">
        <x:f>IF(OR('原始数据'!Q38="",'原始数据'!P38=""),"",'原始数据'!Q38*'原始数据'!P38/VLOOKUP(C28,'原始数据'!$C$5:$G$12,5,FALSE))</x:f>
        <x:v>0.54</x:v>
      </x:c>
      <x:c r="N28" s="206" t="str">
        <x:f>'原始数据'!S38</x:f>
        <x:v>https://www.sse.com.cn/assortment/stock/list/info/announcement/index.shtml?productId=600188</x:v>
      </x:c>
    </x:row>
    <x:row r="29">
      <x:c r="A29" s="209" t="str">
        <x:f>'原始数据'!A39</x:f>
        <x:v>煤炭</x:v>
      </x:c>
      <x:c r="B29" s="209" t="str">
        <x:f>'原始数据'!B39</x:f>
        <x:v>600188</x:v>
      </x:c>
      <x:c r="C29" s="209" t="str">
        <x:f>'原始数据'!C39</x:f>
        <x:v>兖矿能源</x:v>
      </x:c>
      <x:c r="D29" s="209" t="n">
        <x:f>'原始数据'!D39</x:f>
        <x:v>2019</x:v>
      </x:c>
      <x:c r="E29" s="212" t="n">
        <x:f>IF('原始数据'!F39="","",'原始数据'!F39/VLOOKUP(C29,'原始数据'!$C$5:$G$12,5,FALSE))</x:f>
        <x:v>0.9881697946962458</x:v>
      </x:c>
      <x:c r="F29" s="215" t="n">
        <x:f>IF('原始数据'!H39="","",'原始数据'!H39)</x:f>
        <x:v>0.1591</x:v>
      </x:c>
      <x:c r="G29" s="212" t="n">
        <x:f>IF('原始数据'!J39="","",'原始数据'!J39/VLOOKUP(C29,'原始数据'!$C$5:$G$12,5,FALSE))</x:f>
        <x:v>2.802383550534802</x:v>
      </x:c>
      <x:c r="H29" s="212" t="n">
        <x:f>IF('原始数据'!K39="","",'原始数据'!K39/VLOOKUP(C29,'原始数据'!$C$5:$G$12,5,FALSE))</x:f>
        <x:v>1.309314611176264</x:v>
      </x:c>
      <x:c r="I29" s="218" t="n">
        <x:f>IF('原始数据'!F39="","",VLOOKUP(C29,'参数设置'!$A$27:$O$34,9,FALSE))</x:f>
        <x:v>0.7</x:v>
      </x:c>
      <x:c r="J29" s="221" t="n">
        <x:f>IF(G29="","",G29-H29*I29)</x:f>
        <x:v>1.8858633227114172</x:v>
      </x:c>
      <x:c r="K29" s="224" t="n">
        <x:f>IF('原始数据'!F39="","",IF('原始数据'!F39&lt;&gt;0,'原始数据'!J39/'原始数据'!F39,"n.a."))</x:f>
        <x:v>2.835933222788123</x:v>
      </x:c>
      <x:c r="L29" s="221" t="n">
        <x:f>IF(G29="","",G29-H29)</x:f>
        <x:v>1.4930689393585381</x:v>
      </x:c>
      <x:c r="M29" s="221" t="n">
        <x:f>IF(OR('原始数据'!Q39="",'原始数据'!P39=""),"",'原始数据'!Q39*'原始数据'!P39/VLOOKUP(C29,'原始数据'!$C$5:$G$12,5,FALSE))</x:f>
        <x:v>1.58</x:v>
      </x:c>
      <x:c r="N29" s="206" t="str">
        <x:f>'原始数据'!S39</x:f>
        <x:v>https://www.sse.com.cn/assortment/stock/list/info/announcement/index.shtml?productId=600188</x:v>
      </x:c>
    </x:row>
    <x:row r="30">
      <x:c r="A30" s="209" t="str">
        <x:f>'原始数据'!A40</x:f>
        <x:v>煤炭</x:v>
      </x:c>
      <x:c r="B30" s="209" t="str">
        <x:f>'原始数据'!B40</x:f>
        <x:v>600188</x:v>
      </x:c>
      <x:c r="C30" s="209" t="str">
        <x:f>'原始数据'!C40</x:f>
        <x:v>兖矿能源</x:v>
      </x:c>
      <x:c r="D30" s="209" t="n">
        <x:f>'原始数据'!D40</x:f>
        <x:v>2020</x:v>
      </x:c>
      <x:c r="E30" s="212" t="n">
        <x:f>IF('原始数据'!F40="","",'原始数据'!F40/VLOOKUP(C30,'原始数据'!$C$5:$G$12,5,FALSE))</x:f>
        <x:v>0.7095487694557042</x:v>
      </x:c>
      <x:c r="F30" s="215" t="n">
        <x:f>IF('原始数据'!H40="","",'原始数据'!H40)</x:f>
        <x:v>0.0946</x:v>
      </x:c>
      <x:c r="G30" s="212" t="n">
        <x:f>IF('原始数据'!J40="","",'原始数据'!J40/VLOOKUP(C30,'原始数据'!$C$5:$G$12,5,FALSE))</x:f>
        <x:v>2.2151765270322277</x:v>
      </x:c>
      <x:c r="H30" s="212" t="n">
        <x:f>IF('原始数据'!K40="","",'原始数据'!K40/VLOOKUP(C30,'原始数据'!$C$5:$G$12,5,FALSE))</x:f>
        <x:v>1.1968124045331894</x:v>
      </x:c>
      <x:c r="I30" s="218" t="n">
        <x:f>IF('原始数据'!F40="","",VLOOKUP(C30,'参数设置'!$A$27:$O$34,9,FALSE))</x:f>
        <x:v>0.7</x:v>
      </x:c>
      <x:c r="J30" s="221" t="n">
        <x:f>IF(G30="","",G30-H30*I30)</x:f>
        <x:v>1.3774078438589952</x:v>
      </x:c>
      <x:c r="K30" s="224" t="n">
        <x:f>IF('原始数据'!F40="","",IF('原始数据'!F40&lt;&gt;0,'原始数据'!J40/'原始数据'!F40,"n.a."))</x:f>
        <x:v>3.1219510516965485</x:v>
      </x:c>
      <x:c r="L30" s="221" t="n">
        <x:f>IF(G30="","",G30-H30)</x:f>
        <x:v>1.0183641224990383</x:v>
      </x:c>
      <x:c r="M30" s="221" t="n">
        <x:f>IF(OR('原始数据'!Q40="",'原始数据'!P40=""),"",'原始数据'!Q40*'原始数据'!P40/VLOOKUP(C30,'原始数据'!$C$5:$G$12,5,FALSE))</x:f>
        <x:v>0.6</x:v>
      </x:c>
      <x:c r="N30" s="206" t="str">
        <x:f>'原始数据'!S40</x:f>
        <x:v>https://www.sse.com.cn/assortment/stock/list/info/announcement/index.shtml?productId=600188</x:v>
      </x:c>
    </x:row>
    <x:row r="31">
      <x:c r="A31" s="209" t="str">
        <x:f>'原始数据'!A41</x:f>
        <x:v>煤炭</x:v>
      </x:c>
      <x:c r="B31" s="209" t="str">
        <x:f>'原始数据'!B41</x:f>
        <x:v>600188</x:v>
      </x:c>
      <x:c r="C31" s="209" t="str">
        <x:f>'原始数据'!C41</x:f>
        <x:v>兖矿能源</x:v>
      </x:c>
      <x:c r="D31" s="209" t="n">
        <x:f>'原始数据'!D41</x:f>
        <x:v>2021</x:v>
      </x:c>
      <x:c r="E31" s="212" t="n">
        <x:f>IF('原始数据'!F41="","",'原始数据'!F41/VLOOKUP(C31,'原始数据'!$C$5:$G$12,5,FALSE))</x:f>
        <x:v>1.6199210636563712</x:v>
      </x:c>
      <x:c r="F31" s="215" t="n">
        <x:f>IF('原始数据'!H41="","",'原始数据'!H41)</x:f>
        <x:v>0.2783</x:v>
      </x:c>
      <x:c r="G31" s="212" t="n">
        <x:f>IF('原始数据'!J41="","",'原始数据'!J41/VLOOKUP(C31,'原始数据'!$C$5:$G$12,5,FALSE))</x:f>
        <x:v>3.6048838747350587</x:v>
      </x:c>
      <x:c r="H31" s="212" t="n">
        <x:f>IF('原始数据'!K41="","",'原始数据'!K41/VLOOKUP(C31,'原始数据'!$C$5:$G$12,5,FALSE))</x:f>
        <x:v>1.0401983589272845</x:v>
      </x:c>
      <x:c r="I31" s="218" t="n">
        <x:f>IF('原始数据'!F41="","",VLOOKUP(C31,'参数设置'!$A$27:$O$34,9,FALSE))</x:f>
        <x:v>0.7</x:v>
      </x:c>
      <x:c r="J31" s="221" t="n">
        <x:f>IF(G31="","",G31-H31*I31)</x:f>
        <x:v>2.8767450234859595</x:v>
      </x:c>
      <x:c r="K31" s="224" t="n">
        <x:f>IF('原始数据'!F41="","",IF('原始数据'!F41&lt;&gt;0,'原始数据'!J41/'原始数据'!F41,"n.a."))</x:f>
        <x:v>2.2253453921997717</x:v>
      </x:c>
      <x:c r="L31" s="221" t="n">
        <x:f>IF(G31="","",G31-H31)</x:f>
        <x:v>2.564685515807774</x:v>
      </x:c>
      <x:c r="M31" s="221" t="n">
        <x:f>IF(OR('原始数据'!Q41="",'原始数据'!P41=""),"",'原始数据'!Q41*'原始数据'!P41/VLOOKUP(C31,'原始数据'!$C$5:$G$12,5,FALSE))</x:f>
        <x:v>1.6</x:v>
      </x:c>
      <x:c r="N31" s="206" t="str">
        <x:f>'原始数据'!S41</x:f>
        <x:v>https://www.sse.com.cn/assortment/stock/list/info/announcement/index.shtml?productId=600188</x:v>
      </x:c>
    </x:row>
    <x:row r="32">
      <x:c r="A32" s="209" t="str">
        <x:f>'原始数据'!A42</x:f>
        <x:v>煤炭</x:v>
      </x:c>
      <x:c r="B32" s="209" t="str">
        <x:f>'原始数据'!B42</x:f>
        <x:v>600188</x:v>
      </x:c>
      <x:c r="C32" s="209" t="str">
        <x:f>'原始数据'!C42</x:f>
        <x:v>兖矿能源</x:v>
      </x:c>
      <x:c r="D32" s="209" t="n">
        <x:f>'原始数据'!D42</x:f>
        <x:v>2022</x:v>
      </x:c>
      <x:c r="E32" s="212" t="n">
        <x:f>IF('原始数据'!F42="","",'原始数据'!F42/VLOOKUP(C32,'原始数据'!$C$5:$G$12,5,FALSE))</x:f>
        <x:v>3.3234444359178665</x:v>
      </x:c>
      <x:c r="F32" s="215" t="n">
        <x:f>IF('原始数据'!H42="","",'原始数据'!H42)</x:f>
        <x:v>0.3943</x:v>
      </x:c>
      <x:c r="G32" s="212" t="n">
        <x:f>IF('原始数据'!J42="","",'原始数据'!J42/VLOOKUP(C32,'原始数据'!$C$5:$G$12,5,FALSE))</x:f>
        <x:v>5.870349576001819</x:v>
      </x:c>
      <x:c r="H32" s="212" t="n">
        <x:f>IF('原始数据'!K42="","",'原始数据'!K42/VLOOKUP(C32,'原始数据'!$C$5:$G$12,5,FALSE))</x:f>
        <x:v>2.0515525145702007</x:v>
      </x:c>
      <x:c r="I32" s="218" t="n">
        <x:f>IF('原始数据'!F42="","",VLOOKUP(C32,'参数设置'!$A$27:$O$34,9,FALSE))</x:f>
        <x:v>0.7</x:v>
      </x:c>
      <x:c r="J32" s="221" t="n">
        <x:f>IF(G32="","",G32-H32*I32)</x:f>
        <x:v>4.434262815802678</x:v>
      </x:c>
      <x:c r="K32" s="224" t="n">
        <x:f>IF('原始数据'!F42="","",IF('原始数据'!F42&lt;&gt;0,'原始数据'!J42/'原始数据'!F42,"n.a."))</x:f>
        <x:v>1.7663450342537619</x:v>
      </x:c>
      <x:c r="L32" s="221" t="n">
        <x:f>IF(G32="","",G32-H32)</x:f>
        <x:v>3.818797061431618</x:v>
      </x:c>
      <x:c r="M32" s="221" t="n">
        <x:f>IF(OR('原始数据'!Q42="",'原始数据'!P42=""),"",'原始数据'!Q42*'原始数据'!P42/VLOOKUP(C32,'原始数据'!$C$5:$G$12,5,FALSE))</x:f>
        <x:v>3.07</x:v>
      </x:c>
      <x:c r="N32" s="206" t="str">
        <x:f>'原始数据'!S42</x:f>
        <x:v>https://www.sse.com.cn/assortment/stock/list/info/announcement/index.shtml?productId=600188</x:v>
      </x:c>
    </x:row>
    <x:row r="33">
      <x:c r="A33" s="209" t="str">
        <x:f>'原始数据'!A43</x:f>
        <x:v>煤炭</x:v>
      </x:c>
      <x:c r="B33" s="209" t="str">
        <x:f>'原始数据'!B43</x:f>
        <x:v>600188</x:v>
      </x:c>
      <x:c r="C33" s="209" t="str">
        <x:f>'原始数据'!C43</x:f>
        <x:v>兖矿能源</x:v>
      </x:c>
      <x:c r="D33" s="209" t="n">
        <x:f>'原始数据'!D43</x:f>
        <x:v>2023</x:v>
      </x:c>
      <x:c r="E33" s="212" t="n">
        <x:f>IF('原始数据'!F43="","",'原始数据'!F43/VLOOKUP(C33,'原始数据'!$C$5:$G$12,5,FALSE))</x:f>
        <x:v>2.0069985050950265</x:v>
      </x:c>
      <x:c r="F33" s="215" t="n">
        <x:f>IF('原始数据'!H43="","",'原始数据'!H43)</x:f>
        <x:v>0.2175</x:v>
      </x:c>
      <x:c r="G33" s="212" t="n">
        <x:f>IF('原始数据'!J43="","",'原始数据'!J43/VLOOKUP(C33,'原始数据'!$C$5:$G$12,5,FALSE))</x:f>
        <x:v>1.6099304809716621</x:v>
      </x:c>
      <x:c r="H33" s="212" t="n">
        <x:f>IF('原始数据'!K43="","",'原始数据'!K43/VLOOKUP(C33,'原始数据'!$C$5:$G$12,5,FALSE))</x:f>
        <x:v>1.8124295310672516</x:v>
      </x:c>
      <x:c r="I33" s="218" t="n">
        <x:f>IF('原始数据'!F43="","",VLOOKUP(C33,'参数设置'!$A$27:$O$34,9,FALSE))</x:f>
        <x:v>0.7</x:v>
      </x:c>
      <x:c r="J33" s="221" t="n">
        <x:f>IF(G33="","",G33-H33*I33)</x:f>
        <x:v>0.341229809224586</x:v>
      </x:c>
      <x:c r="K33" s="224" t="n">
        <x:f>IF('原始数据'!F43="","",IF('原始数据'!F43&lt;&gt;0,'原始数据'!J43/'原始数据'!F43,"n.a."))</x:f>
        <x:v>0.8021582860598273</x:v>
      </x:c>
      <x:c r="L33" s="221" t="n">
        <x:f>IF(G33="","",G33-H33)</x:f>
        <x:v>-0.20249905009558944</x:v>
      </x:c>
      <x:c r="M33" s="221" t="n">
        <x:f>IF(OR('原始数据'!Q43="",'原始数据'!P43=""),"",'原始数据'!Q43*'原始数据'!P43/VLOOKUP(C33,'原始数据'!$C$5:$G$12,5,FALSE))</x:f>
        <x:v>1.49</x:v>
      </x:c>
      <x:c r="N33" s="206" t="str">
        <x:f>'原始数据'!S43</x:f>
        <x:v>https://www.sse.com.cn/assortment/stock/list/info/announcement/index.shtml?productId=600188</x:v>
      </x:c>
    </x:row>
    <x:row r="34">
      <x:c r="A34" s="209" t="str">
        <x:f>'原始数据'!A44</x:f>
        <x:v>煤炭</x:v>
      </x:c>
      <x:c r="B34" s="209" t="str">
        <x:f>'原始数据'!B44</x:f>
        <x:v>600188</x:v>
      </x:c>
      <x:c r="C34" s="209" t="str">
        <x:f>'原始数据'!C44</x:f>
        <x:v>兖矿能源</x:v>
      </x:c>
      <x:c r="D34" s="209" t="n">
        <x:f>'原始数据'!D44</x:f>
        <x:v>2024</x:v>
      </x:c>
      <x:c r="E34" s="212" t="n">
        <x:f>IF('原始数据'!F44="","",'原始数据'!F44/VLOOKUP(C34,'原始数据'!$C$5:$G$12,5,FALSE))</x:f>
        <x:v>1.480837116098081</x:v>
      </x:c>
      <x:c r="F34" s="215" t="n">
        <x:f>IF('原始数据'!H44="","",'原始数据'!H44)</x:f>
        <x:v>0.1772</x:v>
      </x:c>
      <x:c r="G34" s="212" t="n">
        <x:f>IF('原始数据'!J44="","",'原始数据'!J44/VLOOKUP(C34,'原始数据'!$C$5:$G$12,5,FALSE))</x:f>
        <x:v>2.5757091913366676</x:v>
      </x:c>
      <x:c r="H34" s="212" t="n">
        <x:f>IF('原始数据'!K44="","",'原始数据'!K44/VLOOKUP(C34,'原始数据'!$C$5:$G$12,5,FALSE))</x:f>
        <x:v>1.8482796162615933</x:v>
      </x:c>
      <x:c r="I34" s="218" t="n">
        <x:f>IF('原始数据'!F44="","",VLOOKUP(C34,'参数设置'!$A$27:$O$34,9,FALSE))</x:f>
        <x:v>0.7</x:v>
      </x:c>
      <x:c r="J34" s="221" t="n">
        <x:f>IF(G34="","",G34-H34*I34)</x:f>
        <x:v>1.2819134599535524</x:v>
      </x:c>
      <x:c r="K34" s="224" t="n">
        <x:f>IF('原始数据'!F44="","",IF('原始数据'!F44&lt;&gt;0,'原始数据'!J44/'原始数据'!F44,"n.a."))</x:f>
        <x:v>1.7393602330305646</x:v>
      </x:c>
      <x:c r="L34" s="221" t="n">
        <x:f>IF(G34="","",G34-H34)</x:f>
        <x:v>0.7274295750750743</x:v>
      </x:c>
      <x:c r="M34" s="221" t="n">
        <x:f>IF(OR('原始数据'!Q44="",'原始数据'!P44=""),"",'原始数据'!Q44*'原始数据'!P44/VLOOKUP(C34,'原始数据'!$C$5:$G$12,5,FALSE))</x:f>
        <x:v>0.77</x:v>
      </x:c>
      <x:c r="N34" s="206" t="str">
        <x:f>'原始数据'!S44</x:f>
        <x:v>https://www.sse.com.cn/assortment/stock/list/info/announcement/index.shtml?productId=600188</x:v>
      </x:c>
    </x:row>
    <x:row r="35">
      <x:c r="A35" s="209" t="str">
        <x:f>'原始数据'!A45</x:f>
        <x:v>煤炭</x:v>
      </x:c>
      <x:c r="B35" s="209" t="str">
        <x:f>'原始数据'!B45</x:f>
        <x:v>600188</x:v>
      </x:c>
      <x:c r="C35" s="209" t="str">
        <x:f>'原始数据'!C45</x:f>
        <x:v>兖矿能源</x:v>
      </x:c>
      <x:c r="D35" s="209" t="n">
        <x:f>'原始数据'!D45</x:f>
        <x:v>2025</x:v>
      </x:c>
      <x:c r="E35" s="212" t="n">
        <x:f>IF('原始数据'!F45="","",'原始数据'!F45/VLOOKUP(C35,'原始数据'!$C$5:$G$12,5,FALSE))</x:f>
        <x:v>0.8350175915017624</x:v>
      </x:c>
      <x:c r="F35" s="215" t="n">
        <x:f>IF('原始数据'!H45="","",'原始数据'!H45)</x:f>
        <x:v>0.09949999999999999</x:v>
      </x:c>
      <x:c r="G35" s="212" t="n">
        <x:f>IF('原始数据'!J45="","",'原始数据'!J45/VLOOKUP(C35,'原始数据'!$C$5:$G$12,5,FALSE))</x:f>
        <x:v>1.9413252244003891</x:v>
      </x:c>
      <x:c r="H35" s="212" t="n">
        <x:f>IF('原始数据'!K45="","",'原始数据'!K45/VLOOKUP(C35,'原始数据'!$C$5:$G$12,5,FALSE))</x:f>
        <x:v>1.8452822621170815</x:v>
      </x:c>
      <x:c r="I35" s="218" t="n">
        <x:f>IF('原始数据'!F45="","",VLOOKUP(C35,'参数设置'!$A$27:$O$34,9,FALSE))</x:f>
        <x:v>0.7</x:v>
      </x:c>
      <x:c r="J35" s="221" t="n">
        <x:f>IF(G35="","",G35-H35*I35)</x:f>
        <x:v>0.6496276409184323</x:v>
      </x:c>
      <x:c r="K35" s="224" t="n">
        <x:f>IF('原始数据'!F45="","",IF('原始数据'!F45&lt;&gt;0,'原始数据'!J45/'原始数据'!F45,"n.a."))</x:f>
        <x:v>2.3248914084659638</x:v>
      </x:c>
      <x:c r="L35" s="221" t="n">
        <x:f>IF(G35="","",G35-H35)</x:f>
        <x:v>0.09604296228330766</x:v>
      </x:c>
      <x:c r="M35" s="221" t="n">
        <x:f>IF(OR('原始数据'!Q45="",'原始数据'!P45=""),"",'原始数据'!Q45*'原始数据'!P45/VLOOKUP(C35,'原始数据'!$C$5:$G$12,5,FALSE))</x:f>
        <x:v>0.5</x:v>
      </x:c>
      <x:c r="N35" s="206" t="str">
        <x:f>'原始数据'!S45</x:f>
        <x:v>https://www.sse.com.cn/assortment/stock/list/info/announcement/index.shtml?productId=600188</x:v>
      </x:c>
    </x:row>
    <x:row r="36">
      <x:c r="A36" s="209" t="str">
        <x:f>'原始数据'!A46</x:f>
        <x:v>煤炭</x:v>
      </x:c>
      <x:c r="B36" s="209" t="str">
        <x:f>'原始数据'!B46</x:f>
        <x:v>601898</x:v>
      </x:c>
      <x:c r="C36" s="209" t="str">
        <x:f>'原始数据'!C46</x:f>
        <x:v>中煤能源</x:v>
      </x:c>
      <x:c r="D36" s="209" t="n">
        <x:f>'原始数据'!D46</x:f>
        <x:v>2016</x:v>
      </x:c>
      <x:c r="E36" s="212" t="n">
        <x:f>IF('原始数据'!F46="","",'原始数据'!F46/VLOOKUP(C36,'原始数据'!$C$5:$G$12,5,FALSE))</x:f>
        <x:v>0.15292589749280458</x:v>
      </x:c>
      <x:c r="F36" s="215" t="n">
        <x:f>IF('原始数据'!H46="","",'原始数据'!H46)</x:f>
        <x:v>0.024</x:v>
      </x:c>
      <x:c r="G36" s="212" t="n">
        <x:f>IF('原始数据'!J46="","",'原始数据'!J46/VLOOKUP(C36,'原始数据'!$C$5:$G$12,5,FALSE))</x:f>
        <x:v>0.9102407713284282</x:v>
      </x:c>
      <x:c r="H36" s="212" t="n">
        <x:f>IF('原始数据'!K46="","",'原始数据'!K46/VLOOKUP(C36,'原始数据'!$C$5:$G$12,5,FALSE))</x:f>
        <x:v>0.6800169615890542</x:v>
      </x:c>
      <x:c r="I36" s="218" t="n">
        <x:f>IF('原始数据'!F46="","",VLOOKUP(C36,'参数设置'!$A$27:$O$34,9,FALSE))</x:f>
        <x:v>0.65</x:v>
      </x:c>
      <x:c r="J36" s="221" t="n">
        <x:f>IF(G36="","",G36-H36*I36)</x:f>
        <x:v>0.4682297462955429</x:v>
      </x:c>
      <x:c r="K36" s="224" t="n">
        <x:f>IF('原始数据'!F46="","",IF('原始数据'!F46&lt;&gt;0,'原始数据'!J46/'原始数据'!F46,"n.a."))</x:f>
        <x:v>5.952168901747047</x:v>
      </x:c>
      <x:c r="L36" s="221" t="n">
        <x:f>IF(G36="","",G36-H36)</x:f>
        <x:v>0.23022380973937395</x:v>
      </x:c>
      <x:c r="M36" s="221" t="n">
        <x:f>IF(OR('原始数据'!Q46="",'原始数据'!P46=""),"",'原始数据'!Q46*'原始数据'!P46/VLOOKUP(C36,'原始数据'!$C$5:$G$12,5,FALSE))</x:f>
        <x:v>0.039</x:v>
      </x:c>
      <x:c r="N36" s="206" t="str">
        <x:f>'原始数据'!S46</x:f>
        <x:v>https://www.sse.com.cn/assortment/stock/list/info/announcement/index.shtml?productId=601898</x:v>
      </x:c>
    </x:row>
    <x:row r="37">
      <x:c r="A37" s="209" t="str">
        <x:f>'原始数据'!A47</x:f>
        <x:v>煤炭</x:v>
      </x:c>
      <x:c r="B37" s="209" t="str">
        <x:f>'原始数据'!B47</x:f>
        <x:v>601898</x:v>
      </x:c>
      <x:c r="C37" s="209" t="str">
        <x:f>'原始数据'!C47</x:f>
        <x:v>中煤能源</x:v>
      </x:c>
      <x:c r="D37" s="209" t="n">
        <x:f>'原始数据'!D47</x:f>
        <x:v>2017</x:v>
      </x:c>
      <x:c r="E37" s="212" t="n">
        <x:f>IF('原始数据'!F47="","",'原始数据'!F47/VLOOKUP(C37,'原始数据'!$C$5:$G$12,5,FALSE))</x:f>
        <x:v>0.17285113369723226</x:v>
      </x:c>
      <x:c r="F37" s="215" t="n">
        <x:f>IF('原始数据'!H47="","",'原始数据'!H47)</x:f>
        <x:v>0.0262</x:v>
      </x:c>
      <x:c r="G37" s="212" t="n">
        <x:f>IF('原始数据'!J47="","",'原始数据'!J47/VLOOKUP(C37,'原始数据'!$C$5:$G$12,5,FALSE))</x:f>
        <x:v>1.3238146614386483</x:v>
      </x:c>
      <x:c r="H37" s="212" t="n">
        <x:f>IF('原始数据'!K47="","",'原始数据'!K47/VLOOKUP(C37,'原始数据'!$C$5:$G$12,5,FALSE))</x:f>
        <x:v>0.6469194323162317</x:v>
      </x:c>
      <x:c r="I37" s="218" t="n">
        <x:f>IF('原始数据'!F47="","",VLOOKUP(C37,'参数设置'!$A$27:$O$34,9,FALSE))</x:f>
        <x:v>0.65</x:v>
      </x:c>
      <x:c r="J37" s="221" t="n">
        <x:f>IF(G37="","",G37-H37*I37)</x:f>
        <x:v>0.9033170304330977</x:v>
      </x:c>
      <x:c r="K37" s="224" t="n">
        <x:f>IF('原始数据'!F47="","",IF('原始数据'!F47&lt;&gt;0,'原始数据'!J47/'原始数据'!F47,"n.a."))</x:f>
        <x:v>7.658698170631933</x:v>
      </x:c>
      <x:c r="L37" s="221" t="n">
        <x:f>IF(G37="","",G37-H37)</x:f>
        <x:v>0.6768952291224166</x:v>
      </x:c>
      <x:c r="M37" s="221" t="n">
        <x:f>IF(OR('原始数据'!Q47="",'原始数据'!P47=""),"",'原始数据'!Q47*'原始数据'!P47/VLOOKUP(C37,'原始数据'!$C$5:$G$12,5,FALSE))</x:f>
        <x:v>0.05500000000000001</x:v>
      </x:c>
      <x:c r="N37" s="206" t="str">
        <x:f>'原始数据'!S47</x:f>
        <x:v>https://www.sse.com.cn/assortment/stock/list/info/announcement/index.shtml?productId=601898</x:v>
      </x:c>
    </x:row>
    <x:row r="38">
      <x:c r="A38" s="209" t="str">
        <x:f>'原始数据'!A48</x:f>
        <x:v>煤炭</x:v>
      </x:c>
      <x:c r="B38" s="209" t="str">
        <x:f>'原始数据'!B48</x:f>
        <x:v>601898</x:v>
      </x:c>
      <x:c r="C38" s="209" t="str">
        <x:f>'原始数据'!C48</x:f>
        <x:v>中煤能源</x:v>
      </x:c>
      <x:c r="D38" s="209" t="n">
        <x:f>'原始数据'!D48</x:f>
        <x:v>2018</x:v>
      </x:c>
      <x:c r="E38" s="212" t="n">
        <x:f>IF('原始数据'!F48="","",'原始数据'!F48/VLOOKUP(C38,'原始数据'!$C$5:$G$12,5,FALSE))</x:f>
        <x:v>0.2528451698984982</x:v>
      </x:c>
      <x:c r="F38" s="215" t="n">
        <x:f>IF('原始数据'!H48="","",'原始数据'!H48)</x:f>
        <x:v>0.0369</x:v>
      </x:c>
      <x:c r="G38" s="212" t="n">
        <x:f>IF('原始数据'!J48="","",'原始数据'!J48/VLOOKUP(C38,'原始数据'!$C$5:$G$12,5,FALSE))</x:f>
        <x:v>1.5405461609350457</x:v>
      </x:c>
      <x:c r="H38" s="212" t="n">
        <x:f>IF('原始数据'!K48="","",'原始数据'!K48/VLOOKUP(C38,'原始数据'!$C$5:$G$12,5,FALSE))</x:f>
        <x:v>0.7115683319934043</x:v>
      </x:c>
      <x:c r="I38" s="218" t="n">
        <x:f>IF('原始数据'!F48="","",VLOOKUP(C38,'参数设置'!$A$27:$O$34,9,FALSE))</x:f>
        <x:v>0.65</x:v>
      </x:c>
      <x:c r="J38" s="221" t="n">
        <x:f>IF(G38="","",G38-H38*I38)</x:f>
        <x:v>1.0780267451393328</x:v>
      </x:c>
      <x:c r="K38" s="224" t="n">
        <x:f>IF('原始数据'!F48="","",IF('原始数据'!F48&lt;&gt;0,'原始数据'!J48/'原始数据'!F48,"n.a."))</x:f>
        <x:v>6.092843939053612</x:v>
      </x:c>
      <x:c r="L38" s="221" t="n">
        <x:f>IF(G38="","",G38-H38)</x:f>
        <x:v>0.8289778289416414</x:v>
      </x:c>
      <x:c r="M38" s="221" t="n">
        <x:f>IF(OR('原始数据'!Q48="",'原始数据'!P48=""),"",'原始数据'!Q48*'原始数据'!P48/VLOOKUP(C38,'原始数据'!$C$5:$G$12,5,FALSE))</x:f>
        <x:v>0.078</x:v>
      </x:c>
      <x:c r="N38" s="206" t="str">
        <x:f>'原始数据'!S48</x:f>
        <x:v>https://www.sse.com.cn/assortment/stock/list/info/announcement/index.shtml?productId=601898</x:v>
      </x:c>
    </x:row>
    <x:row r="39">
      <x:c r="A39" s="209" t="str">
        <x:f>'原始数据'!A49</x:f>
        <x:v>煤炭</x:v>
      </x:c>
      <x:c r="B39" s="209" t="str">
        <x:f>'原始数据'!B49</x:f>
        <x:v>601898</x:v>
      </x:c>
      <x:c r="C39" s="209" t="str">
        <x:f>'原始数据'!C49</x:f>
        <x:v>中煤能源</x:v>
      </x:c>
      <x:c r="D39" s="209" t="n">
        <x:f>'原始数据'!D49</x:f>
        <x:v>2019</x:v>
      </x:c>
      <x:c r="E39" s="212" t="n">
        <x:f>IF('原始数据'!F49="","",'原始数据'!F49/VLOOKUP(C39,'原始数据'!$C$5:$G$12,5,FALSE))</x:f>
        <x:v>0.4245229575705195</x:v>
      </x:c>
      <x:c r="F39" s="215" t="n">
        <x:f>IF('原始数据'!H49="","",'原始数据'!H49)</x:f>
        <x:v>0.0593</x:v>
      </x:c>
      <x:c r="G39" s="212" t="n">
        <x:f>IF('原始数据'!J49="","",'原始数据'!J49/VLOOKUP(C39,'原始数据'!$C$5:$G$12,5,FALSE))</x:f>
        <x:v>1.657830079614209</x:v>
      </x:c>
      <x:c r="H39" s="212" t="n">
        <x:f>IF('原始数据'!K49="","",'原始数据'!K49/VLOOKUP(C39,'原始数据'!$C$5:$G$12,5,FALSE))</x:f>
        <x:v>0.8255384928167043</x:v>
      </x:c>
      <x:c r="I39" s="218" t="n">
        <x:f>IF('原始数据'!F49="","",VLOOKUP(C39,'参数设置'!$A$27:$O$34,9,FALSE))</x:f>
        <x:v>0.65</x:v>
      </x:c>
      <x:c r="J39" s="221" t="n">
        <x:f>IF(G39="","",G39-H39*I39)</x:f>
        <x:v>1.121230059283351</x:v>
      </x:c>
      <x:c r="K39" s="224" t="n">
        <x:f>IF('原始数据'!F49="","",IF('原始数据'!F49&lt;&gt;0,'原始数据'!J49/'原始数据'!F49,"n.a."))</x:f>
        <x:v>3.905160015613099</x:v>
      </x:c>
      <x:c r="L39" s="221" t="n">
        <x:f>IF(G39="","",G39-H39)</x:f>
        <x:v>0.8322915867975046</x:v>
      </x:c>
      <x:c r="M39" s="221" t="n">
        <x:f>IF(OR('原始数据'!Q49="",'原始数据'!P49=""),"",'原始数据'!Q49*'原始数据'!P49/VLOOKUP(C39,'原始数据'!$C$5:$G$12,5,FALSE))</x:f>
        <x:v>0.127</x:v>
      </x:c>
      <x:c r="N39" s="206" t="str">
        <x:f>'原始数据'!S49</x:f>
        <x:v>https://www.sse.com.cn/assortment/stock/list/info/announcement/index.shtml?productId=601898</x:v>
      </x:c>
    </x:row>
    <x:row r="40">
      <x:c r="A40" s="209" t="str">
        <x:f>'原始数据'!A50</x:f>
        <x:v>煤炭</x:v>
      </x:c>
      <x:c r="B40" s="209" t="str">
        <x:f>'原始数据'!B50</x:f>
        <x:v>601898</x:v>
      </x:c>
      <x:c r="C40" s="209" t="str">
        <x:f>'原始数据'!C50</x:f>
        <x:v>中煤能源</x:v>
      </x:c>
      <x:c r="D40" s="209" t="n">
        <x:f>'原始数据'!D50</x:f>
        <x:v>2020</x:v>
      </x:c>
      <x:c r="E40" s="212" t="n">
        <x:f>IF('原始数据'!F50="","",'原始数据'!F50/VLOOKUP(C40,'原始数据'!$C$5:$G$12,5,FALSE))</x:f>
        <x:v>0.4455268847084541</x:v>
      </x:c>
      <x:c r="F40" s="215" t="n">
        <x:f>IF('原始数据'!H50="","",'原始数据'!H50)</x:f>
        <x:v>0.059000000000000004</x:v>
      </x:c>
      <x:c r="G40" s="212" t="n">
        <x:f>IF('原始数据'!J50="","",'原始数据'!J50/VLOOKUP(C40,'原始数据'!$C$5:$G$12,5,FALSE))</x:f>
        <x:v>1.706987070808359</x:v>
      </x:c>
      <x:c r="H40" s="212" t="n">
        <x:f>IF('原始数据'!K50="","",'原始数据'!K50/VLOOKUP(C40,'原始数据'!$C$5:$G$12,5,FALSE))</x:f>
        <x:v>0.7774745982313722</x:v>
      </x:c>
      <x:c r="I40" s="218" t="n">
        <x:f>IF('原始数据'!F50="","",VLOOKUP(C40,'参数设置'!$A$27:$O$34,9,FALSE))</x:f>
        <x:v>0.65</x:v>
      </x:c>
      <x:c r="J40" s="221" t="n">
        <x:f>IF(G40="","",G40-H40*I40)</x:f>
        <x:v>1.201628581957967</x:v>
      </x:c>
      <x:c r="K40" s="224" t="n">
        <x:f>IF('原始数据'!F50="","",IF('原始数据'!F50&lt;&gt;0,'原始数据'!J50/'原始数据'!F50,"n.a."))</x:f>
        <x:v>3.831389595995728</x:v>
      </x:c>
      <x:c r="L40" s="221" t="n">
        <x:f>IF(G40="","",G40-H40)</x:f>
        <x:v>0.9295124725769868</x:v>
      </x:c>
      <x:c r="M40" s="221" t="n">
        <x:f>IF(OR('原始数据'!Q50="",'原始数据'!P50=""),"",'原始数据'!Q50*'原始数据'!P50/VLOOKUP(C40,'原始数据'!$C$5:$G$12,5,FALSE))</x:f>
        <x:v>0.134</x:v>
      </x:c>
      <x:c r="N40" s="206" t="str">
        <x:f>'原始数据'!S50</x:f>
        <x:v>https://www.sse.com.cn/assortment/stock/list/info/announcement/index.shtml?productId=601898</x:v>
      </x:c>
    </x:row>
    <x:row r="41">
      <x:c r="A41" s="209" t="str">
        <x:f>'原始数据'!A51</x:f>
        <x:v>煤炭</x:v>
      </x:c>
      <x:c r="B41" s="209" t="str">
        <x:f>'原始数据'!B51</x:f>
        <x:v>601898</x:v>
      </x:c>
      <x:c r="C41" s="209" t="str">
        <x:f>'原始数据'!C51</x:f>
        <x:v>中煤能源</x:v>
      </x:c>
      <x:c r="D41" s="209" t="n">
        <x:f>'原始数据'!D51</x:f>
        <x:v>2021</x:v>
      </x:c>
      <x:c r="E41" s="212" t="n">
        <x:f>IF('原始数据'!F51="","",'原始数据'!F51/VLOOKUP(C41,'原始数据'!$C$5:$G$12,5,FALSE))</x:f>
        <x:v>1.0362485708778155</x:v>
      </x:c>
      <x:c r="F41" s="215" t="n">
        <x:f>IF('原始数据'!H51="","",'原始数据'!H51)</x:f>
        <x:v>0.12710000000000002</x:v>
      </x:c>
      <x:c r="G41" s="212" t="n">
        <x:f>IF('原始数据'!J51="","",'原始数据'!J51/VLOOKUP(C41,'原始数据'!$C$5:$G$12,5,FALSE))</x:f>
        <x:v>3.6275573599673705</x:v>
      </x:c>
      <x:c r="H41" s="212" t="n">
        <x:f>IF('原始数据'!K51="","",'原始数据'!K51/VLOOKUP(C41,'原始数据'!$C$5:$G$12,5,FALSE))</x:f>
        <x:v>0.7864631362464485</x:v>
      </x:c>
      <x:c r="I41" s="218" t="n">
        <x:f>IF('原始数据'!F51="","",VLOOKUP(C41,'参数设置'!$A$27:$O$34,9,FALSE))</x:f>
        <x:v>0.65</x:v>
      </x:c>
      <x:c r="J41" s="221" t="n">
        <x:f>IF(G41="","",G41-H41*I41)</x:f>
        <x:v>3.1163563214071788</x:v>
      </x:c>
      <x:c r="K41" s="224" t="n">
        <x:f>IF('原始数据'!F51="","",IF('原始数据'!F51&lt;&gt;0,'原始数据'!J51/'原始数据'!F51,"n.a."))</x:f>
        <x:v>3.500663317580678</x:v>
      </x:c>
      <x:c r="L41" s="221" t="n">
        <x:f>IF(G41="","",G41-H41)</x:f>
        <x:v>2.841094223720922</x:v>
      </x:c>
      <x:c r="M41" s="221" t="n">
        <x:f>IF(OR('原始数据'!Q51="",'原始数据'!P51=""),"",'原始数据'!Q51*'原始数据'!P51/VLOOKUP(C41,'原始数据'!$C$5:$G$12,5,FALSE))</x:f>
        <x:v>0.301</x:v>
      </x:c>
      <x:c r="N41" s="206" t="str">
        <x:f>'原始数据'!S51</x:f>
        <x:v>https://www.sse.com.cn/assortment/stock/list/info/announcement/index.shtml?productId=601898</x:v>
      </x:c>
    </x:row>
    <x:row r="42">
      <x:c r="A42" s="209" t="str">
        <x:f>'原始数据'!A52</x:f>
        <x:v>煤炭</x:v>
      </x:c>
      <x:c r="B42" s="209" t="str">
        <x:f>'原始数据'!B52</x:f>
        <x:v>601898</x:v>
      </x:c>
      <x:c r="C42" s="209" t="str">
        <x:f>'原始数据'!C52</x:f>
        <x:v>中煤能源</x:v>
      </x:c>
      <x:c r="D42" s="209" t="n">
        <x:f>'原始数据'!D52</x:f>
        <x:v>2022</x:v>
      </x:c>
      <x:c r="E42" s="212" t="n">
        <x:f>IF('原始数据'!F52="","",'原始数据'!F52/VLOOKUP(C42,'原始数据'!$C$5:$G$12,5,FALSE))</x:f>
        <x:v>1.377141454545109</x:v>
      </x:c>
      <x:c r="F42" s="215" t="n">
        <x:f>IF('原始数据'!H52="","",'原始数据'!H52)</x:f>
        <x:v>0.1489</x:v>
      </x:c>
      <x:c r="G42" s="212" t="n">
        <x:f>IF('原始数据'!J52="","",'原始数据'!J52/VLOOKUP(C42,'原始数据'!$C$5:$G$12,5,FALSE))</x:f>
        <x:v>3.2909851229800435</x:v>
      </x:c>
      <x:c r="H42" s="212" t="n">
        <x:f>IF('原始数据'!K52="","",'原始数据'!K52/VLOOKUP(C42,'原始数据'!$C$5:$G$12,5,FALSE))</x:f>
        <x:v>0.7358387271525424</x:v>
      </x:c>
      <x:c r="I42" s="218" t="n">
        <x:f>IF('原始数据'!F52="","",VLOOKUP(C42,'参数设置'!$A$27:$O$34,9,FALSE))</x:f>
        <x:v>0.65</x:v>
      </x:c>
      <x:c r="J42" s="221" t="n">
        <x:f>IF(G42="","",G42-H42*I42)</x:f>
        <x:v>2.812689950330891</x:v>
      </x:c>
      <x:c r="K42" s="224" t="n">
        <x:f>IF('原始数据'!F52="","",IF('原始数据'!F52&lt;&gt;0,'原始数据'!J52/'原始数据'!F52,"n.a."))</x:f>
        <x:v>2.3897219215342744</x:v>
      </x:c>
      <x:c r="L42" s="221" t="n">
        <x:f>IF(G42="","",G42-H42)</x:f>
        <x:v>2.555146395827501</x:v>
      </x:c>
      <x:c r="M42" s="221" t="n">
        <x:f>IF(OR('原始数据'!Q52="",'原始数据'!P52=""),"",'原始数据'!Q52*'原始数据'!P52/VLOOKUP(C42,'原始数据'!$C$5:$G$12,5,FALSE))</x:f>
        <x:v>0.413</x:v>
      </x:c>
      <x:c r="N42" s="206" t="str">
        <x:f>'原始数据'!S52</x:f>
        <x:v>https://www.sse.com.cn/assortment/stock/list/info/announcement/index.shtml?productId=601898</x:v>
      </x:c>
    </x:row>
    <x:row r="43">
      <x:c r="A43" s="209" t="str">
        <x:f>'原始数据'!A53</x:f>
        <x:v>煤炭</x:v>
      </x:c>
      <x:c r="B43" s="209" t="str">
        <x:f>'原始数据'!B53</x:f>
        <x:v>601898</x:v>
      </x:c>
      <x:c r="C43" s="209" t="str">
        <x:f>'原始数据'!C53</x:f>
        <x:v>中煤能源</x:v>
      </x:c>
      <x:c r="D43" s="209" t="n">
        <x:f>'原始数据'!D53</x:f>
        <x:v>2023</x:v>
      </x:c>
      <x:c r="E43" s="212" t="n">
        <x:f>IF('原始数据'!F53="","",'原始数据'!F53/VLOOKUP(C43,'原始数据'!$C$5:$G$12,5,FALSE))</x:f>
        <x:v>1.4733045413914043</x:v>
      </x:c>
      <x:c r="F43" s="215" t="n">
        <x:f>IF('原始数据'!H53="","",'原始数据'!H53)</x:f>
        <x:v>0.1421</x:v>
      </x:c>
      <x:c r="G43" s="212" t="n">
        <x:f>IF('原始数据'!J53="","",'原始数据'!J53/VLOOKUP(C43,'原始数据'!$C$5:$G$12,5,FALSE))</x:f>
        <x:v>3.240548364777101</x:v>
      </x:c>
      <x:c r="H43" s="212" t="n">
        <x:f>IF('原始数据'!K53="","",'原始数据'!K53/VLOOKUP(C43,'原始数据'!$C$5:$G$12,5,FALSE))</x:f>
        <x:v>1.3255420602954593</x:v>
      </x:c>
      <x:c r="I43" s="218" t="n">
        <x:f>IF('原始数据'!F53="","",VLOOKUP(C43,'参数设置'!$A$27:$O$34,9,FALSE))</x:f>
        <x:v>0.65</x:v>
      </x:c>
      <x:c r="J43" s="221" t="n">
        <x:f>IF(G43="","",G43-H43*I43)</x:f>
        <x:v>2.3789460255850523</x:v>
      </x:c>
      <x:c r="K43" s="224" t="n">
        <x:f>IF('原始数据'!F53="","",IF('原始数据'!F53&lt;&gt;0,'原始数据'!J53/'原始数据'!F53,"n.a."))</x:f>
        <x:v>2.1995101988328174</x:v>
      </x:c>
      <x:c r="L43" s="221" t="n">
        <x:f>IF(G43="","",G43-H43)</x:f>
        <x:v>1.9150063044816417</x:v>
      </x:c>
      <x:c r="M43" s="221" t="n">
        <x:f>IF(OR('原始数据'!Q53="",'原始数据'!P53=""),"",'原始数据'!Q53*'原始数据'!P53/VLOOKUP(C43,'原始数据'!$C$5:$G$12,5,FALSE))</x:f>
        <x:v>0.442</x:v>
      </x:c>
      <x:c r="N43" s="206" t="str">
        <x:f>'原始数据'!S53</x:f>
        <x:v>https://www.sse.com.cn/assortment/stock/list/info/announcement/index.shtml?productId=601898</x:v>
      </x:c>
    </x:row>
    <x:row r="44">
      <x:c r="A44" s="209" t="str">
        <x:f>'原始数据'!A54</x:f>
        <x:v>煤炭</x:v>
      </x:c>
      <x:c r="B44" s="209" t="str">
        <x:f>'原始数据'!B54</x:f>
        <x:v>601898</x:v>
      </x:c>
      <x:c r="C44" s="209" t="str">
        <x:f>'原始数据'!C54</x:f>
        <x:v>中煤能源</x:v>
      </x:c>
      <x:c r="D44" s="209" t="n">
        <x:f>'原始数据'!D54</x:f>
        <x:v>2024</x:v>
      </x:c>
      <x:c r="E44" s="212" t="n">
        <x:f>IF('原始数据'!F54="","",'原始数据'!F54/VLOOKUP(C44,'原始数据'!$C$5:$G$12,5,FALSE))</x:f>
        <x:v>1.4545798786927497</x:v>
      </x:c>
      <x:c r="F44" s="215" t="n">
        <x:f>IF('原始数据'!H54="","",'原始数据'!H54)</x:f>
        <x:v>0.1298</x:v>
      </x:c>
      <x:c r="G44" s="212" t="n">
        <x:f>IF('原始数据'!J54="","",'原始数据'!J54/VLOOKUP(C44,'原始数据'!$C$5:$G$12,5,FALSE))</x:f>
        <x:v>2.5751745081634696</x:v>
      </x:c>
      <x:c r="H44" s="212" t="n">
        <x:f>IF('原始数据'!K54="","",'原始数据'!K54/VLOOKUP(C44,'原始数据'!$C$5:$G$12,5,FALSE))</x:f>
        <x:v>1.3637804546723766</x:v>
      </x:c>
      <x:c r="I44" s="218" t="n">
        <x:f>IF('原始数据'!F54="","",VLOOKUP(C44,'参数设置'!$A$27:$O$34,9,FALSE))</x:f>
        <x:v>0.65</x:v>
      </x:c>
      <x:c r="J44" s="221" t="n">
        <x:f>IF(G44="","",G44-H44*I44)</x:f>
        <x:v>1.6887172126264247</x:v>
      </x:c>
      <x:c r="K44" s="224" t="n">
        <x:f>IF('原始数据'!F54="","",IF('原始数据'!F54&lt;&gt;0,'原始数据'!J54/'原始数据'!F54,"n.a."))</x:f>
        <x:v>1.7703905752345572</x:v>
      </x:c>
      <x:c r="L44" s="221" t="n">
        <x:f>IF(G44="","",G44-H44)</x:f>
        <x:v>1.211394053491093</x:v>
      </x:c>
      <x:c r="M44" s="221" t="n">
        <x:f>IF(OR('原始数据'!Q54="",'原始数据'!P54=""),"",'原始数据'!Q54*'原始数据'!P54/VLOOKUP(C44,'原始数据'!$C$5:$G$12,5,FALSE))</x:f>
        <x:v>0.479</x:v>
      </x:c>
      <x:c r="N44" s="206" t="str">
        <x:f>'原始数据'!S54</x:f>
        <x:v>https://www.sse.com.cn/assortment/stock/list/info/announcement/index.shtml?productId=601898</x:v>
      </x:c>
    </x:row>
    <x:row r="45">
      <x:c r="A45" s="209" t="str">
        <x:f>'原始数据'!A55</x:f>
        <x:v>煤炭</x:v>
      </x:c>
      <x:c r="B45" s="209" t="str">
        <x:f>'原始数据'!B55</x:f>
        <x:v>601898</x:v>
      </x:c>
      <x:c r="C45" s="209" t="str">
        <x:f>'原始数据'!C55</x:f>
        <x:v>中煤能源</x:v>
      </x:c>
      <x:c r="D45" s="209" t="n">
        <x:f>'原始数据'!D55</x:f>
        <x:v>2025</x:v>
      </x:c>
      <x:c r="E45" s="212" t="n">
        <x:f>IF('原始数据'!F55="","",'原始数据'!F55/VLOOKUP(C45,'原始数据'!$C$5:$G$12,5,FALSE))</x:f>
        <x:v>1.348822008710169</x:v>
      </x:c>
      <x:c r="F45" s="215" t="n">
        <x:f>IF('原始数据'!H55="","",'原始数据'!H55)</x:f>
        <x:v>0.1143</x:v>
      </x:c>
      <x:c r="G45" s="212" t="n">
        <x:f>IF('原始数据'!J55="","",'原始数据'!J55/VLOOKUP(C45,'原始数据'!$C$5:$G$12,5,FALSE))</x:f>
        <x:v>2.2469786811240713</x:v>
      </x:c>
      <x:c r="H45" s="212" t="n">
        <x:f>IF('原始数据'!K55="","",'原始数据'!K55/VLOOKUP(C45,'原始数据'!$C$5:$G$12,5,FALSE))</x:f>
        <x:v>1.6432375076359507</x:v>
      </x:c>
      <x:c r="I45" s="218" t="n">
        <x:f>IF('原始数据'!F55="","",VLOOKUP(C45,'参数设置'!$A$27:$O$34,9,FALSE))</x:f>
        <x:v>0.65</x:v>
      </x:c>
      <x:c r="J45" s="221" t="n">
        <x:f>IF(G45="","",G45-H45*I45)</x:f>
        <x:v>1.1788743011607032</x:v>
      </x:c>
      <x:c r="K45" s="224" t="n">
        <x:f>IF('原始数据'!F55="","",IF('原始数据'!F55&lt;&gt;0,'原始数据'!J55/'原始数据'!F55,"n.a."))</x:f>
        <x:v>1.6658822784725895</x:v>
      </x:c>
      <x:c r="L45" s="221" t="n">
        <x:f>IF(G45="","",G45-H45)</x:f>
        <x:v>0.6037411734881206</x:v>
      </x:c>
      <x:c r="M45" s="221" t="n">
        <x:f>IF(OR('原始数据'!Q55="",'原始数据'!P55=""),"",'原始数据'!Q55*'原始数据'!P55/VLOOKUP(C45,'原始数据'!$C$5:$G$12,5,FALSE))</x:f>
        <x:v>0.383</x:v>
      </x:c>
      <x:c r="N45" s="206" t="str">
        <x:f>'原始数据'!S55</x:f>
        <x:v>https://www.sse.com.cn/assortment/stock/list/info/announcement/index.shtml?productId=601898</x:v>
      </x:c>
    </x:row>
    <x:row r="46">
      <x:c r="A46" s="209" t="str">
        <x:f>'原始数据'!A56</x:f>
        <x:v>煤炭</x:v>
      </x:c>
      <x:c r="B46" s="209" t="str">
        <x:f>'原始数据'!B56</x:f>
        <x:v>601699</x:v>
      </x:c>
      <x:c r="C46" s="209" t="str">
        <x:f>'原始数据'!C56</x:f>
        <x:v>潞安环能</x:v>
      </x:c>
      <x:c r="D46" s="209" t="n">
        <x:f>'原始数据'!D56</x:f>
        <x:v>2016</x:v>
      </x:c>
      <x:c r="E46" s="212" t="n">
        <x:f>IF('原始数据'!F56="","",'原始数据'!F56/VLOOKUP(C46,'原始数据'!$C$5:$G$12,5,FALSE))</x:f>
        <x:v>0.28653414191211285</x:v>
      </x:c>
      <x:c r="F46" s="215" t="n">
        <x:f>IF('原始数据'!H56="","",'原始数据'!H56)</x:f>
        <x:v>0.0475</x:v>
      </x:c>
      <x:c r="G46" s="212" t="n">
        <x:f>IF('原始数据'!J56="","",'原始数据'!J56/VLOOKUP(C46,'原始数据'!$C$5:$G$12,5,FALSE))</x:f>
        <x:v>0.378944972125512</x:v>
      </x:c>
      <x:c r="H46" s="212" t="n">
        <x:f>IF('原始数据'!K56="","",'原始数据'!K56/VLOOKUP(C46,'原始数据'!$C$5:$G$12,5,FALSE))</x:f>
        <x:v>0.2905528036886428</x:v>
      </x:c>
      <x:c r="I46" s="218" t="n">
        <x:f>IF('原始数据'!F56="","",VLOOKUP(C46,'参数设置'!$A$27:$O$34,9,FALSE))</x:f>
        <x:v>0.65</x:v>
      </x:c>
      <x:c r="J46" s="221" t="n">
        <x:f>IF(G46="","",G46-H46*I46)</x:f>
        <x:v>0.19008564972789416</x:v>
      </x:c>
      <x:c r="K46" s="224" t="n">
        <x:f>IF('原始数据'!F56="","",IF('原始数据'!F56&lt;&gt;0,'原始数据'!J56/'原始数据'!F56,"n.a."))</x:f>
        <x:v>1.3225124573173686</x:v>
      </x:c>
      <x:c r="L46" s="221" t="n">
        <x:f>IF(G46="","",G46-H46)</x:f>
        <x:v>0.0883921684368692</x:v>
      </x:c>
      <x:c r="M46" s="221" t="n">
        <x:f>IF(OR('原始数据'!Q56="",'原始数据'!P56=""),"",'原始数据'!Q56*'原始数据'!P56/VLOOKUP(C46,'原始数据'!$C$5:$G$12,5,FALSE))</x:f>
        <x:v>0.09</x:v>
      </x:c>
      <x:c r="N46" s="206" t="str">
        <x:f>'原始数据'!S56</x:f>
        <x:v>https://www.sse.com.cn/assortment/stock/list/info/announcement/index.shtml?productId=601699</x:v>
      </x:c>
    </x:row>
    <x:row r="47">
      <x:c r="A47" s="209" t="str">
        <x:f>'原始数据'!A57</x:f>
        <x:v>煤炭</x:v>
      </x:c>
      <x:c r="B47" s="209" t="str">
        <x:f>'原始数据'!B57</x:f>
        <x:v>601699</x:v>
      </x:c>
      <x:c r="C47" s="209" t="str">
        <x:f>'原始数据'!C57</x:f>
        <x:v>潞安环能</x:v>
      </x:c>
      <x:c r="D47" s="209" t="n">
        <x:f>'原始数据'!D57</x:f>
        <x:v>2017</x:v>
      </x:c>
      <x:c r="E47" s="212" t="n">
        <x:f>IF('原始数据'!F57="","",'原始数据'!F57/VLOOKUP(C47,'原始数据'!$C$5:$G$12,5,FALSE))</x:f>
        <x:v>0.9300767373116322</x:v>
      </x:c>
      <x:c r="F47" s="215" t="n">
        <x:f>IF('原始数据'!H57="","",'原始数据'!H57)</x:f>
        <x:v>0.15259999999999999</x:v>
      </x:c>
      <x:c r="G47" s="212" t="n">
        <x:f>IF('原始数据'!J57="","",'原始数据'!J57/VLOOKUP(C47,'原始数据'!$C$5:$G$12,5,FALSE))</x:f>
        <x:v>0.7933343234887424</x:v>
      </x:c>
      <x:c r="H47" s="212" t="n">
        <x:f>IF('原始数据'!K57="","",'原始数据'!K57/VLOOKUP(C47,'原始数据'!$C$5:$G$12,5,FALSE))</x:f>
        <x:v>0.14646786399199416</x:v>
      </x:c>
      <x:c r="I47" s="218" t="n">
        <x:f>IF('原始数据'!F57="","",VLOOKUP(C47,'参数设置'!$A$27:$O$34,9,FALSE))</x:f>
        <x:v>0.65</x:v>
      </x:c>
      <x:c r="J47" s="221" t="n">
        <x:f>IF(G47="","",G47-H47*I47)</x:f>
        <x:v>0.6981302118939462</x:v>
      </x:c>
      <x:c r="K47" s="224" t="n">
        <x:f>IF('原始数据'!F57="","",IF('原始数据'!F57&lt;&gt;0,'原始数据'!J57/'原始数据'!F57,"n.a."))</x:f>
        <x:v>0.852977277747919</x:v>
      </x:c>
      <x:c r="L47" s="221" t="n">
        <x:f>IF(G47="","",G47-H47)</x:f>
        <x:v>0.6468664594967483</x:v>
      </x:c>
      <x:c r="M47" s="221" t="n">
        <x:f>IF(OR('原始数据'!Q57="",'原始数据'!P57=""),"",'原始数据'!Q57*'原始数据'!P57/VLOOKUP(C47,'原始数据'!$C$5:$G$12,5,FALSE))</x:f>
        <x:v>0.28700000000000003</x:v>
      </x:c>
      <x:c r="N47" s="206" t="str">
        <x:f>'原始数据'!S57</x:f>
        <x:v>https://www.sse.com.cn/assortment/stock/list/info/announcement/index.shtml?productId=601699</x:v>
      </x:c>
    </x:row>
    <x:row r="48">
      <x:c r="A48" s="209" t="str">
        <x:f>'原始数据'!A58</x:f>
        <x:v>煤炭</x:v>
      </x:c>
      <x:c r="B48" s="209" t="str">
        <x:f>'原始数据'!B58</x:f>
        <x:v>601699</x:v>
      </x:c>
      <x:c r="C48" s="209" t="str">
        <x:f>'原始数据'!C58</x:f>
        <x:v>潞安环能</x:v>
      </x:c>
      <x:c r="D48" s="209" t="n">
        <x:f>'原始数据'!D58</x:f>
        <x:v>2018</x:v>
      </x:c>
      <x:c r="E48" s="212" t="n">
        <x:f>IF('原始数据'!F58="","",'原始数据'!F58/VLOOKUP(C48,'原始数据'!$C$5:$G$12,5,FALSE))</x:f>
        <x:v>0.7843014071862854</x:v>
      </x:c>
      <x:c r="F48" s="215" t="n">
        <x:f>IF('原始数据'!H58="","",'原始数据'!H58)</x:f>
        <x:v>0.1073</x:v>
      </x:c>
      <x:c r="G48" s="212" t="n">
        <x:f>IF('原始数据'!J58="","",'原始数据'!J58/VLOOKUP(C48,'原始数据'!$C$5:$G$12,5,FALSE))</x:f>
        <x:v>3.268507445427393</x:v>
      </x:c>
      <x:c r="H48" s="212" t="n">
        <x:f>IF('原始数据'!K58="","",'原始数据'!K58/VLOOKUP(C48,'原始数据'!$C$5:$G$12,5,FALSE))</x:f>
        <x:v>0.4246792245139849</x:v>
      </x:c>
      <x:c r="I48" s="218" t="n">
        <x:f>IF('原始数据'!F58="","",VLOOKUP(C48,'参数设置'!$A$27:$O$34,9,FALSE))</x:f>
        <x:v>0.65</x:v>
      </x:c>
      <x:c r="J48" s="221" t="n">
        <x:f>IF(G48="","",G48-H48*I48)</x:f>
        <x:v>2.992465949493303</x:v>
      </x:c>
      <x:c r="K48" s="224" t="n">
        <x:f>IF('原始数据'!F58="","",IF('原始数据'!F58&lt;&gt;0,'原始数据'!J58/'原始数据'!F58,"n.a."))</x:f>
        <x:v>4.167412445622534</x:v>
      </x:c>
      <x:c r="L48" s="221" t="n">
        <x:f>IF(G48="","",G48-H48)</x:f>
        <x:v>2.843828220913408</x:v>
      </x:c>
      <x:c r="M48" s="221" t="n">
        <x:f>IF(OR('原始数据'!Q58="",'原始数据'!P58=""),"",'原始数据'!Q58*'原始数据'!P58/VLOOKUP(C48,'原始数据'!$C$5:$G$12,5,FALSE))</x:f>
        <x:v>0.268</x:v>
      </x:c>
      <x:c r="N48" s="206" t="str">
        <x:f>'原始数据'!S58</x:f>
        <x:v>https://www.sse.com.cn/assortment/stock/list/info/announcement/index.shtml?productId=601699</x:v>
      </x:c>
    </x:row>
    <x:row r="49">
      <x:c r="A49" s="209" t="str">
        <x:f>'原始数据'!A59</x:f>
        <x:v>煤炭</x:v>
      </x:c>
      <x:c r="B49" s="209" t="str">
        <x:f>'原始数据'!B59</x:f>
        <x:v>601699</x:v>
      </x:c>
      <x:c r="C49" s="209" t="str">
        <x:f>'原始数据'!C59</x:f>
        <x:v>潞安环能</x:v>
      </x:c>
      <x:c r="D49" s="209" t="n">
        <x:f>'原始数据'!D59</x:f>
        <x:v>2019</x:v>
      </x:c>
      <x:c r="E49" s="212" t="n">
        <x:f>IF('原始数据'!F59="","",'原始数据'!F59/VLOOKUP(C49,'原始数据'!$C$5:$G$12,5,FALSE))</x:f>
        <x:v>0.7951802143885899</x:v>
      </x:c>
      <x:c r="F49" s="215" t="n">
        <x:f>IF('原始数据'!H59="","",'原始数据'!H59)</x:f>
        <x:v>0.095</x:v>
      </x:c>
      <x:c r="G49" s="212" t="n">
        <x:f>IF('原始数据'!J59="","",'原始数据'!J59/VLOOKUP(C49,'原始数据'!$C$5:$G$12,5,FALSE))</x:f>
        <x:v>1.4909256312175545</x:v>
      </x:c>
      <x:c r="H49" s="212" t="n">
        <x:f>IF('原始数据'!K59="","",'原始数据'!K59/VLOOKUP(C49,'原始数据'!$C$5:$G$12,5,FALSE))</x:f>
        <x:v>0.48815505146203336</x:v>
      </x:c>
      <x:c r="I49" s="218" t="n">
        <x:f>IF('原始数据'!F59="","",VLOOKUP(C49,'参数设置'!$A$27:$O$34,9,FALSE))</x:f>
        <x:v>0.65</x:v>
      </x:c>
      <x:c r="J49" s="221" t="n">
        <x:f>IF(G49="","",G49-H49*I49)</x:f>
        <x:v>1.1736248477672329</x:v>
      </x:c>
      <x:c r="K49" s="224" t="n">
        <x:f>IF('原始数据'!F59="","",IF('原始数据'!F59&lt;&gt;0,'原始数据'!J59/'原始数据'!F59,"n.a."))</x:f>
        <x:v>1.8749531291644623</x:v>
      </x:c>
      <x:c r="L49" s="221" t="n">
        <x:f>IF(G49="","",G49-H49)</x:f>
        <x:v>1.002770579755521</x:v>
      </x:c>
      <x:c r="M49" s="221" t="n">
        <x:f>IF(OR('原始数据'!Q59="",'原始数据'!P59=""),"",'原始数据'!Q59*'原始数据'!P59/VLOOKUP(C49,'原始数据'!$C$5:$G$12,5,FALSE))</x:f>
        <x:v>0.23900000000000002</x:v>
      </x:c>
      <x:c r="N49" s="206" t="str">
        <x:f>'原始数据'!S59</x:f>
        <x:v>https://www.sse.com.cn/assortment/stock/list/info/announcement/index.shtml?productId=601699</x:v>
      </x:c>
    </x:row>
    <x:row r="50">
      <x:c r="A50" s="209" t="str">
        <x:f>'原始数据'!A60</x:f>
        <x:v>煤炭</x:v>
      </x:c>
      <x:c r="B50" s="209" t="str">
        <x:f>'原始数据'!B60</x:f>
        <x:v>601699</x:v>
      </x:c>
      <x:c r="C50" s="209" t="str">
        <x:f>'原始数据'!C60</x:f>
        <x:v>潞安环能</x:v>
      </x:c>
      <x:c r="D50" s="209" t="n">
        <x:f>'原始数据'!D60</x:f>
        <x:v>2020</x:v>
      </x:c>
      <x:c r="E50" s="212" t="n">
        <x:f>IF('原始数据'!F60="","",'原始数据'!F60/VLOOKUP(C50,'原始数据'!$C$5:$G$12,5,FALSE))</x:f>
        <x:v>0.6503827936412042</x:v>
      </x:c>
      <x:c r="F50" s="215" t="n">
        <x:f>IF('原始数据'!H60="","",'原始数据'!H60)</x:f>
        <x:v>0.0761</x:v>
      </x:c>
      <x:c r="G50" s="212" t="n">
        <x:f>IF('原始数据'!J60="","",'原始数据'!J60/VLOOKUP(C50,'原始数据'!$C$5:$G$12,5,FALSE))</x:f>
        <x:v>0.7469507952539559</x:v>
      </x:c>
      <x:c r="H50" s="212" t="n">
        <x:f>IF('原始数据'!K60="","",'原始数据'!K60/VLOOKUP(C50,'原始数据'!$C$5:$G$12,5,FALSE))</x:f>
        <x:v>0.3875758718733632</x:v>
      </x:c>
      <x:c r="I50" s="218" t="n">
        <x:f>IF('原始数据'!F60="","",VLOOKUP(C50,'参数设置'!$A$27:$O$34,9,FALSE))</x:f>
        <x:v>0.65</x:v>
      </x:c>
      <x:c r="J50" s="221" t="n">
        <x:f>IF(G50="","",G50-H50*I50)</x:f>
        <x:v>0.49502647853626985</x:v>
      </x:c>
      <x:c r="K50" s="224" t="n">
        <x:f>IF('原始数据'!F60="","",IF('原始数据'!F60&lt;&gt;0,'原始数据'!J60/'原始数据'!F60,"n.a."))</x:f>
        <x:v>1.1484787152380067</x:v>
      </x:c>
      <x:c r="L50" s="221" t="n">
        <x:f>IF(G50="","",G50-H50)</x:f>
        <x:v>0.35937492338059274</x:v>
      </x:c>
      <x:c r="M50" s="221" t="n">
        <x:f>IF(OR('原始数据'!Q60="",'原始数据'!P60=""),"",'原始数据'!Q60*'原始数据'!P60/VLOOKUP(C50,'原始数据'!$C$5:$G$12,5,FALSE))</x:f>
        <x:v>0.194</x:v>
      </x:c>
      <x:c r="N50" s="206" t="str">
        <x:f>'原始数据'!S60</x:f>
        <x:v>https://www.sse.com.cn/assortment/stock/list/info/announcement/index.shtml?productId=601699</x:v>
      </x:c>
    </x:row>
    <x:row r="51">
      <x:c r="A51" s="209" t="str">
        <x:f>'原始数据'!A61</x:f>
        <x:v>煤炭</x:v>
      </x:c>
      <x:c r="B51" s="209" t="str">
        <x:f>'原始数据'!B61</x:f>
        <x:v>601699</x:v>
      </x:c>
      <x:c r="C51" s="209" t="str">
        <x:f>'原始数据'!C61</x:f>
        <x:v>潞安环能</x:v>
      </x:c>
      <x:c r="D51" s="209" t="n">
        <x:f>'原始数据'!D61</x:f>
        <x:v>2021</x:v>
      </x:c>
      <x:c r="E51" s="212" t="n">
        <x:f>IF('原始数据'!F61="","",'原始数据'!F61/VLOOKUP(C51,'原始数据'!$C$5:$G$12,5,FALSE))</x:f>
        <x:v>2.2501480374901566</x:v>
      </x:c>
      <x:c r="F51" s="215" t="n">
        <x:f>IF('原始数据'!H61="","",'原始数据'!H61)</x:f>
        <x:v>0.221</x:v>
      </x:c>
      <x:c r="G51" s="212" t="n">
        <x:f>IF('原始数据'!J61="","",'原始数据'!J61/VLOOKUP(C51,'原始数据'!$C$5:$G$12,5,FALSE))</x:f>
        <x:v>2.6908224812941004</x:v>
      </x:c>
      <x:c r="H51" s="212" t="n">
        <x:f>IF('原始数据'!K61="","",'原始数据'!K61/VLOOKUP(C51,'原始数据'!$C$5:$G$12,5,FALSE))</x:f>
        <x:v>0.7190850589648518</x:v>
      </x:c>
      <x:c r="I51" s="218" t="n">
        <x:f>IF('原始数据'!F61="","",VLOOKUP(C51,'参数设置'!$A$27:$O$34,9,FALSE))</x:f>
        <x:v>0.65</x:v>
      </x:c>
      <x:c r="J51" s="221" t="n">
        <x:f>IF(G51="","",G51-H51*I51)</x:f>
        <x:v>2.223417192966947</x:v>
      </x:c>
      <x:c r="K51" s="224" t="n">
        <x:f>IF('原始数据'!F61="","",IF('原始数据'!F61&lt;&gt;0,'原始数据'!J61/'原始数据'!F61,"n.a."))</x:f>
        <x:v>1.1958424230147442</x:v>
      </x:c>
      <x:c r="L51" s="221" t="n">
        <x:f>IF(G51="","",G51-H51)</x:f>
        <x:v>1.9717374223292485</x:v>
      </x:c>
      <x:c r="M51" s="221" t="n">
        <x:f>IF(OR('原始数据'!Q61="",'原始数据'!P61=""),"",'原始数据'!Q61*'原始数据'!P61/VLOOKUP(C51,'原始数据'!$C$5:$G$12,5,FALSE))</x:f>
        <x:v>0.673</x:v>
      </x:c>
      <x:c r="N51" s="206" t="str">
        <x:f>'原始数据'!S61</x:f>
        <x:v>https://www.sse.com.cn/assortment/stock/list/info/announcement/index.shtml?productId=601699</x:v>
      </x:c>
    </x:row>
    <x:row r="52">
      <x:c r="A52" s="209" t="str">
        <x:f>'原始数据'!A62</x:f>
        <x:v>煤炭</x:v>
      </x:c>
      <x:c r="B52" s="209" t="str">
        <x:f>'原始数据'!B62</x:f>
        <x:v>601699</x:v>
      </x:c>
      <x:c r="C52" s="209" t="str">
        <x:f>'原始数据'!C62</x:f>
        <x:v>潞安环能</x:v>
      </x:c>
      <x:c r="D52" s="209" t="n">
        <x:f>'原始数据'!D62</x:f>
        <x:v>2022</x:v>
      </x:c>
      <x:c r="E52" s="212" t="n">
        <x:f>IF('原始数据'!F62="","",'原始数据'!F62/VLOOKUP(C52,'原始数据'!$C$5:$G$12,5,FALSE))</x:f>
        <x:v>4.73849411567966</x:v>
      </x:c>
      <x:c r="F52" s="215" t="n">
        <x:f>IF('原始数据'!H62="","",'原始数据'!H62)</x:f>
        <x:v>0.33990000000000004</x:v>
      </x:c>
      <x:c r="G52" s="212" t="n">
        <x:f>IF('原始数据'!J62="","",'原始数据'!J62/VLOOKUP(C52,'原始数据'!$C$5:$G$12,5,FALSE))</x:f>
        <x:v>11.288550813379194</x:v>
      </x:c>
      <x:c r="H52" s="212" t="n">
        <x:f>IF('原始数据'!K62="","",'原始数据'!K62/VLOOKUP(C52,'原始数据'!$C$5:$G$12,5,FALSE))</x:f>
        <x:v>0.25095851294767696</x:v>
      </x:c>
      <x:c r="I52" s="218" t="n">
        <x:f>IF('原始数据'!F62="","",VLOOKUP(C52,'参数设置'!$A$27:$O$34,9,FALSE))</x:f>
        <x:v>0.65</x:v>
      </x:c>
      <x:c r="J52" s="221" t="n">
        <x:f>IF(G52="","",G52-H52*I52)</x:f>
        <x:v>11.125427779963204</x:v>
      </x:c>
      <x:c r="K52" s="224" t="n">
        <x:f>IF('原始数据'!F62="","",IF('原始数据'!F62&lt;&gt;0,'原始数据'!J62/'原始数据'!F62,"n.a."))</x:f>
        <x:v>2.3823076567775865</x:v>
      </x:c>
      <x:c r="L52" s="221" t="n">
        <x:f>IF(G52="","",G52-H52)</x:f>
        <x:v>11.037592300431518</x:v>
      </x:c>
      <x:c r="M52" s="221" t="n">
        <x:f>IF(OR('原始数据'!Q62="",'原始数据'!P62=""),"",'原始数据'!Q62*'原始数据'!P62/VLOOKUP(C52,'原始数据'!$C$5:$G$12,5,FALSE))</x:f>
        <x:v>2.85</x:v>
      </x:c>
      <x:c r="N52" s="206" t="str">
        <x:f>'原始数据'!S62</x:f>
        <x:v>https://www.sse.com.cn/assortment/stock/list/info/announcement/index.shtml?productId=601699</x:v>
      </x:c>
    </x:row>
    <x:row r="53">
      <x:c r="A53" s="209" t="str">
        <x:f>'原始数据'!A63</x:f>
        <x:v>煤炭</x:v>
      </x:c>
      <x:c r="B53" s="209" t="str">
        <x:f>'原始数据'!B63</x:f>
        <x:v>601699</x:v>
      </x:c>
      <x:c r="C53" s="209" t="str">
        <x:f>'原始数据'!C63</x:f>
        <x:v>潞安环能</x:v>
      </x:c>
      <x:c r="D53" s="209" t="n">
        <x:f>'原始数据'!D63</x:f>
        <x:v>2023</x:v>
      </x:c>
      <x:c r="E53" s="212" t="n">
        <x:f>IF('原始数据'!F63="","",'原始数据'!F63/VLOOKUP(C53,'原始数据'!$C$5:$G$12,5,FALSE))</x:f>
        <x:v>2.64811596718697</x:v>
      </x:c>
      <x:c r="F53" s="215" t="n">
        <x:f>IF('原始数据'!H63="","",'原始数据'!H63)</x:f>
        <x:v>0.1637</x:v>
      </x:c>
      <x:c r="G53" s="212" t="n">
        <x:f>IF('原始数据'!J63="","",'原始数据'!J63/VLOOKUP(C53,'原始数据'!$C$5:$G$12,5,FALSE))</x:f>
        <x:v>2.9592208031452203</x:v>
      </x:c>
      <x:c r="H53" s="212" t="n">
        <x:f>IF('原始数据'!K63="","",'原始数据'!K63/VLOOKUP(C53,'原始数据'!$C$5:$G$12,5,FALSE))</x:f>
        <x:v>0.22677684282043395</x:v>
      </x:c>
      <x:c r="I53" s="218" t="n">
        <x:f>IF('原始数据'!F63="","",VLOOKUP(C53,'参数设置'!$A$27:$O$34,9,FALSE))</x:f>
        <x:v>0.65</x:v>
      </x:c>
      <x:c r="J53" s="221" t="n">
        <x:f>IF(G53="","",G53-H53*I53)</x:f>
        <x:v>2.8118158553119383</x:v>
      </x:c>
      <x:c r="K53" s="224" t="n">
        <x:f>IF('原始数据'!F63="","",IF('原始数据'!F63&lt;&gt;0,'原始数据'!J63/'原始数据'!F63,"n.a."))</x:f>
        <x:v>1.1174815755099765</x:v>
      </x:c>
      <x:c r="L53" s="221" t="n">
        <x:f>IF(G53="","",G53-H53)</x:f>
        <x:v>2.7324439603247863</x:v>
      </x:c>
      <x:c r="M53" s="221" t="n">
        <x:f>IF(OR('原始数据'!Q63="",'原始数据'!P63=""),"",'原始数据'!Q63*'原始数据'!P63/VLOOKUP(C53,'原始数据'!$C$5:$G$12,5,FALSE))</x:f>
        <x:v>1.589</x:v>
      </x:c>
      <x:c r="N53" s="206" t="str">
        <x:f>'原始数据'!S63</x:f>
        <x:v>https://www.sse.com.cn/assortment/stock/list/info/announcement/index.shtml?productId=601699</x:v>
      </x:c>
    </x:row>
    <x:row r="54">
      <x:c r="A54" s="209" t="str">
        <x:f>'原始数据'!A64</x:f>
        <x:v>煤炭</x:v>
      </x:c>
      <x:c r="B54" s="209" t="str">
        <x:f>'原始数据'!B64</x:f>
        <x:v>601699</x:v>
      </x:c>
      <x:c r="C54" s="209" t="str">
        <x:f>'原始数据'!C64</x:f>
        <x:v>潞安环能</x:v>
      </x:c>
      <x:c r="D54" s="209" t="n">
        <x:f>'原始数据'!D64</x:f>
        <x:v>2024</x:v>
      </x:c>
      <x:c r="E54" s="212" t="n">
        <x:f>IF('原始数据'!F64="","",'原始数据'!F64/VLOOKUP(C54,'原始数据'!$C$5:$G$12,5,FALSE))</x:f>
        <x:v>0.8188509653343314</x:v>
      </x:c>
      <x:c r="F54" s="215" t="n">
        <x:f>IF('原始数据'!H64="","",'原始数据'!H64)</x:f>
        <x:v>0.052000000000000005</x:v>
      </x:c>
      <x:c r="G54" s="212" t="n">
        <x:f>IF('原始数据'!J64="","",'原始数据'!J64/VLOOKUP(C54,'原始数据'!$C$5:$G$12,5,FALSE))</x:f>
        <x:v>1.6595041781879925</x:v>
      </x:c>
      <x:c r="H54" s="212" t="n">
        <x:f>IF('原始数据'!K64="","",'原始数据'!K64/VLOOKUP(C54,'原始数据'!$C$5:$G$12,5,FALSE))</x:f>
        <x:v>4.344341078081194</x:v>
      </x:c>
      <x:c r="I54" s="218" t="n">
        <x:f>IF('原始数据'!F64="","",VLOOKUP(C54,'参数设置'!$A$27:$O$34,9,FALSE))</x:f>
        <x:v>0.65</x:v>
      </x:c>
      <x:c r="J54" s="221" t="n">
        <x:f>IF(G54="","",G54-H54*I54)</x:f>
        <x:v>-1.164317522564784</x:v>
      </x:c>
      <x:c r="K54" s="224" t="n">
        <x:f>IF('原始数据'!F64="","",IF('原始数据'!F64&lt;&gt;0,'原始数据'!J64/'原始数据'!F64,"n.a."))</x:f>
        <x:v>2.0266254159087764</x:v>
      </x:c>
      <x:c r="L54" s="221" t="n">
        <x:f>IF(G54="","",G54-H54)</x:f>
        <x:v>-2.6848368998932015</x:v>
      </x:c>
      <x:c r="M54" s="221" t="n">
        <x:f>IF(OR('原始数据'!Q64="",'原始数据'!P64=""),"",'原始数据'!Q64*'原始数据'!P64/VLOOKUP(C54,'原始数据'!$C$5:$G$12,5,FALSE))</x:f>
        <x:v>0.41</x:v>
      </x:c>
      <x:c r="N54" s="206" t="str">
        <x:f>'原始数据'!S64</x:f>
        <x:v>https://www.sse.com.cn/assortment/stock/list/info/announcement/index.shtml?productId=601699</x:v>
      </x:c>
    </x:row>
    <x:row r="55">
      <x:c r="A55" s="209" t="str">
        <x:f>'原始数据'!A65</x:f>
        <x:v>煤炭</x:v>
      </x:c>
      <x:c r="B55" s="209" t="str">
        <x:f>'原始数据'!B65</x:f>
        <x:v>601699</x:v>
      </x:c>
      <x:c r="C55" s="209" t="str">
        <x:f>'原始数据'!C65</x:f>
        <x:v>潞安环能</x:v>
      </x:c>
      <x:c r="D55" s="209" t="n">
        <x:f>'原始数据'!D65</x:f>
        <x:v>2025</x:v>
      </x:c>
      <x:c r="E55" s="212" t="n">
        <x:f>IF('原始数据'!F65="","",'原始数据'!F65/VLOOKUP(C55,'原始数据'!$C$5:$G$12,5,FALSE))</x:f>
        <x:v>0.3727857310026324</x:v>
      </x:c>
      <x:c r="F55" s="215" t="n">
        <x:f>IF('原始数据'!H65="","",'原始数据'!H65)</x:f>
        <x:v>0.024399999999999998</x:v>
      </x:c>
      <x:c r="G55" s="212" t="n">
        <x:f>IF('原始数据'!J65="","",'原始数据'!J65/VLOOKUP(C55,'原始数据'!$C$5:$G$12,5,FALSE))</x:f>
        <x:v>1.6719059285837592</x:v>
      </x:c>
      <x:c r="H55" s="212" t="n">
        <x:f>IF('原始数据'!K65="","",'原始数据'!K65/VLOOKUP(C55,'原始数据'!$C$5:$G$12,5,FALSE))</x:f>
        <x:v>0.06753484639279708</x:v>
      </x:c>
      <x:c r="I55" s="218" t="n">
        <x:f>IF('原始数据'!F65="","",VLOOKUP(C55,'参数设置'!$A$27:$O$34,9,FALSE))</x:f>
        <x:v>0.65</x:v>
      </x:c>
      <x:c r="J55" s="221" t="n">
        <x:f>IF(G55="","",G55-H55*I55)</x:f>
        <x:v>1.628008278428441</x:v>
      </x:c>
      <x:c r="K55" s="224" t="n">
        <x:f>IF('原始数据'!F65="","",IF('原始数据'!F65&lt;&gt;0,'原始数据'!J65/'原始数据'!F65,"n.a."))</x:f>
        <x:v>4.484897863679104</x:v>
      </x:c>
      <x:c r="L55" s="221" t="n">
        <x:f>IF(G55="","",G55-H55)</x:f>
        <x:v>1.604371082190962</x:v>
      </x:c>
      <x:c r="M55" s="221" t="n">
        <x:f>IF(OR('原始数据'!Q65="",'原始数据'!P65=""),"",'原始数据'!Q65*'原始数据'!P65/VLOOKUP(C55,'原始数据'!$C$5:$G$12,5,FALSE))</x:f>
        <x:v>0.187</x:v>
      </x:c>
      <x:c r="N55" s="206" t="str">
        <x:f>'原始数据'!S65</x:f>
        <x:v>https://www.sse.com.cn/assortment/stock/list/info/announcement/index.shtml?productId=601699</x:v>
      </x:c>
    </x:row>
    <x:row r="56">
      <x:c r="A56" s="209" t="str">
        <x:f>'原始数据'!A66</x:f>
        <x:v>石油</x:v>
      </x:c>
      <x:c r="B56" s="209" t="str">
        <x:f>'原始数据'!B66</x:f>
        <x:v>601857</x:v>
      </x:c>
      <x:c r="C56" s="209" t="str">
        <x:f>'原始数据'!C66</x:f>
        <x:v>中国石油</x:v>
      </x:c>
      <x:c r="D56" s="209" t="n">
        <x:f>'原始数据'!D66</x:f>
        <x:v>2016</x:v>
      </x:c>
      <x:c r="E56" s="212" t="n">
        <x:f>IF('原始数据'!F66="","",'原始数据'!F66/VLOOKUP(C56,'原始数据'!$C$5:$G$12,5,FALSE))</x:f>
        <x:v>0.0431644508415638</x:v>
      </x:c>
      <x:c r="F56" s="215" t="n">
        <x:f>IF('原始数据'!H66="","",'原始数据'!H66)</x:f>
        <x:v>0.006999999999999999</x:v>
      </x:c>
      <x:c r="G56" s="212" t="n">
        <x:f>IF('原始数据'!J66="","",'原始数据'!J66/VLOOKUP(C56,'原始数据'!$C$5:$G$12,5,FALSE))</x:f>
        <x:v>1.448899482242411</x:v>
      </x:c>
      <x:c r="H56" s="212" t="n">
        <x:f>IF('原始数据'!K66="","",'原始数据'!K66/VLOOKUP(C56,'原始数据'!$C$5:$G$12,5,FALSE))</x:f>
        <x:v>1.034968790235425</x:v>
      </x:c>
      <x:c r="I56" s="218" t="n">
        <x:f>IF('原始数据'!F66="","",VLOOKUP(C56,'参数设置'!$A$27:$O$34,9,FALSE))</x:f>
        <x:v>0.75</x:v>
      </x:c>
      <x:c r="J56" s="221" t="n">
        <x:f>IF(G56="","",G56-H56*I56)</x:f>
        <x:v>0.6726728895658423</x:v>
      </x:c>
      <x:c r="K56" s="224" t="n">
        <x:f>IF('原始数据'!F66="","",IF('原始数据'!F66&lt;&gt;0,'原始数据'!J66/'原始数据'!F66,"n.a."))</x:f>
        <x:v>33.56696202531646</x:v>
      </x:c>
      <x:c r="L56" s="221" t="n">
        <x:f>IF(G56="","",G56-H56)</x:f>
        <x:v>0.41393069200698607</x:v>
      </x:c>
      <x:c r="M56" s="221" t="n">
        <x:f>IF(OR('原始数据'!Q66="",'原始数据'!P66=""),"",'原始数据'!Q66*'原始数据'!P66/VLOOKUP(C56,'原始数据'!$C$5:$G$12,5,FALSE))</x:f>
        <x:v>0.059320000000000005</x:v>
      </x:c>
      <x:c r="N56" s="206" t="str">
        <x:f>'原始数据'!S66</x:f>
        <x:v>https://www.sse.com.cn/assortment/stock/list/info/announcement/index.shtml?productId=601857</x:v>
      </x:c>
    </x:row>
    <x:row r="57">
      <x:c r="A57" s="209" t="str">
        <x:f>'原始数据'!A67</x:f>
        <x:v>石油</x:v>
      </x:c>
      <x:c r="B57" s="209" t="str">
        <x:f>'原始数据'!B67</x:f>
        <x:v>601857</x:v>
      </x:c>
      <x:c r="C57" s="209" t="str">
        <x:f>'原始数据'!C67</x:f>
        <x:v>中国石油</x:v>
      </x:c>
      <x:c r="D57" s="209" t="n">
        <x:f>'原始数据'!D67</x:f>
        <x:v>2017</x:v>
      </x:c>
      <x:c r="E57" s="212" t="n">
        <x:f>IF('原始数据'!F67="","",'原始数据'!F67/VLOOKUP(C57,'原始数据'!$C$5:$G$12,5,FALSE))</x:f>
        <x:v>0.12453763645971692</x:v>
      </x:c>
      <x:c r="F57" s="215" t="n">
        <x:f>IF('原始数据'!H67="","",'原始数据'!H67)</x:f>
        <x:v>0.02</x:v>
      </x:c>
      <x:c r="G57" s="212" t="n">
        <x:f>IF('原始数据'!J67="","",'原始数据'!J67/VLOOKUP(C57,'原始数据'!$C$5:$G$12,5,FALSE))</x:f>
        <x:v>2.0033495852295666</x:v>
      </x:c>
      <x:c r="H57" s="212" t="n">
        <x:f>IF('原始数据'!K67="","",'原始数据'!K67/VLOOKUP(C57,'原始数据'!$C$5:$G$12,5,FALSE))</x:f>
        <x:v>1.2949553806650616</x:v>
      </x:c>
      <x:c r="I57" s="218" t="n">
        <x:f>IF('原始数据'!F67="","",VLOOKUP(C57,'参数设置'!$A$27:$O$34,9,FALSE))</x:f>
        <x:v>0.75</x:v>
      </x:c>
      <x:c r="J57" s="221" t="n">
        <x:f>IF(G57="","",G57-H57*I57)</x:f>
        <x:v>1.0321330497307706</x:v>
      </x:c>
      <x:c r="K57" s="224" t="n">
        <x:f>IF('原始数据'!F67="","",IF('原始数据'!F67&lt;&gt;0,'原始数据'!J67/'原始数据'!F67,"n.a."))</x:f>
        <x:v>16.08629842495503</x:v>
      </x:c>
      <x:c r="L57" s="221" t="n">
        <x:f>IF(G57="","",G57-H57)</x:f>
        <x:v>0.7083942045645051</x:v>
      </x:c>
      <x:c r="M57" s="221" t="n">
        <x:f>IF(OR('原始数据'!Q67="",'原始数据'!P67=""),"",'原始数据'!Q67*'原始数据'!P67/VLOOKUP(C57,'原始数据'!$C$5:$G$12,5,FALSE))</x:f>
        <x:v>0.13</x:v>
      </x:c>
      <x:c r="N57" s="206" t="str">
        <x:f>'原始数据'!S67</x:f>
        <x:v>https://www.sse.com.cn/assortment/stock/list/info/announcement/index.shtml?productId=601857</x:v>
      </x:c>
    </x:row>
    <x:row r="58">
      <x:c r="A58" s="209" t="str">
        <x:f>'原始数据'!A68</x:f>
        <x:v>石油</x:v>
      </x:c>
      <x:c r="B58" s="209" t="str">
        <x:f>'原始数据'!B68</x:f>
        <x:v>601857</x:v>
      </x:c>
      <x:c r="C58" s="209" t="str">
        <x:f>'原始数据'!C68</x:f>
        <x:v>中国石油</x:v>
      </x:c>
      <x:c r="D58" s="209" t="n">
        <x:f>'原始数据'!D68</x:f>
        <x:v>2018</x:v>
      </x:c>
      <x:c r="E58" s="212" t="n">
        <x:f>IF('原始数据'!F68="","",'原始数据'!F68/VLOOKUP(C58,'原始数据'!$C$5:$G$12,5,FALSE))</x:f>
        <x:v>0.2897482060921681</x:v>
      </x:c>
      <x:c r="F58" s="215" t="n">
        <x:f>IF('原始数据'!H68="","",'原始数据'!H68)</x:f>
        <x:v>0.044000000000000004</x:v>
      </x:c>
      <x:c r="G58" s="212" t="n">
        <x:f>IF('原始数据'!J68="","",'原始数据'!J68/VLOOKUP(C58,'原始数据'!$C$5:$G$12,5,FALSE))</x:f>
        <x:v>1.930139398289552</x:v>
      </x:c>
      <x:c r="H58" s="212" t="n">
        <x:f>IF('原始数据'!K68="","",'原始数据'!K68/VLOOKUP(C58,'原始数据'!$C$5:$G$12,5,FALSE))</x:f>
        <x:v>1.507116852333153</x:v>
      </x:c>
      <x:c r="I58" s="218" t="n">
        <x:f>IF('原始数据'!F68="","",VLOOKUP(C58,'参数设置'!$A$27:$O$34,9,FALSE))</x:f>
        <x:v>0.75</x:v>
      </x:c>
      <x:c r="J58" s="221" t="n">
        <x:f>IF(G58="","",G58-H58*I58)</x:f>
        <x:v>0.7998017590396873</x:v>
      </x:c>
      <x:c r="K58" s="224" t="n">
        <x:f>IF('原始数据'!F68="","",IF('原始数据'!F68&lt;&gt;0,'原始数据'!J68/'原始数据'!F68,"n.a."))</x:f>
        <x:v>6.6614369224967005</x:v>
      </x:c>
      <x:c r="L58" s="221" t="n">
        <x:f>IF(G58="","",G58-H58)</x:f>
        <x:v>0.423022545956399</x:v>
      </x:c>
      <x:c r="M58" s="221" t="n">
        <x:f>IF(OR('原始数据'!Q68="",'原始数据'!P68=""),"",'原始数据'!Q68*'原始数据'!P68/VLOOKUP(C58,'原始数据'!$C$5:$G$12,5,FALSE))</x:f>
        <x:v>0.17880000000000001</x:v>
      </x:c>
      <x:c r="N58" s="206" t="str">
        <x:f>'原始数据'!S68</x:f>
        <x:v>https://www.sse.com.cn/assortment/stock/list/info/announcement/index.shtml?productId=601857</x:v>
      </x:c>
    </x:row>
    <x:row r="59">
      <x:c r="A59" s="209" t="str">
        <x:f>'原始数据'!A69</x:f>
        <x:v>石油</x:v>
      </x:c>
      <x:c r="B59" s="209" t="str">
        <x:f>'原始数据'!B69</x:f>
        <x:v>601857</x:v>
      </x:c>
      <x:c r="C59" s="209" t="str">
        <x:f>'原始数据'!C69</x:f>
        <x:v>中国石油</x:v>
      </x:c>
      <x:c r="D59" s="209" t="n">
        <x:f>'原始数据'!D69</x:f>
        <x:v>2019</x:v>
      </x:c>
      <x:c r="E59" s="212" t="n">
        <x:f>IF('原始数据'!F69="","",'原始数据'!F69/VLOOKUP(C59,'原始数据'!$C$5:$G$12,5,FALSE))</x:f>
        <x:v>0.24957248368229235</x:v>
      </x:c>
      <x:c r="F59" s="215" t="n">
        <x:f>IF('原始数据'!H69="","",'原始数据'!H69)</x:f>
        <x:v>0.037000000000000005</x:v>
      </x:c>
      <x:c r="G59" s="212" t="n">
        <x:f>IF('原始数据'!J69="","",'原始数据'!J69/VLOOKUP(C59,'原始数据'!$C$5:$G$12,5,FALSE))</x:f>
        <x:v>1.9648567300170579</x:v>
      </x:c>
      <x:c r="H59" s="212" t="n">
        <x:f>IF('原始数据'!K69="","",'原始数据'!K69/VLOOKUP(C59,'原始数据'!$C$5:$G$12,5,FALSE))</x:f>
        <x:v>1.785380036188743</x:v>
      </x:c>
      <x:c r="I59" s="218" t="n">
        <x:f>IF('原始数据'!F69="","",VLOOKUP(C59,'参数设置'!$A$27:$O$34,9,FALSE))</x:f>
        <x:v>0.75</x:v>
      </x:c>
      <x:c r="J59" s="221" t="n">
        <x:f>IF(G59="","",G59-H59*I59)</x:f>
        <x:v>0.6258217028755004</x:v>
      </x:c>
      <x:c r="K59" s="224" t="n">
        <x:f>IF('原始数据'!F69="","",IF('原始数据'!F69&lt;&gt;0,'原始数据'!J69/'原始数据'!F69,"n.a."))</x:f>
        <x:v>7.872890075968212</x:v>
      </x:c>
      <x:c r="L59" s="221" t="n">
        <x:f>IF(G59="","",G59-H59)</x:f>
        <x:v>0.17947669382831477</x:v>
      </x:c>
      <x:c r="M59" s="221" t="n">
        <x:f>IF(OR('原始数据'!Q69="",'原始数据'!P69=""),"",'原始数据'!Q69*'原始数据'!P69/VLOOKUP(C59,'原始数据'!$C$5:$G$12,5,FALSE))</x:f>
        <x:v>0.14366</x:v>
      </x:c>
      <x:c r="N59" s="206" t="str">
        <x:f>'原始数据'!S69</x:f>
        <x:v>https://www.sse.com.cn/assortment/stock/list/info/announcement/index.shtml?productId=601857</x:v>
      </x:c>
    </x:row>
    <x:row r="60">
      <x:c r="A60" s="209" t="str">
        <x:f>'原始数据'!A70</x:f>
        <x:v>石油</x:v>
      </x:c>
      <x:c r="B60" s="209" t="str">
        <x:f>'原始数据'!B70</x:f>
        <x:v>601857</x:v>
      </x:c>
      <x:c r="C60" s="209" t="str">
        <x:f>'原始数据'!C70</x:f>
        <x:v>中国石油</x:v>
      </x:c>
      <x:c r="D60" s="209" t="n">
        <x:f>'原始数据'!D70</x:f>
        <x:v>2020</x:v>
      </x:c>
      <x:c r="E60" s="212" t="n">
        <x:f>IF('原始数据'!F70="","",'原始数据'!F70/VLOOKUP(C60,'原始数据'!$C$5:$G$12,5,FALSE))</x:f>
        <x:v>0.10382416391030322</x:v>
      </x:c>
      <x:c r="F60" s="215" t="n">
        <x:f>IF('原始数据'!H70="","",'原始数据'!H70)</x:f>
        <x:v>0.016</x:v>
      </x:c>
      <x:c r="G60" s="212" t="n">
        <x:f>IF('原始数据'!J70="","",'原始数据'!J70/VLOOKUP(C60,'原始数据'!$C$5:$G$12,5,FALSE))</x:f>
        <x:v>1.7406474590950871</x:v>
      </x:c>
      <x:c r="H60" s="212" t="n">
        <x:f>IF('原始数据'!K70="","",'原始数据'!K70/VLOOKUP(C60,'原始数据'!$C$5:$G$12,5,FALSE))</x:f>
        <x:v>1.4027189836964746</x:v>
      </x:c>
      <x:c r="I60" s="218" t="n">
        <x:f>IF('原始数据'!F70="","",VLOOKUP(C60,'参数设置'!$A$27:$O$34,9,FALSE))</x:f>
        <x:v>0.75</x:v>
      </x:c>
      <x:c r="J60" s="221" t="n">
        <x:f>IF(G60="","",G60-H60*I60)</x:f>
        <x:v>0.6886082213227311</x:v>
      </x:c>
      <x:c r="K60" s="224" t="n">
        <x:f>IF('原始数据'!F70="","",IF('原始数据'!F70&lt;&gt;0,'原始数据'!J70/'原始数据'!F70,"n.a."))</x:f>
        <x:v>16.765340490474685</x:v>
      </x:c>
      <x:c r="L60" s="221" t="n">
        <x:f>IF(G60="","",G60-H60)</x:f>
        <x:v>0.3379284753986125</x:v>
      </x:c>
      <x:c r="M60" s="221" t="n">
        <x:f>IF(OR('原始数据'!Q70="",'原始数据'!P70=""),"",'原始数据'!Q70*'原始数据'!P70/VLOOKUP(C60,'原始数据'!$C$5:$G$12,5,FALSE))</x:f>
        <x:v>0.17484</x:v>
      </x:c>
      <x:c r="N60" s="206" t="str">
        <x:f>'原始数据'!S70</x:f>
        <x:v>https://www.sse.com.cn/assortment/stock/list/info/announcement/index.shtml?productId=601857</x:v>
      </x:c>
    </x:row>
    <x:row r="61">
      <x:c r="A61" s="209" t="str">
        <x:f>'原始数据'!A71</x:f>
        <x:v>石油</x:v>
      </x:c>
      <x:c r="B61" s="209" t="str">
        <x:f>'原始数据'!B71</x:f>
        <x:v>601857</x:v>
      </x:c>
      <x:c r="C61" s="209" t="str">
        <x:f>'原始数据'!C71</x:f>
        <x:v>中国石油</x:v>
      </x:c>
      <x:c r="D61" s="209" t="n">
        <x:f>'原始数据'!D71</x:f>
        <x:v>2021</x:v>
      </x:c>
      <x:c r="E61" s="212" t="n">
        <x:f>IF('原始数据'!F71="","",'原始数据'!F71/VLOOKUP(C61,'原始数据'!$C$5:$G$12,5,FALSE))</x:f>
        <x:v>0.5035542979758686</x:v>
      </x:c>
      <x:c r="F61" s="215" t="n">
        <x:f>IF('原始数据'!H71="","",'原始数据'!H71)</x:f>
        <x:v>0.07400000000000001</x:v>
      </x:c>
      <x:c r="G61" s="212" t="n">
        <x:f>IF('原始数据'!J71="","",'原始数据'!J71/VLOOKUP(C61,'原始数据'!$C$5:$G$12,5,FALSE))</x:f>
        <x:v>1.8657369448630317</x:v>
      </x:c>
      <x:c r="H61" s="212" t="n">
        <x:f>IF('原始数据'!K71="","",'原始数据'!K71/VLOOKUP(C61,'原始数据'!$C$5:$G$12,5,FALSE))</x:f>
        <x:v>1.4509976023845832</x:v>
      </x:c>
      <x:c r="I61" s="218" t="n">
        <x:f>IF('原始数据'!F71="","",VLOOKUP(C61,'参数设置'!$A$27:$O$34,9,FALSE))</x:f>
        <x:v>0.75</x:v>
      </x:c>
      <x:c r="J61" s="221" t="n">
        <x:f>IF(G61="","",G61-H61*I61)</x:f>
        <x:v>0.7774887430745943</x:v>
      </x:c>
      <x:c r="K61" s="224" t="n">
        <x:f>IF('原始数据'!F71="","",IF('原始数据'!F71&lt;&gt;0,'原始数据'!J71/'原始数据'!F71,"n.a."))</x:f>
        <x:v>3.7051355779559683</x:v>
      </x:c>
      <x:c r="L61" s="221" t="n">
        <x:f>IF(G61="","",G61-H61)</x:f>
        <x:v>0.41473934247844846</x:v>
      </x:c>
      <x:c r="M61" s="221" t="n">
        <x:f>IF(OR('原始数据'!Q71="",'原始数据'!P71=""),"",'原始数据'!Q71*'原始数据'!P71/VLOOKUP(C61,'原始数据'!$C$5:$G$12,5,FALSE))</x:f>
        <x:v>0.22662000000000002</x:v>
      </x:c>
      <x:c r="N61" s="206" t="str">
        <x:f>'原始数据'!S71</x:f>
        <x:v>https://www.sse.com.cn/assortment/stock/list/info/announcement/index.shtml?productId=601857</x:v>
      </x:c>
    </x:row>
    <x:row r="62">
      <x:c r="A62" s="209" t="str">
        <x:f>'原始数据'!A72</x:f>
        <x:v>石油</x:v>
      </x:c>
      <x:c r="B62" s="209" t="str">
        <x:f>'原始数据'!B72</x:f>
        <x:v>601857</x:v>
      </x:c>
      <x:c r="C62" s="209" t="str">
        <x:f>'原始数据'!C72</x:f>
        <x:v>中国石油</x:v>
      </x:c>
      <x:c r="D62" s="209" t="n">
        <x:f>'原始数据'!D72</x:f>
        <x:v>2022</x:v>
      </x:c>
      <x:c r="E62" s="212" t="n">
        <x:f>IF('原始数据'!F72="","",'原始数据'!F72/VLOOKUP(C62,'原始数据'!$C$5:$G$12,5,FALSE))</x:f>
        <x:v>0.8126827961104451</x:v>
      </x:c>
      <x:c r="F62" s="215" t="n">
        <x:f>IF('原始数据'!H72="","",'原始数据'!H72)</x:f>
        <x:v>0.113</x:v>
      </x:c>
      <x:c r="G62" s="212" t="n">
        <x:f>IF('原始数据'!J72="","",'原始数据'!J72/VLOOKUP(C62,'原始数据'!$C$5:$G$12,5,FALSE))</x:f>
        <x:v>2.151491073288721</x:v>
      </x:c>
      <x:c r="H62" s="212" t="n">
        <x:f>IF('原始数据'!K72="","",'原始数据'!K72/VLOOKUP(C62,'原始数据'!$C$5:$G$12,5,FALSE))</x:f>
        <x:v>1.3318254710801087</x:v>
      </x:c>
      <x:c r="I62" s="218" t="n">
        <x:f>IF('原始数据'!F72="","",VLOOKUP(C62,'参数设置'!$A$27:$O$34,9,FALSE))</x:f>
        <x:v>0.75</x:v>
      </x:c>
      <x:c r="J62" s="221" t="n">
        <x:f>IF(G62="","",G62-H62*I62)</x:f>
        <x:v>1.1526219699786393</x:v>
      </x:c>
      <x:c r="K62" s="224" t="n">
        <x:f>IF('原始数据'!F72="","",IF('原始数据'!F72&lt;&gt;0,'原始数据'!J72/'原始数据'!F72,"n.a."))</x:f>
        <x:v>2.6473934031652973</x:v>
      </x:c>
      <x:c r="L62" s="221" t="n">
        <x:f>IF(G62="","",G62-H62)</x:f>
        <x:v>0.8196656022086122</x:v>
      </x:c>
      <x:c r="M62" s="221" t="n">
        <x:f>IF(OR('原始数据'!Q72="",'原始数据'!P72=""),"",'原始数据'!Q72*'原始数据'!P72/VLOOKUP(C62,'原始数据'!$C$5:$G$12,5,FALSE))</x:f>
        <x:v>0.42258</x:v>
      </x:c>
      <x:c r="N62" s="206" t="str">
        <x:f>'原始数据'!S72</x:f>
        <x:v>https://www.sse.com.cn/assortment/stock/list/info/announcement/index.shtml?productId=601857</x:v>
      </x:c>
    </x:row>
    <x:row r="63">
      <x:c r="A63" s="209" t="str">
        <x:f>'原始数据'!A73</x:f>
        <x:v>石油</x:v>
      </x:c>
      <x:c r="B63" s="209" t="str">
        <x:f>'原始数据'!B73</x:f>
        <x:v>601857</x:v>
      </x:c>
      <x:c r="C63" s="209" t="str">
        <x:f>'原始数据'!C73</x:f>
        <x:v>中国石油</x:v>
      </x:c>
      <x:c r="D63" s="209" t="n">
        <x:f>'原始数据'!D73</x:f>
        <x:v>2023</x:v>
      </x:c>
      <x:c r="E63" s="212" t="n">
        <x:f>IF('原始数据'!F73="","",'原始数据'!F73/VLOOKUP(C63,'原始数据'!$C$5:$G$12,5,FALSE))</x:f>
        <x:v>0.8819426162202759</x:v>
      </x:c>
      <x:c r="F63" s="215" t="n">
        <x:f>IF('原始数据'!H73="","",'原始数据'!H73)</x:f>
        <x:v>0.114</x:v>
      </x:c>
      <x:c r="G63" s="212" t="n">
        <x:f>IF('原始数据'!J73="","",'原始数据'!J73/VLOOKUP(C63,'原始数据'!$C$5:$G$12,5,FALSE))</x:f>
        <x:v>2.4961455536222656</x:v>
      </x:c>
      <x:c r="H63" s="212" t="n">
        <x:f>IF('原始数据'!K73="","",'原始数据'!K73/VLOOKUP(C63,'原始数据'!$C$5:$G$12,5,FALSE))</x:f>
        <x:v>1.5435826175124692</x:v>
      </x:c>
      <x:c r="I63" s="218" t="n">
        <x:f>IF('原始数据'!F73="","",VLOOKUP(C63,'参数设置'!$A$27:$O$34,9,FALSE))</x:f>
        <x:v>0.75</x:v>
      </x:c>
      <x:c r="J63" s="221" t="n">
        <x:f>IF(G63="","",G63-H63*I63)</x:f>
        <x:v>1.3384585904879138</x:v>
      </x:c>
      <x:c r="K63" s="224" t="n">
        <x:f>IF('原始数据'!F73="","",IF('原始数据'!F73&lt;&gt;0,'原始数据'!J73/'原始数据'!F73,"n.a."))</x:f>
        <x:v>2.830281140421525</x:v>
      </x:c>
      <x:c r="L63" s="221" t="n">
        <x:f>IF(G63="","",G63-H63)</x:f>
        <x:v>0.9525629361097965</x:v>
      </x:c>
      <x:c r="M63" s="221" t="n">
        <x:f>IF(OR('原始数据'!Q73="",'原始数据'!P73=""),"",'原始数据'!Q73*'原始数据'!P73/VLOOKUP(C63,'原始数据'!$C$5:$G$12,5,FALSE))</x:f>
        <x:v>0.44</x:v>
      </x:c>
      <x:c r="N63" s="206" t="str">
        <x:f>'原始数据'!S73</x:f>
        <x:v>https://www.sse.com.cn/assortment/stock/list/info/announcement/index.shtml?productId=601857</x:v>
      </x:c>
    </x:row>
    <x:row r="64">
      <x:c r="A64" s="209" t="str">
        <x:f>'原始数据'!A74</x:f>
        <x:v>石油</x:v>
      </x:c>
      <x:c r="B64" s="209" t="str">
        <x:f>'原始数据'!B74</x:f>
        <x:v>601857</x:v>
      </x:c>
      <x:c r="C64" s="209" t="str">
        <x:f>'原始数据'!C74</x:f>
        <x:v>中国石油</x:v>
      </x:c>
      <x:c r="D64" s="209" t="n">
        <x:f>'原始数据'!D74</x:f>
        <x:v>2024</x:v>
      </x:c>
      <x:c r="E64" s="212" t="n">
        <x:f>IF('原始数据'!F74="","",'原始数据'!F74/VLOOKUP(C64,'原始数据'!$C$5:$G$12,5,FALSE))</x:f>
        <x:v>0.8997657097196659</x:v>
      </x:c>
      <x:c r="F64" s="215" t="n">
        <x:f>IF('原始数据'!H74="","",'原始数据'!H74)</x:f>
        <x:v>0.111</x:v>
      </x:c>
      <x:c r="G64" s="212" t="n">
        <x:f>IF('原始数据'!J74="","",'原始数据'!J74/VLOOKUP(C64,'原始数据'!$C$5:$G$12,5,FALSE))</x:f>
        <x:v>2.2212317125977994</x:v>
      </x:c>
      <x:c r="H64" s="212" t="n">
        <x:f>IF('原始数据'!K74="","",'原始数据'!K74/VLOOKUP(C64,'原始数据'!$C$5:$G$12,5,FALSE))</x:f>
        <x:v>1.6536410394493832</x:v>
      </x:c>
      <x:c r="I64" s="218" t="n">
        <x:f>IF('原始数据'!F74="","",VLOOKUP(C64,'参数设置'!$A$27:$O$34,9,FALSE))</x:f>
        <x:v>0.75</x:v>
      </x:c>
      <x:c r="J64" s="221" t="n">
        <x:f>IF(G64="","",G64-H64*I64)</x:f>
        <x:v>0.9810009330107619</x:v>
      </x:c>
      <x:c r="K64" s="224" t="n">
        <x:f>IF('原始数据'!F74="","",IF('原始数据'!F74&lt;&gt;0,'原始数据'!J74/'原始数据'!F74,"n.a."))</x:f>
        <x:v>2.468677888702665</x:v>
      </x:c>
      <x:c r="L64" s="221" t="n">
        <x:f>IF(G64="","",G64-H64)</x:f>
        <x:v>0.5675906731484162</x:v>
      </x:c>
      <x:c r="M64" s="221" t="n">
        <x:f>IF(OR('原始数据'!Q74="",'原始数据'!P74=""),"",'原始数据'!Q74*'原始数据'!P74/VLOOKUP(C64,'原始数据'!$C$5:$G$12,5,FALSE))</x:f>
        <x:v>0.47000000000000003</x:v>
      </x:c>
      <x:c r="N64" s="206" t="str">
        <x:f>'原始数据'!S74</x:f>
        <x:v>https://www.sse.com.cn/assortment/stock/list/info/announcement/index.shtml?productId=601857</x:v>
      </x:c>
    </x:row>
    <x:row r="65">
      <x:c r="A65" s="209" t="str">
        <x:f>'原始数据'!A75</x:f>
        <x:v>石油</x:v>
      </x:c>
      <x:c r="B65" s="209" t="str">
        <x:f>'原始数据'!B75</x:f>
        <x:v>601857</x:v>
      </x:c>
      <x:c r="C65" s="209" t="str">
        <x:f>'原始数据'!C75</x:f>
        <x:v>中国石油</x:v>
      </x:c>
      <x:c r="D65" s="209" t="n">
        <x:f>'原始数据'!D75</x:f>
        <x:v>2025</x:v>
      </x:c>
      <x:c r="E65" s="212" t="n">
        <x:f>IF('原始数据'!F75="","",'原始数据'!F75/VLOOKUP(C65,'原始数据'!$C$5:$G$12,5,FALSE))</x:f>
        <x:v>0.859475246364515</x:v>
      </x:c>
      <x:c r="F65" s="215" t="n">
        <x:f>IF('原始数据'!H75="","",'原始数据'!H75)</x:f>
        <x:v>0.10099999999999999</x:v>
      </x:c>
      <x:c r="G65" s="212" t="n">
        <x:f>IF('原始数据'!J75="","",'原始数据'!J75/VLOOKUP(C65,'原始数据'!$C$5:$G$12,5,FALSE))</x:f>
        <x:v>2.2538946350194284</x:v>
      </x:c>
      <x:c r="H65" s="212" t="n">
        <x:f>IF('原始数据'!K75="","",'原始数据'!K75/VLOOKUP(C65,'原始数据'!$C$5:$G$12,5,FALSE))</x:f>
        <x:v>1.599756506006408</x:v>
      </x:c>
      <x:c r="I65" s="218" t="n">
        <x:f>IF('原始数据'!F75="","",VLOOKUP(C65,'参数设置'!$A$27:$O$34,9,FALSE))</x:f>
        <x:v>0.75</x:v>
      </x:c>
      <x:c r="J65" s="221" t="n">
        <x:f>IF(G65="","",G65-H65*I65)</x:f>
        <x:v>1.0540772555146223</x:v>
      </x:c>
      <x:c r="K65" s="224" t="n">
        <x:f>IF('原始数据'!F75="","",IF('原始数据'!F75&lt;&gt;0,'原始数据'!J75/'原始数据'!F75,"n.a."))</x:f>
        <x:v>2.6224078524112855</x:v>
      </x:c>
      <x:c r="L65" s="221" t="n">
        <x:f>IF(G65="","",G65-H65)</x:f>
        <x:v>0.6541381290130204</x:v>
      </x:c>
      <x:c r="M65" s="221" t="n">
        <x:f>IF(OR('原始数据'!Q75="",'原始数据'!P75=""),"",'原始数据'!Q75*'原始数据'!P75/VLOOKUP(C65,'原始数据'!$C$5:$G$12,5,FALSE))</x:f>
        <x:v>0.47000000000000003</x:v>
      </x:c>
      <x:c r="N65" s="206" t="str">
        <x:f>'原始数据'!S75</x:f>
        <x:v>https://www.sse.com.cn/assortment/stock/list/info/announcement/index.shtml?productId=601857</x:v>
      </x:c>
    </x:row>
    <x:row r="66">
      <x:c r="A66" s="209" t="str">
        <x:f>'原始数据'!A76</x:f>
        <x:v>石油</x:v>
      </x:c>
      <x:c r="B66" s="209" t="str">
        <x:f>'原始数据'!B76</x:f>
        <x:v>600028</x:v>
      </x:c>
      <x:c r="C66" s="209" t="str">
        <x:f>'原始数据'!C76</x:f>
        <x:v>中国石化</x:v>
      </x:c>
      <x:c r="D66" s="209" t="n">
        <x:f>'原始数据'!D76</x:f>
        <x:v>2016</x:v>
      </x:c>
      <x:c r="E66" s="212" t="n">
        <x:f>IF('原始数据'!F76="","",'原始数据'!F76/VLOOKUP(C66,'原始数据'!$C$5:$G$12,5,FALSE))</x:f>
        <x:v>0.38451062638363515</x:v>
      </x:c>
      <x:c r="F66" s="215" t="n">
        <x:f>IF('原始数据'!H76="","",'原始数据'!H76)</x:f>
        <x:v>0.0668</x:v>
      </x:c>
      <x:c r="G66" s="212" t="n">
        <x:f>IF('原始数据'!J76="","",'原始数据'!J76/VLOOKUP(C66,'原始数据'!$C$5:$G$12,5,FALSE))</x:f>
        <x:v>1.7772764416628797</x:v>
      </x:c>
      <x:c r="H66" s="212" t="n">
        <x:f>IF('原始数据'!K76="","",'原始数据'!K76/VLOOKUP(C66,'原始数据'!$C$5:$G$12,5,FALSE))</x:f>
        <x:v>0.603465305070852</x:v>
      </x:c>
      <x:c r="I66" s="218" t="n">
        <x:f>IF('原始数据'!F76="","",VLOOKUP(C66,'参数设置'!$A$27:$O$34,9,FALSE))</x:f>
        <x:v>0.7</x:v>
      </x:c>
      <x:c r="J66" s="221" t="n">
        <x:f>IF(G66="","",G66-H66*I66)</x:f>
        <x:v>1.3548507281132833</x:v>
      </x:c>
      <x:c r="K66" s="224" t="n">
        <x:f>IF('原始数据'!F76="","",IF('原始数据'!F76&lt;&gt;0,'原始数据'!J76/'原始数据'!F76,"n.a."))</x:f>
        <x:v>4.622177697345743</x:v>
      </x:c>
      <x:c r="L66" s="221" t="n">
        <x:f>IF(G66="","",G66-H66)</x:f>
        <x:v>1.1738111365920276</x:v>
      </x:c>
      <x:c r="M66" s="221" t="n">
        <x:f>IF(OR('原始数据'!Q76="",'原始数据'!P76=""),"",'原始数据'!Q76*'原始数据'!P76/VLOOKUP(C66,'原始数据'!$C$5:$G$12,5,FALSE))</x:f>
        <x:v>0.249</x:v>
      </x:c>
      <x:c r="N66" s="206" t="str">
        <x:f>'原始数据'!S76</x:f>
        <x:v>https://www.sse.com.cn/assortment/stock/list/info/announcement/index.shtml?productId=600028</x:v>
      </x:c>
    </x:row>
    <x:row r="67">
      <x:c r="A67" s="209" t="str">
        <x:f>'原始数据'!A77</x:f>
        <x:v>石油</x:v>
      </x:c>
      <x:c r="B67" s="209" t="str">
        <x:f>'原始数据'!B77</x:f>
        <x:v>600028</x:v>
      </x:c>
      <x:c r="C67" s="209" t="str">
        <x:f>'原始数据'!C77</x:f>
        <x:v>中国石化</x:v>
      </x:c>
      <x:c r="D67" s="209" t="n">
        <x:f>'原始数据'!D77</x:f>
        <x:v>2017</x:v>
      </x:c>
      <x:c r="E67" s="212" t="n">
        <x:f>IF('原始数据'!F77="","",'原始数据'!F77/VLOOKUP(C67,'原始数据'!$C$5:$G$12,5,FALSE))</x:f>
        <x:v>0.42347032726010525</x:v>
      </x:c>
      <x:c r="F67" s="215" t="n">
        <x:f>IF('原始数据'!H77="","",'原始数据'!H77)</x:f>
        <x:v>0.07139999999999999</x:v>
      </x:c>
      <x:c r="G67" s="212" t="n">
        <x:f>IF('原始数据'!J77="","",'原始数据'!J77/VLOOKUP(C67,'原始数据'!$C$5:$G$12,5,FALSE))</x:f>
        <x:v>1.5817075243140162</x:v>
      </x:c>
      <x:c r="H67" s="212" t="n">
        <x:f>IF('原始数据'!K77="","",'原始数据'!K77/VLOOKUP(C67,'原始数据'!$C$5:$G$12,5,FALSE))</x:f>
        <x:v>0.5877339693352754</x:v>
      </x:c>
      <x:c r="I67" s="218" t="n">
        <x:f>IF('原始数据'!F77="","",VLOOKUP(C67,'参数设置'!$A$27:$O$34,9,FALSE))</x:f>
        <x:v>0.7</x:v>
      </x:c>
      <x:c r="J67" s="221" t="n">
        <x:f>IF(G67="","",G67-H67*I67)</x:f>
        <x:v>1.1702937457793234</x:v>
      </x:c>
      <x:c r="K67" s="224" t="n">
        <x:f>IF('原始数据'!F77="","",IF('原始数据'!F77&lt;&gt;0,'原始数据'!J77/'原始数据'!F77,"n.a."))</x:f>
        <x:v>3.735108276765977</x:v>
      </x:c>
      <x:c r="L67" s="221" t="n">
        <x:f>IF(G67="","",G67-H67)</x:f>
        <x:v>0.9939735549787407</x:v>
      </x:c>
      <x:c r="M67" s="221" t="n">
        <x:f>IF(OR('原始数据'!Q77="",'原始数据'!P77=""),"",'原始数据'!Q77*'原始数据'!P77/VLOOKUP(C67,'原始数据'!$C$5:$G$12,5,FALSE))</x:f>
        <x:v>0.5</x:v>
      </x:c>
      <x:c r="N67" s="206" t="str">
        <x:f>'原始数据'!S77</x:f>
        <x:v>https://www.sse.com.cn/assortment/stock/list/info/announcement/index.shtml?productId=600028</x:v>
      </x:c>
    </x:row>
    <x:row r="68">
      <x:c r="A68" s="209" t="str">
        <x:f>'原始数据'!A78</x:f>
        <x:v>石油</x:v>
      </x:c>
      <x:c r="B68" s="209" t="str">
        <x:f>'原始数据'!B78</x:f>
        <x:v>600028</x:v>
      </x:c>
      <x:c r="C68" s="209" t="str">
        <x:f>'原始数据'!C78</x:f>
        <x:v>中国石化</x:v>
      </x:c>
      <x:c r="D68" s="209" t="n">
        <x:f>'原始数据'!D78</x:f>
        <x:v>2018</x:v>
      </x:c>
      <x:c r="E68" s="212" t="n">
        <x:f>IF('原始数据'!F78="","",'原始数据'!F78/VLOOKUP(C68,'原始数据'!$C$5:$G$12,5,FALSE))</x:f>
        <x:v>0.5226299316597113</x:v>
      </x:c>
      <x:c r="F68" s="215" t="n">
        <x:f>IF('原始数据'!H78="","",'原始数据'!H78)</x:f>
        <x:v>0.0867</x:v>
      </x:c>
      <x:c r="G68" s="212" t="n">
        <x:f>IF('原始数据'!J78="","",'原始数据'!J78/VLOOKUP(C68,'原始数据'!$C$5:$G$12,5,FALSE))</x:f>
        <x:v>1.4568923397284803</x:v>
      </x:c>
      <x:c r="H68" s="212" t="n">
        <x:f>IF('原始数据'!K78="","",'原始数据'!K78/VLOOKUP(C68,'原始数据'!$C$5:$G$12,5,FALSE))</x:f>
        <x:v>0.8533690465848801</x:v>
      </x:c>
      <x:c r="I68" s="218" t="n">
        <x:f>IF('原始数据'!F78="","",VLOOKUP(C68,'参数设置'!$A$27:$O$34,9,FALSE))</x:f>
        <x:v>0.7</x:v>
      </x:c>
      <x:c r="J68" s="221" t="n">
        <x:f>IF(G68="","",G68-H68*I68)</x:f>
        <x:v>0.8595340071190642</x:v>
      </x:c>
      <x:c r="K68" s="224" t="n">
        <x:f>IF('原始数据'!F78="","",IF('原始数据'!F78&lt;&gt;0,'原始数据'!J78/'原始数据'!F78,"n.a."))</x:f>
        <x:v>2.78761749274834</x:v>
      </x:c>
      <x:c r="L68" s="221" t="n">
        <x:f>IF(G68="","",G68-H68)</x:f>
        <x:v>0.6035232931436002</x:v>
      </x:c>
      <x:c r="M68" s="221" t="n">
        <x:f>IF(OR('原始数据'!Q78="",'原始数据'!P78=""),"",'原始数据'!Q78*'原始数据'!P78/VLOOKUP(C68,'原始数据'!$C$5:$G$12,5,FALSE))</x:f>
        <x:v>0.42000000000000004</x:v>
      </x:c>
      <x:c r="N68" s="206" t="str">
        <x:f>'原始数据'!S78</x:f>
        <x:v>https://www.sse.com.cn/assortment/stock/list/info/announcement/index.shtml?productId=600028</x:v>
      </x:c>
    </x:row>
    <x:row r="69">
      <x:c r="A69" s="209" t="str">
        <x:f>'原始数据'!A79</x:f>
        <x:v>石油</x:v>
      </x:c>
      <x:c r="B69" s="209" t="str">
        <x:f>'原始数据'!B79</x:f>
        <x:v>600028</x:v>
      </x:c>
      <x:c r="C69" s="209" t="str">
        <x:f>'原始数据'!C79</x:f>
        <x:v>中国石化</x:v>
      </x:c>
      <x:c r="D69" s="209" t="n">
        <x:f>'原始数据'!D79</x:f>
        <x:v>2019</x:v>
      </x:c>
      <x:c r="E69" s="212" t="n">
        <x:f>IF('原始数据'!F79="","",'原始数据'!F79/VLOOKUP(C69,'原始数据'!$C$5:$G$12,5,FALSE))</x:f>
        <x:v>0.4773163948121052</x:v>
      </x:c>
      <x:c r="F69" s="215" t="n">
        <x:f>IF('原始数据'!H79="","",'原始数据'!H79)</x:f>
        <x:v>0.0785</x:v>
      </x:c>
      <x:c r="G69" s="212" t="n">
        <x:f>IF('原始数据'!J79="","",'原始数据'!J79/VLOOKUP(C69,'原始数据'!$C$5:$G$12,5,FALSE))</x:f>
        <x:v>1.272581392503181</x:v>
      </x:c>
      <x:c r="H69" s="212" t="n">
        <x:f>IF('原始数据'!K79="","",'原始数据'!K79/VLOOKUP(C69,'原始数据'!$C$5:$G$12,5,FALSE))</x:f>
        <x:v>1.1726348071162764</x:v>
      </x:c>
      <x:c r="I69" s="218" t="n">
        <x:f>IF('原始数据'!F79="","",VLOOKUP(C69,'参数设置'!$A$27:$O$34,9,FALSE))</x:f>
        <x:v>0.7</x:v>
      </x:c>
      <x:c r="J69" s="221" t="n">
        <x:f>IF(G69="","",G69-H69*I69)</x:f>
        <x:v>0.45173702752178757</x:v>
      </x:c>
      <x:c r="K69" s="224" t="n">
        <x:f>IF('原始数据'!F79="","",IF('原始数据'!F79&lt;&gt;0,'原始数据'!J79/'原始数据'!F79,"n.a."))</x:f>
        <x:v>2.666117079435603</x:v>
      </x:c>
      <x:c r="L69" s="221" t="n">
        <x:f>IF(G69="","",G69-H69)</x:f>
        <x:v>0.0999465853869046</x:v>
      </x:c>
      <x:c r="M69" s="221" t="n">
        <x:f>IF(OR('原始数据'!Q79="",'原始数据'!P79=""),"",'原始数据'!Q79*'原始数据'!P79/VLOOKUP(C69,'原始数据'!$C$5:$G$12,5,FALSE))</x:f>
        <x:v>0.31</x:v>
      </x:c>
      <x:c r="N69" s="206" t="str">
        <x:f>'原始数据'!S79</x:f>
        <x:v>https://www.sse.com.cn/assortment/stock/list/info/announcement/index.shtml?productId=600028</x:v>
      </x:c>
    </x:row>
    <x:row r="70">
      <x:c r="A70" s="209" t="str">
        <x:f>'原始数据'!A80</x:f>
        <x:v>石油</x:v>
      </x:c>
      <x:c r="B70" s="209" t="str">
        <x:f>'原始数据'!B80</x:f>
        <x:v>600028</x:v>
      </x:c>
      <x:c r="C70" s="209" t="str">
        <x:f>'原始数据'!C80</x:f>
        <x:v>中国石化</x:v>
      </x:c>
      <x:c r="D70" s="209" t="n">
        <x:f>'原始数据'!D80</x:f>
        <x:v>2020</x:v>
      </x:c>
      <x:c r="E70" s="212" t="n">
        <x:f>IF('原始数据'!F80="","",'原始数据'!F80/VLOOKUP(C70,'原始数据'!$C$5:$G$12,5,FALSE))</x:f>
        <x:v>0.27561730977270604</x:v>
      </x:c>
      <x:c r="F70" s="215" t="n">
        <x:f>IF('原始数据'!H80="","",'原始数据'!H80)</x:f>
        <x:v>0.0446</x:v>
      </x:c>
      <x:c r="G70" s="212" t="n">
        <x:f>IF('原始数据'!J80="","",'原始数据'!J80/VLOOKUP(C70,'原始数据'!$C$5:$G$12,5,FALSE))</x:f>
        <x:v>1.3960214313635426</x:v>
      </x:c>
      <x:c r="H70" s="212" t="n">
        <x:f>IF('原始数据'!K80="","",'原始数据'!K80/VLOOKUP(C70,'原始数据'!$C$5:$G$12,5,FALSE))</x:f>
        <x:v>1.0904739920423172</x:v>
      </x:c>
      <x:c r="I70" s="218" t="n">
        <x:f>IF('原始数据'!F80="","",VLOOKUP(C70,'参数设置'!$A$27:$O$34,9,FALSE))</x:f>
        <x:v>0.7</x:v>
      </x:c>
      <x:c r="J70" s="221" t="n">
        <x:f>IF(G70="","",G70-H70*I70)</x:f>
        <x:v>0.6326896369339207</x:v>
      </x:c>
      <x:c r="K70" s="224" t="n">
        <x:f>IF('原始数据'!F80="","",IF('原始数据'!F80&lt;&gt;0,'原始数据'!J80/'原始数据'!F80,"n.a."))</x:f>
        <x:v>5.0650716840491725</x:v>
      </x:c>
      <x:c r="L70" s="221" t="n">
        <x:f>IF(G70="","",G70-H70)</x:f>
        <x:v>0.3055474393212254</x:v>
      </x:c>
      <x:c r="M70" s="221" t="n">
        <x:f>IF(OR('原始数据'!Q80="",'原始数据'!P80=""),"",'原始数据'!Q80*'原始数据'!P80/VLOOKUP(C70,'原始数据'!$C$5:$G$12,5,FALSE))</x:f>
        <x:v>0.2</x:v>
      </x:c>
      <x:c r="N70" s="206" t="str">
        <x:f>'原始数据'!S80</x:f>
        <x:v>https://www.sse.com.cn/assortment/stock/list/info/announcement/index.shtml?productId=600028</x:v>
      </x:c>
    </x:row>
    <x:row r="71">
      <x:c r="A71" s="209" t="str">
        <x:f>'原始数据'!A81</x:f>
        <x:v>石油</x:v>
      </x:c>
      <x:c r="B71" s="209" t="str">
        <x:f>'原始数据'!B81</x:f>
        <x:v>600028</x:v>
      </x:c>
      <x:c r="C71" s="209" t="str">
        <x:f>'原始数据'!C81</x:f>
        <x:v>中国石化</x:v>
      </x:c>
      <x:c r="D71" s="209" t="n">
        <x:f>'原始数据'!D81</x:f>
        <x:v>2021</x:v>
      </x:c>
      <x:c r="E71" s="212" t="n">
        <x:f>IF('原始数据'!F81="","",'原始数据'!F81/VLOOKUP(C71,'原始数据'!$C$5:$G$12,5,FALSE))</x:f>
        <x:v>0.5898878120373555</x:v>
      </x:c>
      <x:c r="F71" s="215" t="n">
        <x:f>IF('原始数据'!H81="","",'原始数据'!H81)</x:f>
        <x:v>0.094</x:v>
      </x:c>
      <x:c r="G71" s="212" t="n">
        <x:f>IF('原始数据'!J81="","",'原始数据'!J81/VLOOKUP(C71,'原始数据'!$C$5:$G$12,5,FALSE))</x:f>
        <x:v>1.8653437561467738</x:v>
      </x:c>
      <x:c r="H71" s="212" t="n">
        <x:f>IF('原始数据'!K81="","",'原始数据'!K81/VLOOKUP(C71,'原始数据'!$C$5:$G$12,5,FALSE))</x:f>
        <x:v>1.2005270701082125</x:v>
      </x:c>
      <x:c r="I71" s="218" t="n">
        <x:f>IF('原始数据'!F81="","",VLOOKUP(C71,'参数设置'!$A$27:$O$34,9,FALSE))</x:f>
        <x:v>0.7</x:v>
      </x:c>
      <x:c r="J71" s="221" t="n">
        <x:f>IF(G71="","",G71-H71*I71)</x:f>
        <x:v>1.0249748070710252</x:v>
      </x:c>
      <x:c r="K71" s="224" t="n">
        <x:f>IF('原始数据'!F81="","",IF('原始数据'!F81&lt;&gt;0,'原始数据'!J81/'原始数据'!F81,"n.a."))</x:f>
        <x:v>3.1622008763060325</x:v>
      </x:c>
      <x:c r="L71" s="221" t="n">
        <x:f>IF(G71="","",G71-H71)</x:f>
        <x:v>0.6648166860385614</x:v>
      </x:c>
      <x:c r="M71" s="221" t="n">
        <x:f>IF(OR('原始数据'!Q81="",'原始数据'!P81=""),"",'原始数据'!Q81*'原始数据'!P81/VLOOKUP(C71,'原始数据'!$C$5:$G$12,5,FALSE))</x:f>
        <x:v>0.47</x:v>
      </x:c>
      <x:c r="N71" s="206" t="str">
        <x:f>'原始数据'!S81</x:f>
        <x:v>https://www.sse.com.cn/assortment/stock/list/info/announcement/index.shtml?productId=600028</x:v>
      </x:c>
    </x:row>
    <x:row r="72">
      <x:c r="A72" s="209" t="str">
        <x:f>'原始数据'!A82</x:f>
        <x:v>石油</x:v>
      </x:c>
      <x:c r="B72" s="209" t="str">
        <x:f>'原始数据'!B82</x:f>
        <x:v>600028</x:v>
      </x:c>
      <x:c r="C72" s="209" t="str">
        <x:f>'原始数据'!C82</x:f>
        <x:v>中国石化</x:v>
      </x:c>
      <x:c r="D72" s="209" t="n">
        <x:f>'原始数据'!D82</x:f>
        <x:v>2022</x:v>
      </x:c>
      <x:c r="E72" s="212" t="n">
        <x:f>IF('原始数据'!F82="","",'原始数据'!F82/VLOOKUP(C72,'原始数据'!$C$5:$G$12,5,FALSE))</x:f>
        <x:v>0.5557079851574245</x:v>
      </x:c>
      <x:c r="F72" s="215" t="n">
        <x:f>IF('原始数据'!H82="","",'原始数据'!H82)</x:f>
        <x:v>0.0857</x:v>
      </x:c>
      <x:c r="G72" s="212" t="n">
        <x:f>IF('原始数据'!J82="","",'原始数据'!J82/VLOOKUP(C72,'原始数据'!$C$5:$G$12,5,FALSE))</x:f>
        <x:v>0.9631736043389968</x:v>
      </x:c>
      <x:c r="H72" s="212" t="n">
        <x:f>IF('原始数据'!K82="","",'原始数据'!K82/VLOOKUP(C72,'原始数据'!$C$5:$G$12,5,FALSE))</x:f>
        <x:v>1.4292154610067525</x:v>
      </x:c>
      <x:c r="I72" s="218" t="n">
        <x:f>IF('原始数据'!F82="","",VLOOKUP(C72,'参数设置'!$A$27:$O$34,9,FALSE))</x:f>
        <x:v>0.7</x:v>
      </x:c>
      <x:c r="J72" s="221" t="n">
        <x:f>IF(G72="","",G72-H72*I72)</x:f>
        <x:v>-0.037277218365729836</x:v>
      </x:c>
      <x:c r="K72" s="224" t="n">
        <x:f>IF('原始数据'!F82="","",IF('原始数据'!F82&lt;&gt;0,'原始数据'!J82/'原始数据'!F82,"n.a."))</x:f>
        <x:v>1.733236933901792</x:v>
      </x:c>
      <x:c r="L72" s="221" t="n">
        <x:f>IF(G72="","",G72-H72)</x:f>
        <x:v>-0.46604185666775566</x:v>
      </x:c>
      <x:c r="M72" s="221" t="n">
        <x:f>IF(OR('原始数据'!Q82="",'原始数据'!P82=""),"",'原始数据'!Q82*'原始数据'!P82/VLOOKUP(C72,'原始数据'!$C$5:$G$12,5,FALSE))</x:f>
        <x:v>0.355</x:v>
      </x:c>
      <x:c r="N72" s="206" t="str">
        <x:f>'原始数据'!S82</x:f>
        <x:v>https://www.sse.com.cn/assortment/stock/list/info/announcement/index.shtml?productId=600028</x:v>
      </x:c>
    </x:row>
    <x:row r="73">
      <x:c r="A73" s="209" t="str">
        <x:f>'原始数据'!A83</x:f>
        <x:v>石油</x:v>
      </x:c>
      <x:c r="B73" s="209" t="str">
        <x:f>'原始数据'!B83</x:f>
        <x:v>600028</x:v>
      </x:c>
      <x:c r="C73" s="209" t="str">
        <x:f>'原始数据'!C83</x:f>
        <x:v>中国石化</x:v>
      </x:c>
      <x:c r="D73" s="209" t="n">
        <x:f>'原始数据'!D83</x:f>
        <x:v>2023</x:v>
      </x:c>
      <x:c r="E73" s="212" t="n">
        <x:f>IF('原始数据'!F83="","",'原始数据'!F83/VLOOKUP(C73,'原始数据'!$C$5:$G$12,5,FALSE))</x:f>
        <x:v>0.5008761203687033</x:v>
      </x:c>
      <x:c r="F73" s="215" t="n">
        <x:f>IF('原始数据'!H83="","",'原始数据'!H83)</x:f>
        <x:v>0.0759</x:v>
      </x:c>
      <x:c r="G73" s="212" t="n">
        <x:f>IF('原始数据'!J83="","",'原始数据'!J83/VLOOKUP(C73,'原始数据'!$C$5:$G$12,5,FALSE))</x:f>
        <x:v>1.3376605781475672</x:v>
      </x:c>
      <x:c r="H73" s="212" t="n">
        <x:f>IF('原始数据'!K83="","",'原始数据'!K83/VLOOKUP(C73,'原始数据'!$C$5:$G$12,5,FALSE))</x:f>
        <x:v>1.420649794260788</x:v>
      </x:c>
      <x:c r="I73" s="218" t="n">
        <x:f>IF('原始数据'!F83="","",VLOOKUP(C73,'参数设置'!$A$27:$O$34,9,FALSE))</x:f>
        <x:v>0.7</x:v>
      </x:c>
      <x:c r="J73" s="221" t="n">
        <x:f>IF(G73="","",G73-H73*I73)</x:f>
        <x:v>0.34320572216501566</x:v>
      </x:c>
      <x:c r="K73" s="224" t="n">
        <x:f>IF('原始数据'!F83="","",IF('原始数据'!F83&lt;&gt;0,'原始数据'!J83/'原始数据'!F83,"n.a."))</x:f>
        <x:v>2.6706415493773052</x:v>
      </x:c>
      <x:c r="L73" s="221" t="n">
        <x:f>IF(G73="","",G73-H73)</x:f>
        <x:v>-0.08298921611322085</x:v>
      </x:c>
      <x:c r="M73" s="221" t="n">
        <x:f>IF(OR('原始数据'!Q83="",'原始数据'!P83=""),"",'原始数据'!Q83*'原始数据'!P83/VLOOKUP(C73,'原始数据'!$C$5:$G$12,5,FALSE))</x:f>
        <x:v>0.345</x:v>
      </x:c>
      <x:c r="N73" s="206" t="str">
        <x:f>'原始数据'!S83</x:f>
        <x:v>https://www.sse.com.cn/assortment/stock/list/info/announcement/index.shtml?productId=600028</x:v>
      </x:c>
    </x:row>
    <x:row r="74">
      <x:c r="A74" s="209" t="str">
        <x:f>'原始数据'!A84</x:f>
        <x:v>石油</x:v>
      </x:c>
      <x:c r="B74" s="209" t="str">
        <x:f>'原始数据'!B84</x:f>
        <x:v>600028</x:v>
      </x:c>
      <x:c r="C74" s="209" t="str">
        <x:f>'原始数据'!C84</x:f>
        <x:v>中国石化</x:v>
      </x:c>
      <x:c r="D74" s="209" t="n">
        <x:f>'原始数据'!D84</x:f>
        <x:v>2024</x:v>
      </x:c>
      <x:c r="E74" s="212" t="n">
        <x:f>IF('原始数据'!F84="","",'原始数据'!F84/VLOOKUP(C74,'原始数据'!$C$5:$G$12,5,FALSE))</x:f>
        <x:v>0.41679341488365723</x:v>
      </x:c>
      <x:c r="F74" s="215" t="n">
        <x:f>IF('原始数据'!H84="","",'原始数据'!H84)</x:f>
        <x:v>0.061900000000000004</x:v>
      </x:c>
      <x:c r="G74" s="212" t="n">
        <x:f>IF('原始数据'!J84="","",'原始数据'!J84/VLOOKUP(C74,'原始数据'!$C$5:$G$12,5,FALSE))</x:f>
        <x:v>1.237299792241032</x:v>
      </x:c>
      <x:c r="H74" s="212" t="n">
        <x:f>IF('原始数据'!K84="","",'原始数据'!K84/VLOOKUP(C74,'原始数据'!$C$5:$G$12,5,FALSE))</x:f>
        <x:v>1.1531839507144155</x:v>
      </x:c>
      <x:c r="I74" s="218" t="n">
        <x:f>IF('原始数据'!F84="","",VLOOKUP(C74,'参数设置'!$A$27:$O$34,9,FALSE))</x:f>
        <x:v>0.7</x:v>
      </x:c>
      <x:c r="J74" s="221" t="n">
        <x:f>IF(G74="","",G74-H74*I74)</x:f>
        <x:v>0.4300710267409412</x:v>
      </x:c>
      <x:c r="K74" s="224" t="n">
        <x:f>IF('原始数据'!F84="","",IF('原始数据'!F84&lt;&gt;0,'原始数据'!J84/'原始数据'!F84,"n.a."))</x:f>
        <x:v>2.968616460954425</x:v>
      </x:c>
      <x:c r="L74" s="221" t="n">
        <x:f>IF(G74="","",G74-H74)</x:f>
        <x:v>0.08411584152661655</x:v>
      </x:c>
      <x:c r="M74" s="221" t="n">
        <x:f>IF(OR('原始数据'!Q84="",'原始数据'!P84=""),"",'原始数据'!Q84*'原始数据'!P84/VLOOKUP(C74,'原始数据'!$C$5:$G$12,5,FALSE))</x:f>
        <x:v>0.286</x:v>
      </x:c>
      <x:c r="N74" s="206" t="str">
        <x:f>'原始数据'!S84</x:f>
        <x:v>https://www.sse.com.cn/assortment/stock/list/info/announcement/index.shtml?productId=600028</x:v>
      </x:c>
    </x:row>
    <x:row r="75">
      <x:c r="A75" s="209" t="str">
        <x:f>'原始数据'!A85</x:f>
        <x:v>石油</x:v>
      </x:c>
      <x:c r="B75" s="209" t="str">
        <x:f>'原始数据'!B85</x:f>
        <x:v>600028</x:v>
      </x:c>
      <x:c r="C75" s="209" t="str">
        <x:f>'原始数据'!C85</x:f>
        <x:v>中国石化</x:v>
      </x:c>
      <x:c r="D75" s="209" t="n">
        <x:f>'原始数据'!D85</x:f>
        <x:v>2025</x:v>
      </x:c>
      <x:c r="E75" s="212" t="n">
        <x:f>IF('原始数据'!F85="","",'原始数据'!F85/VLOOKUP(C75,'原始数据'!$C$5:$G$12,5,FALSE))</x:f>
        <x:v>0.2635060865787024</x:v>
      </x:c>
      <x:c r="F75" s="215" t="n">
        <x:f>IF('原始数据'!H85="","",'原始数据'!H85)</x:f>
        <x:v>0.038599999999999995</x:v>
      </x:c>
      <x:c r="G75" s="212" t="n">
        <x:f>IF('原始数据'!J85="","",'原始数据'!J85/VLOOKUP(C75,'原始数据'!$C$5:$G$12,5,FALSE))</x:f>
        <x:v>1.3461185527584276</x:v>
      </x:c>
      <x:c r="H75" s="212" t="n">
        <x:f>IF('原始数据'!K85="","",'原始数据'!K85/VLOOKUP(C75,'原始数据'!$C$5:$G$12,5,FALSE))</x:f>
        <x:v>1.106950888713229</x:v>
      </x:c>
      <x:c r="I75" s="218" t="n">
        <x:f>IF('原始数据'!F85="","",VLOOKUP(C75,'参数设置'!$A$27:$O$34,9,FALSE))</x:f>
        <x:v>0.7</x:v>
      </x:c>
      <x:c r="J75" s="221" t="n">
        <x:f>IF(G75="","",G75-H75*I75)</x:f>
        <x:v>0.5712529306591673</x:v>
      </x:c>
      <x:c r="K75" s="224" t="n">
        <x:f>IF('原始数据'!F85="","",IF('原始数据'!F85&lt;&gt;0,'原始数据'!J85/'原始数据'!F85,"n.a."))</x:f>
        <x:v>5.108491307491591</x:v>
      </x:c>
      <x:c r="L75" s="221" t="n">
        <x:f>IF(G75="","",G75-H75)</x:f>
        <x:v>0.2391676640451985</x:v>
      </x:c>
      <x:c r="M75" s="221" t="n">
        <x:f>IF(OR('原始数据'!Q85="",'原始数据'!P85=""),"",'原始数据'!Q85*'原始数据'!P85/VLOOKUP(C75,'原始数据'!$C$5:$G$12,5,FALSE))</x:f>
        <x:v>0.2</x:v>
      </x:c>
      <x:c r="N75" s="206" t="str">
        <x:f>'原始数据'!S85</x:f>
        <x:v>https://www.sse.com.cn/assortment/stock/list/info/announcement/index.shtml?productId=600028</x:v>
      </x:c>
    </x:row>
    <x:row r="76">
      <x:c r="A76" s="209" t="str">
        <x:f>'原始数据'!A86</x:f>
        <x:v>石油</x:v>
      </x:c>
      <x:c r="B76" s="209" t="str">
        <x:f>'原始数据'!B86</x:f>
        <x:v>600938</x:v>
      </x:c>
      <x:c r="C76" s="209" t="str">
        <x:f>'原始数据'!C86</x:f>
        <x:v>中国海油</x:v>
      </x:c>
      <x:c r="D76" s="209" t="n">
        <x:f>'原始数据'!D86</x:f>
        <x:v>2016</x:v>
      </x:c>
      <x:c r="E76" s="212" t="str">
        <x:f>IF('原始数据'!F86="","",'原始数据'!F86/VLOOKUP(C76,'原始数据'!$C$5:$G$12,5,FALSE))</x:f>
      </x:c>
      <x:c r="F76" s="215" t="str">
        <x:f>IF('原始数据'!H86="","",'原始数据'!H86)</x:f>
      </x:c>
      <x:c r="G76" s="212" t="str">
        <x:f>IF('原始数据'!J86="","",'原始数据'!J86/VLOOKUP(C76,'原始数据'!$C$5:$G$12,5,FALSE))</x:f>
      </x:c>
      <x:c r="H76" s="212" t="str">
        <x:f>IF('原始数据'!K86="","",'原始数据'!K86/VLOOKUP(C76,'原始数据'!$C$5:$G$12,5,FALSE))</x:f>
      </x:c>
      <x:c r="I76" s="218" t="str">
        <x:f>IF('原始数据'!F86="","",VLOOKUP(C76,'参数设置'!$A$27:$O$34,9,FALSE))</x:f>
      </x:c>
      <x:c r="J76" s="221" t="str">
        <x:f>IF(G76="","",G76-H76*I76)</x:f>
      </x:c>
      <x:c r="K76" s="224" t="str">
        <x:f>IF('原始数据'!F86="","",IF('原始数据'!F86&lt;&gt;0,'原始数据'!J86/'原始数据'!F86,"n.a."))</x:f>
      </x:c>
      <x:c r="L76" s="221" t="str">
        <x:f>IF(G76="","",G76-H76)</x:f>
      </x:c>
      <x:c r="M76" s="221" t="str">
        <x:f>IF(OR('原始数据'!Q86="",'原始数据'!P86=""),"",'原始数据'!Q86*'原始数据'!P86/VLOOKUP(C76,'原始数据'!$C$5:$G$12,5,FALSE))</x:f>
      </x:c>
      <x:c r="N76" s="206" t="str">
        <x:f>'原始数据'!S86</x:f>
        <x:v>https://www.sse.com.cn/assortment/stock/list/info/announcement/index.shtml?productId=600938</x:v>
      </x:c>
    </x:row>
    <x:row r="77">
      <x:c r="A77" s="209" t="str">
        <x:f>'原始数据'!A87</x:f>
        <x:v>石油</x:v>
      </x:c>
      <x:c r="B77" s="209" t="str">
        <x:f>'原始数据'!B87</x:f>
        <x:v>600938</x:v>
      </x:c>
      <x:c r="C77" s="209" t="str">
        <x:f>'原始数据'!C87</x:f>
        <x:v>中国海油</x:v>
      </x:c>
      <x:c r="D77" s="209" t="n">
        <x:f>'原始数据'!D87</x:f>
        <x:v>2017</x:v>
      </x:c>
      <x:c r="E77" s="212" t="str">
        <x:f>IF('原始数据'!F87="","",'原始数据'!F87/VLOOKUP(C77,'原始数据'!$C$5:$G$12,5,FALSE))</x:f>
      </x:c>
      <x:c r="F77" s="215" t="str">
        <x:f>IF('原始数据'!H87="","",'原始数据'!H87)</x:f>
      </x:c>
      <x:c r="G77" s="212" t="str">
        <x:f>IF('原始数据'!J87="","",'原始数据'!J87/VLOOKUP(C77,'原始数据'!$C$5:$G$12,5,FALSE))</x:f>
      </x:c>
      <x:c r="H77" s="212" t="str">
        <x:f>IF('原始数据'!K87="","",'原始数据'!K87/VLOOKUP(C77,'原始数据'!$C$5:$G$12,5,FALSE))</x:f>
      </x:c>
      <x:c r="I77" s="218" t="str">
        <x:f>IF('原始数据'!F87="","",VLOOKUP(C77,'参数设置'!$A$27:$O$34,9,FALSE))</x:f>
      </x:c>
      <x:c r="J77" s="221" t="str">
        <x:f>IF(G77="","",G77-H77*I77)</x:f>
      </x:c>
      <x:c r="K77" s="224" t="str">
        <x:f>IF('原始数据'!F87="","",IF('原始数据'!F87&lt;&gt;0,'原始数据'!J87/'原始数据'!F87,"n.a."))</x:f>
      </x:c>
      <x:c r="L77" s="221" t="str">
        <x:f>IF(G77="","",G77-H77)</x:f>
      </x:c>
      <x:c r="M77" s="221" t="str">
        <x:f>IF(OR('原始数据'!Q87="",'原始数据'!P87=""),"",'原始数据'!Q87*'原始数据'!P87/VLOOKUP(C77,'原始数据'!$C$5:$G$12,5,FALSE))</x:f>
      </x:c>
      <x:c r="N77" s="206" t="str">
        <x:f>'原始数据'!S87</x:f>
        <x:v>https://www.sse.com.cn/assortment/stock/list/info/announcement/index.shtml?productId=600938</x:v>
      </x:c>
    </x:row>
    <x:row r="78">
      <x:c r="A78" s="209" t="str">
        <x:f>'原始数据'!A88</x:f>
        <x:v>石油</x:v>
      </x:c>
      <x:c r="B78" s="209" t="str">
        <x:f>'原始数据'!B88</x:f>
        <x:v>600938</x:v>
      </x:c>
      <x:c r="C78" s="209" t="str">
        <x:f>'原始数据'!C88</x:f>
        <x:v>中国海油</x:v>
      </x:c>
      <x:c r="D78" s="209" t="n">
        <x:f>'原始数据'!D88</x:f>
        <x:v>2018</x:v>
      </x:c>
      <x:c r="E78" s="212" t="n">
        <x:f>IF('原始数据'!F88="","",'原始数据'!F88/VLOOKUP(C78,'原始数据'!$C$5:$G$12,5,FALSE))</x:f>
        <x:v>1.1082560992533697</x:v>
      </x:c>
      <x:c r="F78" s="215" t="n">
        <x:f>IF('原始数据'!H88="","",'原始数据'!H88)</x:f>
        <x:v>0.1313</x:v>
      </x:c>
      <x:c r="G78" s="212" t="n">
        <x:f>IF('原始数据'!J88="","",'原始数据'!J88/VLOOKUP(C78,'原始数据'!$C$5:$G$12,5,FALSE))</x:f>
        <x:v>2.6172356540020165</x:v>
      </x:c>
      <x:c r="H78" s="212" t="n">
        <x:f>IF('原始数据'!K88="","",'原始数据'!K88/VLOOKUP(C78,'原始数据'!$C$5:$G$12,5,FALSE))</x:f>
        <x:v>1.0786185111236988</x:v>
      </x:c>
      <x:c r="I78" s="218" t="n">
        <x:f>IF('原始数据'!F88="","",VLOOKUP(C78,'参数设置'!$A$27:$O$34,9,FALSE))</x:f>
        <x:v>0.7</x:v>
      </x:c>
      <x:c r="J78" s="221" t="n">
        <x:f>IF(G78="","",G78-H78*I78)</x:f>
        <x:v>1.8622026962154274</x:v>
      </x:c>
      <x:c r="K78" s="224" t="n">
        <x:f>IF('原始数据'!F88="","",IF('原始数据'!F88&lt;&gt;0,'原始数据'!J88/'原始数据'!F88,"n.a."))</x:f>
        <x:v>2.3615801941132957</x:v>
      </x:c>
      <x:c r="L78" s="221" t="n">
        <x:f>IF(G78="","",G78-H78)</x:f>
        <x:v>1.5386171428783177</x:v>
      </x:c>
      <x:c r="M78" s="221" t="str">
        <x:f>IF(OR('原始数据'!Q88="",'原始数据'!P88=""),"",'原始数据'!Q88*'原始数据'!P88/VLOOKUP(C78,'原始数据'!$C$5:$G$12,5,FALSE))</x:f>
      </x:c>
      <x:c r="N78" s="206" t="str">
        <x:f>'原始数据'!S88</x:f>
        <x:v>https://www.sse.com.cn/assortment/stock/list/info/announcement/index.shtml?productId=600938</x:v>
      </x:c>
    </x:row>
    <x:row r="79">
      <x:c r="A79" s="209" t="str">
        <x:f>'原始数据'!A89</x:f>
        <x:v>石油</x:v>
      </x:c>
      <x:c r="B79" s="209" t="str">
        <x:f>'原始数据'!B89</x:f>
        <x:v>600938</x:v>
      </x:c>
      <x:c r="C79" s="209" t="str">
        <x:f>'原始数据'!C89</x:f>
        <x:v>中国海油</x:v>
      </x:c>
      <x:c r="D79" s="209" t="n">
        <x:f>'原始数据'!D89</x:f>
        <x:v>2019</x:v>
      </x:c>
      <x:c r="E79" s="212" t="n">
        <x:f>IF('原始数据'!F89="","",'原始数据'!F89/VLOOKUP(C79,'原始数据'!$C$5:$G$12,5,FALSE))</x:f>
        <x:v>1.2843562676401854</x:v>
      </x:c>
      <x:c r="F79" s="215" t="n">
        <x:f>IF('原始数据'!H89="","",'原始数据'!H89)</x:f>
        <x:v>0.1406</x:v>
      </x:c>
      <x:c r="G79" s="212" t="n">
        <x:f>IF('原始数据'!J89="","",'原始数据'!J89/VLOOKUP(C79,'原始数据'!$C$5:$G$12,5,FALSE))</x:f>
        <x:v>2.598749118115704</x:v>
      </x:c>
      <x:c r="H79" s="212" t="n">
        <x:f>IF('原始数据'!K89="","",'原始数据'!K89/VLOOKUP(C79,'原始数据'!$C$5:$G$12,5,FALSE))</x:f>
        <x:v>1.5151233162195354</x:v>
      </x:c>
      <x:c r="I79" s="218" t="n">
        <x:f>IF('原始数据'!F89="","",VLOOKUP(C79,'参数设置'!$A$27:$O$34,9,FALSE))</x:f>
        <x:v>0.7</x:v>
      </x:c>
      <x:c r="J79" s="221" t="n">
        <x:f>IF(G79="","",G79-H79*I79)</x:f>
        <x:v>1.5381627967620293</x:v>
      </x:c>
      <x:c r="K79" s="224" t="n">
        <x:f>IF('原始数据'!F89="","",IF('原始数据'!F89&lt;&gt;0,'原始数据'!J89/'原始数据'!F89,"n.a."))</x:f>
        <x:v>2.023386488307112</x:v>
      </x:c>
      <x:c r="L79" s="221" t="n">
        <x:f>IF(G79="","",G79-H79)</x:f>
        <x:v>1.0836258018961686</x:v>
      </x:c>
      <x:c r="M79" s="221" t="str">
        <x:f>IF(OR('原始数据'!Q89="",'原始数据'!P89=""),"",'原始数据'!Q89*'原始数据'!P89/VLOOKUP(C79,'原始数据'!$C$5:$G$12,5,FALSE))</x:f>
      </x:c>
      <x:c r="N79" s="206" t="str">
        <x:f>'原始数据'!S89</x:f>
        <x:v>https://www.sse.com.cn/assortment/stock/list/info/announcement/index.shtml?productId=600938</x:v>
      </x:c>
    </x:row>
    <x:row r="80">
      <x:c r="A80" s="209" t="str">
        <x:f>'原始数据'!A90</x:f>
        <x:v>石油</x:v>
      </x:c>
      <x:c r="B80" s="209" t="str">
        <x:f>'原始数据'!B90</x:f>
        <x:v>600938</x:v>
      </x:c>
      <x:c r="C80" s="209" t="str">
        <x:f>'原始数据'!C90</x:f>
        <x:v>中国海油</x:v>
      </x:c>
      <x:c r="D80" s="209" t="n">
        <x:f>'原始数据'!D90</x:f>
        <x:v>2020</x:v>
      </x:c>
      <x:c r="E80" s="212" t="n">
        <x:f>IF('原始数据'!F90="","",'原始数据'!F90/VLOOKUP(C80,'原始数据'!$C$5:$G$12,5,FALSE))</x:f>
        <x:v>0.5250794058921511</x:v>
      </x:c>
      <x:c r="F80" s="215" t="n">
        <x:f>IF('原始数据'!H90="","",'原始数据'!H90)</x:f>
        <x:v>0.056600000000000004</x:v>
      </x:c>
      <x:c r="G80" s="212" t="n">
        <x:f>IF('原始数据'!J90="","",'原始数据'!J90/VLOOKUP(C80,'原始数据'!$C$5:$G$12,5,FALSE))</x:f>
        <x:v>1.732339148228871</x:v>
      </x:c>
      <x:c r="H80" s="212" t="n">
        <x:f>IF('原始数据'!K90="","",'原始数据'!K90/VLOOKUP(C80,'原始数据'!$C$5:$G$12,5,FALSE))</x:f>
        <x:v>1.5867467497525443</x:v>
      </x:c>
      <x:c r="I80" s="218" t="n">
        <x:f>IF('原始数据'!F90="","",VLOOKUP(C80,'参数设置'!$A$27:$O$34,9,FALSE))</x:f>
        <x:v>0.7</x:v>
      </x:c>
      <x:c r="J80" s="221" t="n">
        <x:f>IF(G80="","",G80-H80*I80)</x:f>
        <x:v>0.6216164234020902</x:v>
      </x:c>
      <x:c r="K80" s="224" t="n">
        <x:f>IF('原始数据'!F90="","",IF('原始数据'!F90&lt;&gt;0,'原始数据'!J90/'原始数据'!F90,"n.a."))</x:f>
        <x:v>3.299194614737348</x:v>
      </x:c>
      <x:c r="L80" s="221" t="n">
        <x:f>IF(G80="","",G80-H80)</x:f>
        <x:v>0.14559239847632677</x:v>
      </x:c>
      <x:c r="M80" s="221" t="str">
        <x:f>IF(OR('原始数据'!Q90="",'原始数据'!P90=""),"",'原始数据'!Q90*'原始数据'!P90/VLOOKUP(C80,'原始数据'!$C$5:$G$12,5,FALSE))</x:f>
      </x:c>
      <x:c r="N80" s="206" t="str">
        <x:f>'原始数据'!S90</x:f>
        <x:v>https://www.sse.com.cn/assortment/stock/list/info/announcement/index.shtml?productId=600938</x:v>
      </x:c>
    </x:row>
    <x:row r="81">
      <x:c r="A81" s="209" t="str">
        <x:f>'原始数据'!A91</x:f>
        <x:v>石油</x:v>
      </x:c>
      <x:c r="B81" s="209" t="str">
        <x:f>'原始数据'!B91</x:f>
        <x:v>600938</x:v>
      </x:c>
      <x:c r="C81" s="209" t="str">
        <x:f>'原始数据'!C91</x:f>
        <x:v>中国海油</x:v>
      </x:c>
      <x:c r="D81" s="209" t="n">
        <x:f>'原始数据'!D91</x:f>
        <x:v>2021</x:v>
      </x:c>
      <x:c r="E81" s="212" t="n">
        <x:f>IF('原始数据'!F91="","",'原始数据'!F91/VLOOKUP(C81,'原始数据'!$C$5:$G$12,5,FALSE))</x:f>
        <x:v>1.4794880723779327</x:v>
      </x:c>
      <x:c r="F81" s="215" t="n">
        <x:f>IF('原始数据'!H91="","",'原始数据'!H91)</x:f>
        <x:v>0.1536</x:v>
      </x:c>
      <x:c r="G81" s="212" t="n">
        <x:f>IF('原始数据'!J91="","",'原始数据'!J91/VLOOKUP(C81,'原始数据'!$C$5:$G$12,5,FALSE))</x:f>
        <x:v>3.1115746514247666</x:v>
      </x:c>
      <x:c r="H81" s="212" t="n">
        <x:f>IF('原始数据'!K91="","",'原始数据'!K91/VLOOKUP(C81,'原始数据'!$C$5:$G$12,5,FALSE))</x:f>
        <x:v>1.734422045259096</x:v>
      </x:c>
      <x:c r="I81" s="218" t="n">
        <x:f>IF('原始数据'!F91="","",VLOOKUP(C81,'参数设置'!$A$27:$O$34,9,FALSE))</x:f>
        <x:v>0.7</x:v>
      </x:c>
      <x:c r="J81" s="221" t="n">
        <x:f>IF(G81="","",G81-H81*I81)</x:f>
        <x:v>1.8974792197433996</x:v>
      </x:c>
      <x:c r="K81" s="224" t="n">
        <x:f>IF('原始数据'!F91="","",IF('原始数据'!F91&lt;&gt;0,'原始数据'!J91/'原始数据'!F91,"n.a."))</x:f>
        <x:v>2.103142775881684</x:v>
      </x:c>
      <x:c r="L81" s="221" t="n">
        <x:f>IF(G81="","",G81-H81)</x:f>
        <x:v>1.3771526061656707</x:v>
      </x:c>
      <x:c r="M81" s="221" t="str">
        <x:f>IF(OR('原始数据'!Q91="",'原始数据'!P91=""),"",'原始数据'!Q91*'原始数据'!P91/VLOOKUP(C81,'原始数据'!$C$5:$G$12,5,FALSE))</x:f>
      </x:c>
      <x:c r="N81" s="206" t="str">
        <x:f>'原始数据'!S91</x:f>
        <x:v>https://www.sse.com.cn/assortment/stock/list/info/announcement/index.shtml?productId=600938</x:v>
      </x:c>
    </x:row>
    <x:row r="82">
      <x:c r="A82" s="209" t="str">
        <x:f>'原始数据'!A92</x:f>
        <x:v>石油</x:v>
      </x:c>
      <x:c r="B82" s="209" t="str">
        <x:f>'原始数据'!B92</x:f>
        <x:v>600938</x:v>
      </x:c>
      <x:c r="C82" s="209" t="str">
        <x:f>'原始数据'!C92</x:f>
        <x:v>中国海油</x:v>
      </x:c>
      <x:c r="D82" s="209" t="n">
        <x:f>'原始数据'!D92</x:f>
        <x:v>2022</x:v>
      </x:c>
      <x:c r="E82" s="212" t="n">
        <x:f>IF('原始数据'!F92="","",'原始数据'!F92/VLOOKUP(C82,'原始数据'!$C$5:$G$12,5,FALSE))</x:f>
        <x:v>2.9812778705340306</x:v>
      </x:c>
      <x:c r="F82" s="215" t="n">
        <x:f>IF('原始数据'!H92="","",'原始数据'!H92)</x:f>
        <x:v>0.26</x:v>
      </x:c>
      <x:c r="G82" s="212" t="n">
        <x:f>IF('原始数据'!J92="","",'原始数据'!J92/VLOOKUP(C82,'原始数据'!$C$5:$G$12,5,FALSE))</x:f>
        <x:v>4.325146202943985</x:v>
      </x:c>
      <x:c r="H82" s="212" t="n">
        <x:f>IF('原始数据'!K92="","",'原始数据'!K92/VLOOKUP(C82,'原始数据'!$C$5:$G$12,5,FALSE))</x:f>
        <x:v>1.9935638909285924</x:v>
      </x:c>
      <x:c r="I82" s="218" t="n">
        <x:f>IF('原始数据'!F92="","",VLOOKUP(C82,'参数设置'!$A$27:$O$34,9,FALSE))</x:f>
        <x:v>0.7</x:v>
      </x:c>
      <x:c r="J82" s="221" t="n">
        <x:f>IF(G82="","",G82-H82*I82)</x:f>
        <x:v>2.9296514792939705</x:v>
      </x:c>
      <x:c r="K82" s="224" t="n">
        <x:f>IF('原始数据'!F92="","",IF('原始数据'!F92&lt;&gt;0,'原始数据'!J92/'原始数据'!F92,"n.a."))</x:f>
        <x:v>1.4507692307692306</x:v>
      </x:c>
      <x:c r="L82" s="221" t="n">
        <x:f>IF(G82="","",G82-H82)</x:f>
        <x:v>2.331582312015393</x:v>
      </x:c>
      <x:c r="M82" s="221" t="n">
        <x:f>IF(OR('原始数据'!Q92="",'原始数据'!P92=""),"",'原始数据'!Q92*'原始数据'!P92/VLOOKUP(C82,'原始数据'!$C$5:$G$12,5,FALSE))</x:f>
        <x:v>1.28498</x:v>
      </x:c>
      <x:c r="N82" s="206" t="str">
        <x:f>'原始数据'!S92</x:f>
        <x:v>https://www.sse.com.cn/assortment/stock/list/info/announcement/index.shtml?productId=600938</x:v>
      </x:c>
    </x:row>
    <x:row r="83">
      <x:c r="A83" s="209" t="str">
        <x:f>'原始数据'!A93</x:f>
        <x:v>石油</x:v>
      </x:c>
      <x:c r="B83" s="209" t="str">
        <x:f>'原始数据'!B93</x:f>
        <x:v>600938</x:v>
      </x:c>
      <x:c r="C83" s="209" t="str">
        <x:f>'原始数据'!C93</x:f>
        <x:v>中国海油</x:v>
      </x:c>
      <x:c r="D83" s="209" t="n">
        <x:f>'原始数据'!D93</x:f>
        <x:v>2023</x:v>
      </x:c>
      <x:c r="E83" s="212" t="n">
        <x:f>IF('原始数据'!F93="","",'原始数据'!F93/VLOOKUP(C83,'原始数据'!$C$5:$G$12,5,FALSE))</x:f>
        <x:v>2.6055779486277064</x:v>
      </x:c>
      <x:c r="F83" s="215" t="n">
        <x:f>IF('原始数据'!H93="","",'原始数据'!H93)</x:f>
        <x:v>0.1955</x:v>
      </x:c>
      <x:c r="G83" s="212" t="n">
        <x:f>IF('原始数据'!J93="","",'原始数据'!J93/VLOOKUP(C83,'原始数据'!$C$5:$G$12,5,FALSE))</x:f>
        <x:v>4.41285931121679</x:v>
      </x:c>
      <x:c r="H83" s="212" t="n">
        <x:f>IF('原始数据'!K93="","",'原始数据'!K93/VLOOKUP(C83,'原始数据'!$C$5:$G$12,5,FALSE))</x:f>
        <x:v>2.543133116448842</x:v>
      </x:c>
      <x:c r="I83" s="218" t="n">
        <x:f>IF('原始数据'!F93="","",VLOOKUP(C83,'参数设置'!$A$27:$O$34,9,FALSE))</x:f>
        <x:v>0.7</x:v>
      </x:c>
      <x:c r="J83" s="221" t="n">
        <x:f>IF(G83="","",G83-H83*I83)</x:f>
        <x:v>2.632666129702601</x:v>
      </x:c>
      <x:c r="K83" s="224" t="n">
        <x:f>IF('原始数据'!F93="","",IF('原始数据'!F93&lt;&gt;0,'原始数据'!J93/'原始数据'!F93,"n.a."))</x:f>
        <x:v>1.6936201480907276</x:v>
      </x:c>
      <x:c r="L83" s="221" t="n">
        <x:f>IF(G83="","",G83-H83)</x:f>
        <x:v>1.869726194767948</x:v>
      </x:c>
      <x:c r="M83" s="221" t="n">
        <x:f>IF(OR('原始数据'!Q93="",'原始数据'!P93=""),"",'原始数据'!Q93*'原始数据'!P93/VLOOKUP(C83,'原始数据'!$C$5:$G$12,5,FALSE))</x:f>
        <x:v>1.14146</x:v>
      </x:c>
      <x:c r="N83" s="206" t="str">
        <x:f>'原始数据'!S93</x:f>
        <x:v>https://www.sse.com.cn/assortment/stock/list/info/announcement/index.shtml?productId=600938</x:v>
      </x:c>
    </x:row>
    <x:row r="84">
      <x:c r="A84" s="209" t="str">
        <x:f>'原始数据'!A94</x:f>
        <x:v>石油</x:v>
      </x:c>
      <x:c r="B84" s="209" t="str">
        <x:f>'原始数据'!B94</x:f>
        <x:v>600938</x:v>
      </x:c>
      <x:c r="C84" s="209" t="str">
        <x:f>'原始数据'!C94</x:f>
        <x:v>中国海油</x:v>
      </x:c>
      <x:c r="D84" s="209" t="n">
        <x:f>'原始数据'!D94</x:f>
        <x:v>2024</x:v>
      </x:c>
      <x:c r="E84" s="212" t="n">
        <x:f>IF('原始数据'!F94="","",'原始数据'!F94/VLOOKUP(C84,'原始数据'!$C$5:$G$12,5,FALSE))</x:f>
        <x:v>2.9020857046576007</x:v>
      </x:c>
      <x:c r="F84" s="215" t="n">
        <x:f>IF('原始数据'!H94="","",'原始数据'!H94)</x:f>
        <x:v>0.1936</x:v>
      </x:c>
      <x:c r="G84" s="212" t="n">
        <x:f>IF('原始数据'!J94="","",'原始数据'!J94/VLOOKUP(C84,'原始数据'!$C$5:$G$12,5,FALSE))</x:f>
        <x:v>4.64740614043848</x:v>
      </x:c>
      <x:c r="H84" s="212" t="n">
        <x:f>IF('原始数据'!K94="","",'原始数据'!K94/VLOOKUP(C84,'原始数据'!$C$5:$G$12,5,FALSE))</x:f>
        <x:v>2.59539489647994</x:v>
      </x:c>
      <x:c r="I84" s="218" t="n">
        <x:f>IF('原始数据'!F94="","",VLOOKUP(C84,'参数设置'!$A$27:$O$34,9,FALSE))</x:f>
        <x:v>0.7</x:v>
      </x:c>
      <x:c r="J84" s="221" t="n">
        <x:f>IF(G84="","",G84-H84*I84)</x:f>
        <x:v>2.830629712902522</x:v>
      </x:c>
      <x:c r="K84" s="224" t="n">
        <x:f>IF('原始数据'!F94="","",IF('原始数据'!F94&lt;&gt;0,'原始数据'!J94/'原始数据'!F94,"n.a."))</x:f>
        <x:v>1.6014020995244171</x:v>
      </x:c>
      <x:c r="L84" s="221" t="n">
        <x:f>IF(G84="","",G84-H84)</x:f>
        <x:v>2.05201124395854</x:v>
      </x:c>
      <x:c r="M84" s="221" t="n">
        <x:f>IF(OR('原始数据'!Q94="",'原始数据'!P94=""),"",'原始数据'!Q94*'原始数据'!P94/VLOOKUP(C84,'原始数据'!$C$5:$G$12,5,FALSE))</x:f>
        <x:v>1.28159</x:v>
      </x:c>
      <x:c r="N84" s="206" t="str">
        <x:f>'原始数据'!S94</x:f>
        <x:v>https://www.sse.com.cn/assortment/stock/list/info/announcement/index.shtml?productId=600938</x:v>
      </x:c>
    </x:row>
    <x:row r="85">
      <x:c r="A85" s="210" t="str">
        <x:f>'原始数据'!A95</x:f>
        <x:v>石油</x:v>
      </x:c>
      <x:c r="B85" s="210" t="str">
        <x:f>'原始数据'!B95</x:f>
        <x:v>600938</x:v>
      </x:c>
      <x:c r="C85" s="210" t="str">
        <x:f>'原始数据'!C95</x:f>
        <x:v>中国海油</x:v>
      </x:c>
      <x:c r="D85" s="210" t="n">
        <x:f>'原始数据'!D95</x:f>
        <x:v>2025</x:v>
      </x:c>
      <x:c r="E85" s="213" t="n">
        <x:f>IF('原始数据'!F95="","",'原始数据'!F95/VLOOKUP(C85,'原始数据'!$C$5:$G$12,5,FALSE))</x:f>
        <x:v>2.5685276287264327</x:v>
      </x:c>
      <x:c r="F85" s="216" t="n">
        <x:f>IF('原始数据'!H95="","",'原始数据'!H95)</x:f>
        <x:v>0.1564</x:v>
      </x:c>
      <x:c r="G85" s="213" t="n">
        <x:f>IF('原始数据'!J95="","",'原始数据'!J95/VLOOKUP(C85,'原始数据'!$C$5:$G$12,5,FALSE))</x:f>
        <x:v>4.398110717093683</x:v>
      </x:c>
      <x:c r="H85" s="213" t="n">
        <x:f>IF('原始数据'!K95="","",'原始数据'!K95/VLOOKUP(C85,'原始数据'!$C$5:$G$12,5,FALSE))</x:f>
        <x:v>2.347046244512518</x:v>
      </x:c>
      <x:c r="I85" s="219" t="n">
        <x:f>IF('原始数据'!F95="","",VLOOKUP(C85,'参数设置'!$A$27:$O$34,9,FALSE))</x:f>
        <x:v>0.7</x:v>
      </x:c>
      <x:c r="J85" s="222" t="n">
        <x:f>IF(G85="","",G85-H85*I85)</x:f>
        <x:v>2.7551783459349206</x:v>
      </x:c>
      <x:c r="K85" s="225" t="n">
        <x:f>IF('原始数据'!F95="","",IF('原始数据'!F95&lt;&gt;0,'原始数据'!J95/'原始数据'!F95,"n.a."))</x:f>
        <x:v>1.712308120771285</x:v>
      </x:c>
      <x:c r="L85" s="222" t="n">
        <x:f>IF(G85="","",G85-H85)</x:f>
        <x:v>2.051064472581165</x:v>
      </x:c>
      <x:c r="M85" s="222" t="n">
        <x:f>IF(OR('原始数据'!Q95="",'原始数据'!P95=""),"",'原始数据'!Q95*'原始数据'!P95/VLOOKUP(C85,'原始数据'!$C$5:$G$12,5,FALSE))</x:f>
        <x:v>1.1449299999999998</x:v>
      </x:c>
      <x:c r="N85" s="207" t="str">
        <x:f>'原始数据'!S95</x:f>
        <x:v>https://www.sse.com.cn/assortment/stock/list/info/announcement/index.shtml?productId=600938</x:v>
      </x:c>
    </x:row>
  </x:sheetData>
  <x:mergeCells>
    <x:mergeCell ref="A2:N2"/>
    <x:mergeCell ref="A3:N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EAD3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  <x:col min="7" max="7" width="13" hidden="0" customWidth="1"/>
    <x:col min="8" max="8" width="14" hidden="0" customWidth="1"/>
    <x:col min="9" max="9" width="15" hidden="0" customWidth="1"/>
    <x:col min="10" max="10" width="14" hidden="0" customWidth="1"/>
    <x:col min="11" max="11" width="10" hidden="0" customWidth="1"/>
    <x:col min="12" max="12" width="12" hidden="0" customWidth="1"/>
    <x:col min="13" max="13" width="11" hidden="0" customWidth="1"/>
    <x:col min="14" max="14" width="13" hidden="0" customWidth="1"/>
    <x:col min="15" max="15" width="12" hidden="0" customWidth="1"/>
    <x:col min="16" max="16" width="13" hidden="0" customWidth="1"/>
    <x:col min="17" max="17" width="12" hidden="0" customWidth="1"/>
    <x:col min="18" max="18" width="12" hidden="0" customWidth="1"/>
    <x:col min="19" max="19" width="44" hidden="0" customWidth="1"/>
    <x:col min="20" max="20" width="44" hidden="0" customWidth="1"/>
    <x:col min="21" max="21" width="13" hidden="0" customWidth="1"/>
    <x:col min="22" max="22" width="15" hidden="0" customWidth="1"/>
    <x:col min="23" max="23" width="12" hidden="0" customWidth="1"/>
    <x:col min="24" max="24" width="12" hidden="0" customWidth="1"/>
    <x:col min="25" max="25" width="15" hidden="0" customWidth="1"/>
  </x:cols>
  <x:sheetData>
    <x:row r="1">
      <x:c r="A1" s="302"/>
      <x:c r="B1" s="302"/>
      <x:c r="C1" s="302"/>
      <x:c r="D1" s="302"/>
      <x:c r="E1" s="302"/>
      <x:c r="F1" s="302"/>
      <x:c r="G1" s="302"/>
      <x:c r="H1" s="302"/>
      <x:c r="I1" s="302"/>
      <x:c r="J1" s="302"/>
      <x:c r="K1" s="302"/>
      <x:c r="L1" s="302"/>
      <x:c r="M1" s="302"/>
      <x:c r="N1" s="302"/>
      <x:c r="O1" s="302"/>
      <x:c r="P1" s="302"/>
      <x:c r="Q1" s="302"/>
      <x:c r="R1" s="302"/>
      <x:c r="S1" s="302"/>
      <x:c r="T1" s="302"/>
      <x:c r="U1" s="302"/>
      <x:c r="V1" s="302"/>
      <x:c r="W1" s="302"/>
      <x:c r="X1" s="302"/>
      <x:c r="Y1" s="302"/>
    </x:row>
    <x:row r="2" ht="26" customHeight="1">
      <x:c r="A2" s="3" t="str">
        <x:v>财务、分红、市场一致预期与行情原始数据</x:v>
      </x:c>
      <x:c r="B2" s="3" t="str">
        <x:v>财务、分红、市场一致预期与行情原始数据</x:v>
      </x:c>
      <x:c r="C2" s="3" t="str">
        <x:v>财务、分红、市场一致预期与行情原始数据</x:v>
      </x:c>
      <x:c r="D2" s="3" t="str">
        <x:v>财务、分红、市场一致预期与行情原始数据</x:v>
      </x:c>
      <x:c r="E2" s="3" t="str">
        <x:v>财务、分红、市场一致预期与行情原始数据</x:v>
      </x:c>
      <x:c r="F2" s="3" t="str">
        <x:v>财务、分红、市场一致预期与行情原始数据</x:v>
      </x:c>
      <x:c r="G2" s="3" t="str">
        <x:v>财务、分红、市场一致预期与行情原始数据</x:v>
      </x:c>
      <x:c r="H2" s="3" t="str">
        <x:v>财务、分红、市场一致预期与行情原始数据</x:v>
      </x:c>
      <x:c r="I2" s="3" t="str">
        <x:v>财务、分红、市场一致预期与行情原始数据</x:v>
      </x:c>
      <x:c r="J2" s="3" t="str">
        <x:v>财务、分红、市场一致预期与行情原始数据</x:v>
      </x:c>
      <x:c r="K2" s="3" t="str">
        <x:v>财务、分红、市场一致预期与行情原始数据</x:v>
      </x:c>
      <x:c r="L2" s="3" t="str">
        <x:v>财务、分红、市场一致预期与行情原始数据</x:v>
      </x:c>
      <x:c r="M2" s="3" t="str">
        <x:v>财务、分红、市场一致预期与行情原始数据</x:v>
      </x:c>
      <x:c r="N2" s="3" t="str">
        <x:v>财务、分红、市场一致预期与行情原始数据</x:v>
      </x:c>
      <x:c r="O2" s="3" t="str">
        <x:v>财务、分红、市场一致预期与行情原始数据</x:v>
      </x:c>
      <x:c r="P2" s="3" t="str">
        <x:v>财务、分红、市场一致预期与行情原始数据</x:v>
      </x:c>
      <x:c r="Q2" s="3" t="str">
        <x:v>财务、分红、市场一致预期与行情原始数据</x:v>
      </x:c>
      <x:c r="R2" s="3" t="str">
        <x:v>财务、分红、市场一致预期与行情原始数据</x:v>
      </x:c>
      <x:c r="S2" s="3" t="str">
        <x:v>财务、分红、市场一致预期与行情原始数据</x:v>
      </x:c>
      <x:c r="T2" s="3" t="str">
        <x:v>财务、分红、市场一致预期与行情原始数据</x:v>
      </x:c>
      <x:c r="U2" s="3" t="str">
        <x:v>财务、分红、市场一致预期与行情原始数据</x:v>
      </x:c>
      <x:c r="V2" s="3" t="str">
        <x:v>财务、分红、市场一致预期与行情原始数据</x:v>
      </x:c>
      <x:c r="W2" s="3" t="str">
        <x:v>财务、分红、市场一致预期与行情原始数据</x:v>
      </x:c>
      <x:c r="X2" s="3" t="str">
        <x:v>财务、分红、市场一致预期与行情原始数据</x:v>
      </x:c>
      <x:c r="Y2" s="3" t="str">
        <x:v>财务、分红、市场一致预期与行情原始数据</x:v>
      </x:c>
    </x:row>
    <x:row r="3">
      <x:c r="A3" s="143" t="str">
        <x:v>财务截至2026年中报；股价为最近交易日收盘。金额单位为亿元，除非另有注明。</x:v>
      </x:c>
      <x:c r="B3" s="143"/>
      <x:c r="C3" s="143"/>
      <x:c r="D3" s="143"/>
      <x:c r="E3" s="143"/>
      <x:c r="F3" s="143"/>
      <x:c r="G3" s="143"/>
      <x:c r="H3" s="143"/>
      <x:c r="I3" s="143"/>
      <x:c r="J3" s="143"/>
      <x:c r="K3" s="143"/>
      <x:c r="L3" s="143"/>
      <x:c r="M3" s="143"/>
      <x:c r="N3" s="143"/>
      <x:c r="O3" s="143"/>
      <x:c r="P3" s="143"/>
      <x:c r="Q3" s="143"/>
      <x:c r="R3" s="143"/>
      <x:c r="S3" s="143"/>
      <x:c r="T3" s="143"/>
      <x:c r="U3" s="143"/>
      <x:c r="V3" s="143"/>
      <x:c r="W3" s="143"/>
      <x:c r="X3" s="143"/>
      <x:c r="Y3" s="143"/>
    </x:row>
    <x:row r="4" ht="34" customHeight="1">
      <x:c r="A4" s="19" t="str">
        <x:v>行业</x:v>
      </x:c>
      <x:c r="B4" s="19" t="str">
        <x:v>代码</x:v>
      </x:c>
      <x:c r="C4" s="19" t="str">
        <x:v>公司</x:v>
      </x:c>
      <x:c r="D4" s="19" t="str">
        <x:v>行情日期</x:v>
      </x:c>
      <x:c r="E4" s="19" t="str">
        <x:v>股价（元）</x:v>
      </x:c>
      <x:c r="F4" s="19" t="str">
        <x:v>总市值</x:v>
      </x:c>
      <x:c r="G4" s="19" t="str">
        <x:v>当前股本（亿股）</x:v>
      </x:c>
      <x:c r="H4" s="19" t="str">
        <x:v>2026H1营收</x:v>
      </x:c>
      <x:c r="I4" s="19" t="str">
        <x:v>2026H1归母净利</x:v>
      </x:c>
      <x:c r="J4" s="19" t="str">
        <x:v>TTM归母净利</x:v>
      </x:c>
      <x:c r="K4" s="19" t="str">
        <x:v>TTM EPS</x:v>
      </x:c>
      <x:c r="L4" s="19" t="str">
        <x:v>最新每股净资产</x:v>
      </x:c>
      <x:c r="M4" s="19" t="str">
        <x:v>2026H1 ROE</x:v>
      </x:c>
      <x:c r="N4" s="19" t="str">
        <x:v>有息负债/资产</x:v>
      </x:c>
      <x:c r="O4" s="19" t="str">
        <x:v>货币资金</x:v>
      </x:c>
      <x:c r="P4" s="19" t="str">
        <x:v>归母权益</x:v>
      </x:c>
      <x:c r="Q4" s="19" t="str">
        <x:v>净负债/权益</x:v>
      </x:c>
      <x:c r="R4" s="19" t="str">
        <x:v>利息保障倍数</x:v>
      </x:c>
      <x:c r="S4" s="19" t="str">
        <x:v>行情来源</x:v>
      </x:c>
      <x:c r="T4" s="19" t="str">
        <x:v>财报来源</x:v>
      </x:c>
      <x:c r="U4" s="19" t="str">
        <x:v>一致预期研报数</x:v>
      </x:c>
      <x:c r="V4" s="19" t="str">
        <x:v>2026E一致预期EPS</x:v>
      </x:c>
      <x:c r="W4" s="19" t="str">
        <x:v>目标价下限</x:v>
      </x:c>
      <x:c r="X4" s="19" t="str">
        <x:v>目标价上限</x:v>
      </x:c>
      <x:c r="Y4" s="19" t="str">
        <x:v>2026中期已宣DPS</x:v>
      </x:c>
    </x:row>
    <x:row r="5">
      <x:c r="A5" s="154" t="str">
        <x:v>煤炭</x:v>
      </x:c>
      <x:c r="B5" s="154" t="str">
        <x:v>601088</x:v>
      </x:c>
      <x:c r="C5" s="154" t="str">
        <x:v>中国神华</x:v>
      </x:c>
      <x:c r="D5" s="157" t="d">
        <x:v>2026-10-09T00:00:00.000Z</x:v>
      </x:c>
      <x:c r="E5" s="160" t="n">
        <x:v>48.4</x:v>
      </x:c>
      <x:c r="F5" s="163" t="n">
        <x:v>10497.686203136</x:v>
      </x:c>
      <x:c r="G5" s="163" t="n">
        <x:v>216.89434304</x:v>
      </x:c>
      <x:c r="H5" s="163" t="n">
        <x:v>1893.38</x:v>
      </x:c>
      <x:c r="I5" s="163" t="n">
        <x:v>287.15</x:v>
      </x:c>
      <x:c r="J5" s="163" t="n">
        <x:v>539.81</x:v>
      </x:c>
      <x:c r="K5" s="160" t="n">
        <x:v>2.488815486997037</x:v>
      </x:c>
      <x:c r="L5" s="160" t="n">
        <x:v>25.359398142466187</x:v>
      </x:c>
      <x:c r="M5" s="166" t="n">
        <x:v>0.0583</x:v>
      </x:c>
      <x:c r="N5" s="166" t="n">
        <x:v>0.183264288933</x:v>
      </x:c>
      <x:c r="O5" s="163" t="n">
        <x:v>1355.92</x:v>
      </x:c>
      <x:c r="P5" s="163" t="n">
        <x:v>5500.31</x:v>
      </x:c>
      <x:c r="Q5" s="166" t="n">
        <x:v>0.060318418416133564</x:v>
      </x:c>
      <x:c r="R5" s="169" t="n">
        <x:v>19.994147768837</x:v>
      </x:c>
      <x:c r="S5" s="154" t="str">
        <x:v>https://quote.eastmoney.com/sh601088.html</x:v>
      </x:c>
      <x:c r="T5" s="154" t="str">
        <x:v>https://www.sse.com.cn/assortment/stock/list/info/announcement/index.shtml?productId=601088</x:v>
      </x:c>
      <x:c r="U5" s="172" t="n">
        <x:v>21</x:v>
      </x:c>
      <x:c r="V5" s="160" t="n">
        <x:v>2.834285714286</x:v>
      </x:c>
      <x:c r="W5" s="160" t="n">
        <x:v>51</x:v>
      </x:c>
      <x:c r="X5" s="160" t="n">
        <x:v>59.78</x:v>
      </x:c>
      <x:c r="Y5" s="160" t="n">
        <x:v>0.9800000000000001</x:v>
      </x:c>
    </x:row>
    <x:row r="6">
      <x:c r="A6" s="155" t="str">
        <x:v>煤炭</x:v>
      </x:c>
      <x:c r="B6" s="155" t="str">
        <x:v>601225</x:v>
      </x:c>
      <x:c r="C6" s="155" t="str">
        <x:v>陕西煤业</x:v>
      </x:c>
      <x:c r="D6" s="158" t="d">
        <x:v>2026-10-09T00:00:00.000Z</x:v>
      </x:c>
      <x:c r="E6" s="161" t="n">
        <x:v>26.97</x:v>
      </x:c>
      <x:c r="F6" s="164" t="n">
        <x:v>2614.7415</x:v>
      </x:c>
      <x:c r="G6" s="164" t="n">
        <x:v>96.95</x:v>
      </x:c>
      <x:c r="H6" s="164" t="n">
        <x:v>788.9451404707</x:v>
      </x:c>
      <x:c r="I6" s="164" t="n">
        <x:v>112.72422101469999</x:v>
      </x:c>
      <x:c r="J6" s="164" t="n">
        <x:v>203.98727220770002</x:v>
      </x:c>
      <x:c r="K6" s="161" t="n">
        <x:v>2.104046129011862</x:v>
      </x:c>
      <x:c r="L6" s="161" t="n">
        <x:v>15.333905831566788</x:v>
      </x:c>
      <x:c r="M6" s="167" t="n">
        <x:v>0.109</x:v>
      </x:c>
      <x:c r="N6" s="167" t="n">
        <x:v>0.109175200485</x:v>
      </x:c>
      <x:c r="O6" s="164" t="n">
        <x:v>431.55134511370005</x:v>
      </x:c>
      <x:c r="P6" s="164" t="n">
        <x:v>1486.6221703704</x:v>
      </x:c>
      <x:c r="Q6" s="167" t="n">
        <x:v>-0.1075273820193009</x:v>
      </x:c>
      <x:c r="R6" s="170" t="n">
        <x:v>78.632884848209</x:v>
      </x:c>
      <x:c r="S6" s="155" t="str">
        <x:v>https://quote.eastmoney.com/sh601225.html</x:v>
      </x:c>
      <x:c r="T6" s="155" t="str">
        <x:v>https://www.sse.com.cn/assortment/stock/list/info/announcement/index.shtml?productId=601225</x:v>
      </x:c>
      <x:c r="U6" s="173" t="n">
        <x:v>19</x:v>
      </x:c>
      <x:c r="V6" s="161" t="n">
        <x:v>2.208947368421</x:v>
      </x:c>
      <x:c r="W6" s="161" t="n">
        <x:v>29</x:v>
      </x:c>
      <x:c r="X6" s="161" t="n">
        <x:v>34.3</x:v>
      </x:c>
      <x:c r="Y6" s="161" t="n">
        <x:v>0.057999999999999996</x:v>
      </x:c>
    </x:row>
    <x:row r="7">
      <x:c r="A7" s="155" t="str">
        <x:v>煤炭</x:v>
      </x:c>
      <x:c r="B7" s="155" t="str">
        <x:v>600188</x:v>
      </x:c>
      <x:c r="C7" s="155" t="str">
        <x:v>兖矿能源</x:v>
      </x:c>
      <x:c r="D7" s="158" t="d">
        <x:v>2026-10-09T00:00:00.000Z</x:v>
      </x:c>
      <x:c r="E7" s="161" t="n">
        <x:v>20.48</x:v>
      </x:c>
      <x:c r="F7" s="164" t="n">
        <x:v>2055.547293696</x:v>
      </x:c>
      <x:c r="G7" s="164" t="n">
        <x:v>100.3685202</x:v>
      </x:c>
      <x:c r="H7" s="164" t="n">
        <x:v>756.47064</x:v>
      </x:c>
      <x:c r="I7" s="164" t="n">
        <x:v>71.49644</x:v>
      </x:c>
      <x:c r="J7" s="164" t="n">
        <x:v>106.91508</x:v>
      </x:c>
      <x:c r="K7" s="161" t="n">
        <x:v>1.0652252298524971</x:v>
      </x:c>
      <x:c r="L7" s="161" t="n">
        <x:v>18.08869500499022</x:v>
      </x:c>
      <x:c r="M7" s="167" t="n">
        <x:v>0.0687</x:v>
      </x:c>
      <x:c r="N7" s="167" t="n">
        <x:v>0.279599805083</x:v>
      </x:c>
      <x:c r="O7" s="164" t="n">
        <x:v>548.94918</x:v>
      </x:c>
      <x:c r="P7" s="164" t="n">
        <x:v>1815.53555</x:v>
      </x:c>
      <x:c r="Q7" s="167" t="n">
        <x:v>0.4133061178549634</x:v>
      </x:c>
      <x:c r="R7" s="170" t="n">
        <x:v>6.782753167194</x:v>
      </x:c>
      <x:c r="S7" s="155" t="str">
        <x:v>https://quote.eastmoney.com/sh600188.html</x:v>
      </x:c>
      <x:c r="T7" s="155" t="str">
        <x:v>https://www.sse.com.cn/assortment/stock/list/info/announcement/index.shtml?productId=600188</x:v>
      </x:c>
      <x:c r="U7" s="173" t="n">
        <x:v>20</x:v>
      </x:c>
      <x:c r="V7" s="161" t="n">
        <x:v>1.722</x:v>
      </x:c>
      <x:c r="W7" s="161" t="n">
        <x:v>25.84</x:v>
      </x:c>
      <x:c r="X7" s="161" t="n">
        <x:v>26.78</x:v>
      </x:c>
      <x:c r="Y7" s="161" t="n">
        <x:v>0.2</x:v>
      </x:c>
    </x:row>
    <x:row r="8">
      <x:c r="A8" s="155" t="str">
        <x:v>煤炭</x:v>
      </x:c>
      <x:c r="B8" s="155" t="str">
        <x:v>601898</x:v>
      </x:c>
      <x:c r="C8" s="155" t="str">
        <x:v>中煤能源</x:v>
      </x:c>
      <x:c r="D8" s="158" t="d">
        <x:v>2026-10-09T00:00:00.000Z</x:v>
      </x:c>
      <x:c r="E8" s="161" t="n">
        <x:v>14.39</x:v>
      </x:c>
      <x:c r="F8" s="164" t="n">
        <x:v>1907.92166326</x:v>
      </x:c>
      <x:c r="G8" s="164" t="n">
        <x:v>132.586634</x:v>
      </x:c>
      <x:c r="H8" s="164" t="n">
        <x:v>731.36057</x:v>
      </x:c>
      <x:c r="I8" s="164" t="n">
        <x:v>81.49301</x:v>
      </x:c>
      <x:c r="J8" s="164" t="n">
        <x:v>183.3218</x:v>
      </x:c>
      <x:c r="K8" s="161" t="n">
        <x:v>1.3826567163625256</x:v>
      </x:c>
      <x:c r="L8" s="161" t="n">
        <x:v>15.573710620031276</x:v>
      </x:c>
      <x:c r="M8" s="167" t="n">
        <x:v>0.0495</x:v>
      </x:c>
      <x:c r="N8" s="167" t="n">
        <x:v>0.20047350443300002</x:v>
      </x:c>
      <x:c r="O8" s="164" t="n">
        <x:v>951.53202</x:v>
      </x:c>
      <x:c r="P8" s="164" t="n">
        <x:v>2064.86587</x:v>
      </x:c>
      <x:c r="Q8" s="167" t="n">
        <x:v>-0.08584095101470221</x:v>
      </x:c>
      <x:c r="R8" s="170" t="n">
        <x:v>9.127214349494</x:v>
      </x:c>
      <x:c r="S8" s="155" t="str">
        <x:v>https://quote.eastmoney.com/sh601898.html</x:v>
      </x:c>
      <x:c r="T8" s="155" t="str">
        <x:v>https://www.sse.com.cn/assortment/stock/list/info/announcement/index.shtml?productId=601898</x:v>
      </x:c>
      <x:c r="U8" s="173" t="n">
        <x:v>23</x:v>
      </x:c>
      <x:c r="V8" s="161" t="n">
        <x:v>1.472272727273</x:v>
      </x:c>
      <x:c r="W8" s="161" t="n">
        <x:v>16.46</x:v>
      </x:c>
      <x:c r="X8" s="161" t="n">
        <x:v>21.15</x:v>
      </x:c>
      <x:c r="Y8" s="161" t="n">
        <x:v>0.184</x:v>
      </x:c>
    </x:row>
    <x:row r="9">
      <x:c r="A9" s="155" t="str">
        <x:v>煤炭</x:v>
      </x:c>
      <x:c r="B9" s="155" t="str">
        <x:v>601699</x:v>
      </x:c>
      <x:c r="C9" s="155" t="str">
        <x:v>潞安环能</x:v>
      </x:c>
      <x:c r="D9" s="158" t="d">
        <x:v>2026-10-09T00:00:00.000Z</x:v>
      </x:c>
      <x:c r="E9" s="161" t="n">
        <x:v>15.52</x:v>
      </x:c>
      <x:c r="F9" s="164" t="n">
        <x:v>464.26670784</x:v>
      </x:c>
      <x:c r="G9" s="164" t="n">
        <x:v>29.914092</x:v>
      </x:c>
      <x:c r="H9" s="164" t="n">
        <x:v>150.09619814209998</x:v>
      </x:c>
      <x:c r="I9" s="164" t="n">
        <x:v>17.7788913844</x:v>
      </x:c>
      <x:c r="J9" s="164" t="n">
        <x:v>15.446442603999998</x:v>
      </x:c>
      <x:c r="K9" s="161" t="n">
        <x:v>0.5163600688264246</x:v>
      </x:c>
      <x:c r="L9" s="161" t="n">
        <x:v>16.072575805737312</x:v>
      </x:c>
      <x:c r="M9" s="167" t="n">
        <x:v>0.0385</x:v>
      </x:c>
      <x:c r="N9" s="167" t="n">
        <x:v>0.075465420399</x:v>
      </x:c>
      <x:c r="O9" s="164" t="n">
        <x:v>129.022251447</x:v>
      </x:c>
      <x:c r="P9" s="164" t="n">
        <x:v>480.7965113298</x:v>
      </x:c>
      <x:c r="Q9" s="167" t="n">
        <x:v>-0.1398235826372861</x:v>
      </x:c>
      <x:c r="R9" s="170" t="n">
        <x:v>3.077037649701</x:v>
      </x:c>
      <x:c r="S9" s="155" t="str">
        <x:v>https://quote.eastmoney.com/sh601699.html</x:v>
      </x:c>
      <x:c r="T9" s="155" t="str">
        <x:v>https://www.sse.com.cn/assortment/stock/list/info/announcement/index.shtml?productId=601699</x:v>
      </x:c>
      <x:c r="U9" s="173" t="n">
        <x:v>15</x:v>
      </x:c>
      <x:c r="V9" s="161" t="n">
        <x:v>1.228666666667</x:v>
      </x:c>
      <x:c r="W9" s="161" t="n">
        <x:v>19.38</x:v>
      </x:c>
      <x:c r="X9" s="161" t="n">
        <x:v>22.38</x:v>
      </x:c>
      <x:c r="Y9" s="161" t="n">
        <x:v>0</x:v>
      </x:c>
    </x:row>
    <x:row r="10">
      <x:c r="A10" s="155" t="str">
        <x:v>石油</x:v>
      </x:c>
      <x:c r="B10" s="155" t="str">
        <x:v>601857</x:v>
      </x:c>
      <x:c r="C10" s="155" t="str">
        <x:v>中国石油</x:v>
      </x:c>
      <x:c r="D10" s="158" t="d">
        <x:v>2026-10-09T00:00:00.000Z</x:v>
      </x:c>
      <x:c r="E10" s="161" t="n">
        <x:v>11.6</x:v>
      </x:c>
      <x:c r="F10" s="164" t="n">
        <x:v>21230.433426888</x:v>
      </x:c>
      <x:c r="G10" s="164" t="n">
        <x:v>1830.20977818</x:v>
      </x:c>
      <x:c r="H10" s="164" t="n">
        <x:v>15274.91</x:v>
      </x:c>
      <x:c r="I10" s="164" t="n">
        <x:v>1039.34</x:v>
      </x:c>
      <x:c r="J10" s="164" t="n">
        <x:v>1760.65</x:v>
      </x:c>
      <x:c r="K10" s="161" t="n">
        <x:v>0.9619935490404976</x:v>
      </x:c>
      <x:c r="L10" s="161" t="n">
        <x:v>10.09913738870985</x:v>
      </x:c>
      <x:c r="M10" s="167" t="n">
        <x:v>0.063</x:v>
      </x:c>
      <x:c r="N10" s="167" t="n">
        <x:v>0.13304391933</x:v>
      </x:c>
      <x:c r="O10" s="164" t="n">
        <x:v>2747.49</x:v>
      </x:c>
      <x:c r="P10" s="164" t="n">
        <x:v>18483.54</x:v>
      </x:c>
      <x:c r="Q10" s="167" t="n">
        <x:v>0.0690408871893467</x:v>
      </x:c>
      <x:c r="R10" s="170" t="n">
        <x:v>27.91390802044</x:v>
      </x:c>
      <x:c r="S10" s="155" t="str">
        <x:v>https://quote.eastmoney.com/sh601857.html</x:v>
      </x:c>
      <x:c r="T10" s="155" t="str">
        <x:v>https://www.sse.com.cn/assortment/stock/list/info/announcement/index.shtml?productId=601857</x:v>
      </x:c>
      <x:c r="U10" s="173" t="n">
        <x:v>13</x:v>
      </x:c>
      <x:c r="V10" s="161" t="n">
        <x:v>1.015384615385</x:v>
      </x:c>
      <x:c r="W10" s="161" t="n">
        <x:v>13.4</x:v>
      </x:c>
      <x:c r="X10" s="161" t="n">
        <x:v>16.49</x:v>
      </x:c>
      <x:c r="Y10" s="161" t="n">
        <x:v>0.26</x:v>
      </x:c>
    </x:row>
    <x:row r="11">
      <x:c r="A11" s="155" t="str">
        <x:v>石油</x:v>
      </x:c>
      <x:c r="B11" s="155" t="str">
        <x:v>600028</x:v>
      </x:c>
      <x:c r="C11" s="155" t="str">
        <x:v>中国石化</x:v>
      </x:c>
      <x:c r="D11" s="158" t="d">
        <x:v>2026-10-09T00:00:00.000Z</x:v>
      </x:c>
      <x:c r="E11" s="161" t="n">
        <x:v>5.39</x:v>
      </x:c>
      <x:c r="F11" s="164" t="n">
        <x:v>6506.510427370799</x:v>
      </x:c>
      <x:c r="G11" s="164" t="n">
        <x:v>1207.14479172</x:v>
      </x:c>
      <x:c r="H11" s="164" t="n">
        <x:v>14365.61</x:v>
      </x:c>
      <x:c r="I11" s="164" t="n">
        <x:v>256.27</x:v>
      </x:c>
      <x:c r="J11" s="164" t="n">
        <x:v>359.53</x:v>
      </x:c>
      <x:c r="K11" s="161" t="n">
        <x:v>0.2978350256457005</x:v>
      </x:c>
      <x:c r="L11" s="161" t="n">
        <x:v>8.33192510872626</x:v>
      </x:c>
      <x:c r="M11" s="167" t="n">
        <x:v>0.030600000000000002</x:v>
      </x:c>
      <x:c r="N11" s="167" t="n">
        <x:v>0.25863680715299997</x:v>
      </x:c>
      <x:c r="O11" s="164" t="n">
        <x:v>1872.72</x:v>
      </x:c>
      <x:c r="P11" s="164" t="n">
        <x:v>10057.84</x:v>
      </x:c>
      <x:c r="Q11" s="167" t="n">
        <x:v>0.37937071975778597</x:v>
      </x:c>
      <x:c r="R11" s="170" t="n">
        <x:v>6.433247555327</x:v>
      </x:c>
      <x:c r="S11" s="155" t="str">
        <x:v>https://quote.eastmoney.com/sh600028.html</x:v>
      </x:c>
      <x:c r="T11" s="155" t="str">
        <x:v>https://www.sse.com.cn/assortment/stock/list/info/announcement/index.shtml?productId=600028</x:v>
      </x:c>
      <x:c r="U11" s="173" t="n">
        <x:v>11</x:v>
      </x:c>
      <x:c r="V11" s="161" t="n">
        <x:v>0.358181818182</x:v>
      </x:c>
      <x:c r="W11" s="161" t="n">
        <x:v>6.15</x:v>
      </x:c>
      <x:c r="X11" s="161" t="n">
        <x:v>7.04</x:v>
      </x:c>
      <x:c r="Y11" s="161" t="n">
        <x:v>0.10500000000000001</x:v>
      </x:c>
    </x:row>
    <x:row r="12">
      <x:c r="A12" s="156" t="str">
        <x:v>石油</x:v>
      </x:c>
      <x:c r="B12" s="156" t="str">
        <x:v>600938</x:v>
      </x:c>
      <x:c r="C12" s="156" t="str">
        <x:v>中国海油</x:v>
      </x:c>
      <x:c r="D12" s="159" t="d">
        <x:v>2026-10-09T00:00:00.000Z</x:v>
      </x:c>
      <x:c r="E12" s="162" t="n">
        <x:v>33.82</x:v>
      </x:c>
      <x:c r="F12" s="165" t="n">
        <x:v>16074.630437388802</x:v>
      </x:c>
      <x:c r="G12" s="165" t="n">
        <x:v>475.29953984</x:v>
      </x:c>
      <x:c r="H12" s="165" t="n">
        <x:v>2426.6</x:v>
      </x:c>
      <x:c r="I12" s="165" t="n">
        <x:v>858.18</x:v>
      </x:c>
      <x:c r="J12" s="165" t="n">
        <x:v>1383.67</x:v>
      </x:c>
      <x:c r="K12" s="162" t="n">
        <x:v>2.9111536705164593</x:v>
      </x:c>
      <x:c r="L12" s="162" t="n">
        <x:v>18.06353526639257</x:v>
      </x:c>
      <x:c r="M12" s="168" t="n">
        <x:v>0.10210000000000001</x:v>
      </x:c>
      <x:c r="N12" s="168" t="n">
        <x:v>0.056621896162</x:v>
      </x:c>
      <x:c r="O12" s="165" t="n">
        <x:v>3143.78</x:v>
      </x:c>
      <x:c r="P12" s="165" t="n">
        <x:v>8585.59</x:v>
      </x:c>
      <x:c r="Q12" s="168" t="n">
        <x:v>-0.2868643855570864</x:v>
      </x:c>
      <x:c r="R12" s="171" t="n">
        <x:v>97.474879559532</x:v>
      </x:c>
      <x:c r="S12" s="156" t="str">
        <x:v>https://quote.eastmoney.com/sh600938.html</x:v>
      </x:c>
      <x:c r="T12" s="156" t="str">
        <x:v>https://www.sse.com.cn/assortment/stock/list/info/announcement/index.shtml?productId=600938</x:v>
      </x:c>
      <x:c r="U12" s="174" t="n">
        <x:v>18</x:v>
      </x:c>
      <x:c r="V12" s="162" t="n">
        <x:v>3.439777777778</x:v>
      </x:c>
      <x:c r="W12" s="162" t="n">
        <x:v>42</x:v>
      </x:c>
      <x:c r="X12" s="162" t="n">
        <x:v>54.03</x:v>
      </x:c>
      <x:c r="Y12" s="162" t="n">
        <x:v>0.8132400000000001</x:v>
      </x:c>
    </x:row>
    <x:row r="13">
      <x:c r="A13" s="302"/>
      <x:c r="B13" s="302"/>
      <x:c r="C13" s="302"/>
      <x:c r="D13" s="302"/>
      <x:c r="E13" s="302"/>
      <x:c r="F13" s="302"/>
      <x:c r="G13" s="302"/>
      <x:c r="H13" s="302"/>
      <x:c r="I13" s="302"/>
      <x:c r="J13" s="302"/>
      <x:c r="K13" s="302"/>
      <x:c r="L13" s="302"/>
      <x:c r="M13" s="302"/>
      <x:c r="N13" s="302"/>
      <x:c r="O13" s="302"/>
      <x:c r="P13" s="302"/>
      <x:c r="Q13" s="302"/>
      <x:c r="R13" s="302"/>
      <x:c r="S13" s="302"/>
      <x:c r="T13" s="302"/>
      <x:c r="U13" s="302"/>
      <x:c r="V13" s="302"/>
      <x:c r="W13" s="302"/>
      <x:c r="X13" s="302"/>
      <x:c r="Y13" s="302"/>
    </x:row>
    <x:row r="14">
      <x:c r="A14" s="79" t="str">
        <x:v>2016—2025年年报数据</x:v>
      </x:c>
      <x:c r="B14" s="80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1"/>
      <x:c r="T14" s="302"/>
      <x:c r="U14" s="302"/>
      <x:c r="V14" s="302"/>
      <x:c r="W14" s="302"/>
      <x:c r="X14" s="302"/>
      <x:c r="Y14" s="302"/>
    </x:row>
    <x:row r="15" ht="34" customHeight="1">
      <x:c r="A15" s="19" t="str">
        <x:v>行业</x:v>
      </x:c>
      <x:c r="B15" s="19" t="str">
        <x:v>代码</x:v>
      </x:c>
      <x:c r="C15" s="19" t="str">
        <x:v>公司</x:v>
      </x:c>
      <x:c r="D15" s="19" t="str">
        <x:v>年度</x:v>
      </x:c>
      <x:c r="E15" s="19" t="str">
        <x:v>营业收入</x:v>
      </x:c>
      <x:c r="F15" s="19" t="str">
        <x:v>归母净利</x:v>
      </x:c>
      <x:c r="G15" s="19" t="str">
        <x:v>报告EPS</x:v>
      </x:c>
      <x:c r="H15" s="19" t="str">
        <x:v>ROE</x:v>
      </x:c>
      <x:c r="I15" s="19" t="str">
        <x:v>ROIC</x:v>
      </x:c>
      <x:c r="J15" s="19" t="str">
        <x:v>经营现金流</x:v>
      </x:c>
      <x:c r="K15" s="19" t="str">
        <x:v>购建长期资产现金支出</x:v>
      </x:c>
      <x:c r="L15" s="19" t="str">
        <x:v>归母权益</x:v>
      </x:c>
      <x:c r="M15" s="19" t="str">
        <x:v>总资产</x:v>
      </x:c>
      <x:c r="N15" s="19" t="str">
        <x:v>有息负债/资产</x:v>
      </x:c>
      <x:c r="O15" s="19" t="str">
        <x:v>每股净资产</x:v>
      </x:c>
      <x:c r="P15" s="19" t="str">
        <x:v>期末股本（亿股）</x:v>
      </x:c>
      <x:c r="Q15" s="19" t="str">
        <x:v>每股分红</x:v>
      </x:c>
      <x:c r="R15" s="19" t="str">
        <x:v>利息保障倍数</x:v>
      </x:c>
      <x:c r="S15" s="19" t="str">
        <x:v>官方公告页</x:v>
      </x:c>
      <x:c r="T15" s="302"/>
      <x:c r="U15" s="302"/>
      <x:c r="V15" s="302"/>
      <x:c r="W15" s="302"/>
      <x:c r="X15" s="302"/>
      <x:c r="Y15" s="302"/>
    </x:row>
    <x:row r="16">
      <x:c r="A16" s="181" t="str">
        <x:v>煤炭</x:v>
      </x:c>
      <x:c r="B16" s="181" t="str">
        <x:v>601088</x:v>
      </x:c>
      <x:c r="C16" s="181" t="str">
        <x:v>中国神华</x:v>
      </x:c>
      <x:c r="D16" s="184" t="n">
        <x:v>2016</x:v>
      </x:c>
      <x:c r="E16" s="187" t="n">
        <x:v>1831.27</x:v>
      </x:c>
      <x:c r="F16" s="187" t="n">
        <x:v>227.12</x:v>
      </x:c>
      <x:c r="G16" s="190" t="n">
        <x:v>1.142</x:v>
      </x:c>
      <x:c r="H16" s="193" t="n">
        <x:v>0.0751</x:v>
      </x:c>
      <x:c r="I16" s="193" t="n">
        <x:v>0.0711747283219</x:v>
      </x:c>
      <x:c r="J16" s="187" t="n">
        <x:v>818.83</x:v>
      </x:c>
      <x:c r="K16" s="187" t="n">
        <x:v>290.58</x:v>
      </x:c>
      <x:c r="L16" s="187" t="n">
        <x:v>3799.04</x:v>
      </x:c>
      <x:c r="M16" s="187" t="n">
        <x:v>5716.64</x:v>
      </x:c>
      <x:c r="N16" s="193" t="n">
        <x:v>0.191285440399</x:v>
      </x:c>
      <x:c r="O16" s="190" t="n">
        <x:v>15.7</x:v>
      </x:c>
      <x:c r="P16" s="190" t="n">
        <x:v>216.89434304</x:v>
      </x:c>
      <x:c r="Q16" s="190" t="n">
        <x:v>0.45999999999999996</x:v>
      </x:c>
      <x:c r="R16" s="196" t="n">
        <x:v>14.352848378615</x:v>
      </x:c>
      <x:c r="S16" s="181" t="str">
        <x:v>https://www.sse.com.cn/assortment/stock/list/info/announcement/index.shtml?productId=601088</x:v>
      </x:c>
      <x:c r="T16" s="302"/>
      <x:c r="U16" s="302"/>
      <x:c r="V16" s="302"/>
      <x:c r="W16" s="302"/>
      <x:c r="X16" s="302"/>
      <x:c r="Y16" s="302"/>
    </x:row>
    <x:row r="17">
      <x:c r="A17" s="182" t="str">
        <x:v>煤炭</x:v>
      </x:c>
      <x:c r="B17" s="182" t="str">
        <x:v>601088</x:v>
      </x:c>
      <x:c r="C17" s="182" t="str">
        <x:v>中国神华</x:v>
      </x:c>
      <x:c r="D17" s="185" t="n">
        <x:v>2017</x:v>
      </x:c>
      <x:c r="E17" s="188" t="n">
        <x:v>2487.46</x:v>
      </x:c>
      <x:c r="F17" s="188" t="n">
        <x:v>450.37</x:v>
      </x:c>
      <x:c r="G17" s="191" t="n">
        <x:v>2.264</x:v>
      </x:c>
      <x:c r="H17" s="194" t="n">
        <x:v>0.1467</x:v>
      </x:c>
      <x:c r="I17" s="194" t="n">
        <x:v>0.12094981503339</x:v>
      </x:c>
      <x:c r="J17" s="188" t="n">
        <x:v>951.52</x:v>
      </x:c>
      <x:c r="K17" s="188" t="n">
        <x:v>202.68</x:v>
      </x:c>
      <x:c r="L17" s="188" t="n">
        <x:v>3746.27</x:v>
      </x:c>
      <x:c r="M17" s="188" t="n">
        <x:v>5671.24</x:v>
      </x:c>
      <x:c r="N17" s="194" t="n">
        <x:v>0.176030286146</x:v>
      </x:c>
      <x:c r="O17" s="191" t="n">
        <x:v>15.157717445953</x:v>
      </x:c>
      <x:c r="P17" s="191" t="n">
        <x:v>216.89434304</x:v>
      </x:c>
      <x:c r="Q17" s="191" t="n">
        <x:v>0.9099999999999999</x:v>
      </x:c>
      <x:c r="R17" s="197" t="n">
        <x:v>16.667016990716</x:v>
      </x:c>
      <x:c r="S17" s="182" t="str">
        <x:v>https://www.sse.com.cn/assortment/stock/list/info/announcement/index.shtml?productId=601088</x:v>
      </x:c>
      <x:c r="T17" s="302"/>
      <x:c r="U17" s="302"/>
      <x:c r="V17" s="302"/>
      <x:c r="W17" s="302"/>
      <x:c r="X17" s="302"/>
      <x:c r="Y17" s="302"/>
    </x:row>
    <x:row r="18">
      <x:c r="A18" s="182" t="str">
        <x:v>煤炭</x:v>
      </x:c>
      <x:c r="B18" s="182" t="str">
        <x:v>601088</x:v>
      </x:c>
      <x:c r="C18" s="182" t="str">
        <x:v>中国神华</x:v>
      </x:c>
      <x:c r="D18" s="185" t="n">
        <x:v>2018</x:v>
      </x:c>
      <x:c r="E18" s="188" t="n">
        <x:v>2641.01</x:v>
      </x:c>
      <x:c r="F18" s="188" t="n">
        <x:v>438.67</x:v>
      </x:c>
      <x:c r="G18" s="191" t="n">
        <x:v>2.205</x:v>
      </x:c>
      <x:c r="H18" s="194" t="n">
        <x:v>0.1394</x:v>
      </x:c>
      <x:c r="I18" s="194" t="n">
        <x:v>0.11951851521445</x:v>
      </x:c>
      <x:c r="J18" s="188" t="n">
        <x:v>882.48</x:v>
      </x:c>
      <x:c r="K18" s="188" t="n">
        <x:v>209.35</x:v>
      </x:c>
      <x:c r="L18" s="188" t="n">
        <x:v>4044.5</x:v>
      </x:c>
      <x:c r="M18" s="188" t="n">
        <x:v>5872.39</x:v>
      </x:c>
      <x:c r="N18" s="194" t="n">
        <x:v>0.1528014999</x:v>
      </x:c>
      <x:c r="O18" s="191" t="n">
        <x:v>16.478783308195</x:v>
      </x:c>
      <x:c r="P18" s="191" t="n">
        <x:v>216.89434304</x:v>
      </x:c>
      <x:c r="Q18" s="191" t="n">
        <x:v>0.8800000000000001</x:v>
      </x:c>
      <x:c r="R18" s="197" t="n">
        <x:v>15.495697980685</x:v>
      </x:c>
      <x:c r="S18" s="182" t="str">
        <x:v>https://www.sse.com.cn/assortment/stock/list/info/announcement/index.shtml?productId=601088</x:v>
      </x:c>
      <x:c r="T18" s="302"/>
      <x:c r="U18" s="302"/>
      <x:c r="V18" s="302"/>
      <x:c r="W18" s="302"/>
      <x:c r="X18" s="302"/>
      <x:c r="Y18" s="302"/>
    </x:row>
    <x:row r="19">
      <x:c r="A19" s="182" t="str">
        <x:v>煤炭</x:v>
      </x:c>
      <x:c r="B19" s="182" t="str">
        <x:v>601088</x:v>
      </x:c>
      <x:c r="C19" s="182" t="str">
        <x:v>中国神华</x:v>
      </x:c>
      <x:c r="D19" s="185" t="n">
        <x:v>2019</x:v>
      </x:c>
      <x:c r="E19" s="188" t="n">
        <x:v>2418.71</x:v>
      </x:c>
      <x:c r="F19" s="188" t="n">
        <x:v>432.5</x:v>
      </x:c>
      <x:c r="G19" s="191" t="n">
        <x:v>2.174</x:v>
      </x:c>
      <x:c r="H19" s="194" t="n">
        <x:v>0.1273</x:v>
      </x:c>
      <x:c r="I19" s="194" t="n">
        <x:v>0.11212087758728</x:v>
      </x:c>
      <x:c r="J19" s="188" t="n">
        <x:v>631.06</x:v>
      </x:c>
      <x:c r="K19" s="188" t="n">
        <x:v>190.09</x:v>
      </x:c>
      <x:c r="L19" s="188" t="n">
        <x:v>4156.19</x:v>
      </x:c>
      <x:c r="M19" s="188" t="n">
        <x:v>5584.84</x:v>
      </x:c>
      <x:c r="N19" s="194" t="n">
        <x:v>0.090204911869</x:v>
      </x:c>
      <x:c r="O19" s="191" t="n">
        <x:v>17.693715434892</x:v>
      </x:c>
      <x:c r="P19" s="191" t="n">
        <x:v>216.89434304</x:v>
      </x:c>
      <x:c r="Q19" s="191" t="n">
        <x:v>1.26</x:v>
      </x:c>
      <x:c r="R19" s="197" t="n">
        <x:v>16.403951130751</x:v>
      </x:c>
      <x:c r="S19" s="182" t="str">
        <x:v>https://www.sse.com.cn/assortment/stock/list/info/announcement/index.shtml?productId=601088</x:v>
      </x:c>
      <x:c r="T19" s="302"/>
      <x:c r="U19" s="302"/>
      <x:c r="V19" s="302"/>
      <x:c r="W19" s="302"/>
      <x:c r="X19" s="302"/>
      <x:c r="Y19" s="302"/>
    </x:row>
    <x:row r="20">
      <x:c r="A20" s="182" t="str">
        <x:v>煤炭</x:v>
      </x:c>
      <x:c r="B20" s="182" t="str">
        <x:v>601088</x:v>
      </x:c>
      <x:c r="C20" s="182" t="str">
        <x:v>中国神华</x:v>
      </x:c>
      <x:c r="D20" s="185" t="n">
        <x:v>2020</x:v>
      </x:c>
      <x:c r="E20" s="188" t="n">
        <x:v>2332.63</x:v>
      </x:c>
      <x:c r="F20" s="188" t="n">
        <x:v>391.7</x:v>
      </x:c>
      <x:c r="G20" s="191" t="n">
        <x:v>1.97</x:v>
      </x:c>
      <x:c r="H20" s="194" t="n">
        <x:v>0.11</x:v>
      </x:c>
      <x:c r="I20" s="194" t="n">
        <x:v>0.10144469336906999</x:v>
      </x:c>
      <x:c r="J20" s="188" t="n">
        <x:v>812.89</x:v>
      </x:c>
      <x:c r="K20" s="188" t="n">
        <x:v>206.73</x:v>
      </x:c>
      <x:c r="L20" s="188" t="n">
        <x:v>4251.3</x:v>
      </x:c>
      <x:c r="M20" s="188" t="n">
        <x:v>5584.47</x:v>
      </x:c>
      <x:c r="N20" s="194" t="n">
        <x:v>0.114770067706</x:v>
      </x:c>
      <x:c r="O20" s="191" t="n">
        <x:v>18.13</x:v>
      </x:c>
      <x:c r="P20" s="191" t="n">
        <x:v>216.89434304</x:v>
      </x:c>
      <x:c r="Q20" s="191" t="n">
        <x:v>1.81</x:v>
      </x:c>
      <x:c r="R20" s="197" t="n">
        <x:v>28.392944463849</x:v>
      </x:c>
      <x:c r="S20" s="182" t="str">
        <x:v>https://www.sse.com.cn/assortment/stock/list/info/announcement/index.shtml?productId=601088</x:v>
      </x:c>
      <x:c r="T20" s="302"/>
      <x:c r="U20" s="302"/>
      <x:c r="V20" s="302"/>
      <x:c r="W20" s="302"/>
      <x:c r="X20" s="302"/>
      <x:c r="Y20" s="302"/>
    </x:row>
    <x:row r="21">
      <x:c r="A21" s="182" t="str">
        <x:v>煤炭</x:v>
      </x:c>
      <x:c r="B21" s="182" t="str">
        <x:v>601088</x:v>
      </x:c>
      <x:c r="C21" s="182" t="str">
        <x:v>中国神华</x:v>
      </x:c>
      <x:c r="D21" s="185" t="n">
        <x:v>2021</x:v>
      </x:c>
      <x:c r="E21" s="188" t="n">
        <x:v>3356.4</x:v>
      </x:c>
      <x:c r="F21" s="188" t="n">
        <x:v>500.84</x:v>
      </x:c>
      <x:c r="G21" s="191" t="n">
        <x:v>2.52</x:v>
      </x:c>
      <x:c r="H21" s="194" t="n">
        <x:v>0.136</x:v>
      </x:c>
      <x:c r="I21" s="194" t="n">
        <x:v>0.11845652347812001</x:v>
      </x:c>
      <x:c r="J21" s="188" t="n">
        <x:v>943.5</x:v>
      </x:c>
      <x:c r="K21" s="188" t="n">
        <x:v>236.38</x:v>
      </x:c>
      <x:c r="L21" s="188" t="n">
        <x:v>4454.51</x:v>
      </x:c>
      <x:c r="M21" s="188" t="n">
        <x:v>6068.27</x:v>
      </x:c>
      <x:c r="N21" s="194" t="n">
        <x:v>0.107743652933</x:v>
      </x:c>
      <x:c r="O21" s="191" t="n">
        <x:v>18.97</x:v>
      </x:c>
      <x:c r="P21" s="191" t="n">
        <x:v>216.89434304</x:v>
      </x:c>
      <x:c r="Q21" s="191" t="n">
        <x:v>2.54</x:v>
      </x:c>
      <x:c r="R21" s="197" t="n">
        <x:v>27.629272567923</x:v>
      </x:c>
      <x:c r="S21" s="182" t="str">
        <x:v>https://www.sse.com.cn/assortment/stock/list/info/announcement/index.shtml?productId=601088</x:v>
      </x:c>
      <x:c r="T21" s="302"/>
      <x:c r="U21" s="302"/>
      <x:c r="V21" s="302"/>
      <x:c r="W21" s="302"/>
      <x:c r="X21" s="302"/>
      <x:c r="Y21" s="302"/>
    </x:row>
    <x:row r="22">
      <x:c r="A22" s="182" t="str">
        <x:v>煤炭</x:v>
      </x:c>
      <x:c r="B22" s="182" t="str">
        <x:v>601088</x:v>
      </x:c>
      <x:c r="C22" s="182" t="str">
        <x:v>中国神华</x:v>
      </x:c>
      <x:c r="D22" s="185" t="n">
        <x:v>2022</x:v>
      </x:c>
      <x:c r="E22" s="188" t="n">
        <x:v>3445.33</x:v>
      </x:c>
      <x:c r="F22" s="188" t="n">
        <x:v>696.48</x:v>
      </x:c>
      <x:c r="G22" s="191" t="n">
        <x:v>3.505</x:v>
      </x:c>
      <x:c r="H22" s="194" t="n">
        <x:v>0.1808</x:v>
      </x:c>
      <x:c r="I22" s="194" t="n">
        <x:v>0.1594313381293</x:v>
      </x:c>
      <x:c r="J22" s="188" t="n">
        <x:v>1097.34</x:v>
      </x:c>
      <x:c r="K22" s="188" t="n">
        <x:v>286.84</x:v>
      </x:c>
      <x:c r="L22" s="188" t="n">
        <x:v>4593.19</x:v>
      </x:c>
      <x:c r="M22" s="188" t="n">
        <x:v>6218.43</x:v>
      </x:c>
      <x:c r="N22" s="194" t="n">
        <x:v>0.091582609647</x:v>
      </x:c>
      <x:c r="O22" s="191" t="n">
        <x:v>19.82253762142</x:v>
      </x:c>
      <x:c r="P22" s="191" t="n">
        <x:v>216.89434304</x:v>
      </x:c>
      <x:c r="Q22" s="191" t="n">
        <x:v>2.55</x:v>
      </x:c>
      <x:c r="R22" s="197" t="n">
        <x:v>29.411417850442</x:v>
      </x:c>
      <x:c r="S22" s="182" t="str">
        <x:v>https://www.sse.com.cn/assortment/stock/list/info/announcement/index.shtml?productId=601088</x:v>
      </x:c>
      <x:c r="T22" s="302"/>
      <x:c r="U22" s="302"/>
      <x:c r="V22" s="302"/>
      <x:c r="W22" s="302"/>
      <x:c r="X22" s="302"/>
      <x:c r="Y22" s="302"/>
    </x:row>
    <x:row r="23">
      <x:c r="A23" s="182" t="str">
        <x:v>煤炭</x:v>
      </x:c>
      <x:c r="B23" s="182" t="str">
        <x:v>601088</x:v>
      </x:c>
      <x:c r="C23" s="182" t="str">
        <x:v>中国神华</x:v>
      </x:c>
      <x:c r="D23" s="185" t="n">
        <x:v>2023</x:v>
      </x:c>
      <x:c r="E23" s="188" t="n">
        <x:v>3430.74</x:v>
      </x:c>
      <x:c r="F23" s="188" t="n">
        <x:v>596.94</x:v>
      </x:c>
      <x:c r="G23" s="191" t="n">
        <x:v>3.004</x:v>
      </x:c>
      <x:c r="H23" s="194" t="n">
        <x:v>0.1452</x:v>
      </x:c>
      <x:c r="I23" s="194" t="n">
        <x:v>0.13447941217247</x:v>
      </x:c>
      <x:c r="J23" s="188" t="n">
        <x:v>896.87</x:v>
      </x:c>
      <x:c r="K23" s="188" t="n">
        <x:v>370.84</x:v>
      </x:c>
      <x:c r="L23" s="188" t="n">
        <x:v>4783.7</x:v>
      </x:c>
      <x:c r="M23" s="188" t="n">
        <x:v>6301.31</x:v>
      </x:c>
      <x:c r="N23" s="194" t="n">
        <x:v>0.06989975100399999</x:v>
      </x:c>
      <x:c r="O23" s="191" t="n">
        <x:v>20.569329105642</x:v>
      </x:c>
      <x:c r="P23" s="191" t="n">
        <x:v>216.89434304</x:v>
      </x:c>
      <x:c r="Q23" s="191" t="n">
        <x:v>2.2600000000000002</x:v>
      </x:c>
      <x:c r="R23" s="197" t="n">
        <x:v>28.408932530884</x:v>
      </x:c>
      <x:c r="S23" s="182" t="str">
        <x:v>https://www.sse.com.cn/assortment/stock/list/info/announcement/index.shtml?productId=601088</x:v>
      </x:c>
      <x:c r="T23" s="302"/>
      <x:c r="U23" s="302"/>
      <x:c r="V23" s="302"/>
      <x:c r="W23" s="302"/>
      <x:c r="X23" s="302"/>
      <x:c r="Y23" s="302"/>
    </x:row>
    <x:row r="24">
      <x:c r="A24" s="182" t="str">
        <x:v>煤炭</x:v>
      </x:c>
      <x:c r="B24" s="182" t="str">
        <x:v>601088</x:v>
      </x:c>
      <x:c r="C24" s="182" t="str">
        <x:v>中国神华</x:v>
      </x:c>
      <x:c r="D24" s="185" t="n">
        <x:v>2024</x:v>
      </x:c>
      <x:c r="E24" s="188" t="n">
        <x:v>3397.88</x:v>
      </x:c>
      <x:c r="F24" s="188" t="n">
        <x:v>558.05</x:v>
      </x:c>
      <x:c r="G24" s="191" t="n">
        <x:v>2.809</x:v>
      </x:c>
      <x:c r="H24" s="194" t="n">
        <x:v>0.1355</x:v>
      </x:c>
      <x:c r="I24" s="194" t="n">
        <x:v>0.12313349894485</x:v>
      </x:c>
      <x:c r="J24" s="188" t="n">
        <x:v>910.86</x:v>
      </x:c>
      <x:c r="K24" s="188" t="n">
        <x:v>377.08</x:v>
      </x:c>
      <x:c r="L24" s="188" t="n">
        <x:v>4966.45</x:v>
      </x:c>
      <x:c r="M24" s="188" t="n">
        <x:v>6680.22</x:v>
      </x:c>
      <x:c r="N24" s="194" t="n">
        <x:v>0.065902004048</x:v>
      </x:c>
      <x:c r="O24" s="191" t="n">
        <x:v>21.484020333182</x:v>
      </x:c>
      <x:c r="P24" s="191" t="n">
        <x:v>216.89434304</x:v>
      </x:c>
      <x:c r="Q24" s="191" t="n">
        <x:v>2.2600000000000002</x:v>
      </x:c>
      <x:c r="R24" s="197" t="n">
        <x:v>32.938602681722</x:v>
      </x:c>
      <x:c r="S24" s="182" t="str">
        <x:v>https://www.sse.com.cn/assortment/stock/list/info/announcement/index.shtml?productId=601088</x:v>
      </x:c>
      <x:c r="T24" s="302"/>
      <x:c r="U24" s="302"/>
      <x:c r="V24" s="302"/>
      <x:c r="W24" s="302"/>
      <x:c r="X24" s="302"/>
      <x:c r="Y24" s="302"/>
    </x:row>
    <x:row r="25">
      <x:c r="A25" s="182" t="str">
        <x:v>煤炭</x:v>
      </x:c>
      <x:c r="B25" s="182" t="str">
        <x:v>601088</x:v>
      </x:c>
      <x:c r="C25" s="182" t="str">
        <x:v>中国神华</x:v>
      </x:c>
      <x:c r="D25" s="185" t="n">
        <x:v>2025</x:v>
      </x:c>
      <x:c r="E25" s="188" t="n">
        <x:v>2949.16</x:v>
      </x:c>
      <x:c r="F25" s="188" t="n">
        <x:v>528.49</x:v>
      </x:c>
      <x:c r="G25" s="191" t="n">
        <x:v>2.66</x:v>
      </x:c>
      <x:c r="H25" s="194" t="n">
        <x:v>0.1276</x:v>
      </x:c>
      <x:c r="I25" s="194" t="n">
        <x:v>0.09876314463058</x:v>
      </x:c>
      <x:c r="J25" s="188" t="n">
        <x:v>750.59</x:v>
      </x:c>
      <x:c r="K25" s="188" t="n">
        <x:v>483.98</x:v>
      </x:c>
      <x:c r="L25" s="188" t="n">
        <x:v>6036.27</x:v>
      </x:c>
      <x:c r="M25" s="188" t="n">
        <x:v>9038.3</x:v>
      </x:c>
      <x:c r="N25" s="194" t="n">
        <x:v>0.062144669707</x:v>
      </x:c>
      <x:c r="O25" s="191" t="n">
        <x:v>20.590215914238</x:v>
      </x:c>
      <x:c r="P25" s="191" t="n">
        <x:v>216.89434304</x:v>
      </x:c>
      <x:c r="Q25" s="191" t="n">
        <x:v>2.0100000000000002</x:v>
      </x:c>
      <x:c r="R25" s="197" t="n">
        <x:v>28.270809792844</x:v>
      </x:c>
      <x:c r="S25" s="182" t="str">
        <x:v>https://www.sse.com.cn/assortment/stock/list/info/announcement/index.shtml?productId=601088</x:v>
      </x:c>
      <x:c r="T25" s="302"/>
      <x:c r="U25" s="302"/>
      <x:c r="V25" s="302"/>
      <x:c r="W25" s="302"/>
      <x:c r="X25" s="302"/>
      <x:c r="Y25" s="302"/>
    </x:row>
    <x:row r="26">
      <x:c r="A26" s="182" t="str">
        <x:v>煤炭</x:v>
      </x:c>
      <x:c r="B26" s="182" t="str">
        <x:v>601225</x:v>
      </x:c>
      <x:c r="C26" s="182" t="str">
        <x:v>陕西煤业</x:v>
      </x:c>
      <x:c r="D26" s="185" t="n">
        <x:v>2016</x:v>
      </x:c>
      <x:c r="E26" s="188" t="n">
        <x:v>331.3174636301</x:v>
      </x:c>
      <x:c r="F26" s="188" t="n">
        <x:v>27.5488533221</x:v>
      </x:c>
      <x:c r="G26" s="191" t="n">
        <x:v>0.28</x:v>
      </x:c>
      <x:c r="H26" s="194" t="n">
        <x:v>0.08349999999999999</x:v>
      </x:c>
      <x:c r="I26" s="194" t="n">
        <x:v>0.06920908759561</x:v>
      </x:c>
      <x:c r="J26" s="188" t="n">
        <x:v>82.66537896</x:v>
      </x:c>
      <x:c r="K26" s="188" t="n">
        <x:v>20.0873780599</x:v>
      </x:c>
      <x:c r="L26" s="188" t="n">
        <x:v>445.686980501</x:v>
      </x:c>
      <x:c r="M26" s="188" t="n">
        <x:v>936.8910493725999</x:v>
      </x:c>
      <x:c r="N26" s="194" t="n">
        <x:v>0.258933147469</x:v>
      </x:c>
      <x:c r="O26" s="191" t="n">
        <x:v>3.431737350761</x:v>
      </x:c>
      <x:c r="P26" s="191" t="n">
        <x:v>96.95</x:v>
      </x:c>
      <x:c r="Q26" s="191" t="n">
        <x:v>0.11000000000000001</x:v>
      </x:c>
      <x:c r="R26" s="197" t="n">
        <x:v>17.377742651986</x:v>
      </x:c>
      <x:c r="S26" s="182" t="str">
        <x:v>https://www.sse.com.cn/assortment/stock/list/info/announcement/index.shtml?productId=601225</x:v>
      </x:c>
      <x:c r="T26" s="302"/>
      <x:c r="U26" s="302"/>
      <x:c r="V26" s="302"/>
      <x:c r="W26" s="302"/>
      <x:c r="X26" s="302"/>
      <x:c r="Y26" s="302"/>
    </x:row>
    <x:row r="27">
      <x:c r="A27" s="182" t="str">
        <x:v>煤炭</x:v>
      </x:c>
      <x:c r="B27" s="182" t="str">
        <x:v>601225</x:v>
      </x:c>
      <x:c r="C27" s="182" t="str">
        <x:v>陕西煤业</x:v>
      </x:c>
      <x:c r="D27" s="185" t="n">
        <x:v>2017</x:v>
      </x:c>
      <x:c r="E27" s="188" t="n">
        <x:v>509.27001983059995</x:v>
      </x:c>
      <x:c r="F27" s="188" t="n">
        <x:v>104.4940004363</x:v>
      </x:c>
      <x:c r="G27" s="191" t="n">
        <x:v>1.04</x:v>
      </x:c>
      <x:c r="H27" s="194" t="n">
        <x:v>0.2659</x:v>
      </x:c>
      <x:c r="I27" s="194" t="n">
        <x:v>0.21940058864314999</x:v>
      </x:c>
      <x:c r="J27" s="188" t="n">
        <x:v>169.3086464516</x:v>
      </x:c>
      <x:c r="K27" s="188" t="n">
        <x:v>50.1209117416</x:v>
      </x:c>
      <x:c r="L27" s="188" t="n">
        <x:v>585.7001123116</x:v>
      </x:c>
      <x:c r="M27" s="188" t="n">
        <x:v>1054.0720887472999</x:v>
      </x:c>
      <x:c r="N27" s="194" t="n">
        <x:v>0.17243689528699999</x:v>
      </x:c>
      <x:c r="O27" s="191" t="n">
        <x:v>4.422437904283</x:v>
      </x:c>
      <x:c r="P27" s="191" t="n">
        <x:v>96.95</x:v>
      </x:c>
      <x:c r="Q27" s="191" t="n">
        <x:v>0.418</x:v>
      </x:c>
      <x:c r="R27" s="197" t="n">
        <x:v>48.095254195045</x:v>
      </x:c>
      <x:c r="S27" s="182" t="str">
        <x:v>https://www.sse.com.cn/assortment/stock/list/info/announcement/index.shtml?productId=601225</x:v>
      </x:c>
      <x:c r="T27" s="302"/>
      <x:c r="U27" s="302"/>
      <x:c r="V27" s="302"/>
      <x:c r="W27" s="302"/>
      <x:c r="X27" s="302"/>
      <x:c r="Y27" s="302"/>
    </x:row>
    <x:row r="28">
      <x:c r="A28" s="182" t="str">
        <x:v>煤炭</x:v>
      </x:c>
      <x:c r="B28" s="182" t="str">
        <x:v>601225</x:v>
      </x:c>
      <x:c r="C28" s="182" t="str">
        <x:v>陕西煤业</x:v>
      </x:c>
      <x:c r="D28" s="185" t="n">
        <x:v>2018</x:v>
      </x:c>
      <x:c r="E28" s="188" t="n">
        <x:v>572.2372597959</x:v>
      </x:c>
      <x:c r="F28" s="188" t="n">
        <x:v>109.92829774129999</x:v>
      </x:c>
      <x:c r="G28" s="191" t="n">
        <x:v>1.1</x:v>
      </x:c>
      <x:c r="H28" s="194" t="n">
        <x:v>0.2291</x:v>
      </x:c>
      <x:c r="I28" s="194" t="n">
        <x:v>0.19892793841643003</x:v>
      </x:c>
      <x:c r="J28" s="188" t="n">
        <x:v>197.5826879318</x:v>
      </x:c>
      <x:c r="K28" s="188" t="n">
        <x:v>44.2222996107</x:v>
      </x:c>
      <x:c r="L28" s="188" t="n">
        <x:v>663.8889073427999</x:v>
      </x:c>
      <x:c r="M28" s="188" t="n">
        <x:v>1205.2963449694</x:v>
      </x:c>
      <x:c r="N28" s="194" t="n">
        <x:v>0.14532642086199998</x:v>
      </x:c>
      <x:c r="O28" s="191" t="n">
        <x:v>5.066441258303</x:v>
      </x:c>
      <x:c r="P28" s="191" t="n">
        <x:v>96.95</x:v>
      </x:c>
      <x:c r="Q28" s="191" t="n">
        <x:v>0.32999999999999996</x:v>
      </x:c>
      <x:c r="R28" s="197" t="n">
        <x:v>84.300484588633</x:v>
      </x:c>
      <x:c r="S28" s="182" t="str">
        <x:v>https://www.sse.com.cn/assortment/stock/list/info/announcement/index.shtml?productId=601225</x:v>
      </x:c>
      <x:c r="T28" s="302"/>
      <x:c r="U28" s="302"/>
      <x:c r="V28" s="302"/>
      <x:c r="W28" s="302"/>
      <x:c r="X28" s="302"/>
      <x:c r="Y28" s="302"/>
    </x:row>
    <x:row r="29">
      <x:c r="A29" s="182" t="str">
        <x:v>煤炭</x:v>
      </x:c>
      <x:c r="B29" s="182" t="str">
        <x:v>601225</x:v>
      </x:c>
      <x:c r="C29" s="182" t="str">
        <x:v>陕西煤业</x:v>
      </x:c>
      <x:c r="D29" s="185" t="n">
        <x:v>2019</x:v>
      </x:c>
      <x:c r="E29" s="188" t="n">
        <x:v>737.3207671623</x:v>
      </x:c>
      <x:c r="F29" s="188" t="n">
        <x:v>116.40259501540001</x:v>
      </x:c>
      <x:c r="G29" s="191" t="n">
        <x:v>1.2</x:v>
      </x:c>
      <x:c r="H29" s="194" t="n">
        <x:v>0.2127</x:v>
      </x:c>
      <x:c r="I29" s="194" t="n">
        <x:v>0.19453454366752</x:v>
      </x:c>
      <x:c r="J29" s="188" t="n">
        <x:v>193.81040400990003</x:v>
      </x:c>
      <x:c r="K29" s="188" t="n">
        <x:v>48.9174861195</x:v>
      </x:c>
      <x:c r="L29" s="188" t="n">
        <x:v>770.0276104817</x:v>
      </x:c>
      <x:c r="M29" s="188" t="n">
        <x:v>1280.0396365714998</x:v>
      </x:c>
      <x:c r="N29" s="194" t="n">
        <x:v>0.122450005454</x:v>
      </x:c>
      <x:c r="O29" s="191" t="n">
        <x:v>5.825379649852</x:v>
      </x:c>
      <x:c r="P29" s="191" t="n">
        <x:v>96.95</x:v>
      </x:c>
      <x:c r="Q29" s="191" t="n">
        <x:v>0.36</x:v>
      </x:c>
      <x:c r="R29" s="197" t="n">
        <x:v>24.635370565342</x:v>
      </x:c>
      <x:c r="S29" s="182" t="str">
        <x:v>https://www.sse.com.cn/assortment/stock/list/info/announcement/index.shtml?productId=601225</x:v>
      </x:c>
      <x:c r="T29" s="302"/>
      <x:c r="U29" s="302"/>
      <x:c r="V29" s="302"/>
      <x:c r="W29" s="302"/>
      <x:c r="X29" s="302"/>
      <x:c r="Y29" s="302"/>
    </x:row>
    <x:row r="30">
      <x:c r="A30" s="182" t="str">
        <x:v>煤炭</x:v>
      </x:c>
      <x:c r="B30" s="182" t="str">
        <x:v>601225</x:v>
      </x:c>
      <x:c r="C30" s="182" t="str">
        <x:v>陕西煤业</x:v>
      </x:c>
      <x:c r="D30" s="185" t="n">
        <x:v>2020</x:v>
      </x:c>
      <x:c r="E30" s="188" t="n">
        <x:v>950.627529385</x:v>
      </x:c>
      <x:c r="F30" s="188" t="n">
        <x:v>148.6010797902</x:v>
      </x:c>
      <x:c r="G30" s="191" t="n">
        <x:v>1.53</x:v>
      </x:c>
      <x:c r="H30" s="194" t="n">
        <x:v>0.1937</x:v>
      </x:c>
      <x:c r="I30" s="194" t="n">
        <x:v>0.20335026513549</x:v>
      </x:c>
      <x:c r="J30" s="188" t="n">
        <x:v>211.46536573810002</x:v>
      </x:c>
      <x:c r="K30" s="188" t="n">
        <x:v>83.02054595220001</x:v>
      </x:c>
      <x:c r="L30" s="188" t="n">
        <x:v>898.0911952471</x:v>
      </x:c>
      <x:c r="M30" s="188" t="n">
        <x:v>1491.3185743668</x:v>
      </x:c>
      <x:c r="N30" s="194" t="n">
        <x:v>0.085528713539</x:v>
      </x:c>
      <x:c r="O30" s="191" t="n">
        <x:v>7.023256773268</x:v>
      </x:c>
      <x:c r="P30" s="191" t="n">
        <x:v>96.95</x:v>
      </x:c>
      <x:c r="Q30" s="191" t="n">
        <x:v>0.8</x:v>
      </x:c>
      <x:c r="R30" s="197" t="n">
        <x:v>40.403746349707</x:v>
      </x:c>
      <x:c r="S30" s="182" t="str">
        <x:v>https://www.sse.com.cn/assortment/stock/list/info/announcement/index.shtml?productId=601225</x:v>
      </x:c>
      <x:c r="T30" s="302"/>
      <x:c r="U30" s="302"/>
      <x:c r="V30" s="302"/>
      <x:c r="W30" s="302"/>
      <x:c r="X30" s="302"/>
      <x:c r="Y30" s="302"/>
    </x:row>
    <x:row r="31">
      <x:c r="A31" s="182" t="str">
        <x:v>煤炭</x:v>
      </x:c>
      <x:c r="B31" s="182" t="str">
        <x:v>601225</x:v>
      </x:c>
      <x:c r="C31" s="182" t="str">
        <x:v>陕西煤业</x:v>
      </x:c>
      <x:c r="D31" s="185" t="n">
        <x:v>2021</x:v>
      </x:c>
      <x:c r="E31" s="188" t="n">
        <x:v>1523.075448396</x:v>
      </x:c>
      <x:c r="F31" s="188" t="n">
        <x:v>214.19341833259998</x:v>
      </x:c>
      <x:c r="G31" s="191" t="n">
        <x:v>2.21</x:v>
      </x:c>
      <x:c r="H31" s="194" t="n">
        <x:v>0.215</x:v>
      </x:c>
      <x:c r="I31" s="194" t="n">
        <x:v>0.28457103824073</x:v>
      </x:c>
      <x:c r="J31" s="188" t="n">
        <x:v>526.0763859915</x:v>
      </x:c>
      <x:c r="K31" s="188" t="n">
        <x:v>84.04521441600001</x:v>
      </x:c>
      <x:c r="L31" s="188" t="n">
        <x:v>1262.2424804803</x:v>
      </x:c>
      <x:c r="M31" s="188" t="n">
        <x:v>2023.1888322389002</x:v>
      </x:c>
      <x:c r="N31" s="194" t="n">
        <x:v>0.043686488528</x:v>
      </x:c>
      <x:c r="O31" s="191" t="n">
        <x:v>8.807135523674</x:v>
      </x:c>
      <x:c r="P31" s="191" t="n">
        <x:v>96.95</x:v>
      </x:c>
      <x:c r="Q31" s="191" t="n">
        <x:v>1.35</x:v>
      </x:c>
      <x:c r="R31" s="197" t="n">
        <x:v>110.529257479115</x:v>
      </x:c>
      <x:c r="S31" s="182" t="str">
        <x:v>https://www.sse.com.cn/assortment/stock/list/info/announcement/index.shtml?productId=601225</x:v>
      </x:c>
      <x:c r="T31" s="302"/>
      <x:c r="U31" s="302"/>
      <x:c r="V31" s="302"/>
      <x:c r="W31" s="302"/>
      <x:c r="X31" s="302"/>
      <x:c r="Y31" s="302"/>
    </x:row>
    <x:row r="32">
      <x:c r="A32" s="182" t="str">
        <x:v>煤炭</x:v>
      </x:c>
      <x:c r="B32" s="182" t="str">
        <x:v>601225</x:v>
      </x:c>
      <x:c r="C32" s="182" t="str">
        <x:v>陕西煤业</x:v>
      </x:c>
      <x:c r="D32" s="185" t="n">
        <x:v>2022</x:v>
      </x:c>
      <x:c r="E32" s="188" t="n">
        <x:v>1668.4772595923</x:v>
      </x:c>
      <x:c r="F32" s="188" t="n">
        <x:v>352.0242611818</x:v>
      </x:c>
      <x:c r="G32" s="191" t="n">
        <x:v>3.63</x:v>
      </x:c>
      <x:c r="H32" s="194" t="n">
        <x:v>0.3247</x:v>
      </x:c>
      <x:c r="I32" s="194" t="n">
        <x:v>0.36559817767575997</x:v>
      </x:c>
      <x:c r="J32" s="188" t="n">
        <x:v>561.2457264278</x:v>
      </x:c>
      <x:c r="K32" s="188" t="n">
        <x:v>101.7639233727</x:v>
      </x:c>
      <x:c r="L32" s="188" t="n">
        <x:v>1444.3677563959</x:v>
      </x:c>
      <x:c r="M32" s="188" t="n">
        <x:v>2233.3317223454997</x:v>
      </x:c>
      <x:c r="N32" s="194" t="n">
        <x:v>0.033691881079</x:v>
      </x:c>
      <x:c r="O32" s="191" t="n">
        <x:v>10.591354221723</x:v>
      </x:c>
      <x:c r="P32" s="191" t="n">
        <x:v>96.95</x:v>
      </x:c>
      <x:c r="Q32" s="191" t="n">
        <x:v>2.18</x:v>
      </x:c>
      <x:c r="R32" s="197" t="n">
        <x:v>140.076413333737</x:v>
      </x:c>
      <x:c r="S32" s="182" t="str">
        <x:v>https://www.sse.com.cn/assortment/stock/list/info/announcement/index.shtml?productId=601225</x:v>
      </x:c>
      <x:c r="T32" s="302"/>
      <x:c r="U32" s="302"/>
      <x:c r="V32" s="302"/>
      <x:c r="W32" s="302"/>
      <x:c r="X32" s="302"/>
      <x:c r="Y32" s="302"/>
    </x:row>
    <x:row r="33">
      <x:c r="A33" s="182" t="str">
        <x:v>煤炭</x:v>
      </x:c>
      <x:c r="B33" s="182" t="str">
        <x:v>601225</x:v>
      </x:c>
      <x:c r="C33" s="182" t="str">
        <x:v>陕西煤业</x:v>
      </x:c>
      <x:c r="D33" s="185" t="n">
        <x:v>2023</x:v>
      </x:c>
      <x:c r="E33" s="188" t="n">
        <x:v>1814.7181471454</x:v>
      </x:c>
      <x:c r="F33" s="188" t="n">
        <x:v>231.0017049131</x:v>
      </x:c>
      <x:c r="G33" s="191" t="n">
        <x:v>2.38</x:v>
      </x:c>
      <x:c r="H33" s="194" t="n">
        <x:v>0.2064</x:v>
      </x:c>
      <x:c r="I33" s="194" t="n">
        <x:v>0.24523169764896</x:v>
      </x:c>
      <x:c r="J33" s="188" t="n">
        <x:v>419.8551466255</x:v>
      </x:c>
      <x:c r="K33" s="188" t="n">
        <x:v>129.5791766047</x:v>
      </x:c>
      <x:c r="L33" s="188" t="n">
        <x:v>1390.7535348539002</x:v>
      </x:c>
      <x:c r="M33" s="188" t="n">
        <x:v>2359.6738496973003</x:v>
      </x:c>
      <x:c r="N33" s="194" t="n">
        <x:v>0.026440547969</x:v>
      </x:c>
      <x:c r="O33" s="191" t="n">
        <x:v>9.209515556422</x:v>
      </x:c>
      <x:c r="P33" s="191" t="n">
        <x:v>96.95</x:v>
      </x:c>
      <x:c r="Q33" s="191" t="n">
        <x:v>1.315</x:v>
      </x:c>
      <x:c r="R33" s="197" t="n">
        <x:v>119.568651504773</x:v>
      </x:c>
      <x:c r="S33" s="182" t="str">
        <x:v>https://www.sse.com.cn/assortment/stock/list/info/announcement/index.shtml?productId=601225</x:v>
      </x:c>
      <x:c r="T33" s="302"/>
      <x:c r="U33" s="302"/>
      <x:c r="V33" s="302"/>
      <x:c r="W33" s="302"/>
      <x:c r="X33" s="302"/>
      <x:c r="Y33" s="302"/>
    </x:row>
    <x:row r="34">
      <x:c r="A34" s="182" t="str">
        <x:v>煤炭</x:v>
      </x:c>
      <x:c r="B34" s="182" t="str">
        <x:v>601225</x:v>
      </x:c>
      <x:c r="C34" s="182" t="str">
        <x:v>陕西煤业</x:v>
      </x:c>
      <x:c r="D34" s="185" t="n">
        <x:v>2024</x:v>
      </x:c>
      <x:c r="E34" s="188" t="n">
        <x:v>1841.4484507104999</x:v>
      </x:c>
      <x:c r="F34" s="188" t="n">
        <x:v>223.5978656416</x:v>
      </x:c>
      <x:c r="G34" s="191" t="n">
        <x:v>2.31</x:v>
      </x:c>
      <x:c r="H34" s="194" t="n">
        <x:v>0.2132</x:v>
      </x:c>
      <x:c r="I34" s="194" t="n">
        <x:v>0.23786690368325</x:v>
      </x:c>
      <x:c r="J34" s="188" t="n">
        <x:v>423.50239402910006</x:v>
      </x:c>
      <x:c r="K34" s="188" t="n">
        <x:v>138.9318836912</x:v>
      </x:c>
      <x:c r="L34" s="188" t="n">
        <x:v>1286.4690775660001</x:v>
      </x:c>
      <x:c r="M34" s="188" t="n">
        <x:v>2285.5286111795003</x:v>
      </x:c>
      <x:c r="N34" s="194" t="n">
        <x:v>0.08192304570999999</x:v>
      </x:c>
      <x:c r="O34" s="191" t="n">
        <x:v>9.343607385423</x:v>
      </x:c>
      <x:c r="P34" s="191" t="n">
        <x:v>96.95</x:v>
      </x:c>
      <x:c r="Q34" s="191" t="n">
        <x:v>1.3479999999999999</x:v>
      </x:c>
      <x:c r="R34" s="197" t="n">
        <x:v>49.22710317324</x:v>
      </x:c>
      <x:c r="S34" s="182" t="str">
        <x:v>https://www.sse.com.cn/assortment/stock/list/info/announcement/index.shtml?productId=601225</x:v>
      </x:c>
      <x:c r="T34" s="302"/>
      <x:c r="U34" s="302"/>
      <x:c r="V34" s="302"/>
      <x:c r="W34" s="302"/>
      <x:c r="X34" s="302"/>
      <x:c r="Y34" s="302"/>
    </x:row>
    <x:row r="35">
      <x:c r="A35" s="182" t="str">
        <x:v>煤炭</x:v>
      </x:c>
      <x:c r="B35" s="182" t="str">
        <x:v>601225</x:v>
      </x:c>
      <x:c r="C35" s="182" t="str">
        <x:v>陕西煤业</x:v>
      </x:c>
      <x:c r="D35" s="185" t="n">
        <x:v>2025</x:v>
      </x:c>
      <x:c r="E35" s="188" t="n">
        <x:v>1581.785197182</x:v>
      </x:c>
      <x:c r="F35" s="188" t="n">
        <x:v>167.6476316836</x:v>
      </x:c>
      <x:c r="G35" s="191" t="n">
        <x:v>1.73</x:v>
      </x:c>
      <x:c r="H35" s="194" t="n">
        <x:v>0.1788</x:v>
      </x:c>
      <x:c r="I35" s="194" t="n">
        <x:v>0.1725201178623</x:v>
      </x:c>
      <x:c r="J35" s="188" t="n">
        <x:v>352.69272762059995</x:v>
      </x:c>
      <x:c r="K35" s="188" t="n">
        <x:v>170.5963681682</x:v>
      </x:c>
      <x:c r="L35" s="188" t="n">
        <x:v>1374.0742977523</x:v>
      </x:c>
      <x:c r="M35" s="188" t="n">
        <x:v>2362.6928991448003</x:v>
      </x:c>
      <x:c r="N35" s="194" t="n">
        <x:v>0.108314701541</x:v>
      </x:c>
      <x:c r="O35" s="191" t="n">
        <x:v>9.997803138943</x:v>
      </x:c>
      <x:c r="P35" s="191" t="n">
        <x:v>96.95</x:v>
      </x:c>
      <x:c r="Q35" s="191" t="n">
        <x:v>0.9480000000000001</x:v>
      </x:c>
      <x:c r="R35" s="197" t="n">
        <x:v>73.041889725348</x:v>
      </x:c>
      <x:c r="S35" s="182" t="str">
        <x:v>https://www.sse.com.cn/assortment/stock/list/info/announcement/index.shtml?productId=601225</x:v>
      </x:c>
      <x:c r="T35" s="302"/>
      <x:c r="U35" s="302"/>
      <x:c r="V35" s="302"/>
      <x:c r="W35" s="302"/>
      <x:c r="X35" s="302"/>
      <x:c r="Y35" s="302"/>
    </x:row>
    <x:row r="36">
      <x:c r="A36" s="182" t="str">
        <x:v>煤炭</x:v>
      </x:c>
      <x:c r="B36" s="182" t="str">
        <x:v>600188</x:v>
      </x:c>
      <x:c r="C36" s="182" t="str">
        <x:v>兖矿能源</x:v>
      </x:c>
      <x:c r="D36" s="185" t="n">
        <x:v>2016</x:v>
      </x:c>
      <x:c r="E36" s="188" t="n">
        <x:v>1022.82148</x:v>
      </x:c>
      <x:c r="F36" s="188" t="n">
        <x:v>21.61814</x:v>
      </x:c>
      <x:c r="G36" s="191" t="n">
        <x:v>0.44</x:v>
      </x:c>
      <x:c r="H36" s="194" t="n">
        <x:v>0.051699999999999996</x:v>
      </x:c>
      <x:c r="I36" s="194" t="n">
        <x:v>0.04026180919262</x:v>
      </x:c>
      <x:c r="J36" s="188" t="n">
        <x:v>62.35489</x:v>
      </x:c>
      <x:c r="K36" s="188" t="n">
        <x:v>72.26598</x:v>
      </x:c>
      <x:c r="L36" s="188" t="n">
        <x:v>522.40159</x:v>
      </x:c>
      <x:c r="M36" s="188" t="n">
        <x:v>1530.46361</x:v>
      </x:c>
      <x:c r="N36" s="194" t="n">
        <x:v>0.352952649738</x:v>
      </x:c>
      <x:c r="O36" s="191" t="n">
        <x:v>7.198850125895</x:v>
      </x:c>
      <x:c r="P36" s="191" t="n">
        <x:v>100.3685202</x:v>
      </x:c>
      <x:c r="Q36" s="191" t="n">
        <x:v>0.12</x:v>
      </x:c>
      <x:c r="R36" s="197" t="n">
        <x:v>2.567624517396</x:v>
      </x:c>
      <x:c r="S36" s="182" t="str">
        <x:v>https://www.sse.com.cn/assortment/stock/list/info/announcement/index.shtml?productId=600188</x:v>
      </x:c>
      <x:c r="T36" s="302"/>
      <x:c r="U36" s="302"/>
      <x:c r="V36" s="302"/>
      <x:c r="W36" s="302"/>
      <x:c r="X36" s="302"/>
      <x:c r="Y36" s="302"/>
    </x:row>
    <x:row r="37">
      <x:c r="A37" s="182" t="str">
        <x:v>煤炭</x:v>
      </x:c>
      <x:c r="B37" s="182" t="str">
        <x:v>600188</x:v>
      </x:c>
      <x:c r="C37" s="182" t="str">
        <x:v>兖矿能源</x:v>
      </x:c>
      <x:c r="D37" s="185" t="n">
        <x:v>2017</x:v>
      </x:c>
      <x:c r="E37" s="188" t="n">
        <x:v>1512.27775</x:v>
      </x:c>
      <x:c r="F37" s="188" t="n">
        <x:v>67.70618</x:v>
      </x:c>
      <x:c r="G37" s="191" t="n">
        <x:v>1.3784</x:v>
      </x:c>
      <x:c r="H37" s="194" t="n">
        <x:v>0.14</x:v>
      </x:c>
      <x:c r="I37" s="194" t="n">
        <x:v>0.08227228132145</x:v>
      </x:c>
      <x:c r="J37" s="188" t="n">
        <x:v>160.63074</x:v>
      </x:c>
      <x:c r="K37" s="188" t="n">
        <x:v>101.73771</x:v>
      </x:c>
      <x:c r="L37" s="188" t="n">
        <x:v>772.81366</x:v>
      </x:c>
      <x:c r="M37" s="188" t="n">
        <x:v>1948.87291</x:v>
      </x:c>
      <x:c r="N37" s="194" t="n">
        <x:v>0.368144611338</x:v>
      </x:c>
      <x:c r="O37" s="191" t="n">
        <x:v>9.301582690284</x:v>
      </x:c>
      <x:c r="P37" s="191" t="n">
        <x:v>100.3685202</x:v>
      </x:c>
      <x:c r="Q37" s="191" t="n">
        <x:v>0.48</x:v>
      </x:c>
      <x:c r="R37" s="197" t="n">
        <x:v>4.934279739166</x:v>
      </x:c>
      <x:c r="S37" s="182" t="str">
        <x:v>https://www.sse.com.cn/assortment/stock/list/info/announcement/index.shtml?productId=600188</x:v>
      </x:c>
      <x:c r="T37" s="302"/>
      <x:c r="U37" s="302"/>
      <x:c r="V37" s="302"/>
      <x:c r="W37" s="302"/>
      <x:c r="X37" s="302"/>
      <x:c r="Y37" s="302"/>
    </x:row>
    <x:row r="38">
      <x:c r="A38" s="182" t="str">
        <x:v>煤炭</x:v>
      </x:c>
      <x:c r="B38" s="182" t="str">
        <x:v>600188</x:v>
      </x:c>
      <x:c r="C38" s="182" t="str">
        <x:v>兖矿能源</x:v>
      </x:c>
      <x:c r="D38" s="185" t="n">
        <x:v>2018</x:v>
      </x:c>
      <x:c r="E38" s="188" t="n">
        <x:v>1630.08472</x:v>
      </x:c>
      <x:c r="F38" s="188" t="n">
        <x:v>79.08904</x:v>
      </x:c>
      <x:c r="G38" s="191" t="n">
        <x:v>1.6101</x:v>
      </x:c>
      <x:c r="H38" s="194" t="n">
        <x:v>0.1623</x:v>
      </x:c>
      <x:c r="I38" s="194" t="n">
        <x:v>0.08794664236426</x:v>
      </x:c>
      <x:c r="J38" s="188" t="n">
        <x:v>224.32396</x:v>
      </x:c>
      <x:c r="K38" s="188" t="n">
        <x:v>106.89581</x:v>
      </x:c>
      <x:c r="L38" s="188" t="n">
        <x:v>849.53491</x:v>
      </x:c>
      <x:c r="M38" s="188" t="n">
        <x:v>2036.799</x:v>
      </x:c>
      <x:c r="N38" s="194" t="n">
        <x:v>0.335990934795</x:v>
      </x:c>
      <x:c r="O38" s="191" t="n">
        <x:v>10.316604017576</x:v>
      </x:c>
      <x:c r="P38" s="191" t="n">
        <x:v>100.3685202</x:v>
      </x:c>
      <x:c r="Q38" s="191" t="n">
        <x:v>0.54</x:v>
      </x:c>
      <x:c r="R38" s="197" t="n">
        <x:v>6.209842005053</x:v>
      </x:c>
      <x:c r="S38" s="182" t="str">
        <x:v>https://www.sse.com.cn/assortment/stock/list/info/announcement/index.shtml?productId=600188</x:v>
      </x:c>
      <x:c r="T38" s="302"/>
      <x:c r="U38" s="302"/>
      <x:c r="V38" s="302"/>
      <x:c r="W38" s="302"/>
      <x:c r="X38" s="302"/>
      <x:c r="Y38" s="302"/>
    </x:row>
    <x:row r="39">
      <x:c r="A39" s="182" t="str">
        <x:v>煤炭</x:v>
      </x:c>
      <x:c r="B39" s="182" t="str">
        <x:v>600188</x:v>
      </x:c>
      <x:c r="C39" s="182" t="str">
        <x:v>兖矿能源</x:v>
      </x:c>
      <x:c r="D39" s="185" t="n">
        <x:v>2019</x:v>
      </x:c>
      <x:c r="E39" s="188" t="n">
        <x:v>2146.88079</x:v>
      </x:c>
      <x:c r="F39" s="188" t="n">
        <x:v>99.18114</x:v>
      </x:c>
      <x:c r="G39" s="191" t="n">
        <x:v>2.0192</x:v>
      </x:c>
      <x:c r="H39" s="194" t="n">
        <x:v>0.1591</x:v>
      </x:c>
      <x:c r="I39" s="194" t="n">
        <x:v>0.09431640470354999</x:v>
      </x:c>
      <x:c r="J39" s="188" t="n">
        <x:v>281.27109</x:v>
      </x:c>
      <x:c r="K39" s="188" t="n">
        <x:v>131.41397</x:v>
      </x:c>
      <x:c r="L39" s="188" t="n">
        <x:v>979.83109</x:v>
      </x:c>
      <x:c r="M39" s="188" t="n">
        <x:v>2362.24771</x:v>
      </x:c>
      <x:c r="N39" s="194" t="n">
        <x:v>0.313272264507</x:v>
      </x:c>
      <x:c r="O39" s="191" t="n">
        <x:v>10.785842106378</x:v>
      </x:c>
      <x:c r="P39" s="191" t="n">
        <x:v>100.3685202</x:v>
      </x:c>
      <x:c r="Q39" s="191" t="n">
        <x:v>1.58</x:v>
      </x:c>
      <x:c r="R39" s="197" t="n">
        <x:v>9.039971881708</x:v>
      </x:c>
      <x:c r="S39" s="182" t="str">
        <x:v>https://www.sse.com.cn/assortment/stock/list/info/announcement/index.shtml?productId=600188</x:v>
      </x:c>
      <x:c r="T39" s="302"/>
      <x:c r="U39" s="302"/>
      <x:c r="V39" s="302"/>
      <x:c r="W39" s="302"/>
      <x:c r="X39" s="302"/>
      <x:c r="Y39" s="302"/>
    </x:row>
    <x:row r="40">
      <x:c r="A40" s="182" t="str">
        <x:v>煤炭</x:v>
      </x:c>
      <x:c r="B40" s="182" t="str">
        <x:v>600188</x:v>
      </x:c>
      <x:c r="C40" s="182" t="str">
        <x:v>兖矿能源</x:v>
      </x:c>
      <x:c r="D40" s="185" t="n">
        <x:v>2020</x:v>
      </x:c>
      <x:c r="E40" s="188" t="n">
        <x:v>2149.91818</x:v>
      </x:c>
      <x:c r="F40" s="188" t="n">
        <x:v>71.21636</x:v>
      </x:c>
      <x:c r="G40" s="191" t="n">
        <x:v>1.4589</x:v>
      </x:c>
      <x:c r="H40" s="194" t="n">
        <x:v>0.0946</x:v>
      </x:c>
      <x:c r="I40" s="194" t="n">
        <x:v>0.05278495355386</x:v>
      </x:c>
      <x:c r="J40" s="188" t="n">
        <x:v>222.33399</x:v>
      </x:c>
      <x:c r="K40" s="188" t="n">
        <x:v>120.12229</x:v>
      </x:c>
      <x:c r="L40" s="188" t="n">
        <x:v>797.8238</x:v>
      </x:c>
      <x:c r="M40" s="188" t="n">
        <x:v>2589.10041</x:v>
      </x:c>
      <x:c r="N40" s="194" t="n">
        <x:v>0.367755524785</x:v>
      </x:c>
      <x:c r="O40" s="191" t="n">
        <x:v>10.061877983539</x:v>
      </x:c>
      <x:c r="P40" s="191" t="n">
        <x:v>100.3685202</x:v>
      </x:c>
      <x:c r="Q40" s="191" t="n">
        <x:v>0.6</x:v>
      </x:c>
      <x:c r="R40" s="197" t="n">
        <x:v>6.826089359284</x:v>
      </x:c>
      <x:c r="S40" s="182" t="str">
        <x:v>https://www.sse.com.cn/assortment/stock/list/info/announcement/index.shtml?productId=600188</x:v>
      </x:c>
      <x:c r="T40" s="302"/>
      <x:c r="U40" s="302"/>
      <x:c r="V40" s="302"/>
      <x:c r="W40" s="302"/>
      <x:c r="X40" s="302"/>
      <x:c r="Y40" s="302"/>
    </x:row>
    <x:row r="41">
      <x:c r="A41" s="182" t="str">
        <x:v>煤炭</x:v>
      </x:c>
      <x:c r="B41" s="182" t="str">
        <x:v>600188</x:v>
      </x:c>
      <x:c r="C41" s="182" t="str">
        <x:v>兖矿能源</x:v>
      </x:c>
      <x:c r="D41" s="185" t="n">
        <x:v>2021</x:v>
      </x:c>
      <x:c r="E41" s="188" t="n">
        <x:v>1519.90797</x:v>
      </x:c>
      <x:c r="F41" s="188" t="n">
        <x:v>162.58908</x:v>
      </x:c>
      <x:c r="G41" s="191" t="n">
        <x:v>3.3398</x:v>
      </x:c>
      <x:c r="H41" s="194" t="n">
        <x:v>0.2783</x:v>
      </x:c>
      <x:c r="I41" s="194" t="n">
        <x:v>0.12657896181446002</x:v>
      </x:c>
      <x:c r="J41" s="188" t="n">
        <x:v>361.81686</x:v>
      </x:c>
      <x:c r="K41" s="188" t="n">
        <x:v>104.40317</x:v>
      </x:c>
      <x:c r="L41" s="188" t="n">
        <x:v>964.87092</x:v>
      </x:c>
      <x:c r="M41" s="188" t="n">
        <x:v>2886.95542</x:v>
      </x:c>
      <x:c r="N41" s="194" t="n">
        <x:v>0.341107245085</x:v>
      </x:c>
      <x:c r="O41" s="191" t="n">
        <x:v>12.323722288695</x:v>
      </x:c>
      <x:c r="P41" s="191" t="n">
        <x:v>100.3685202</x:v>
      </x:c>
      <x:c r="Q41" s="191" t="n">
        <x:v>1.6</x:v>
      </x:c>
      <x:c r="R41" s="197" t="n">
        <x:v>6.801920315588</x:v>
      </x:c>
      <x:c r="S41" s="182" t="str">
        <x:v>https://www.sse.com.cn/assortment/stock/list/info/announcement/index.shtml?productId=600188</x:v>
      </x:c>
      <x:c r="T41" s="302"/>
      <x:c r="U41" s="302"/>
      <x:c r="V41" s="302"/>
      <x:c r="W41" s="302"/>
      <x:c r="X41" s="302"/>
      <x:c r="Y41" s="302"/>
    </x:row>
    <x:row r="42">
      <x:c r="A42" s="182" t="str">
        <x:v>煤炭</x:v>
      </x:c>
      <x:c r="B42" s="182" t="str">
        <x:v>600188</x:v>
      </x:c>
      <x:c r="C42" s="182" t="str">
        <x:v>兖矿能源</x:v>
      </x:c>
      <x:c r="D42" s="185" t="n">
        <x:v>2022</x:v>
      </x:c>
      <x:c r="E42" s="188" t="n">
        <x:v>2249.73103</x:v>
      </x:c>
      <x:c r="F42" s="188" t="n">
        <x:v>333.5692</x:v>
      </x:c>
      <x:c r="G42" s="191" t="n">
        <x:v>4.5534</x:v>
      </x:c>
      <x:c r="H42" s="194" t="n">
        <x:v>0.3943</x:v>
      </x:c>
      <x:c r="I42" s="194" t="n">
        <x:v>0.24527611381994</x:v>
      </x:c>
      <x:c r="J42" s="188" t="n">
        <x:v>589.1983</x:v>
      </x:c>
      <x:c r="K42" s="188" t="n">
        <x:v>205.91129</x:v>
      </x:c>
      <x:c r="L42" s="188" t="n">
        <x:v>1439.10753</x:v>
      </x:c>
      <x:c r="M42" s="188" t="n">
        <x:v>3774.75427</x:v>
      </x:c>
      <x:c r="N42" s="194" t="n">
        <x:v>0.255749231689</x:v>
      </x:c>
      <x:c r="O42" s="191" t="n">
        <x:v>16.466269148448</x:v>
      </x:c>
      <x:c r="P42" s="191" t="n">
        <x:v>100.3685202</x:v>
      </x:c>
      <x:c r="Q42" s="191" t="n">
        <x:v>3.07</x:v>
      </x:c>
      <x:c r="R42" s="197" t="n">
        <x:v>8.933329155009</x:v>
      </x:c>
      <x:c r="S42" s="182" t="str">
        <x:v>https://www.sse.com.cn/assortment/stock/list/info/announcement/index.shtml?productId=600188</x:v>
      </x:c>
      <x:c r="T42" s="302"/>
      <x:c r="U42" s="302"/>
      <x:c r="V42" s="302"/>
      <x:c r="W42" s="302"/>
      <x:c r="X42" s="302"/>
      <x:c r="Y42" s="302"/>
    </x:row>
    <x:row r="43">
      <x:c r="A43" s="182" t="str">
        <x:v>煤炭</x:v>
      </x:c>
      <x:c r="B43" s="182" t="str">
        <x:v>600188</x:v>
      </x:c>
      <x:c r="C43" s="182" t="str">
        <x:v>兖矿能源</x:v>
      </x:c>
      <x:c r="D43" s="185" t="n">
        <x:v>2023</x:v>
      </x:c>
      <x:c r="E43" s="188" t="n">
        <x:v>1500.67937</x:v>
      </x:c>
      <x:c r="F43" s="188" t="n">
        <x:v>201.43947</x:v>
      </x:c>
      <x:c r="G43" s="191" t="n">
        <x:v>2.1098</x:v>
      </x:c>
      <x:c r="H43" s="194" t="n">
        <x:v>0.2175</x:v>
      </x:c>
      <x:c r="I43" s="194" t="n">
        <x:v>0.137059506205</x:v>
      </x:c>
      <x:c r="J43" s="188" t="n">
        <x:v>161.58634</x:v>
      </x:c>
      <x:c r="K43" s="188" t="n">
        <x:v>181.91087</x:v>
      </x:c>
      <x:c r="L43" s="188" t="n">
        <x:v>1184.8261</x:v>
      </x:c>
      <x:c r="M43" s="188" t="n">
        <x:v>3544.64336</x:v>
      </x:c>
      <x:c r="N43" s="194" t="n">
        <x:v>0.280267922487</x:v>
      </x:c>
      <x:c r="O43" s="191" t="n">
        <x:v>7.547966756867</x:v>
      </x:c>
      <x:c r="P43" s="191" t="n">
        <x:v>100.3685202</x:v>
      </x:c>
      <x:c r="Q43" s="191" t="n">
        <x:v>1.49</x:v>
      </x:c>
      <x:c r="R43" s="197" t="n">
        <x:v>3.598297159016</x:v>
      </x:c>
      <x:c r="S43" s="182" t="str">
        <x:v>https://www.sse.com.cn/assortment/stock/list/info/announcement/index.shtml?productId=600188</x:v>
      </x:c>
      <x:c r="T43" s="302"/>
      <x:c r="U43" s="302"/>
      <x:c r="V43" s="302"/>
      <x:c r="W43" s="302"/>
      <x:c r="X43" s="302"/>
      <x:c r="Y43" s="302"/>
    </x:row>
    <x:row r="44">
      <x:c r="A44" s="182" t="str">
        <x:v>煤炭</x:v>
      </x:c>
      <x:c r="B44" s="182" t="str">
        <x:v>600188</x:v>
      </x:c>
      <x:c r="C44" s="182" t="str">
        <x:v>兖矿能源</x:v>
      </x:c>
      <x:c r="D44" s="185" t="n">
        <x:v>2024</x:v>
      </x:c>
      <x:c r="E44" s="188" t="n">
        <x:v>1566.72148</x:v>
      </x:c>
      <x:c r="F44" s="188" t="n">
        <x:v>148.62943</x:v>
      </x:c>
      <x:c r="G44" s="191" t="n">
        <x:v>1.5017</x:v>
      </x:c>
      <x:c r="H44" s="194" t="n">
        <x:v>0.1772</x:v>
      </x:c>
      <x:c r="I44" s="194" t="n">
        <x:v>0.10439256524462</x:v>
      </x:c>
      <x:c r="J44" s="188" t="n">
        <x:v>258.52012</x:v>
      </x:c>
      <x:c r="K44" s="188" t="n">
        <x:v>185.50909</x:v>
      </x:c>
      <x:c r="L44" s="188" t="n">
        <x:v>1496.20852</x:v>
      </x:c>
      <x:c r="M44" s="188" t="n">
        <x:v>4119.03306</x:v>
      </x:c>
      <x:c r="N44" s="194" t="n">
        <x:v>0.31248772798</x:v>
      </x:c>
      <x:c r="O44" s="191" t="n">
        <x:v>5.909169550173</x:v>
      </x:c>
      <x:c r="P44" s="191" t="n">
        <x:v>100.3685202</x:v>
      </x:c>
      <x:c r="Q44" s="191" t="n">
        <x:v>0.77</x:v>
      </x:c>
      <x:c r="R44" s="197" t="n">
        <x:v>5.40009097668</x:v>
      </x:c>
      <x:c r="S44" s="182" t="str">
        <x:v>https://www.sse.com.cn/assortment/stock/list/info/announcement/index.shtml?productId=600188</x:v>
      </x:c>
      <x:c r="T44" s="302"/>
      <x:c r="U44" s="302"/>
      <x:c r="V44" s="302"/>
      <x:c r="W44" s="302"/>
      <x:c r="X44" s="302"/>
      <x:c r="Y44" s="302"/>
    </x:row>
    <x:row r="45">
      <x:c r="A45" s="182" t="str">
        <x:v>煤炭</x:v>
      </x:c>
      <x:c r="B45" s="182" t="str">
        <x:v>600188</x:v>
      </x:c>
      <x:c r="C45" s="182" t="str">
        <x:v>兖矿能源</x:v>
      </x:c>
      <x:c r="D45" s="185" t="n">
        <x:v>2025</x:v>
      </x:c>
      <x:c r="E45" s="188" t="n">
        <x:v>1449.32859</x:v>
      </x:c>
      <x:c r="F45" s="188" t="n">
        <x:v>83.80948</x:v>
      </x:c>
      <x:c r="G45" s="191" t="n">
        <x:v>0.8389</x:v>
      </x:c>
      <x:c r="H45" s="194" t="n">
        <x:v>0.09949999999999999</x:v>
      </x:c>
      <x:c r="I45" s="194" t="n">
        <x:v>0.061442267651340005</x:v>
      </x:c>
      <x:c r="J45" s="188" t="n">
        <x:v>194.84794</x:v>
      </x:c>
      <x:c r="K45" s="188" t="n">
        <x:v>185.20825</x:v>
      </x:c>
      <x:c r="L45" s="188" t="n">
        <x:v>1710.96833</x:v>
      </x:c>
      <x:c r="M45" s="188" t="n">
        <x:v>4529.44273</x:v>
      </x:c>
      <x:c r="N45" s="194" t="n">
        <x:v>0.295581439</x:v>
      </x:c>
      <x:c r="O45" s="191" t="n">
        <x:v>7.144585479166</x:v>
      </x:c>
      <x:c r="P45" s="191" t="n">
        <x:v>100.3685202</x:v>
      </x:c>
      <x:c r="Q45" s="191" t="n">
        <x:v>0.5</x:v>
      </x:c>
      <x:c r="R45" s="197" t="n">
        <x:v>4.757436304372</x:v>
      </x:c>
      <x:c r="S45" s="182" t="str">
        <x:v>https://www.sse.com.cn/assortment/stock/list/info/announcement/index.shtml?productId=600188</x:v>
      </x:c>
      <x:c r="T45" s="302"/>
      <x:c r="U45" s="302"/>
      <x:c r="V45" s="302"/>
      <x:c r="W45" s="302"/>
      <x:c r="X45" s="302"/>
      <x:c r="Y45" s="302"/>
    </x:row>
    <x:row r="46">
      <x:c r="A46" s="182" t="str">
        <x:v>煤炭</x:v>
      </x:c>
      <x:c r="B46" s="182" t="str">
        <x:v>601898</x:v>
      </x:c>
      <x:c r="C46" s="182" t="str">
        <x:v>中煤能源</x:v>
      </x:c>
      <x:c r="D46" s="185" t="n">
        <x:v>2016</x:v>
      </x:c>
      <x:c r="E46" s="188" t="n">
        <x:v>606.64109</x:v>
      </x:c>
      <x:c r="F46" s="188" t="n">
        <x:v>20.27593</x:v>
      </x:c>
      <x:c r="G46" s="191" t="n">
        <x:v>0.15</x:v>
      </x:c>
      <x:c r="H46" s="194" t="n">
        <x:v>0.024</x:v>
      </x:c>
      <x:c r="I46" s="194" t="n">
        <x:v>0.032370925628420005</x:v>
      </x:c>
      <x:c r="J46" s="188" t="n">
        <x:v>120.68576</x:v>
      </x:c>
      <x:c r="K46" s="188" t="n">
        <x:v>90.16116</x:v>
      </x:c>
      <x:c r="L46" s="188" t="n">
        <x:v>1019.87726</x:v>
      </x:c>
      <x:c r="M46" s="188" t="n">
        <x:v>2418.86854</x:v>
      </x:c>
      <x:c r="N46" s="194" t="n">
        <x:v>0.398093134931</x:v>
      </x:c>
      <x:c r="O46" s="191" t="n">
        <x:v>6.480259736596</x:v>
      </x:c>
      <x:c r="P46" s="191" t="n">
        <x:v>132.586634</x:v>
      </x:c>
      <x:c r="Q46" s="191" t="n">
        <x:v>0.039</x:v>
      </x:c>
      <x:c r="R46" s="197" t="n">
        <x:v>2.098898386801</x:v>
      </x:c>
      <x:c r="S46" s="182" t="str">
        <x:v>https://www.sse.com.cn/assortment/stock/list/info/announcement/index.shtml?productId=601898</x:v>
      </x:c>
      <x:c r="T46" s="302"/>
      <x:c r="U46" s="302"/>
      <x:c r="V46" s="302"/>
      <x:c r="W46" s="302"/>
      <x:c r="X46" s="302"/>
      <x:c r="Y46" s="302"/>
    </x:row>
    <x:row r="47">
      <x:c r="A47" s="182" t="str">
        <x:v>煤炭</x:v>
      </x:c>
      <x:c r="B47" s="182" t="str">
        <x:v>601898</x:v>
      </x:c>
      <x:c r="C47" s="182" t="str">
        <x:v>中煤能源</x:v>
      </x:c>
      <x:c r="D47" s="185" t="n">
        <x:v>2017</x:v>
      </x:c>
      <x:c r="E47" s="188" t="n">
        <x:v>815.1256</x:v>
      </x:c>
      <x:c r="F47" s="188" t="n">
        <x:v>22.91775</x:v>
      </x:c>
      <x:c r="G47" s="191" t="n">
        <x:v>0.17</x:v>
      </x:c>
      <x:c r="H47" s="194" t="n">
        <x:v>0.0262</x:v>
      </x:c>
      <x:c r="I47" s="194" t="n">
        <x:v>0.03742200302804</x:v>
      </x:c>
      <x:c r="J47" s="188" t="n">
        <x:v>175.52013</x:v>
      </x:c>
      <x:c r="K47" s="188" t="n">
        <x:v>85.77287</x:v>
      </x:c>
      <x:c r="L47" s="188" t="n">
        <x:v>1064.04463</x:v>
      </x:c>
      <x:c r="M47" s="188" t="n">
        <x:v>2519.22684</x:v>
      </x:c>
      <x:c r="N47" s="194" t="n">
        <x:v>0.38076535656099997</x:v>
      </x:c>
      <x:c r="O47" s="191" t="n">
        <x:v>6.713478349966</x:v>
      </x:c>
      <x:c r="P47" s="191" t="n">
        <x:v>132.586634</x:v>
      </x:c>
      <x:c r="Q47" s="191" t="n">
        <x:v>0.05500000000000001</x:v>
      </x:c>
      <x:c r="R47" s="197" t="n">
        <x:v>3.498543796518</x:v>
      </x:c>
      <x:c r="S47" s="182" t="str">
        <x:v>https://www.sse.com.cn/assortment/stock/list/info/announcement/index.shtml?productId=601898</x:v>
      </x:c>
      <x:c r="T47" s="302"/>
      <x:c r="U47" s="302"/>
      <x:c r="V47" s="302"/>
      <x:c r="W47" s="302"/>
      <x:c r="X47" s="302"/>
      <x:c r="Y47" s="302"/>
    </x:row>
    <x:row r="48">
      <x:c r="A48" s="182" t="str">
        <x:v>煤炭</x:v>
      </x:c>
      <x:c r="B48" s="182" t="str">
        <x:v>601898</x:v>
      </x:c>
      <x:c r="C48" s="182" t="str">
        <x:v>中煤能源</x:v>
      </x:c>
      <x:c r="D48" s="185" t="n">
        <x:v>2018</x:v>
      </x:c>
      <x:c r="E48" s="188" t="n">
        <x:v>1041.40084</x:v>
      </x:c>
      <x:c r="F48" s="188" t="n">
        <x:v>33.52389</x:v>
      </x:c>
      <x:c r="G48" s="191" t="n">
        <x:v>0.25</x:v>
      </x:c>
      <x:c r="H48" s="194" t="n">
        <x:v>0.0369</x:v>
      </x:c>
      <x:c r="I48" s="194" t="n">
        <x:v>0.04778996521554</x:v>
      </x:c>
      <x:c r="J48" s="188" t="n">
        <x:v>204.25583</x:v>
      </x:c>
      <x:c r="K48" s="188" t="n">
        <x:v>94.34445</x:v>
      </x:c>
      <x:c r="L48" s="188" t="n">
        <x:v>1106.47618</x:v>
      </x:c>
      <x:c r="M48" s="188" t="n">
        <x:v>2643.65047</x:v>
      </x:c>
      <x:c r="N48" s="194" t="n">
        <x:v>0.36787517273799997</x:v>
      </x:c>
      <x:c r="O48" s="191" t="n">
        <x:v>6.949550041358</x:v>
      </x:c>
      <x:c r="P48" s="191" t="n">
        <x:v>132.586634</x:v>
      </x:c>
      <x:c r="Q48" s="191" t="n">
        <x:v>0.078</x:v>
      </x:c>
      <x:c r="R48" s="197" t="n">
        <x:v>3.788332505374</x:v>
      </x:c>
      <x:c r="S48" s="182" t="str">
        <x:v>https://www.sse.com.cn/assortment/stock/list/info/announcement/index.shtml?productId=601898</x:v>
      </x:c>
      <x:c r="T48" s="302"/>
      <x:c r="U48" s="302"/>
      <x:c r="V48" s="302"/>
      <x:c r="W48" s="302"/>
      <x:c r="X48" s="302"/>
      <x:c r="Y48" s="302"/>
    </x:row>
    <x:row r="49">
      <x:c r="A49" s="182" t="str">
        <x:v>煤炭</x:v>
      </x:c>
      <x:c r="B49" s="182" t="str">
        <x:v>601898</x:v>
      </x:c>
      <x:c r="C49" s="182" t="str">
        <x:v>中煤能源</x:v>
      </x:c>
      <x:c r="D49" s="185" t="n">
        <x:v>2019</x:v>
      </x:c>
      <x:c r="E49" s="188" t="n">
        <x:v>1293.34706</x:v>
      </x:c>
      <x:c r="F49" s="188" t="n">
        <x:v>56.28607</x:v>
      </x:c>
      <x:c r="G49" s="191" t="n">
        <x:v>0.42</x:v>
      </x:c>
      <x:c r="H49" s="194" t="n">
        <x:v>0.0593</x:v>
      </x:c>
      <x:c r="I49" s="194" t="n">
        <x:v>0.06347161722811</x:v>
      </x:c>
      <x:c r="J49" s="188" t="n">
        <x:v>219.80611</x:v>
      </x:c>
      <x:c r="K49" s="188" t="n">
        <x:v>109.45537</x:v>
      </x:c>
      <x:c r="L49" s="188" t="n">
        <x:v>1174.25685</x:v>
      </x:c>
      <x:c r="M49" s="188" t="n">
        <x:v>2725.65137</x:v>
      </x:c>
      <x:c r="N49" s="194" t="n">
        <x:v>0.346634110821</x:v>
      </x:c>
      <x:c r="O49" s="191" t="n">
        <x:v>7.329019072285</x:v>
      </x:c>
      <x:c r="P49" s="191" t="n">
        <x:v>132.586634</x:v>
      </x:c>
      <x:c r="Q49" s="191" t="n">
        <x:v>0.127</x:v>
      </x:c>
      <x:c r="R49" s="197" t="n">
        <x:v>4.119059133192</x:v>
      </x:c>
      <x:c r="S49" s="182" t="str">
        <x:v>https://www.sse.com.cn/assortment/stock/list/info/announcement/index.shtml?productId=601898</x:v>
      </x:c>
      <x:c r="T49" s="302"/>
      <x:c r="U49" s="302"/>
      <x:c r="V49" s="302"/>
      <x:c r="W49" s="302"/>
      <x:c r="X49" s="302"/>
      <x:c r="Y49" s="302"/>
    </x:row>
    <x:row r="50">
      <x:c r="A50" s="182" t="str">
        <x:v>煤炭</x:v>
      </x:c>
      <x:c r="B50" s="182" t="str">
        <x:v>601898</x:v>
      </x:c>
      <x:c r="C50" s="182" t="str">
        <x:v>中煤能源</x:v>
      </x:c>
      <x:c r="D50" s="185" t="n">
        <x:v>2020</x:v>
      </x:c>
      <x:c r="E50" s="188" t="n">
        <x:v>1409.64681</x:v>
      </x:c>
      <x:c r="F50" s="188" t="n">
        <x:v>59.07091</x:v>
      </x:c>
      <x:c r="G50" s="191" t="n">
        <x:v>0.45</x:v>
      </x:c>
      <x:c r="H50" s="194" t="n">
        <x:v>0.059000000000000004</x:v>
      </x:c>
      <x:c r="I50" s="194" t="n">
        <x:v>0.06219889811225</x:v>
      </x:c>
      <x:c r="J50" s="188" t="n">
        <x:v>226.32367</x:v>
      </x:c>
      <x:c r="K50" s="188" t="n">
        <x:v>103.08274</x:v>
      </x:c>
      <x:c r="L50" s="188" t="n">
        <x:v>1249.95513</x:v>
      </x:c>
      <x:c r="M50" s="188" t="n">
        <x:v>2829.44525</x:v>
      </x:c>
      <x:c r="N50" s="194" t="n">
        <x:v>0.338437080328</x:v>
      </x:c>
      <x:c r="O50" s="191" t="n">
        <x:v>7.606909233608</x:v>
      </x:c>
      <x:c r="P50" s="191" t="n">
        <x:v>132.586634</x:v>
      </x:c>
      <x:c r="Q50" s="191" t="n">
        <x:v>0.134</x:v>
      </x:c>
      <x:c r="R50" s="197" t="n">
        <x:v>4.512158826743</x:v>
      </x:c>
      <x:c r="S50" s="182" t="str">
        <x:v>https://www.sse.com.cn/assortment/stock/list/info/announcement/index.shtml?productId=601898</x:v>
      </x:c>
      <x:c r="T50" s="302"/>
      <x:c r="U50" s="302"/>
      <x:c r="V50" s="302"/>
      <x:c r="W50" s="302"/>
      <x:c r="X50" s="302"/>
      <x:c r="Y50" s="302"/>
    </x:row>
    <x:row r="51">
      <x:c r="A51" s="182" t="str">
        <x:v>煤炭</x:v>
      </x:c>
      <x:c r="B51" s="182" t="str">
        <x:v>601898</x:v>
      </x:c>
      <x:c r="C51" s="182" t="str">
        <x:v>中煤能源</x:v>
      </x:c>
      <x:c r="D51" s="185" t="n">
        <x:v>2021</x:v>
      </x:c>
      <x:c r="E51" s="188" t="n">
        <x:v>2398.28439</x:v>
      </x:c>
      <x:c r="F51" s="188" t="n">
        <x:v>137.39271</x:v>
      </x:c>
      <x:c r="G51" s="191" t="n">
        <x:v>1.04</x:v>
      </x:c>
      <x:c r="H51" s="194" t="n">
        <x:v>0.12710000000000002</x:v>
      </x:c>
      <x:c r="I51" s="194" t="n">
        <x:v>0.10186847212962</x:v>
      </x:c>
      <x:c r="J51" s="188" t="n">
        <x:v>480.96562</x:v>
      </x:c>
      <x:c r="K51" s="188" t="n">
        <x:v>104.2745</x:v>
      </x:c>
      <x:c r="L51" s="188" t="n">
        <x:v>1430.71261</x:v>
      </x:c>
      <x:c r="M51" s="188" t="n">
        <x:v>3226.10395</x:v>
      </x:c>
      <x:c r="N51" s="194" t="n">
        <x:v>0.302523365738</x:v>
      </x:c>
      <x:c r="O51" s="191" t="n">
        <x:v>8.582030480751</x:v>
      </x:c>
      <x:c r="P51" s="191" t="n">
        <x:v>132.586634</x:v>
      </x:c>
      <x:c r="Q51" s="191" t="n">
        <x:v>0.301</x:v>
      </x:c>
      <x:c r="R51" s="197" t="n">
        <x:v>10.622600017047</x:v>
      </x:c>
      <x:c r="S51" s="182" t="str">
        <x:v>https://www.sse.com.cn/assortment/stock/list/info/announcement/index.shtml?productId=601898</x:v>
      </x:c>
      <x:c r="T51" s="302"/>
      <x:c r="U51" s="302"/>
      <x:c r="V51" s="302"/>
      <x:c r="W51" s="302"/>
      <x:c r="X51" s="302"/>
      <x:c r="Y51" s="302"/>
    </x:row>
    <x:row r="52">
      <x:c r="A52" s="182" t="str">
        <x:v>煤炭</x:v>
      </x:c>
      <x:c r="B52" s="182" t="str">
        <x:v>601898</x:v>
      </x:c>
      <x:c r="C52" s="182" t="str">
        <x:v>中煤能源</x:v>
      </x:c>
      <x:c r="D52" s="185" t="n">
        <x:v>2022</x:v>
      </x:c>
      <x:c r="E52" s="188" t="n">
        <x:v>2205.76859</x:v>
      </x:c>
      <x:c r="F52" s="188" t="n">
        <x:v>182.59055</x:v>
      </x:c>
      <x:c r="G52" s="191" t="n">
        <x:v>1.38</x:v>
      </x:c>
      <x:c r="H52" s="194" t="n">
        <x:v>0.1489</x:v>
      </x:c>
      <x:c r="I52" s="194" t="n">
        <x:v>0.11889032948921001</x:v>
      </x:c>
      <x:c r="J52" s="188" t="n">
        <x:v>436.34064</x:v>
      </x:c>
      <x:c r="K52" s="188" t="n">
        <x:v>97.56238</x:v>
      </x:c>
      <x:c r="L52" s="188" t="n">
        <x:v>1651.68143</x:v>
      </x:c>
      <x:c r="M52" s="188" t="n">
        <x:v>3402.23173</x:v>
      </x:c>
      <x:c r="N52" s="194" t="n">
        <x:v>0.24765519616999998</x:v>
      </x:c>
      <x:c r="O52" s="191" t="n">
        <x:v>9.862570683032</x:v>
      </x:c>
      <x:c r="P52" s="191" t="n">
        <x:v>132.586634</x:v>
      </x:c>
      <x:c r="Q52" s="191" t="n">
        <x:v>0.413</x:v>
      </x:c>
      <x:c r="R52" s="197" t="n">
        <x:v>10.777552569946</x:v>
      </x:c>
      <x:c r="S52" s="182" t="str">
        <x:v>https://www.sse.com.cn/assortment/stock/list/info/announcement/index.shtml?productId=601898</x:v>
      </x:c>
      <x:c r="T52" s="302"/>
      <x:c r="U52" s="302"/>
      <x:c r="V52" s="302"/>
      <x:c r="W52" s="302"/>
      <x:c r="X52" s="302"/>
      <x:c r="Y52" s="302"/>
    </x:row>
    <x:row r="53">
      <x:c r="A53" s="182" t="str">
        <x:v>煤炭</x:v>
      </x:c>
      <x:c r="B53" s="182" t="str">
        <x:v>601898</x:v>
      </x:c>
      <x:c r="C53" s="182" t="str">
        <x:v>中煤能源</x:v>
      </x:c>
      <x:c r="D53" s="185" t="n">
        <x:v>2023</x:v>
      </x:c>
      <x:c r="E53" s="188" t="n">
        <x:v>1929.68833</x:v>
      </x:c>
      <x:c r="F53" s="188" t="n">
        <x:v>195.34049</x:v>
      </x:c>
      <x:c r="G53" s="191" t="n">
        <x:v>1.47</x:v>
      </x:c>
      <x:c r="H53" s="194" t="n">
        <x:v>0.1421</x:v>
      </x:c>
      <x:c r="I53" s="194" t="n">
        <x:v>0.11366950677908999</x:v>
      </x:c>
      <x:c r="J53" s="188" t="n">
        <x:v>429.6534</x:v>
      </x:c>
      <x:c r="K53" s="188" t="n">
        <x:v>175.74916</x:v>
      </x:c>
      <x:c r="L53" s="188" t="n">
        <x:v>1827.82141</x:v>
      </x:c>
      <x:c r="M53" s="188" t="n">
        <x:v>3493.59919</x:v>
      </x:c>
      <x:c r="N53" s="194" t="n">
        <x:v>0.208794014519</x:v>
      </x:c>
      <x:c r="O53" s="191" t="n">
        <x:v>10.869950838935</x:v>
      </x:c>
      <x:c r="P53" s="191" t="n">
        <x:v>132.586634</x:v>
      </x:c>
      <x:c r="Q53" s="191" t="n">
        <x:v>0.442</x:v>
      </x:c>
      <x:c r="R53" s="197" t="n">
        <x:v>13.613557367232</x:v>
      </x:c>
      <x:c r="S53" s="182" t="str">
        <x:v>https://www.sse.com.cn/assortment/stock/list/info/announcement/index.shtml?productId=601898</x:v>
      </x:c>
      <x:c r="T53" s="302"/>
      <x:c r="U53" s="302"/>
      <x:c r="V53" s="302"/>
      <x:c r="W53" s="302"/>
      <x:c r="X53" s="302"/>
      <x:c r="Y53" s="302"/>
    </x:row>
    <x:row r="54">
      <x:c r="A54" s="182" t="str">
        <x:v>煤炭</x:v>
      </x:c>
      <x:c r="B54" s="182" t="str">
        <x:v>601898</x:v>
      </x:c>
      <x:c r="C54" s="182" t="str">
        <x:v>中煤能源</x:v>
      </x:c>
      <x:c r="D54" s="185" t="n">
        <x:v>2024</x:v>
      </x:c>
      <x:c r="E54" s="188" t="n">
        <x:v>1893.96004</x:v>
      </x:c>
      <x:c r="F54" s="188" t="n">
        <x:v>192.85785</x:v>
      </x:c>
      <x:c r="G54" s="191" t="n">
        <x:v>1.45</x:v>
      </x:c>
      <x:c r="H54" s="194" t="n">
        <x:v>0.1298</x:v>
      </x:c>
      <x:c r="I54" s="194" t="n">
        <x:v>0.10667536873188001</x:v>
      </x:c>
      <x:c r="J54" s="188" t="n">
        <x:v>341.43372</x:v>
      </x:c>
      <x:c r="K54" s="188" t="n">
        <x:v>180.81906</x:v>
      </x:c>
      <x:c r="L54" s="188" t="n">
        <x:v>1923.27763</x:v>
      </x:c>
      <x:c r="M54" s="188" t="n">
        <x:v>3580.79152</x:v>
      </x:c>
      <x:c r="N54" s="194" t="n">
        <x:v>0.179265204065</x:v>
      </x:c>
      <x:c r="O54" s="191" t="n">
        <x:v>11.457506311157</x:v>
      </x:c>
      <x:c r="P54" s="191" t="n">
        <x:v>132.586634</x:v>
      </x:c>
      <x:c r="Q54" s="191" t="n">
        <x:v>0.479</x:v>
      </x:c>
      <x:c r="R54" s="197" t="n">
        <x:v>12.77397650841</x:v>
      </x:c>
      <x:c r="S54" s="182" t="str">
        <x:v>https://www.sse.com.cn/assortment/stock/list/info/announcement/index.shtml?productId=601898</x:v>
      </x:c>
      <x:c r="T54" s="302"/>
      <x:c r="U54" s="302"/>
      <x:c r="V54" s="302"/>
      <x:c r="W54" s="302"/>
      <x:c r="X54" s="302"/>
      <x:c r="Y54" s="302"/>
    </x:row>
    <x:row r="55">
      <x:c r="A55" s="182" t="str">
        <x:v>煤炭</x:v>
      </x:c>
      <x:c r="B55" s="182" t="str">
        <x:v>601898</x:v>
      </x:c>
      <x:c r="C55" s="182" t="str">
        <x:v>中煤能源</x:v>
      </x:c>
      <x:c r="D55" s="185" t="n">
        <x:v>2025</x:v>
      </x:c>
      <x:c r="E55" s="188" t="n">
        <x:v>1480.56698</x:v>
      </x:c>
      <x:c r="F55" s="188" t="n">
        <x:v>178.83577</x:v>
      </x:c>
      <x:c r="G55" s="191" t="n">
        <x:v>1.35</x:v>
      </x:c>
      <x:c r="H55" s="194" t="n">
        <x:v>0.1143</x:v>
      </x:c>
      <x:c r="I55" s="194" t="n">
        <x:v>0.0900949891126</x:v>
      </x:c>
      <x:c r="J55" s="188" t="n">
        <x:v>297.91934</x:v>
      </x:c>
      <x:c r="K55" s="188" t="n">
        <x:v>217.87133</x:v>
      </x:c>
      <x:c r="L55" s="188" t="n">
        <x:v>2006.15829</x:v>
      </x:c>
      <x:c r="M55" s="188" t="n">
        <x:v>3702.54237</x:v>
      </x:c>
      <x:c r="N55" s="194" t="n">
        <x:v>0.191869345171</x:v>
      </x:c>
      <x:c r="O55" s="191" t="n">
        <x:v>12.077619213943</x:v>
      </x:c>
      <x:c r="P55" s="191" t="n">
        <x:v>132.586634</x:v>
      </x:c>
      <x:c r="Q55" s="191" t="n">
        <x:v>0.383</x:v>
      </x:c>
      <x:c r="R55" s="197" t="n">
        <x:v>13.254856684214</x:v>
      </x:c>
      <x:c r="S55" s="182" t="str">
        <x:v>https://www.sse.com.cn/assortment/stock/list/info/announcement/index.shtml?productId=601898</x:v>
      </x:c>
      <x:c r="T55" s="302"/>
      <x:c r="U55" s="302"/>
      <x:c r="V55" s="302"/>
      <x:c r="W55" s="302"/>
      <x:c r="X55" s="302"/>
      <x:c r="Y55" s="302"/>
    </x:row>
    <x:row r="56">
      <x:c r="A56" s="182" t="str">
        <x:v>煤炭</x:v>
      </x:c>
      <x:c r="B56" s="182" t="str">
        <x:v>601699</x:v>
      </x:c>
      <x:c r="C56" s="182" t="str">
        <x:v>潞安环能</x:v>
      </x:c>
      <x:c r="D56" s="185" t="n">
        <x:v>2016</x:v>
      </x:c>
      <x:c r="E56" s="188" t="n">
        <x:v>142.2936833473</x:v>
      </x:c>
      <x:c r="F56" s="188" t="n">
        <x:v>8.5714086823</x:v>
      </x:c>
      <x:c r="G56" s="191" t="n">
        <x:v>0.29</x:v>
      </x:c>
      <x:c r="H56" s="194" t="n">
        <x:v>0.0475</x:v>
      </x:c>
      <x:c r="I56" s="194" t="n">
        <x:v>0.04187388546099</x:v>
      </x:c>
      <x:c r="J56" s="188" t="n">
        <x:v>11.3357947591</x:v>
      </x:c>
      <x:c r="K56" s="188" t="n">
        <x:v>8.6916233004</x:v>
      </x:c>
      <x:c r="L56" s="188" t="n">
        <x:v>179.7936341209</x:v>
      </x:c>
      <x:c r="M56" s="188" t="n">
        <x:v>578.235823029</x:v>
      </x:c>
      <x:c r="N56" s="194" t="n">
        <x:v>0.282134326204</x:v>
      </x:c>
      <x:c r="O56" s="191" t="n">
        <x:v>6.124301171976</x:v>
      </x:c>
      <x:c r="P56" s="191" t="n">
        <x:v>29.914092</x:v>
      </x:c>
      <x:c r="Q56" s="191" t="n">
        <x:v>0.09</x:v>
      </x:c>
      <x:c r="R56" s="197" t="n">
        <x:v>1.40626397281</x:v>
      </x:c>
      <x:c r="S56" s="182" t="str">
        <x:v>https://www.sse.com.cn/assortment/stock/list/info/announcement/index.shtml?productId=601699</x:v>
      </x:c>
      <x:c r="T56" s="302"/>
      <x:c r="U56" s="302"/>
      <x:c r="V56" s="302"/>
      <x:c r="W56" s="302"/>
      <x:c r="X56" s="302"/>
      <x:c r="Y56" s="302"/>
    </x:row>
    <x:row r="57">
      <x:c r="A57" s="182" t="str">
        <x:v>煤炭</x:v>
      </x:c>
      <x:c r="B57" s="182" t="str">
        <x:v>601699</x:v>
      </x:c>
      <x:c r="C57" s="182" t="str">
        <x:v>潞安环能</x:v>
      </x:c>
      <x:c r="D57" s="185" t="n">
        <x:v>2017</x:v>
      </x:c>
      <x:c r="E57" s="188" t="n">
        <x:v>235.4355603452</x:v>
      </x:c>
      <x:c r="F57" s="188" t="n">
        <x:v>27.822401087</x:v>
      </x:c>
      <x:c r="G57" s="191" t="n">
        <x:v>0.93</x:v>
      </x:c>
      <x:c r="H57" s="194" t="n">
        <x:v>0.15259999999999999</x:v>
      </x:c>
      <x:c r="I57" s="194" t="n">
        <x:v>0.08944100544709001</x:v>
      </x:c>
      <x:c r="J57" s="188" t="n">
        <x:v>23.731875939600002</x:v>
      </x:c>
      <x:c r="K57" s="188" t="n">
        <x:v>4.3814531585</x:v>
      </x:c>
      <x:c r="L57" s="188" t="n">
        <x:v>203.3725948691</x:v>
      </x:c>
      <x:c r="M57" s="188" t="n">
        <x:v>664.7387992844999</x:v>
      </x:c>
      <x:c r="N57" s="194" t="n">
        <x:v>0.317300657271</x:v>
      </x:c>
      <x:c r="O57" s="191" t="n">
        <x:v>7.058292463806</x:v>
      </x:c>
      <x:c r="P57" s="191" t="n">
        <x:v>29.914092</x:v>
      </x:c>
      <x:c r="Q57" s="191" t="n">
        <x:v>0.28700000000000003</x:v>
      </x:c>
      <x:c r="R57" s="197" t="n">
        <x:v>2.223158409215</x:v>
      </x:c>
      <x:c r="S57" s="182" t="str">
        <x:v>https://www.sse.com.cn/assortment/stock/list/info/announcement/index.shtml?productId=601699</x:v>
      </x:c>
      <x:c r="T57" s="302"/>
      <x:c r="U57" s="302"/>
      <x:c r="V57" s="302"/>
      <x:c r="W57" s="302"/>
      <x:c r="X57" s="302"/>
      <x:c r="Y57" s="302"/>
    </x:row>
    <x:row r="58">
      <x:c r="A58" s="182" t="str">
        <x:v>煤炭</x:v>
      </x:c>
      <x:c r="B58" s="182" t="str">
        <x:v>601699</x:v>
      </x:c>
      <x:c r="C58" s="182" t="str">
        <x:v>潞安环能</x:v>
      </x:c>
      <x:c r="D58" s="185" t="n">
        <x:v>2018</x:v>
      </x:c>
      <x:c r="E58" s="188" t="n">
        <x:v>266.8219040455</x:v>
      </x:c>
      <x:c r="F58" s="188" t="n">
        <x:v>23.461664450300002</x:v>
      </x:c>
      <x:c r="G58" s="191" t="n">
        <x:v>0.78</x:v>
      </x:c>
      <x:c r="H58" s="194" t="n">
        <x:v>0.1073</x:v>
      </x:c>
      <x:c r="I58" s="194" t="n">
        <x:v>0.06505494112598</x:v>
      </x:c>
      <x:c r="J58" s="188" t="n">
        <x:v>97.7744324252</x:v>
      </x:c>
      <x:c r="K58" s="188" t="n">
        <x:v>12.7038933926</x:v>
      </x:c>
      <x:c r="L58" s="188" t="n">
        <x:v>228.85270810400002</x:v>
      </x:c>
      <x:c r="M58" s="188" t="n">
        <x:v>755.6667654792999</x:v>
      </x:c>
      <x:c r="N58" s="194" t="n">
        <x:v>0.295678103403</x:v>
      </x:c>
      <x:c r="O58" s="191" t="n">
        <x:v>7.989857176196</x:v>
      </x:c>
      <x:c r="P58" s="191" t="n">
        <x:v>29.914092</x:v>
      </x:c>
      <x:c r="Q58" s="191" t="n">
        <x:v>0.268</x:v>
      </x:c>
      <x:c r="R58" s="197" t="n">
        <x:v>8.126218549332</x:v>
      </x:c>
      <x:c r="S58" s="182" t="str">
        <x:v>https://www.sse.com.cn/assortment/stock/list/info/announcement/index.shtml?productId=601699</x:v>
      </x:c>
      <x:c r="T58" s="302"/>
      <x:c r="U58" s="302"/>
      <x:c r="V58" s="302"/>
      <x:c r="W58" s="302"/>
      <x:c r="X58" s="302"/>
      <x:c r="Y58" s="302"/>
    </x:row>
    <x:row r="59">
      <x:c r="A59" s="182" t="str">
        <x:v>煤炭</x:v>
      </x:c>
      <x:c r="B59" s="182" t="str">
        <x:v>601699</x:v>
      </x:c>
      <x:c r="C59" s="182" t="str">
        <x:v>潞安环能</x:v>
      </x:c>
      <x:c r="D59" s="185" t="n">
        <x:v>2019</x:v>
      </x:c>
      <x:c r="E59" s="188" t="n">
        <x:v>267.911590174</x:v>
      </x:c>
      <x:c r="F59" s="188" t="n">
        <x:v>23.7870940898</x:v>
      </x:c>
      <x:c r="G59" s="191" t="n">
        <x:v>0.8</x:v>
      </x:c>
      <x:c r="H59" s="194" t="n">
        <x:v>0.095</x:v>
      </x:c>
      <x:c r="I59" s="194" t="n">
        <x:v>0.0848601233084</x:v>
      </x:c>
      <x:c r="J59" s="188" t="n">
        <x:v>44.5996864974</x:v>
      </x:c>
      <x:c r="K59" s="188" t="n">
        <x:v>14.602715119700001</x:v>
      </x:c>
      <x:c r="L59" s="188" t="n">
        <x:v>234.8097980649</x:v>
      </x:c>
      <x:c r="M59" s="188" t="n">
        <x:v>742.6103355616</x:v>
      </x:c>
      <x:c r="N59" s="194" t="n">
        <x:v>0.22706693445599999</x:v>
      </x:c>
      <x:c r="O59" s="191" t="n">
        <x:v>8.344876904571</x:v>
      </x:c>
      <x:c r="P59" s="191" t="n">
        <x:v>29.914092</x:v>
      </x:c>
      <x:c r="Q59" s="191" t="n">
        <x:v>0.23900000000000002</x:v>
      </x:c>
      <x:c r="R59" s="197" t="n">
        <x:v>3.064716014436</x:v>
      </x:c>
      <x:c r="S59" s="182" t="str">
        <x:v>https://www.sse.com.cn/assortment/stock/list/info/announcement/index.shtml?productId=601699</x:v>
      </x:c>
      <x:c r="T59" s="302"/>
      <x:c r="U59" s="302"/>
      <x:c r="V59" s="302"/>
      <x:c r="W59" s="302"/>
      <x:c r="X59" s="302"/>
      <x:c r="Y59" s="302"/>
    </x:row>
    <x:row r="60">
      <x:c r="A60" s="182" t="str">
        <x:v>煤炭</x:v>
      </x:c>
      <x:c r="B60" s="182" t="str">
        <x:v>601699</x:v>
      </x:c>
      <x:c r="C60" s="182" t="str">
        <x:v>潞安环能</x:v>
      </x:c>
      <x:c r="D60" s="185" t="n">
        <x:v>2020</x:v>
      </x:c>
      <x:c r="E60" s="188" t="n">
        <x:v>260.4768486767</x:v>
      </x:c>
      <x:c r="F60" s="188" t="n">
        <x:v>19.4556107242</x:v>
      </x:c>
      <x:c r="G60" s="191" t="n">
        <x:v>0.65</x:v>
      </x:c>
      <x:c r="H60" s="194" t="n">
        <x:v>0.0761</x:v>
      </x:c>
      <x:c r="I60" s="194" t="n">
        <x:v>0.06940523807055</x:v>
      </x:c>
      <x:c r="J60" s="188" t="n">
        <x:v>22.3443548087</x:v>
      </x:c>
      <x:c r="K60" s="188" t="n">
        <x:v>11.5939802882</x:v>
      </x:c>
      <x:c r="L60" s="188" t="n">
        <x:v>259.5265332348</x:v>
      </x:c>
      <x:c r="M60" s="188" t="n">
        <x:v>777.1539244952</x:v>
      </x:c>
      <x:c r="N60" s="194" t="n">
        <x:v>0.24711237950200002</x:v>
      </x:c>
      <x:c r="O60" s="191" t="n">
        <x:v>9.072036590761</x:v>
      </x:c>
      <x:c r="P60" s="191" t="n">
        <x:v>29.914092</x:v>
      </x:c>
      <x:c r="Q60" s="191" t="n">
        <x:v>0.194</x:v>
      </x:c>
      <x:c r="R60" s="197" t="n">
        <x:v>1.807953548661</x:v>
      </x:c>
      <x:c r="S60" s="182" t="str">
        <x:v>https://www.sse.com.cn/assortment/stock/list/info/announcement/index.shtml?productId=601699</x:v>
      </x:c>
      <x:c r="T60" s="302"/>
      <x:c r="U60" s="302"/>
      <x:c r="V60" s="302"/>
      <x:c r="W60" s="302"/>
      <x:c r="X60" s="302"/>
      <x:c r="Y60" s="302"/>
    </x:row>
    <x:row r="61">
      <x:c r="A61" s="182" t="str">
        <x:v>煤炭</x:v>
      </x:c>
      <x:c r="B61" s="182" t="str">
        <x:v>601699</x:v>
      </x:c>
      <x:c r="C61" s="182" t="str">
        <x:v>潞安环能</x:v>
      </x:c>
      <x:c r="D61" s="185" t="n">
        <x:v>2021</x:v>
      </x:c>
      <x:c r="E61" s="188" t="n">
        <x:v>453.22071977720003</x:v>
      </x:c>
      <x:c r="F61" s="188" t="n">
        <x:v>67.3111354071</x:v>
      </x:c>
      <x:c r="G61" s="191" t="n">
        <x:v>2.25</x:v>
      </x:c>
      <x:c r="H61" s="194" t="n">
        <x:v>0.221</x:v>
      </x:c>
      <x:c r="I61" s="194" t="n">
        <x:v>0.16226643471896998</x:v>
      </x:c>
      <x:c r="J61" s="188" t="n">
        <x:v>80.4935112611</x:v>
      </x:c>
      <x:c r="K61" s="188" t="n">
        <x:v>21.5107766097</x:v>
      </x:c>
      <x:c r="L61" s="188" t="n">
        <x:v>334.5587560462</x:v>
      </x:c>
      <x:c r="M61" s="188" t="n">
        <x:v>948.8605870165</x:v>
      </x:c>
      <x:c r="N61" s="194" t="n">
        <x:v>0.221075155861</x:v>
      </x:c>
      <x:c r="O61" s="191" t="n">
        <x:v>11.572327746368</x:v>
      </x:c>
      <x:c r="P61" s="191" t="n">
        <x:v>29.914092</x:v>
      </x:c>
      <x:c r="Q61" s="191" t="n">
        <x:v>0.673</x:v>
      </x:c>
      <x:c r="R61" s="197" t="n">
        <x:v>5.607838312091</x:v>
      </x:c>
      <x:c r="S61" s="182" t="str">
        <x:v>https://www.sse.com.cn/assortment/stock/list/info/announcement/index.shtml?productId=601699</x:v>
      </x:c>
      <x:c r="T61" s="302"/>
      <x:c r="U61" s="302"/>
      <x:c r="V61" s="302"/>
      <x:c r="W61" s="302"/>
      <x:c r="X61" s="302"/>
      <x:c r="Y61" s="302"/>
    </x:row>
    <x:row r="62">
      <x:c r="A62" s="182" t="str">
        <x:v>煤炭</x:v>
      </x:c>
      <x:c r="B62" s="182" t="str">
        <x:v>601699</x:v>
      </x:c>
      <x:c r="C62" s="182" t="str">
        <x:v>潞安环能</x:v>
      </x:c>
      <x:c r="D62" s="185" t="n">
        <x:v>2022</x:v>
      </x:c>
      <x:c r="E62" s="188" t="n">
        <x:v>542.9707412179</x:v>
      </x:c>
      <x:c r="F62" s="188" t="n">
        <x:v>141.7477489179</x:v>
      </x:c>
      <x:c r="G62" s="191" t="n">
        <x:v>4.74</x:v>
      </x:c>
      <x:c r="H62" s="194" t="n">
        <x:v>0.33990000000000004</x:v>
      </x:c>
      <x:c r="I62" s="194" t="n">
        <x:v>0.29861133176481003</x:v>
      </x:c>
      <x:c r="J62" s="188" t="n">
        <x:v>337.68674757810004</x:v>
      </x:c>
      <x:c r="K62" s="188" t="n">
        <x:v>7.5071960445000006</x:v>
      </x:c>
      <x:c r="L62" s="188" t="n">
        <x:v>492.2322331324</x:v>
      </x:c>
      <x:c r="M62" s="188" t="n">
        <x:v>948.0596509833999</x:v>
      </x:c>
      <x:c r="N62" s="194" t="n">
        <x:v>0.063346553911</x:v>
      </x:c>
      <x:c r="O62" s="191" t="n">
        <x:v>16.291781542435</x:v>
      </x:c>
      <x:c r="P62" s="191" t="n">
        <x:v>29.914092</x:v>
      </x:c>
      <x:c r="Q62" s="191" t="n">
        <x:v>2.85</x:v>
      </x:c>
      <x:c r="R62" s="197" t="n">
        <x:v>32.269285378565</x:v>
      </x:c>
      <x:c r="S62" s="182" t="str">
        <x:v>https://www.sse.com.cn/assortment/stock/list/info/announcement/index.shtml?productId=601699</x:v>
      </x:c>
      <x:c r="T62" s="302"/>
      <x:c r="U62" s="302"/>
      <x:c r="V62" s="302"/>
      <x:c r="W62" s="302"/>
      <x:c r="X62" s="302"/>
      <x:c r="Y62" s="302"/>
    </x:row>
    <x:row r="63">
      <x:c r="A63" s="182" t="str">
        <x:v>煤炭</x:v>
      </x:c>
      <x:c r="B63" s="182" t="str">
        <x:v>601699</x:v>
      </x:c>
      <x:c r="C63" s="182" t="str">
        <x:v>潞安环能</x:v>
      </x:c>
      <x:c r="D63" s="185" t="n">
        <x:v>2023</x:v>
      </x:c>
      <x:c r="E63" s="188" t="n">
        <x:v>431.37029684410004</x:v>
      </x:c>
      <x:c r="F63" s="188" t="n">
        <x:v>79.2159846691</x:v>
      </x:c>
      <x:c r="G63" s="191" t="n">
        <x:v>2.65</x:v>
      </x:c>
      <x:c r="H63" s="194" t="n">
        <x:v>0.1637</x:v>
      </x:c>
      <x:c r="I63" s="194" t="n">
        <x:v>0.17282042937795</x:v>
      </x:c>
      <x:c r="J63" s="188" t="n">
        <x:v>88.52240335360001</x:v>
      </x:c>
      <x:c r="K63" s="188" t="n">
        <x:v>6.7838233396000005</x:v>
      </x:c>
      <x:c r="L63" s="188" t="n">
        <x:v>494.1914718124</x:v>
      </x:c>
      <x:c r="M63" s="188" t="n">
        <x:v>867.6233054514</x:v>
      </x:c>
      <x:c r="N63" s="194" t="n">
        <x:v>0.027223609243</x:v>
      </x:c>
      <x:c r="O63" s="191" t="n">
        <x:v>16.066159421376</x:v>
      </x:c>
      <x:c r="P63" s="191" t="n">
        <x:v>29.914092</x:v>
      </x:c>
      <x:c r="Q63" s="191" t="n">
        <x:v>1.589</x:v>
      </x:c>
      <x:c r="R63" s="197" t="n">
        <x:v>22.088962759251</x:v>
      </x:c>
      <x:c r="S63" s="182" t="str">
        <x:v>https://www.sse.com.cn/assortment/stock/list/info/announcement/index.shtml?productId=601699</x:v>
      </x:c>
      <x:c r="T63" s="302"/>
      <x:c r="U63" s="302"/>
      <x:c r="V63" s="302"/>
      <x:c r="W63" s="302"/>
      <x:c r="X63" s="302"/>
      <x:c r="Y63" s="302"/>
    </x:row>
    <x:row r="64">
      <x:c r="A64" s="182" t="str">
        <x:v>煤炭</x:v>
      </x:c>
      <x:c r="B64" s="182" t="str">
        <x:v>601699</x:v>
      </x:c>
      <x:c r="C64" s="182" t="str">
        <x:v>潞安环能</x:v>
      </x:c>
      <x:c r="D64" s="185" t="n">
        <x:v>2024</x:v>
      </x:c>
      <x:c r="E64" s="188" t="n">
        <x:v>358.5027978663</x:v>
      </x:c>
      <x:c r="F64" s="188" t="n">
        <x:v>24.4951831113</x:v>
      </x:c>
      <x:c r="G64" s="191" t="n">
        <x:v>0.82</x:v>
      </x:c>
      <x:c r="H64" s="194" t="n">
        <x:v>0.052000000000000005</x:v>
      </x:c>
      <x:c r="I64" s="194" t="n">
        <x:v>0.05931787736919</x:v>
      </x:c>
      <x:c r="J64" s="188" t="n">
        <x:v>49.6425606607</x:v>
      </x:c>
      <x:c r="K64" s="188" t="n">
        <x:v>129.9570186891</x:v>
      </x:c>
      <x:c r="L64" s="188" t="n">
        <x:v>479.7583909614</x:v>
      </x:c>
      <x:c r="M64" s="188" t="n">
        <x:v>802.8492956891</x:v>
      </x:c>
      <x:c r="N64" s="194" t="n">
        <x:v>0.017423419901</x:v>
      </x:c>
      <x:c r="O64" s="191" t="n">
        <x:v>15.445446219324</x:v>
      </x:c>
      <x:c r="P64" s="191" t="n">
        <x:v>29.914092</x:v>
      </x:c>
      <x:c r="Q64" s="191" t="n">
        <x:v>0.41</x:v>
      </x:c>
      <x:c r="R64" s="197" t="n">
        <x:v>11.206367274035</x:v>
      </x:c>
      <x:c r="S64" s="182" t="str">
        <x:v>https://www.sse.com.cn/assortment/stock/list/info/announcement/index.shtml?productId=601699</x:v>
      </x:c>
      <x:c r="T64" s="302"/>
      <x:c r="U64" s="302"/>
      <x:c r="V64" s="302"/>
      <x:c r="W64" s="302"/>
      <x:c r="X64" s="302"/>
      <x:c r="Y64" s="302"/>
    </x:row>
    <x:row r="65">
      <x:c r="A65" s="182" t="str">
        <x:v>煤炭</x:v>
      </x:c>
      <x:c r="B65" s="182" t="str">
        <x:v>601699</x:v>
      </x:c>
      <x:c r="C65" s="182" t="str">
        <x:v>潞安环能</x:v>
      </x:c>
      <x:c r="D65" s="185" t="n">
        <x:v>2025</x:v>
      </x:c>
      <x:c r="E65" s="188" t="n">
        <x:v>278.2002815561</x:v>
      </x:c>
      <x:c r="F65" s="188" t="n">
        <x:v>11.151546653499999</x:v>
      </x:c>
      <x:c r="G65" s="191" t="n">
        <x:v>0.37</x:v>
      </x:c>
      <x:c r="H65" s="194" t="n">
        <x:v>0.024399999999999998</x:v>
      </x:c>
      <x:c r="I65" s="194" t="n">
        <x:v>0.01676294149601</x:v>
      </x:c>
      <x:c r="J65" s="188" t="n">
        <x:v>50.013547763000005</x:v>
      </x:c>
      <x:c r="K65" s="188" t="n">
        <x:v>2.0202436082</x:v>
      </x:c>
      <x:c r="L65" s="188" t="n">
        <x:v>465.4087661342</x:v>
      </x:c>
      <x:c r="M65" s="188" t="n">
        <x:v>796.4315895391001</x:v>
      </x:c>
      <x:c r="N65" s="194" t="n">
        <x:v>0.031450821167</x:v>
      </x:c>
      <x:c r="O65" s="191" t="n">
        <x:v>15.149207692017</x:v>
      </x:c>
      <x:c r="P65" s="191" t="n">
        <x:v>29.914092</x:v>
      </x:c>
      <x:c r="Q65" s="191" t="n">
        <x:v>0.187</x:v>
      </x:c>
      <x:c r="R65" s="197" t="n">
        <x:v>15.389582921075</x:v>
      </x:c>
      <x:c r="S65" s="182" t="str">
        <x:v>https://www.sse.com.cn/assortment/stock/list/info/announcement/index.shtml?productId=601699</x:v>
      </x:c>
      <x:c r="T65" s="302"/>
      <x:c r="U65" s="302"/>
      <x:c r="V65" s="302"/>
      <x:c r="W65" s="302"/>
      <x:c r="X65" s="302"/>
      <x:c r="Y65" s="302"/>
    </x:row>
    <x:row r="66">
      <x:c r="A66" s="182" t="str">
        <x:v>石油</x:v>
      </x:c>
      <x:c r="B66" s="182" t="str">
        <x:v>601857</x:v>
      </x:c>
      <x:c r="C66" s="182" t="str">
        <x:v>中国石油</x:v>
      </x:c>
      <x:c r="D66" s="185" t="n">
        <x:v>2016</x:v>
      </x:c>
      <x:c r="E66" s="188" t="n">
        <x:v>16169.03</x:v>
      </x:c>
      <x:c r="F66" s="188" t="n">
        <x:v>79</x:v>
      </x:c>
      <x:c r="G66" s="191" t="n">
        <x:v>0.04</x:v>
      </x:c>
      <x:c r="H66" s="194" t="n">
        <x:v>0.006999999999999999</x:v>
      </x:c>
      <x:c r="I66" s="194" t="n">
        <x:v>0.02663866668362</x:v>
      </x:c>
      <x:c r="J66" s="188" t="n">
        <x:v>2651.79</x:v>
      </x:c>
      <x:c r="K66" s="188" t="n">
        <x:v>1894.21</x:v>
      </x:c>
      <x:c r="L66" s="188" t="n">
        <x:v>13730.28</x:v>
      </x:c>
      <x:c r="M66" s="188" t="n">
        <x:v>23969.5</x:v>
      </x:c>
      <x:c r="N66" s="194" t="n">
        <x:v>0.215386637185</x:v>
      </x:c>
      <x:c r="O66" s="191" t="n">
        <x:v>6.498265226395</x:v>
      </x:c>
      <x:c r="P66" s="191" t="n">
        <x:v>1830.20977818</x:v>
      </x:c>
      <x:c r="Q66" s="191" t="n">
        <x:v>0.059320000000000005</x:v>
      </x:c>
      <x:c r="R66" s="197" t="n">
        <x:v>11.357675175604</x:v>
      </x:c>
      <x:c r="S66" s="182" t="str">
        <x:v>https://www.sse.com.cn/assortment/stock/list/info/announcement/index.shtml?productId=601857</x:v>
      </x:c>
      <x:c r="T66" s="302"/>
      <x:c r="U66" s="302"/>
      <x:c r="V66" s="302"/>
      <x:c r="W66" s="302"/>
      <x:c r="X66" s="302"/>
      <x:c r="Y66" s="302"/>
    </x:row>
    <x:row r="67">
      <x:c r="A67" s="182" t="str">
        <x:v>石油</x:v>
      </x:c>
      <x:c r="B67" s="182" t="str">
        <x:v>601857</x:v>
      </x:c>
      <x:c r="C67" s="182" t="str">
        <x:v>中国石油</x:v>
      </x:c>
      <x:c r="D67" s="185" t="n">
        <x:v>2017</x:v>
      </x:c>
      <x:c r="E67" s="188" t="n">
        <x:v>20158.9</x:v>
      </x:c>
      <x:c r="F67" s="188" t="n">
        <x:v>227.93</x:v>
      </x:c>
      <x:c r="G67" s="191" t="n">
        <x:v>0.12</x:v>
      </x:c>
      <x:c r="H67" s="194" t="n">
        <x:v>0.02</x:v>
      </x:c>
      <x:c r="I67" s="194" t="n">
        <x:v>0.030135025469840003</x:v>
      </x:c>
      <x:c r="J67" s="188" t="n">
        <x:v>3666.55</x:v>
      </x:c>
      <x:c r="K67" s="188" t="n">
        <x:v>2370.04</x:v>
      </x:c>
      <x:c r="L67" s="188" t="n">
        <x:v>13816.1</x:v>
      </x:c>
      <x:c r="M67" s="188" t="n">
        <x:v>24049.1</x:v>
      </x:c>
      <x:c r="N67" s="194" t="n">
        <x:v>0.193468778457</x:v>
      </x:c>
      <x:c r="O67" s="191" t="n">
        <x:v>6.522803394146</x:v>
      </x:c>
      <x:c r="P67" s="191" t="n">
        <x:v>1830.20977818</x:v>
      </x:c>
      <x:c r="Q67" s="191" t="n">
        <x:v>0.13</x:v>
      </x:c>
      <x:c r="R67" s="197" t="n">
        <x:v>16.362682970368</x:v>
      </x:c>
      <x:c r="S67" s="182" t="str">
        <x:v>https://www.sse.com.cn/assortment/stock/list/info/announcement/index.shtml?productId=601857</x:v>
      </x:c>
      <x:c r="T67" s="302"/>
      <x:c r="U67" s="302"/>
      <x:c r="V67" s="302"/>
      <x:c r="W67" s="302"/>
      <x:c r="X67" s="302"/>
      <x:c r="Y67" s="302"/>
    </x:row>
    <x:row r="68">
      <x:c r="A68" s="182" t="str">
        <x:v>石油</x:v>
      </x:c>
      <x:c r="B68" s="182" t="str">
        <x:v>601857</x:v>
      </x:c>
      <x:c r="C68" s="182" t="str">
        <x:v>中国石油</x:v>
      </x:c>
      <x:c r="D68" s="185" t="n">
        <x:v>2018</x:v>
      </x:c>
      <x:c r="E68" s="188" t="n">
        <x:v>23749.34</x:v>
      </x:c>
      <x:c r="F68" s="188" t="n">
        <x:v>530.3</x:v>
      </x:c>
      <x:c r="G68" s="191" t="n">
        <x:v>0.29</x:v>
      </x:c>
      <x:c r="H68" s="194" t="n">
        <x:v>0.044000000000000004</x:v>
      </x:c>
      <x:c r="I68" s="194" t="n">
        <x:v>0.05062505567841</x:v>
      </x:c>
      <x:c r="J68" s="188" t="n">
        <x:v>3532.56</x:v>
      </x:c>
      <x:c r="K68" s="188" t="n">
        <x:v>2758.34</x:v>
      </x:c>
      <x:c r="L68" s="188" t="n">
        <x:v>14091.76</x:v>
      </x:c>
      <x:c r="M68" s="188" t="n">
        <x:v>24411.69</x:v>
      </x:c>
      <x:c r="N68" s="194" t="n">
        <x:v>0.167379359506</x:v>
      </x:c>
      <x:c r="O68" s="191" t="n">
        <x:v>6.636233000585</x:v>
      </x:c>
      <x:c r="P68" s="191" t="n">
        <x:v>1830.20977818</x:v>
      </x:c>
      <x:c r="Q68" s="191" t="n">
        <x:v>0.17880000000000001</x:v>
      </x:c>
      <x:c r="R68" s="197" t="n">
        <x:v>14.797129508818</x:v>
      </x:c>
      <x:c r="S68" s="182" t="str">
        <x:v>https://www.sse.com.cn/assortment/stock/list/info/announcement/index.shtml?productId=601857</x:v>
      </x:c>
      <x:c r="T68" s="302"/>
      <x:c r="U68" s="302"/>
      <x:c r="V68" s="302"/>
      <x:c r="W68" s="302"/>
      <x:c r="X68" s="302"/>
      <x:c r="Y68" s="302"/>
    </x:row>
    <x:row r="69">
      <x:c r="A69" s="182" t="str">
        <x:v>石油</x:v>
      </x:c>
      <x:c r="B69" s="182" t="str">
        <x:v>601857</x:v>
      </x:c>
      <x:c r="C69" s="182" t="str">
        <x:v>中国石油</x:v>
      </x:c>
      <x:c r="D69" s="185" t="n">
        <x:v>2019</x:v>
      </x:c>
      <x:c r="E69" s="188" t="n">
        <x:v>25168.1</x:v>
      </x:c>
      <x:c r="F69" s="188" t="n">
        <x:v>456.77</x:v>
      </x:c>
      <x:c r="G69" s="191" t="n">
        <x:v>0.25</x:v>
      </x:c>
      <x:c r="H69" s="194" t="n">
        <x:v>0.037000000000000005</x:v>
      </x:c>
      <x:c r="I69" s="194" t="n">
        <x:v>0.048260657360290005</x:v>
      </x:c>
      <x:c r="J69" s="188" t="n">
        <x:v>3596.1</x:v>
      </x:c>
      <x:c r="K69" s="188" t="n">
        <x:v>3267.62</x:v>
      </x:c>
      <x:c r="L69" s="188" t="n">
        <x:v>14445.78</x:v>
      </x:c>
      <x:c r="M69" s="188" t="n">
        <x:v>27331.9</x:v>
      </x:c>
      <x:c r="N69" s="194" t="n">
        <x:v>0.22625613294400002</x:v>
      </x:c>
      <x:c r="O69" s="191" t="n">
        <x:v>6.722878795329</x:v>
      </x:c>
      <x:c r="P69" s="191" t="n">
        <x:v>1830.20977818</x:v>
      </x:c>
      <x:c r="Q69" s="191" t="n">
        <x:v>0.14366</x:v>
      </x:c>
      <x:c r="R69" s="197" t="n">
        <x:v>11.390516613348</x:v>
      </x:c>
      <x:c r="S69" s="182" t="str">
        <x:v>https://www.sse.com.cn/assortment/stock/list/info/announcement/index.shtml?productId=601857</x:v>
      </x:c>
      <x:c r="T69" s="302"/>
      <x:c r="U69" s="302"/>
      <x:c r="V69" s="302"/>
      <x:c r="W69" s="302"/>
      <x:c r="X69" s="302"/>
      <x:c r="Y69" s="302"/>
    </x:row>
    <x:row r="70">
      <x:c r="A70" s="182" t="str">
        <x:v>石油</x:v>
      </x:c>
      <x:c r="B70" s="182" t="str">
        <x:v>601857</x:v>
      </x:c>
      <x:c r="C70" s="182" t="str">
        <x:v>中国石油</x:v>
      </x:c>
      <x:c r="D70" s="185" t="n">
        <x:v>2020</x:v>
      </x:c>
      <x:c r="E70" s="188" t="n">
        <x:v>19338.36</x:v>
      </x:c>
      <x:c r="F70" s="188" t="n">
        <x:v>190.02</x:v>
      </x:c>
      <x:c r="G70" s="191" t="n">
        <x:v>0.1</x:v>
      </x:c>
      <x:c r="H70" s="194" t="n">
        <x:v>0.016</x:v>
      </x:c>
      <x:c r="I70" s="194" t="n">
        <x:v>0.02894919590365</x:v>
      </x:c>
      <x:c r="J70" s="188" t="n">
        <x:v>3185.75</x:v>
      </x:c>
      <x:c r="K70" s="188" t="n">
        <x:v>2567.27</x:v>
      </x:c>
      <x:c r="L70" s="188" t="n">
        <x:v>13668.85</x:v>
      </x:c>
      <x:c r="M70" s="188" t="n">
        <x:v>24884</x:v>
      </x:c>
      <x:c r="N70" s="194" t="n">
        <x:v>0.203786368751</x:v>
      </x:c>
      <x:c r="O70" s="191" t="n">
        <x:v>6.640882740232</x:v>
      </x:c>
      <x:c r="P70" s="191" t="n">
        <x:v>1830.20977818</x:v>
      </x:c>
      <x:c r="Q70" s="191" t="n">
        <x:v>0.17484</x:v>
      </x:c>
      <x:c r="R70" s="197" t="n">
        <x:v>11.617073259673</x:v>
      </x:c>
      <x:c r="S70" s="182" t="str">
        <x:v>https://www.sse.com.cn/assortment/stock/list/info/announcement/index.shtml?productId=601857</x:v>
      </x:c>
      <x:c r="T70" s="302"/>
      <x:c r="U70" s="302"/>
      <x:c r="V70" s="302"/>
      <x:c r="W70" s="302"/>
      <x:c r="X70" s="302"/>
      <x:c r="Y70" s="302"/>
    </x:row>
    <x:row r="71">
      <x:c r="A71" s="182" t="str">
        <x:v>石油</x:v>
      </x:c>
      <x:c r="B71" s="182" t="str">
        <x:v>601857</x:v>
      </x:c>
      <x:c r="C71" s="182" t="str">
        <x:v>中国石油</x:v>
      </x:c>
      <x:c r="D71" s="185" t="n">
        <x:v>2021</x:v>
      </x:c>
      <x:c r="E71" s="188" t="n">
        <x:v>26143.49</x:v>
      </x:c>
      <x:c r="F71" s="188" t="n">
        <x:v>921.61</x:v>
      </x:c>
      <x:c r="G71" s="191" t="n">
        <x:v>0.5</x:v>
      </x:c>
      <x:c r="H71" s="194" t="n">
        <x:v>0.07400000000000001</x:v>
      </x:c>
      <x:c r="I71" s="194" t="n">
        <x:v>0.07003869280502001</x:v>
      </x:c>
      <x:c r="J71" s="188" t="n">
        <x:v>3414.69</x:v>
      </x:c>
      <x:c r="K71" s="188" t="n">
        <x:v>2655.63</x:v>
      </x:c>
      <x:c r="L71" s="188" t="n">
        <x:v>14091.24</x:v>
      </x:c>
      <x:c r="M71" s="188" t="n">
        <x:v>25025.33</x:v>
      </x:c>
      <x:c r="N71" s="194" t="n">
        <x:v>0.18792958974</x:v>
      </x:c>
      <x:c r="O71" s="191" t="n">
        <x:v>6.905300484644</x:v>
      </x:c>
      <x:c r="P71" s="191" t="n">
        <x:v>1830.20977818</x:v>
      </x:c>
      <x:c r="Q71" s="191" t="n">
        <x:v>0.22662000000000002</x:v>
      </x:c>
      <x:c r="R71" s="197" t="n">
        <x:v>16.458716922929</x:v>
      </x:c>
      <x:c r="S71" s="182" t="str">
        <x:v>https://www.sse.com.cn/assortment/stock/list/info/announcement/index.shtml?productId=601857</x:v>
      </x:c>
      <x:c r="T71" s="302"/>
      <x:c r="U71" s="302"/>
      <x:c r="V71" s="302"/>
      <x:c r="W71" s="302"/>
      <x:c r="X71" s="302"/>
      <x:c r="Y71" s="302"/>
    </x:row>
    <x:row r="72">
      <x:c r="A72" s="182" t="str">
        <x:v>石油</x:v>
      </x:c>
      <x:c r="B72" s="182" t="str">
        <x:v>601857</x:v>
      </x:c>
      <x:c r="C72" s="182" t="str">
        <x:v>中国石油</x:v>
      </x:c>
      <x:c r="D72" s="185" t="n">
        <x:v>2022</x:v>
      </x:c>
      <x:c r="E72" s="188" t="n">
        <x:v>32391.67</x:v>
      </x:c>
      <x:c r="F72" s="188" t="n">
        <x:v>1487.38</x:v>
      </x:c>
      <x:c r="G72" s="191" t="n">
        <x:v>0.81</x:v>
      </x:c>
      <x:c r="H72" s="194" t="n">
        <x:v>0.113</x:v>
      </x:c>
      <x:c r="I72" s="194" t="n">
        <x:v>0.09322220704386</x:v>
      </x:c>
      <x:c r="J72" s="188" t="n">
        <x:v>3937.68</x:v>
      </x:c>
      <x:c r="K72" s="188" t="n">
        <x:v>2437.52</x:v>
      </x:c>
      <x:c r="L72" s="188" t="n">
        <x:v>15344.16</x:v>
      </x:c>
      <x:c r="M72" s="188" t="n">
        <x:v>26706.66</x:v>
      </x:c>
      <x:c r="N72" s="194" t="n">
        <x:v>0.16879357875899997</x:v>
      </x:c>
      <x:c r="O72" s="191" t="n">
        <x:v>7.483163134285</x:v>
      </x:c>
      <x:c r="P72" s="191" t="n">
        <x:v>1830.20977818</x:v>
      </x:c>
      <x:c r="Q72" s="191" t="n">
        <x:v>0.42258</x:v>
      </x:c>
      <x:c r="R72" s="197" t="n">
        <x:v>17.21691224695</x:v>
      </x:c>
      <x:c r="S72" s="182" t="str">
        <x:v>https://www.sse.com.cn/assortment/stock/list/info/announcement/index.shtml?productId=601857</x:v>
      </x:c>
      <x:c r="T72" s="302"/>
      <x:c r="U72" s="302"/>
      <x:c r="V72" s="302"/>
      <x:c r="W72" s="302"/>
      <x:c r="X72" s="302"/>
      <x:c r="Y72" s="302"/>
    </x:row>
    <x:row r="73">
      <x:c r="A73" s="182" t="str">
        <x:v>石油</x:v>
      </x:c>
      <x:c r="B73" s="182" t="str">
        <x:v>601857</x:v>
      </x:c>
      <x:c r="C73" s="182" t="str">
        <x:v>中国石油</x:v>
      </x:c>
      <x:c r="D73" s="185" t="n">
        <x:v>2023</x:v>
      </x:c>
      <x:c r="E73" s="188" t="n">
        <x:v>30128.12</x:v>
      </x:c>
      <x:c r="F73" s="188" t="n">
        <x:v>1614.14</x:v>
      </x:c>
      <x:c r="G73" s="191" t="n">
        <x:v>0.88</x:v>
      </x:c>
      <x:c r="H73" s="194" t="n">
        <x:v>0.114</x:v>
      </x:c>
      <x:c r="I73" s="194" t="n">
        <x:v>0.0972817872387</x:v>
      </x:c>
      <x:c r="J73" s="188" t="n">
        <x:v>4568.47</x:v>
      </x:c>
      <x:c r="K73" s="188" t="n">
        <x:v>2825.08</x:v>
      </x:c>
      <x:c r="L73" s="188" t="n">
        <x:v>16355.44</x:v>
      </x:c>
      <x:c r="M73" s="188" t="n">
        <x:v>27592.37</x:v>
      </x:c>
      <x:c r="N73" s="194" t="n">
        <x:v>0.150817921249</x:v>
      </x:c>
      <x:c r="O73" s="191" t="n">
        <x:v>7.902972882893</x:v>
      </x:c>
      <x:c r="P73" s="191" t="n">
        <x:v>1830.20977818</x:v>
      </x:c>
      <x:c r="Q73" s="191" t="n">
        <x:v>0.44</x:v>
      </x:c>
      <x:c r="R73" s="197" t="n">
        <x:v>18.605435801312</x:v>
      </x:c>
      <x:c r="S73" s="182" t="str">
        <x:v>https://www.sse.com.cn/assortment/stock/list/info/announcement/index.shtml?productId=601857</x:v>
      </x:c>
      <x:c r="T73" s="302"/>
      <x:c r="U73" s="302"/>
      <x:c r="V73" s="302"/>
      <x:c r="W73" s="302"/>
      <x:c r="X73" s="302"/>
      <x:c r="Y73" s="302"/>
    </x:row>
    <x:row r="74">
      <x:c r="A74" s="182" t="str">
        <x:v>石油</x:v>
      </x:c>
      <x:c r="B74" s="182" t="str">
        <x:v>601857</x:v>
      </x:c>
      <x:c r="C74" s="182" t="str">
        <x:v>中国石油</x:v>
      </x:c>
      <x:c r="D74" s="185" t="n">
        <x:v>2024</x:v>
      </x:c>
      <x:c r="E74" s="188" t="n">
        <x:v>29379.81</x:v>
      </x:c>
      <x:c r="F74" s="188" t="n">
        <x:v>1646.76</x:v>
      </x:c>
      <x:c r="G74" s="191" t="n">
        <x:v>0.9</x:v>
      </x:c>
      <x:c r="H74" s="194" t="n">
        <x:v>0.111</x:v>
      </x:c>
      <x:c r="I74" s="194" t="n">
        <x:v>0.09498671645146001</x:v>
      </x:c>
      <x:c r="J74" s="188" t="n">
        <x:v>4065.32</x:v>
      </x:c>
      <x:c r="K74" s="188" t="n">
        <x:v>3026.51</x:v>
      </x:c>
      <x:c r="L74" s="188" t="n">
        <x:v>17098.63</x:v>
      </x:c>
      <x:c r="M74" s="188" t="n">
        <x:v>27530.07</x:v>
      </x:c>
      <x:c r="N74" s="194" t="n">
        <x:v>0.13060627888</x:v>
      </x:c>
      <x:c r="O74" s="191" t="n">
        <x:v>8.279765709946</x:v>
      </x:c>
      <x:c r="P74" s="191" t="n">
        <x:v>1830.20977818</x:v>
      </x:c>
      <x:c r="Q74" s="191" t="n">
        <x:v>0.47000000000000003</x:v>
      </x:c>
      <x:c r="R74" s="197" t="n">
        <x:v>19.085113374959</x:v>
      </x:c>
      <x:c r="S74" s="182" t="str">
        <x:v>https://www.sse.com.cn/assortment/stock/list/info/announcement/index.shtml?productId=601857</x:v>
      </x:c>
      <x:c r="T74" s="302"/>
      <x:c r="U74" s="302"/>
      <x:c r="V74" s="302"/>
      <x:c r="W74" s="302"/>
      <x:c r="X74" s="302"/>
      <x:c r="Y74" s="302"/>
    </x:row>
    <x:row r="75">
      <x:c r="A75" s="182" t="str">
        <x:v>石油</x:v>
      </x:c>
      <x:c r="B75" s="182" t="str">
        <x:v>601857</x:v>
      </x:c>
      <x:c r="C75" s="182" t="str">
        <x:v>中国石油</x:v>
      </x:c>
      <x:c r="D75" s="185" t="n">
        <x:v>2025</x:v>
      </x:c>
      <x:c r="E75" s="188" t="n">
        <x:v>28644.69</x:v>
      </x:c>
      <x:c r="F75" s="188" t="n">
        <x:v>1573.02</x:v>
      </x:c>
      <x:c r="G75" s="191" t="n">
        <x:v>0.86</x:v>
      </x:c>
      <x:c r="H75" s="194" t="n">
        <x:v>0.10099999999999999</x:v>
      </x:c>
      <x:c r="I75" s="194" t="n">
        <x:v>0.08534260117219</x:v>
      </x:c>
      <x:c r="J75" s="188" t="n">
        <x:v>4125.1</x:v>
      </x:c>
      <x:c r="K75" s="188" t="n">
        <x:v>2927.89</x:v>
      </x:c>
      <x:c r="L75" s="188" t="n">
        <x:v>18307.74</x:v>
      </x:c>
      <x:c r="M75" s="188" t="n">
        <x:v>28634.58</x:v>
      </x:c>
      <x:c r="N75" s="194" t="n">
        <x:v>0.126564656436</x:v>
      </x:c>
      <x:c r="O75" s="191" t="n">
        <x:v>8.666005540348</x:v>
      </x:c>
      <x:c r="P75" s="191" t="n">
        <x:v>1830.20977818</x:v>
      </x:c>
      <x:c r="Q75" s="191" t="n">
        <x:v>0.47000000000000003</x:v>
      </x:c>
      <x:c r="R75" s="197" t="n">
        <x:v>22.504637206765</x:v>
      </x:c>
      <x:c r="S75" s="182" t="str">
        <x:v>https://www.sse.com.cn/assortment/stock/list/info/announcement/index.shtml?productId=601857</x:v>
      </x:c>
      <x:c r="T75" s="302"/>
      <x:c r="U75" s="302"/>
      <x:c r="V75" s="302"/>
      <x:c r="W75" s="302"/>
      <x:c r="X75" s="302"/>
      <x:c r="Y75" s="302"/>
    </x:row>
    <x:row r="76">
      <x:c r="A76" s="182" t="str">
        <x:v>石油</x:v>
      </x:c>
      <x:c r="B76" s="182" t="str">
        <x:v>600028</x:v>
      </x:c>
      <x:c r="C76" s="182" t="str">
        <x:v>中国石化</x:v>
      </x:c>
      <x:c r="D76" s="185" t="n">
        <x:v>2016</x:v>
      </x:c>
      <x:c r="E76" s="188" t="n">
        <x:v>19309.11</x:v>
      </x:c>
      <x:c r="F76" s="188" t="n">
        <x:v>464.16</x:v>
      </x:c>
      <x:c r="G76" s="191" t="n">
        <x:v>0.383</x:v>
      </x:c>
      <x:c r="H76" s="194" t="n">
        <x:v>0.0668</x:v>
      </x:c>
      <x:c r="I76" s="194" t="n">
        <x:v>0.061866990890839996</x:v>
      </x:c>
      <x:c r="J76" s="188" t="n">
        <x:v>2145.43</x:v>
      </x:c>
      <x:c r="K76" s="188" t="n">
        <x:v>728.47</x:v>
      </x:c>
      <x:c r="L76" s="188" t="n">
        <x:v>8325.25</x:v>
      </x:c>
      <x:c r="M76" s="188" t="n">
        <x:v>14986.09</x:v>
      </x:c>
      <x:c r="N76" s="194" t="n">
        <x:v>0.128647298929</x:v>
      </x:c>
      <x:c r="O76" s="191" t="n">
        <x:v>5.883</x:v>
      </x:c>
      <x:c r="P76" s="191" t="n">
        <x:v>1207.14479172</x:v>
      </x:c>
      <x:c r="Q76" s="191" t="n">
        <x:v>0.249</x:v>
      </x:c>
      <x:c r="R76" s="197" t="n">
        <x:v>23.782618334996</x:v>
      </x:c>
      <x:c r="S76" s="182" t="str">
        <x:v>https://www.sse.com.cn/assortment/stock/list/info/announcement/index.shtml?productId=600028</x:v>
      </x:c>
      <x:c r="T76" s="302"/>
      <x:c r="U76" s="302"/>
      <x:c r="V76" s="302"/>
      <x:c r="W76" s="302"/>
      <x:c r="X76" s="302"/>
      <x:c r="Y76" s="302"/>
    </x:row>
    <x:row r="77">
      <x:c r="A77" s="182" t="str">
        <x:v>石油</x:v>
      </x:c>
      <x:c r="B77" s="182" t="str">
        <x:v>600028</x:v>
      </x:c>
      <x:c r="C77" s="182" t="str">
        <x:v>中国石化</x:v>
      </x:c>
      <x:c r="D77" s="185" t="n">
        <x:v>2017</x:v>
      </x:c>
      <x:c r="E77" s="188" t="n">
        <x:v>23601.93</x:v>
      </x:c>
      <x:c r="F77" s="188" t="n">
        <x:v>511.19</x:v>
      </x:c>
      <x:c r="G77" s="191" t="n">
        <x:v>0.422</x:v>
      </x:c>
      <x:c r="H77" s="194" t="n">
        <x:v>0.07139999999999999</x:v>
      </x:c>
      <x:c r="I77" s="194" t="n">
        <x:v>0.06856300914836</x:v>
      </x:c>
      <x:c r="J77" s="188" t="n">
        <x:v>1909.35</x:v>
      </x:c>
      <x:c r="K77" s="188" t="n">
        <x:v>709.48</x:v>
      </x:c>
      <x:c r="L77" s="188" t="n">
        <x:v>8540.7</x:v>
      </x:c>
      <x:c r="M77" s="188" t="n">
        <x:v>15955.04</x:v>
      </x:c>
      <x:c r="N77" s="194" t="n">
        <x:v>0.11742308386599999</x:v>
      </x:c>
      <x:c r="O77" s="191" t="n">
        <x:v>6.007</x:v>
      </x:c>
      <x:c r="P77" s="191" t="n">
        <x:v>1207.14479172</x:v>
      </x:c>
      <x:c r="Q77" s="191" t="n">
        <x:v>0.5</x:v>
      </x:c>
      <x:c r="R77" s="197" t="n">
        <x:v>29.983511306533</x:v>
      </x:c>
      <x:c r="S77" s="182" t="str">
        <x:v>https://www.sse.com.cn/assortment/stock/list/info/announcement/index.shtml?productId=600028</x:v>
      </x:c>
      <x:c r="T77" s="302"/>
      <x:c r="U77" s="302"/>
      <x:c r="V77" s="302"/>
      <x:c r="W77" s="302"/>
      <x:c r="X77" s="302"/>
      <x:c r="Y77" s="302"/>
    </x:row>
    <x:row r="78">
      <x:c r="A78" s="182" t="str">
        <x:v>石油</x:v>
      </x:c>
      <x:c r="B78" s="182" t="str">
        <x:v>600028</x:v>
      </x:c>
      <x:c r="C78" s="182" t="str">
        <x:v>中国石化</x:v>
      </x:c>
      <x:c r="D78" s="185" t="n">
        <x:v>2018</x:v>
      </x:c>
      <x:c r="E78" s="188" t="n">
        <x:v>28911.79</x:v>
      </x:c>
      <x:c r="F78" s="188" t="n">
        <x:v>630.89</x:v>
      </x:c>
      <x:c r="G78" s="191" t="n">
        <x:v>0.521</x:v>
      </x:c>
      <x:c r="H78" s="194" t="n">
        <x:v>0.0867</x:v>
      </x:c>
      <x:c r="I78" s="194" t="n">
        <x:v>0.07661101301624</x:v>
      </x:c>
      <x:c r="J78" s="188" t="n">
        <x:v>1758.68</x:v>
      </x:c>
      <x:c r="K78" s="188" t="n">
        <x:v>1030.14</x:v>
      </x:c>
      <x:c r="L78" s="188" t="n">
        <x:v>8576.59</x:v>
      </x:c>
      <x:c r="M78" s="188" t="n">
        <x:v>15923.08</x:v>
      </x:c>
      <x:c r="N78" s="194" t="n">
        <x:v>0.097763121205</x:v>
      </x:c>
      <x:c r="O78" s="191" t="n">
        <x:v>5.933</x:v>
      </x:c>
      <x:c r="P78" s="191" t="n">
        <x:v>1207.14479172</x:v>
      </x:c>
      <x:c r="Q78" s="191" t="n">
        <x:v>0.42000000000000004</x:v>
      </x:c>
      <x:c r="R78" s="197" t="n">
        <x:v>29.894271630121</x:v>
      </x:c>
      <x:c r="S78" s="182" t="str">
        <x:v>https://www.sse.com.cn/assortment/stock/list/info/announcement/index.shtml?productId=600028</x:v>
      </x:c>
      <x:c r="T78" s="302"/>
      <x:c r="U78" s="302"/>
      <x:c r="V78" s="302"/>
      <x:c r="W78" s="302"/>
      <x:c r="X78" s="302"/>
      <x:c r="Y78" s="302"/>
    </x:row>
    <x:row r="79">
      <x:c r="A79" s="182" t="str">
        <x:v>石油</x:v>
      </x:c>
      <x:c r="B79" s="182" t="str">
        <x:v>600028</x:v>
      </x:c>
      <x:c r="C79" s="182" t="str">
        <x:v>中国石化</x:v>
      </x:c>
      <x:c r="D79" s="185" t="n">
        <x:v>2019</x:v>
      </x:c>
      <x:c r="E79" s="188" t="n">
        <x:v>29597.99</x:v>
      </x:c>
      <x:c r="F79" s="188" t="n">
        <x:v>576.19</x:v>
      </x:c>
      <x:c r="G79" s="191" t="n">
        <x:v>0.476</x:v>
      </x:c>
      <x:c r="H79" s="194" t="n">
        <x:v>0.0785</x:v>
      </x:c>
      <x:c r="I79" s="194" t="n">
        <x:v>0.07235151393336</x:v>
      </x:c>
      <x:c r="J79" s="188" t="n">
        <x:v>1536.19</x:v>
      </x:c>
      <x:c r="K79" s="188" t="n">
        <x:v>1415.54</x:v>
      </x:c>
      <x:c r="L79" s="188" t="n">
        <x:v>8783.74</x:v>
      </x:c>
      <x:c r="M79" s="188" t="n">
        <x:v>17602.86</x:v>
      </x:c>
      <x:c r="N79" s="194" t="n">
        <x:v>0.192095932301</x:v>
      </x:c>
      <x:c r="O79" s="191" t="n">
        <x:v>6.105</x:v>
      </x:c>
      <x:c r="P79" s="191" t="n">
        <x:v>1207.14479172</x:v>
      </x:c>
      <x:c r="Q79" s="191" t="n">
        <x:v>0.31</x:v>
      </x:c>
      <x:c r="R79" s="197" t="n">
        <x:v>9.242168674699</x:v>
      </x:c>
      <x:c r="S79" s="182" t="str">
        <x:v>https://www.sse.com.cn/assortment/stock/list/info/announcement/index.shtml?productId=600028</x:v>
      </x:c>
      <x:c r="T79" s="302"/>
      <x:c r="U79" s="302"/>
      <x:c r="V79" s="302"/>
      <x:c r="W79" s="302"/>
      <x:c r="X79" s="302"/>
      <x:c r="Y79" s="302"/>
    </x:row>
    <x:row r="80">
      <x:c r="A80" s="182" t="str">
        <x:v>石油</x:v>
      </x:c>
      <x:c r="B80" s="182" t="str">
        <x:v>600028</x:v>
      </x:c>
      <x:c r="C80" s="182" t="str">
        <x:v>中国石化</x:v>
      </x:c>
      <x:c r="D80" s="185" t="n">
        <x:v>2020</x:v>
      </x:c>
      <x:c r="E80" s="188" t="n">
        <x:v>21047.24</x:v>
      </x:c>
      <x:c r="F80" s="188" t="n">
        <x:v>332.71</x:v>
      </x:c>
      <x:c r="G80" s="191" t="n">
        <x:v>0.275</x:v>
      </x:c>
      <x:c r="H80" s="194" t="n">
        <x:v>0.0446</x:v>
      </x:c>
      <x:c r="I80" s="194" t="n">
        <x:v>0.04256930547424</x:v>
      </x:c>
      <x:c r="J80" s="188" t="n">
        <x:v>1685.2</x:v>
      </x:c>
      <x:c r="K80" s="188" t="n">
        <x:v>1316.36</x:v>
      </x:c>
      <x:c r="L80" s="188" t="n">
        <x:v>8887.2</x:v>
      </x:c>
      <x:c r="M80" s="188" t="n">
        <x:v>17388.96</x:v>
      </x:c>
      <x:c r="N80" s="194" t="n">
        <x:v>0.172666476334</x:v>
      </x:c>
      <x:c r="O80" s="191" t="n">
        <x:v>6.132</x:v>
      </x:c>
      <x:c r="P80" s="191" t="n">
        <x:v>1207.14479172</x:v>
      </x:c>
      <x:c r="Q80" s="191" t="n">
        <x:v>0.2</x:v>
      </x:c>
      <x:c r="R80" s="197" t="n">
        <x:v>10.560963308536</x:v>
      </x:c>
      <x:c r="S80" s="182" t="str">
        <x:v>https://www.sse.com.cn/assortment/stock/list/info/announcement/index.shtml?productId=600028</x:v>
      </x:c>
      <x:c r="T80" s="302"/>
      <x:c r="U80" s="302"/>
      <x:c r="V80" s="302"/>
      <x:c r="W80" s="302"/>
      <x:c r="X80" s="302"/>
      <x:c r="Y80" s="302"/>
    </x:row>
    <x:row r="81">
      <x:c r="A81" s="182" t="str">
        <x:v>石油</x:v>
      </x:c>
      <x:c r="B81" s="182" t="str">
        <x:v>600028</x:v>
      </x:c>
      <x:c r="C81" s="182" t="str">
        <x:v>中国石化</x:v>
      </x:c>
      <x:c r="D81" s="185" t="n">
        <x:v>2021</x:v>
      </x:c>
      <x:c r="E81" s="188" t="n">
        <x:v>27408.84</x:v>
      </x:c>
      <x:c r="F81" s="188" t="n">
        <x:v>712.08</x:v>
      </x:c>
      <x:c r="G81" s="191" t="n">
        <x:v>0.588</x:v>
      </x:c>
      <x:c r="H81" s="194" t="n">
        <x:v>0.094</x:v>
      </x:c>
      <x:c r="I81" s="194" t="n">
        <x:v>0.07695166334545</x:v>
      </x:c>
      <x:c r="J81" s="188" t="n">
        <x:v>2251.74</x:v>
      </x:c>
      <x:c r="K81" s="188" t="n">
        <x:v>1449.21</x:v>
      </x:c>
      <x:c r="L81" s="188" t="n">
        <x:v>9160.41</x:v>
      </x:c>
      <x:c r="M81" s="188" t="n">
        <x:v>18892.55</x:v>
      </x:c>
      <x:c r="N81" s="194" t="n">
        <x:v>0.16844735094000002</x:v>
      </x:c>
      <x:c r="O81" s="191" t="n">
        <x:v>6.402</x:v>
      </x:c>
      <x:c r="P81" s="191" t="n">
        <x:v>1207.14479172</x:v>
      </x:c>
      <x:c r="Q81" s="191" t="n">
        <x:v>0.47</x:v>
      </x:c>
      <x:c r="R81" s="197" t="n">
        <x:v>15.133678338598</x:v>
      </x:c>
      <x:c r="S81" s="182" t="str">
        <x:v>https://www.sse.com.cn/assortment/stock/list/info/announcement/index.shtml?productId=600028</x:v>
      </x:c>
      <x:c r="T81" s="302"/>
      <x:c r="U81" s="302"/>
      <x:c r="V81" s="302"/>
      <x:c r="W81" s="302"/>
      <x:c r="X81" s="302"/>
      <x:c r="Y81" s="302"/>
    </x:row>
    <x:row r="82">
      <x:c r="A82" s="182" t="str">
        <x:v>石油</x:v>
      </x:c>
      <x:c r="B82" s="182" t="str">
        <x:v>600028</x:v>
      </x:c>
      <x:c r="C82" s="182" t="str">
        <x:v>中国石化</x:v>
      </x:c>
      <x:c r="D82" s="185" t="n">
        <x:v>2022</x:v>
      </x:c>
      <x:c r="E82" s="188" t="n">
        <x:v>33181.68</x:v>
      </x:c>
      <x:c r="F82" s="188" t="n">
        <x:v>670.82</x:v>
      </x:c>
      <x:c r="G82" s="191" t="n">
        <x:v>0.555</x:v>
      </x:c>
      <x:c r="H82" s="194" t="n">
        <x:v>0.0857</x:v>
      </x:c>
      <x:c r="I82" s="194" t="n">
        <x:v>0.0687784884554</x:v>
      </x:c>
      <x:c r="J82" s="188" t="n">
        <x:v>1162.69</x:v>
      </x:c>
      <x:c r="K82" s="188" t="n">
        <x:v>1725.27</x:v>
      </x:c>
      <x:c r="L82" s="188" t="n">
        <x:v>9404.57</x:v>
      </x:c>
      <x:c r="M82" s="188" t="n">
        <x:v>19511.21</x:v>
      </x:c>
      <x:c r="N82" s="194" t="n">
        <x:v>0.183987293702</x:v>
      </x:c>
      <x:c r="O82" s="191" t="n">
        <x:v>6.552</x:v>
      </x:c>
      <x:c r="P82" s="191" t="n">
        <x:v>1207.14479172</x:v>
      </x:c>
      <x:c r="Q82" s="191" t="n">
        <x:v>0.355</x:v>
      </x:c>
      <x:c r="R82" s="197" t="n">
        <x:v>6.850232722559</x:v>
      </x:c>
      <x:c r="S82" s="182" t="str">
        <x:v>https://www.sse.com.cn/assortment/stock/list/info/announcement/index.shtml?productId=600028</x:v>
      </x:c>
      <x:c r="T82" s="302"/>
      <x:c r="U82" s="302"/>
      <x:c r="V82" s="302"/>
      <x:c r="W82" s="302"/>
      <x:c r="X82" s="302"/>
      <x:c r="Y82" s="302"/>
    </x:row>
    <x:row r="83">
      <x:c r="A83" s="182" t="str">
        <x:v>石油</x:v>
      </x:c>
      <x:c r="B83" s="182" t="str">
        <x:v>600028</x:v>
      </x:c>
      <x:c r="C83" s="182" t="str">
        <x:v>中国石化</x:v>
      </x:c>
      <x:c r="D83" s="185" t="n">
        <x:v>2023</x:v>
      </x:c>
      <x:c r="E83" s="188" t="n">
        <x:v>32122.15</x:v>
      </x:c>
      <x:c r="F83" s="188" t="n">
        <x:v>604.63</x:v>
      </x:c>
      <x:c r="G83" s="191" t="n">
        <x:v>0.505</x:v>
      </x:c>
      <x:c r="H83" s="194" t="n">
        <x:v>0.0759</x:v>
      </x:c>
      <x:c r="I83" s="194" t="n">
        <x:v>0.060220778157619996</x:v>
      </x:c>
      <x:c r="J83" s="188" t="n">
        <x:v>1614.75</x:v>
      </x:c>
      <x:c r="K83" s="188" t="n">
        <x:v>1714.93</x:v>
      </x:c>
      <x:c r="L83" s="188" t="n">
        <x:v>9586.55</x:v>
      </x:c>
      <x:c r="M83" s="188" t="n">
        <x:v>20266.74</x:v>
      </x:c>
      <x:c r="N83" s="194" t="n">
        <x:v>0.21808934244</x:v>
      </x:c>
      <x:c r="O83" s="191" t="n">
        <x:v>6.752</x:v>
      </x:c>
      <x:c r="P83" s="191" t="n">
        <x:v>1207.14479172</x:v>
      </x:c>
      <x:c r="Q83" s="191" t="n">
        <x:v>0.345</x:v>
      </x:c>
      <x:c r="R83" s="197" t="n">
        <x:v>8.131893035202</x:v>
      </x:c>
      <x:c r="S83" s="182" t="str">
        <x:v>https://www.sse.com.cn/assortment/stock/list/info/announcement/index.shtml?productId=600028</x:v>
      </x:c>
      <x:c r="T83" s="302"/>
      <x:c r="U83" s="302"/>
      <x:c r="V83" s="302"/>
      <x:c r="W83" s="302"/>
      <x:c r="X83" s="302"/>
      <x:c r="Y83" s="302"/>
    </x:row>
    <x:row r="84">
      <x:c r="A84" s="182" t="str">
        <x:v>石油</x:v>
      </x:c>
      <x:c r="B84" s="182" t="str">
        <x:v>600028</x:v>
      </x:c>
      <x:c r="C84" s="182" t="str">
        <x:v>中国石化</x:v>
      </x:c>
      <x:c r="D84" s="185" t="n">
        <x:v>2024</x:v>
      </x:c>
      <x:c r="E84" s="188" t="n">
        <x:v>30745.62</x:v>
      </x:c>
      <x:c r="F84" s="188" t="n">
        <x:v>503.13</x:v>
      </x:c>
      <x:c r="G84" s="191" t="n">
        <x:v>0.415</x:v>
      </x:c>
      <x:c r="H84" s="194" t="n">
        <x:v>0.061900000000000004</x:v>
      </x:c>
      <x:c r="I84" s="194" t="n">
        <x:v>0.04918294032209</x:v>
      </x:c>
      <x:c r="J84" s="188" t="n">
        <x:v>1493.6</x:v>
      </x:c>
      <x:c r="K84" s="188" t="n">
        <x:v>1392.06</x:v>
      </x:c>
      <x:c r="L84" s="188" t="n">
        <x:v>9762.93</x:v>
      </x:c>
      <x:c r="M84" s="188" t="n">
        <x:v>20847.71</x:v>
      </x:c>
      <x:c r="N84" s="194" t="n">
        <x:v>0.229393540106</x:v>
      </x:c>
      <x:c r="O84" s="191" t="n">
        <x:v>6.76</x:v>
      </x:c>
      <x:c r="P84" s="191" t="n">
        <x:v>1207.14479172</x:v>
      </x:c>
      <x:c r="Q84" s="191" t="n">
        <x:v>0.286</x:v>
      </x:c>
      <x:c r="R84" s="197" t="n">
        <x:v>7.441582382542</x:v>
      </x:c>
      <x:c r="S84" s="182" t="str">
        <x:v>https://www.sse.com.cn/assortment/stock/list/info/announcement/index.shtml?productId=600028</x:v>
      </x:c>
      <x:c r="T84" s="302"/>
      <x:c r="U84" s="302"/>
      <x:c r="V84" s="302"/>
      <x:c r="W84" s="302"/>
      <x:c r="X84" s="302"/>
      <x:c r="Y84" s="302"/>
    </x:row>
    <x:row r="85">
      <x:c r="A85" s="182" t="str">
        <x:v>石油</x:v>
      </x:c>
      <x:c r="B85" s="182" t="str">
        <x:v>600028</x:v>
      </x:c>
      <x:c r="C85" s="182" t="str">
        <x:v>中国石化</x:v>
      </x:c>
      <x:c r="D85" s="185" t="n">
        <x:v>2025</x:v>
      </x:c>
      <x:c r="E85" s="188" t="n">
        <x:v>27835.83</x:v>
      </x:c>
      <x:c r="F85" s="188" t="n">
        <x:v>318.09</x:v>
      </x:c>
      <x:c r="G85" s="191" t="n">
        <x:v>0.262</x:v>
      </x:c>
      <x:c r="H85" s="194" t="n">
        <x:v>0.038599999999999995</x:v>
      </x:c>
      <x:c r="I85" s="194" t="n">
        <x:v>0.03271435054507</x:v>
      </x:c>
      <x:c r="J85" s="188" t="n">
        <x:v>1624.96</x:v>
      </x:c>
      <x:c r="K85" s="188" t="n">
        <x:v>1336.25</x:v>
      </x:c>
      <x:c r="L85" s="188" t="n">
        <x:v>9897.72</x:v>
      </x:c>
      <x:c r="M85" s="188" t="n">
        <x:v>21556.17</x:v>
      </x:c>
      <x:c r="N85" s="194" t="n">
        <x:v>0.24711393536100001</x:v>
      </x:c>
      <x:c r="O85" s="191" t="n">
        <x:v>6.866381092569</x:v>
      </x:c>
      <x:c r="P85" s="191" t="n">
        <x:v>1207.14479172</x:v>
      </x:c>
      <x:c r="Q85" s="191" t="n">
        <x:v>0.2</x:v>
      </x:c>
      <x:c r="R85" s="197" t="n">
        <x:v>7.933600234352</x:v>
      </x:c>
      <x:c r="S85" s="182" t="str">
        <x:v>https://www.sse.com.cn/assortment/stock/list/info/announcement/index.shtml?productId=600028</x:v>
      </x:c>
      <x:c r="T85" s="302"/>
      <x:c r="U85" s="302"/>
      <x:c r="V85" s="302"/>
      <x:c r="W85" s="302"/>
      <x:c r="X85" s="302"/>
      <x:c r="Y85" s="302"/>
    </x:row>
    <x:row r="86">
      <x:c r="A86" s="182" t="str">
        <x:v>石油</x:v>
      </x:c>
      <x:c r="B86" s="182" t="str">
        <x:v>600938</x:v>
      </x:c>
      <x:c r="C86" s="182" t="str">
        <x:v>中国海油</x:v>
      </x:c>
      <x:c r="D86" s="185" t="n">
        <x:v>2016</x:v>
      </x:c>
      <x:c r="E86" s="188"/>
      <x:c r="F86" s="188"/>
      <x:c r="G86" s="191"/>
      <x:c r="H86" s="194"/>
      <x:c r="I86" s="194"/>
      <x:c r="J86" s="188"/>
      <x:c r="K86" s="188"/>
      <x:c r="L86" s="188"/>
      <x:c r="M86" s="188"/>
      <x:c r="N86" s="194"/>
      <x:c r="O86" s="191"/>
      <x:c r="P86" s="191"/>
      <x:c r="Q86" s="191"/>
      <x:c r="R86" s="197"/>
      <x:c r="S86" s="182" t="str">
        <x:v>https://www.sse.com.cn/assortment/stock/list/info/announcement/index.shtml?productId=600938</x:v>
      </x:c>
      <x:c r="T86" s="302"/>
      <x:c r="U86" s="302"/>
      <x:c r="V86" s="302"/>
      <x:c r="W86" s="302"/>
      <x:c r="X86" s="302"/>
      <x:c r="Y86" s="302"/>
    </x:row>
    <x:row r="87">
      <x:c r="A87" s="182" t="str">
        <x:v>石油</x:v>
      </x:c>
      <x:c r="B87" s="182" t="str">
        <x:v>600938</x:v>
      </x:c>
      <x:c r="C87" s="182" t="str">
        <x:v>中国海油</x:v>
      </x:c>
      <x:c r="D87" s="185" t="n">
        <x:v>2017</x:v>
      </x:c>
      <x:c r="E87" s="188"/>
      <x:c r="F87" s="188"/>
      <x:c r="G87" s="191"/>
      <x:c r="H87" s="194"/>
      <x:c r="I87" s="194"/>
      <x:c r="J87" s="188"/>
      <x:c r="K87" s="188"/>
      <x:c r="L87" s="188"/>
      <x:c r="M87" s="188"/>
      <x:c r="N87" s="194"/>
      <x:c r="O87" s="191"/>
      <x:c r="P87" s="191"/>
      <x:c r="Q87" s="191"/>
      <x:c r="R87" s="197"/>
      <x:c r="S87" s="182" t="str">
        <x:v>https://www.sse.com.cn/assortment/stock/list/info/announcement/index.shtml?productId=600938</x:v>
      </x:c>
      <x:c r="T87" s="302"/>
      <x:c r="U87" s="302"/>
      <x:c r="V87" s="302"/>
      <x:c r="W87" s="302"/>
      <x:c r="X87" s="302"/>
      <x:c r="Y87" s="302"/>
    </x:row>
    <x:row r="88">
      <x:c r="A88" s="182" t="str">
        <x:v>石油</x:v>
      </x:c>
      <x:c r="B88" s="182" t="str">
        <x:v>600938</x:v>
      </x:c>
      <x:c r="C88" s="182" t="str">
        <x:v>中国海油</x:v>
      </x:c>
      <x:c r="D88" s="185" t="n">
        <x:v>2018</x:v>
      </x:c>
      <x:c r="E88" s="188" t="n">
        <x:v>2277.102148</x:v>
      </x:c>
      <x:c r="F88" s="188" t="n">
        <x:v>526.753614</x:v>
      </x:c>
      <x:c r="G88" s="191" t="n">
        <x:v>1.18</x:v>
      </x:c>
      <x:c r="H88" s="194" t="n">
        <x:v>0.1313</x:v>
      </x:c>
      <x:c r="I88" s="194" t="n">
        <x:v>0.19330455368976002</x:v>
      </x:c>
      <x:c r="J88" s="188" t="n">
        <x:v>1243.970902</x:v>
      </x:c>
      <x:c r="K88" s="188" t="n">
        <x:v>512.666882</x:v>
      </x:c>
      <x:c r="L88" s="188" t="n">
        <x:v>4199.110984</x:v>
      </x:c>
      <x:c r="M88" s="188" t="n">
        <x:v>6863.80004</x:v>
      </x:c>
      <x:c r="N88" s="194" t="n">
        <x:v>0.209435255343</x:v>
      </x:c>
      <x:c r="O88" s="191" t="n">
        <x:v>0</x:v>
      </x:c>
      <x:c r="P88" s="191" t="n">
        <x:v>475.29953984</x:v>
      </x:c>
      <x:c r="Q88" s="191"/>
      <x:c r="R88" s="197" t="n">
        <x:v>22.869242287696</x:v>
      </x:c>
      <x:c r="S88" s="182" t="str">
        <x:v>https://www.sse.com.cn/assortment/stock/list/info/announcement/index.shtml?productId=600938</x:v>
      </x:c>
      <x:c r="T88" s="302"/>
      <x:c r="U88" s="302"/>
      <x:c r="V88" s="302"/>
      <x:c r="W88" s="302"/>
      <x:c r="X88" s="302"/>
      <x:c r="Y88" s="302"/>
    </x:row>
    <x:row r="89">
      <x:c r="A89" s="182" t="str">
        <x:v>石油</x:v>
      </x:c>
      <x:c r="B89" s="182" t="str">
        <x:v>600938</x:v>
      </x:c>
      <x:c r="C89" s="182" t="str">
        <x:v>中国海油</x:v>
      </x:c>
      <x:c r="D89" s="185" t="n">
        <x:v>2019</x:v>
      </x:c>
      <x:c r="E89" s="188" t="n">
        <x:v>2331.985562</x:v>
      </x:c>
      <x:c r="F89" s="188" t="n">
        <x:v>610.453943</x:v>
      </x:c>
      <x:c r="G89" s="191" t="n">
        <x:v>1.37</x:v>
      </x:c>
      <x:c r="H89" s="194" t="n">
        <x:v>0.1406</x:v>
      </x:c>
      <x:c r="I89" s="194" t="n">
        <x:v>0.10773472531491</x:v>
      </x:c>
      <x:c r="J89" s="188" t="n">
        <x:v>1235.18426</x:v>
      </x:c>
      <x:c r="K89" s="188" t="n">
        <x:v>720.137415</x:v>
      </x:c>
      <x:c r="L89" s="188" t="n">
        <x:v>4482.266789</x:v>
      </x:c>
      <x:c r="M89" s="188" t="n">
        <x:v>7577.30423</x:v>
      </x:c>
      <x:c r="N89" s="194" t="n">
        <x:v>0.20924447717500003</x:v>
      </x:c>
      <x:c r="O89" s="191" t="n">
        <x:v>0</x:v>
      </x:c>
      <x:c r="P89" s="191" t="n">
        <x:v>475.29953984</x:v>
      </x:c>
      <x:c r="Q89" s="191"/>
      <x:c r="R89" s="197" t="n">
        <x:v>20.190877824311</x:v>
      </x:c>
      <x:c r="S89" s="182" t="str">
        <x:v>https://www.sse.com.cn/assortment/stock/list/info/announcement/index.shtml?productId=600938</x:v>
      </x:c>
      <x:c r="T89" s="302"/>
      <x:c r="U89" s="302"/>
      <x:c r="V89" s="302"/>
      <x:c r="W89" s="302"/>
      <x:c r="X89" s="302"/>
      <x:c r="Y89" s="302"/>
    </x:row>
    <x:row r="90">
      <x:c r="A90" s="182" t="str">
        <x:v>石油</x:v>
      </x:c>
      <x:c r="B90" s="182" t="str">
        <x:v>600938</x:v>
      </x:c>
      <x:c r="C90" s="182" t="str">
        <x:v>中国海油</x:v>
      </x:c>
      <x:c r="D90" s="185" t="n">
        <x:v>2020</x:v>
      </x:c>
      <x:c r="E90" s="188" t="n">
        <x:v>1553.73</x:v>
      </x:c>
      <x:c r="F90" s="188" t="n">
        <x:v>249.57</x:v>
      </x:c>
      <x:c r="G90" s="191" t="n">
        <x:v>0.56</x:v>
      </x:c>
      <x:c r="H90" s="194" t="n">
        <x:v>0.056600000000000004</x:v>
      </x:c>
      <x:c r="I90" s="194" t="n">
        <x:v>0.04566063584452</x:v>
      </x:c>
      <x:c r="J90" s="188" t="n">
        <x:v>823.38</x:v>
      </x:c>
      <x:c r="K90" s="188" t="n">
        <x:v>754.18</x:v>
      </x:c>
      <x:c r="L90" s="188" t="n">
        <x:v>4339.31</x:v>
      </x:c>
      <x:c r="M90" s="188" t="n">
        <x:v>7212.76</x:v>
      </x:c>
      <x:c r="N90" s="194" t="n">
        <x:v>0.19902228827799998</x:v>
      </x:c>
      <x:c r="O90" s="191" t="n">
        <x:v>9.71</x:v>
      </x:c>
      <x:c r="P90" s="191" t="n">
        <x:v>475.29953984</x:v>
      </x:c>
      <x:c r="Q90" s="191"/>
      <x:c r="R90" s="197" t="n">
        <x:v>13.639041696395</x:v>
      </x:c>
      <x:c r="S90" s="182" t="str">
        <x:v>https://www.sse.com.cn/assortment/stock/list/info/announcement/index.shtml?productId=600938</x:v>
      </x:c>
      <x:c r="T90" s="302"/>
      <x:c r="U90" s="302"/>
      <x:c r="V90" s="302"/>
      <x:c r="W90" s="302"/>
      <x:c r="X90" s="302"/>
      <x:c r="Y90" s="302"/>
    </x:row>
    <x:row r="91">
      <x:c r="A91" s="182" t="str">
        <x:v>石油</x:v>
      </x:c>
      <x:c r="B91" s="182" t="str">
        <x:v>600938</x:v>
      </x:c>
      <x:c r="C91" s="182" t="str">
        <x:v>中国海油</x:v>
      </x:c>
      <x:c r="D91" s="185" t="n">
        <x:v>2021</x:v>
      </x:c>
      <x:c r="E91" s="188" t="n">
        <x:v>2461.11</x:v>
      </x:c>
      <x:c r="F91" s="188" t="n">
        <x:v>703.2</x:v>
      </x:c>
      <x:c r="G91" s="191" t="n">
        <x:v>1.57</x:v>
      </x:c>
      <x:c r="H91" s="194" t="n">
        <x:v>0.1536</x:v>
      </x:c>
      <x:c r="I91" s="194" t="n">
        <x:v>0.1207953463882</x:v>
      </x:c>
      <x:c r="J91" s="188" t="n">
        <x:v>1478.93</x:v>
      </x:c>
      <x:c r="K91" s="188" t="n">
        <x:v>824.37</x:v>
      </x:c>
      <x:c r="L91" s="188" t="n">
        <x:v>4819.76</x:v>
      </x:c>
      <x:c r="M91" s="188" t="n">
        <x:v>7865.69</x:v>
      </x:c>
      <x:c r="N91" s="194" t="n">
        <x:v>0.171812008864</x:v>
      </x:c>
      <x:c r="O91" s="191" t="n">
        <x:v>10.77</x:v>
      </x:c>
      <x:c r="P91" s="191" t="n">
        <x:v>475.29953984</x:v>
      </x:c>
      <x:c r="Q91" s="191"/>
      <x:c r="R91" s="197" t="n">
        <x:v>27.983538315989</x:v>
      </x:c>
      <x:c r="S91" s="182" t="str">
        <x:v>https://www.sse.com.cn/assortment/stock/list/info/announcement/index.shtml?productId=600938</x:v>
      </x:c>
      <x:c r="T91" s="302"/>
      <x:c r="U91" s="302"/>
      <x:c r="V91" s="302"/>
      <x:c r="W91" s="302"/>
      <x:c r="X91" s="302"/>
      <x:c r="Y91" s="302"/>
    </x:row>
    <x:row r="92">
      <x:c r="A92" s="182" t="str">
        <x:v>石油</x:v>
      </x:c>
      <x:c r="B92" s="182" t="str">
        <x:v>600938</x:v>
      </x:c>
      <x:c r="C92" s="182" t="str">
        <x:v>中国海油</x:v>
      </x:c>
      <x:c r="D92" s="185" t="n">
        <x:v>2022</x:v>
      </x:c>
      <x:c r="E92" s="188" t="n">
        <x:v>4222.3</x:v>
      </x:c>
      <x:c r="F92" s="188" t="n">
        <x:v>1417</x:v>
      </x:c>
      <x:c r="G92" s="191" t="n">
        <x:v>3.03</x:v>
      </x:c>
      <x:c r="H92" s="194" t="n">
        <x:v>0.26</x:v>
      </x:c>
      <x:c r="I92" s="194" t="n">
        <x:v>0.21005602649684</x:v>
      </x:c>
      <x:c r="J92" s="188" t="n">
        <x:v>2055.74</x:v>
      </x:c>
      <x:c r="K92" s="188" t="n">
        <x:v>947.54</x:v>
      </x:c>
      <x:c r="L92" s="188" t="n">
        <x:v>5983.83</x:v>
      </x:c>
      <x:c r="M92" s="188" t="n">
        <x:v>9290.31</x:v>
      </x:c>
      <x:c r="N92" s="194" t="n">
        <x:v>0.144662557008</x:v>
      </x:c>
      <x:c r="O92" s="191" t="n">
        <x:v>12.554606409653</x:v>
      </x:c>
      <x:c r="P92" s="191" t="n">
        <x:v>475.29953984</x:v>
      </x:c>
      <x:c r="Q92" s="191" t="n">
        <x:v>1.28498</x:v>
      </x:c>
      <x:c r="R92" s="197" t="n">
        <x:v>40.539144153027</x:v>
      </x:c>
      <x:c r="S92" s="182" t="str">
        <x:v>https://www.sse.com.cn/assortment/stock/list/info/announcement/index.shtml?productId=600938</x:v>
      </x:c>
      <x:c r="T92" s="302"/>
      <x:c r="U92" s="302"/>
      <x:c r="V92" s="302"/>
      <x:c r="W92" s="302"/>
      <x:c r="X92" s="302"/>
      <x:c r="Y92" s="302"/>
    </x:row>
    <x:row r="93">
      <x:c r="A93" s="182" t="str">
        <x:v>石油</x:v>
      </x:c>
      <x:c r="B93" s="182" t="str">
        <x:v>600938</x:v>
      </x:c>
      <x:c r="C93" s="182" t="str">
        <x:v>中国海油</x:v>
      </x:c>
      <x:c r="D93" s="185" t="n">
        <x:v>2023</x:v>
      </x:c>
      <x:c r="E93" s="188" t="n">
        <x:v>4166.09</x:v>
      </x:c>
      <x:c r="F93" s="188" t="n">
        <x:v>1238.43</x:v>
      </x:c>
      <x:c r="G93" s="191" t="n">
        <x:v>2.6</x:v>
      </x:c>
      <x:c r="H93" s="194" t="n">
        <x:v>0.1955</x:v>
      </x:c>
      <x:c r="I93" s="194" t="n">
        <x:v>0.16002951016286002</x:v>
      </x:c>
      <x:c r="J93" s="188" t="n">
        <x:v>2097.43</x:v>
      </x:c>
      <x:c r="K93" s="188" t="n">
        <x:v>1208.75</x:v>
      </x:c>
      <x:c r="L93" s="188" t="n">
        <x:v>6678.76</x:v>
      </x:c>
      <x:c r="M93" s="188" t="n">
        <x:v>10055.98</x:v>
      </x:c>
      <x:c r="N93" s="194" t="n">
        <x:v>0.119507994248</x:v>
      </x:c>
      <x:c r="O93" s="191" t="n">
        <x:v>14.013692422386</x:v>
      </x:c>
      <x:c r="P93" s="191" t="n">
        <x:v>475.29953984</x:v>
      </x:c>
      <x:c r="Q93" s="191" t="n">
        <x:v>1.14146</x:v>
      </x:c>
      <x:c r="R93" s="197" t="n">
        <x:v>39.996758199847</x:v>
      </x:c>
      <x:c r="S93" s="182" t="str">
        <x:v>https://www.sse.com.cn/assortment/stock/list/info/announcement/index.shtml?productId=600938</x:v>
      </x:c>
      <x:c r="T93" s="302"/>
      <x:c r="U93" s="302"/>
      <x:c r="V93" s="302"/>
      <x:c r="W93" s="302"/>
      <x:c r="X93" s="302"/>
      <x:c r="Y93" s="302"/>
    </x:row>
    <x:row r="94">
      <x:c r="A94" s="182" t="str">
        <x:v>石油</x:v>
      </x:c>
      <x:c r="B94" s="182" t="str">
        <x:v>600938</x:v>
      </x:c>
      <x:c r="C94" s="182" t="str">
        <x:v>中国海油</x:v>
      </x:c>
      <x:c r="D94" s="185" t="n">
        <x:v>2024</x:v>
      </x:c>
      <x:c r="E94" s="188" t="n">
        <x:v>4205.06</x:v>
      </x:c>
      <x:c r="F94" s="188" t="n">
        <x:v>1379.36</x:v>
      </x:c>
      <x:c r="G94" s="191" t="n">
        <x:v>2.9</x:v>
      </x:c>
      <x:c r="H94" s="194" t="n">
        <x:v>0.1936</x:v>
      </x:c>
      <x:c r="I94" s="194" t="n">
        <x:v>0.16663261023577</x:v>
      </x:c>
      <x:c r="J94" s="188" t="n">
        <x:v>2208.91</x:v>
      </x:c>
      <x:c r="K94" s="188" t="n">
        <x:v>1233.59</x:v>
      </x:c>
      <x:c r="L94" s="188" t="n">
        <x:v>7494.36</x:v>
      </x:c>
      <x:c r="M94" s="188" t="n">
        <x:v>10562.81</x:v>
      </x:c>
      <x:c r="N94" s="194" t="n">
        <x:v>0.091881800392</x:v>
      </x:c>
      <x:c r="O94" s="191" t="n">
        <x:v>15.727934435864</x:v>
      </x:c>
      <x:c r="P94" s="191" t="n">
        <x:v>475.29953984</x:v>
      </x:c>
      <x:c r="Q94" s="191" t="n">
        <x:v>1.28159</x:v>
      </x:c>
      <x:c r="R94" s="197" t="n">
        <x:v>51.096692111959</x:v>
      </x:c>
      <x:c r="S94" s="182" t="str">
        <x:v>https://www.sse.com.cn/assortment/stock/list/info/announcement/index.shtml?productId=600938</x:v>
      </x:c>
      <x:c r="T94" s="302"/>
      <x:c r="U94" s="302"/>
      <x:c r="V94" s="302"/>
      <x:c r="W94" s="302"/>
      <x:c r="X94" s="302"/>
      <x:c r="Y94" s="302"/>
    </x:row>
    <x:row r="95">
      <x:c r="A95" s="183" t="str">
        <x:v>石油</x:v>
      </x:c>
      <x:c r="B95" s="183" t="str">
        <x:v>600938</x:v>
      </x:c>
      <x:c r="C95" s="183" t="str">
        <x:v>中国海油</x:v>
      </x:c>
      <x:c r="D95" s="186" t="n">
        <x:v>2025</x:v>
      </x:c>
      <x:c r="E95" s="189" t="n">
        <x:v>3982.2</x:v>
      </x:c>
      <x:c r="F95" s="189" t="n">
        <x:v>1220.82</x:v>
      </x:c>
      <x:c r="G95" s="192" t="n">
        <x:v>2.57</x:v>
      </x:c>
      <x:c r="H95" s="195" t="n">
        <x:v>0.1564</x:v>
      </x:c>
      <x:c r="I95" s="195" t="n">
        <x:v>0.13912736360082</x:v>
      </x:c>
      <x:c r="J95" s="189" t="n">
        <x:v>2090.42</x:v>
      </x:c>
      <x:c r="K95" s="189" t="n">
        <x:v>1115.55</x:v>
      </x:c>
      <x:c r="L95" s="189" t="n">
        <x:v>8051.84</x:v>
      </x:c>
      <x:c r="M95" s="189" t="n">
        <x:v>10985.59</x:v>
      </x:c>
      <x:c r="N95" s="195" t="n">
        <x:v>0.063537779946</x:v>
      </x:c>
      <x:c r="O95" s="192" t="n">
        <x:v>16.889349404172</x:v>
      </x:c>
      <x:c r="P95" s="192" t="n">
        <x:v>475.29953984</x:v>
      </x:c>
      <x:c r="Q95" s="192" t="n">
        <x:v>1.14493</x:v>
      </x:c>
      <x:c r="R95" s="198" t="n">
        <x:v>63.097494717778</x:v>
      </x:c>
      <x:c r="S95" s="183" t="str">
        <x:v>https://www.sse.com.cn/assortment/stock/list/info/announcement/index.shtml?productId=600938</x:v>
      </x:c>
      <x:c r="T95" s="302"/>
      <x:c r="U95" s="302"/>
      <x:c r="V95" s="302"/>
      <x:c r="W95" s="302"/>
      <x:c r="X95" s="302"/>
      <x:c r="Y95" s="302"/>
    </x:row>
  </x:sheetData>
  <x:mergeCells>
    <x:mergeCell ref="A2:Y2"/>
    <x:mergeCell ref="A3:Y3"/>
    <x:mergeCell ref="A14:S14"/>
  </x:mergeCells>
  <x:pageMargins left="0.7" right="0.7" top="0.75" bottom="0.75" header="0.3" footer="0.3"/>
</x:worksheet>
</file>