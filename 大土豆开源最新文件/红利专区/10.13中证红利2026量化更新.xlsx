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结论" sheetId="1" state="visible" r:id="rId3"/>
    <sheet name="100只成分明细" sheetId="2" state="visible" r:id="rId4"/>
    <sheet name="检查" sheetId="3" state="visible" r:id="rId5"/>
    <sheet name="来源" sheetId="4" state="visible" r:id="rId6"/>
    <sheet name="10.13行情明细" sheetId="5" state="visible" r:id="rId7"/>
    <sheet name="10.13方法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tc={210487A7-84C1-4B85-B632-ACA06CB34F8E}</author>
    <author>tc={6CDF8E69-2306-4C54-80C9-FD87B844B17A}</author>
    <author>tc={715F36A0-CBDB-4434-AB85-FCEEEC9E0DDF}</author>
  </authors>
  <commentList>
    <comment ref="B5" authorId="1">
      <text>
        <r>
          <rPr>
            <sz val="10"/>
            <rFont val="Arial"/>
            <family val="2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来源：用户上一期视频文案中的2026</t>
        </r>
        <r>
          <rPr>
            <sz val="10"/>
            <rFont val="思源黑体"/>
            <family val="2"/>
            <charset val="134"/>
          </rPr>
          <t xml:space="preserve">年</t>
        </r>
        <r>
          <rPr>
            <sz val="10"/>
            <rFont val="Arial"/>
            <family val="2"/>
            <charset val="134"/>
          </rPr>
          <t xml:space="preserve">8</t>
        </r>
        <r>
          <rPr>
            <sz val="10"/>
            <rFont val="思源黑体"/>
            <family val="2"/>
            <charset val="134"/>
          </rPr>
          <t xml:space="preserve">月技术底部</t>
        </r>
        <r>
          <rPr>
            <sz val="10"/>
            <rFont val="Arial"/>
            <family val="2"/>
            <charset val="134"/>
          </rPr>
          <t xml:space="preserve">5100</t>
        </r>
        <r>
          <rPr>
            <sz val="10"/>
            <rFont val="思源黑体"/>
            <family val="2"/>
            <charset val="134"/>
          </rPr>
          <t xml:space="preserve">点。</t>
        </r>
      </text>
    </comment>
    <comment ref="C5" authorId="0">
      <text>
        <r>
          <rPr>
            <sz val="10"/>
            <rFont val="Arial"/>
            <family val="2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来源：用户上一期视频文案中的技术顶部6100</t>
        </r>
        <r>
          <rPr>
            <sz val="10"/>
            <rFont val="思源黑体"/>
            <family val="2"/>
            <charset val="134"/>
          </rPr>
          <t xml:space="preserve">点。</t>
        </r>
      </text>
    </comment>
    <comment ref="D5" authorId="2">
      <text>
        <r>
          <rPr>
            <sz val="10"/>
            <rFont val="Arial"/>
            <family val="2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来源：2026-08-28</t>
        </r>
        <r>
          <rPr>
            <sz val="10"/>
            <rFont val="思源黑体"/>
            <family val="2"/>
            <charset val="134"/>
          </rPr>
          <t xml:space="preserve">中证红利收盘点位；用于位置演示，可手工更新。</t>
        </r>
      </text>
    </comment>
  </commentList>
</comments>
</file>

<file path=xl/sharedStrings.xml><?xml version="1.0" encoding="utf-8"?>
<sst xmlns="http://schemas.openxmlformats.org/spreadsheetml/2006/main" count="1152" uniqueCount="631">
  <si>
    <t xml:space="preserve">中证红利量化更新：10月13日板块位置与性价比</t>
  </si>
  <si>
    <t xml:space="preserve">结论：5332—5420点的半年报修正底部已被9月29日5386点低位验证；当前位置已反弹，但银行与煤炭并非同一种“高”，需要把短线强势、绝对估值和盈利质量分开。</t>
  </si>
  <si>
    <t xml:space="preserve">数据日期（手填）</t>
  </si>
  <si>
    <t xml:space="preserve">中证红利收盘（手填）</t>
  </si>
  <si>
    <t xml:space="preserve">区间最低</t>
  </si>
  <si>
    <t xml:space="preserve">低点后反弹</t>
  </si>
  <si>
    <t xml:space="preserve">8/31至今</t>
  </si>
  <si>
    <t xml:space="preserve">黄色单元格可手工更新。仅刷新指数层指标；板块评分仍需更新成分股行情。</t>
  </si>
  <si>
    <t xml:space="preserve">原策略验证：实际低点是否进入半年报修正底部</t>
  </si>
  <si>
    <t xml:space="preserve">场景</t>
  </si>
  <si>
    <t xml:space="preserve">实际低点</t>
  </si>
  <si>
    <t xml:space="preserve">低点距模型底部</t>
  </si>
  <si>
    <t xml:space="preserve">±1.2%验证</t>
  </si>
  <si>
    <t xml:space="preserve">模型顶部</t>
  </si>
  <si>
    <t xml:space="preserve">当前距顶部</t>
  </si>
  <si>
    <t xml:space="preserve">保守</t>
  </si>
  <si>
    <t xml:space="preserve">中枢</t>
  </si>
  <si>
    <t xml:space="preserve">积极</t>
  </si>
  <si>
    <t xml:space="preserve">10月13日结论</t>
  </si>
  <si>
    <t xml:space="preserve">底部判断</t>
  </si>
  <si>
    <t xml:space="preserve">9月29日最低5386.04点，处于模型5332—5420点区间；5300—5400仍是被验证过的支撑带，不宜把一次命中理解为永久有效。</t>
  </si>
  <si>
    <t xml:space="preserve">银行</t>
  </si>
  <si>
    <t xml:space="preserve">煤炭</t>
  </si>
  <si>
    <t xml:space="preserve">相对高位</t>
  </si>
  <si>
    <t xml:space="preserve">相对低位</t>
  </si>
  <si>
    <t xml:space="preserve">有色、化工、建材家居、机械汽车位置较低；有色盈利强但股息率低，更像周期弹性，后三者盈利偏弱，不能只因价格低就买入。</t>
  </si>
  <si>
    <t xml:space="preserve">板块量化：位置分越高越接近相对高位，综合性价比分越高越值得继续跟踪</t>
  </si>
  <si>
    <t xml:space="preserve">板块</t>
  </si>
  <si>
    <t xml:space="preserve">样本</t>
  </si>
  <si>
    <t xml:space="preserve">权重</t>
  </si>
  <si>
    <t xml:space="preserve">8/31至10/13</t>
  </si>
  <si>
    <t xml:space="preserve">国庆后</t>
  </si>
  <si>
    <t xml:space="preserve">距高点</t>
  </si>
  <si>
    <t xml:space="preserve">H1营收同比</t>
  </si>
  <si>
    <t xml:space="preserve">H1利润池同比</t>
  </si>
  <si>
    <t xml:space="preserve">利润增长权重</t>
  </si>
  <si>
    <t xml:space="preserve">TTM股息率</t>
  </si>
  <si>
    <t xml:space="preserve">PE(TTM)加权</t>
  </si>
  <si>
    <t xml:space="preserve">PB加权</t>
  </si>
  <si>
    <t xml:space="preserve">连续3年分红</t>
  </si>
  <si>
    <t xml:space="preserve">位置分</t>
  </si>
  <si>
    <t xml:space="preserve">相对位置</t>
  </si>
  <si>
    <t xml:space="preserve">基本面分</t>
  </si>
  <si>
    <t xml:space="preserve">综合性价比分</t>
  </si>
  <si>
    <t xml:space="preserve">综合结论</t>
  </si>
  <si>
    <t xml:space="preserve">利润评分值</t>
  </si>
  <si>
    <t xml:space="preserve">油气炼化</t>
  </si>
  <si>
    <t xml:space="preserve">出版医药</t>
  </si>
  <si>
    <t xml:space="preserve">交通物流</t>
  </si>
  <si>
    <t xml:space="preserve">钢铁</t>
  </si>
  <si>
    <t xml:space="preserve">消费</t>
  </si>
  <si>
    <t xml:space="preserve">保险金融</t>
  </si>
  <si>
    <t xml:space="preserve">建筑地产</t>
  </si>
  <si>
    <t xml:space="preserve">公用环保</t>
  </si>
  <si>
    <t xml:space="preserve">建材家居</t>
  </si>
  <si>
    <t xml:space="preserve">有色矿业</t>
  </si>
  <si>
    <t xml:space="preserve">机械汽车</t>
  </si>
  <si>
    <t xml:space="preserve">化工</t>
  </si>
  <si>
    <t xml:space="preserve">中证红利整体</t>
  </si>
  <si>
    <t xml:space="preserve">中证红利（000922）2026年半年报成分股明细</t>
  </si>
  <si>
    <t xml:space="preserve">成分权重日期：2026-07-31｜财报期间：2026H1 vs 2025H1｜金额单位：亿元｜蓝字为外部导入数据，黑字为公式</t>
  </si>
  <si>
    <t xml:space="preserve">代码</t>
  </si>
  <si>
    <t xml:space="preserve">名称</t>
  </si>
  <si>
    <t xml:space="preserve">分析板块</t>
  </si>
  <si>
    <t xml:space="preserve">指数权重</t>
  </si>
  <si>
    <t xml:space="preserve">营业收入26H1</t>
  </si>
  <si>
    <t xml:space="preserve">营业收入25H1</t>
  </si>
  <si>
    <t xml:space="preserve">营收同比</t>
  </si>
  <si>
    <t xml:space="preserve">归母净利润26H1</t>
  </si>
  <si>
    <t xml:space="preserve">归母净利润25H1</t>
  </si>
  <si>
    <t xml:space="preserve">归母净利润同比</t>
  </si>
  <si>
    <t xml:space="preserve">利润增量</t>
  </si>
  <si>
    <t xml:space="preserve">扣非净利润26H1</t>
  </si>
  <si>
    <t xml:space="preserve">扣非净利润25H1</t>
  </si>
  <si>
    <t xml:space="preserve">扣非同比</t>
  </si>
  <si>
    <t xml:space="preserve">经营现金流26H1</t>
  </si>
  <si>
    <t xml:space="preserve">经营现金流25H1</t>
  </si>
  <si>
    <t xml:space="preserve">经营现金流同比</t>
  </si>
  <si>
    <t xml:space="preserve">正利润可比</t>
  </si>
  <si>
    <t xml:space="preserve">利润同比截尾</t>
  </si>
  <si>
    <t xml:space="preserve">权重×截尾增速</t>
  </si>
  <si>
    <t xml:space="preserve">财务来源</t>
  </si>
  <si>
    <t xml:space="preserve">000090</t>
  </si>
  <si>
    <t xml:space="preserve">天健集团</t>
  </si>
  <si>
    <t xml:space="preserve">建筑</t>
  </si>
  <si>
    <t xml:space="preserve">https://emweb.securities.eastmoney.com/PC_HSF10/FinanceAnalysis/Index?type=web&amp;code=SZ000090</t>
  </si>
  <si>
    <t xml:space="preserve">000157</t>
  </si>
  <si>
    <t xml:space="preserve">中联重科</t>
  </si>
  <si>
    <t xml:space="preserve">其他</t>
  </si>
  <si>
    <t xml:space="preserve">https://emweb.securities.eastmoney.com/PC_HSF10/FinanceAnalysis/Index?type=web&amp;code=SZ000157</t>
  </si>
  <si>
    <t xml:space="preserve">000408</t>
  </si>
  <si>
    <t xml:space="preserve">藏格矿业</t>
  </si>
  <si>
    <t xml:space="preserve">https://emweb.securities.eastmoney.com/PC_HSF10/FinanceAnalysis/Index?type=web&amp;code=SZ000408</t>
  </si>
  <si>
    <t xml:space="preserve">000429</t>
  </si>
  <si>
    <t xml:space="preserve">粤高速A</t>
  </si>
  <si>
    <t xml:space="preserve">交通运输</t>
  </si>
  <si>
    <t xml:space="preserve">https://emweb.securities.eastmoney.com/PC_HSF10/FinanceAnalysis/Index?type=web&amp;code=SZ000429</t>
  </si>
  <si>
    <t xml:space="preserve">000651</t>
  </si>
  <si>
    <t xml:space="preserve">格力电器</t>
  </si>
  <si>
    <t xml:space="preserve">https://emweb.securities.eastmoney.com/PC_HSF10/FinanceAnalysis/Index?type=web&amp;code=SZ000651</t>
  </si>
  <si>
    <t xml:space="preserve">000672</t>
  </si>
  <si>
    <t xml:space="preserve">上峰材料</t>
  </si>
  <si>
    <t xml:space="preserve">水泥建材</t>
  </si>
  <si>
    <t xml:space="preserve">https://emweb.securities.eastmoney.com/PC_HSF10/FinanceAnalysis/Index?type=web&amp;code=SZ000672</t>
  </si>
  <si>
    <t xml:space="preserve">000895</t>
  </si>
  <si>
    <t xml:space="preserve">双汇发展</t>
  </si>
  <si>
    <t xml:space="preserve">https://emweb.securities.eastmoney.com/PC_HSF10/FinanceAnalysis/Index?type=web&amp;code=SZ000895</t>
  </si>
  <si>
    <t xml:space="preserve">000933</t>
  </si>
  <si>
    <t xml:space="preserve">神火股份</t>
  </si>
  <si>
    <t xml:space="preserve">https://emweb.securities.eastmoney.com/PC_HSF10/FinanceAnalysis/Index?type=web&amp;code=SZ000933</t>
  </si>
  <si>
    <t xml:space="preserve">000983</t>
  </si>
  <si>
    <t xml:space="preserve">山西焦煤</t>
  </si>
  <si>
    <t xml:space="preserve">https://emweb.securities.eastmoney.com/PC_HSF10/FinanceAnalysis/Index?type=web&amp;code=SZ000983</t>
  </si>
  <si>
    <t xml:space="preserve">002043</t>
  </si>
  <si>
    <t xml:space="preserve">兔宝宝</t>
  </si>
  <si>
    <t xml:space="preserve">https://emweb.securities.eastmoney.com/PC_HSF10/FinanceAnalysis/Index?type=web&amp;code=SZ002043</t>
  </si>
  <si>
    <t xml:space="preserve">002154</t>
  </si>
  <si>
    <t xml:space="preserve">报喜鸟</t>
  </si>
  <si>
    <t xml:space="preserve">https://emweb.securities.eastmoney.com/PC_HSF10/FinanceAnalysis/Index?type=web&amp;code=SZ002154</t>
  </si>
  <si>
    <t xml:space="preserve">002233</t>
  </si>
  <si>
    <t xml:space="preserve">塔牌集团</t>
  </si>
  <si>
    <t xml:space="preserve">https://emweb.securities.eastmoney.com/PC_HSF10/FinanceAnalysis/Index?type=web&amp;code=SZ002233</t>
  </si>
  <si>
    <t xml:space="preserve">002267</t>
  </si>
  <si>
    <t xml:space="preserve">陕天然气</t>
  </si>
  <si>
    <t xml:space="preserve">https://emweb.securities.eastmoney.com/PC_HSF10/FinanceAnalysis/Index?type=web&amp;code=SZ002267</t>
  </si>
  <si>
    <t xml:space="preserve">002416</t>
  </si>
  <si>
    <t xml:space="preserve">爱施德</t>
  </si>
  <si>
    <t xml:space="preserve">https://emweb.securities.eastmoney.com/PC_HSF10/FinanceAnalysis/Index?type=web&amp;code=SZ002416</t>
  </si>
  <si>
    <t xml:space="preserve">002540</t>
  </si>
  <si>
    <t xml:space="preserve">亚太科技</t>
  </si>
  <si>
    <t xml:space="preserve">https://emweb.securities.eastmoney.com/PC_HSF10/FinanceAnalysis/Index?type=web&amp;code=SZ002540</t>
  </si>
  <si>
    <t xml:space="preserve">002563</t>
  </si>
  <si>
    <t xml:space="preserve">森马服饰</t>
  </si>
  <si>
    <t xml:space="preserve">https://emweb.securities.eastmoney.com/PC_HSF10/FinanceAnalysis/Index?type=web&amp;code=SZ002563</t>
  </si>
  <si>
    <t xml:space="preserve">002572</t>
  </si>
  <si>
    <t xml:space="preserve">索菲亚</t>
  </si>
  <si>
    <t xml:space="preserve">https://emweb.securities.eastmoney.com/PC_HSF10/FinanceAnalysis/Index?type=web&amp;code=SZ002572</t>
  </si>
  <si>
    <t xml:space="preserve">002601</t>
  </si>
  <si>
    <t xml:space="preserve">龙佰集团</t>
  </si>
  <si>
    <t xml:space="preserve">https://emweb.securities.eastmoney.com/PC_HSF10/FinanceAnalysis/Index?type=web&amp;code=SZ002601</t>
  </si>
  <si>
    <t xml:space="preserve">002737</t>
  </si>
  <si>
    <t xml:space="preserve">葵花药业</t>
  </si>
  <si>
    <t xml:space="preserve">https://emweb.securities.eastmoney.com/PC_HSF10/FinanceAnalysis/Index?type=web&amp;code=SZ002737</t>
  </si>
  <si>
    <t xml:space="preserve">002756</t>
  </si>
  <si>
    <t xml:space="preserve">永兴材料</t>
  </si>
  <si>
    <t xml:space="preserve">https://emweb.securities.eastmoney.com/PC_HSF10/FinanceAnalysis/Index?type=web&amp;code=SZ002756</t>
  </si>
  <si>
    <t xml:space="preserve">002867</t>
  </si>
  <si>
    <t xml:space="preserve">周大生</t>
  </si>
  <si>
    <t xml:space="preserve">https://emweb.securities.eastmoney.com/PC_HSF10/FinanceAnalysis/Index?type=web&amp;code=SZ002867</t>
  </si>
  <si>
    <t xml:space="preserve">301109</t>
  </si>
  <si>
    <t xml:space="preserve">军信股份</t>
  </si>
  <si>
    <t xml:space="preserve">https://emweb.securities.eastmoney.com/PC_HSF10/FinanceAnalysis/Index?type=web&amp;code=SZ301109</t>
  </si>
  <si>
    <t xml:space="preserve">600012</t>
  </si>
  <si>
    <t xml:space="preserve">皖通高速</t>
  </si>
  <si>
    <t xml:space="preserve">https://emweb.securities.eastmoney.com/PC_HSF10/FinanceAnalysis/Index?type=web&amp;code=SH600012</t>
  </si>
  <si>
    <t xml:space="preserve">600015</t>
  </si>
  <si>
    <t xml:space="preserve">华夏银行</t>
  </si>
  <si>
    <t xml:space="preserve">https://emweb.securities.eastmoney.com/PC_HSF10/FinanceAnalysis/Index?type=web&amp;code=SH600015</t>
  </si>
  <si>
    <t xml:space="preserve">600016</t>
  </si>
  <si>
    <t xml:space="preserve">民生银行</t>
  </si>
  <si>
    <t xml:space="preserve">https://emweb.securities.eastmoney.com/PC_HSF10/FinanceAnalysis/Index?type=web&amp;code=SH600016</t>
  </si>
  <si>
    <t xml:space="preserve">600028</t>
  </si>
  <si>
    <t xml:space="preserve">中国石化</t>
  </si>
  <si>
    <t xml:space="preserve">油气</t>
  </si>
  <si>
    <t xml:space="preserve">https://emweb.securities.eastmoney.com/PC_HSF10/FinanceAnalysis/Index?type=web&amp;code=SH600028</t>
  </si>
  <si>
    <t xml:space="preserve">600036</t>
  </si>
  <si>
    <t xml:space="preserve">招商银行</t>
  </si>
  <si>
    <t xml:space="preserve">https://emweb.securities.eastmoney.com/PC_HSF10/FinanceAnalysis/Index?type=web&amp;code=SH600036</t>
  </si>
  <si>
    <t xml:space="preserve">600039</t>
  </si>
  <si>
    <t xml:space="preserve">四川路桥</t>
  </si>
  <si>
    <t xml:space="preserve">https://emweb.securities.eastmoney.com/PC_HSF10/FinanceAnalysis/Index?type=web&amp;code=SH600039</t>
  </si>
  <si>
    <t xml:space="preserve">600057</t>
  </si>
  <si>
    <t xml:space="preserve">厦门象屿</t>
  </si>
  <si>
    <t xml:space="preserve">https://emweb.securities.eastmoney.com/PC_HSF10/FinanceAnalysis/Index?type=web&amp;code=SH600057</t>
  </si>
  <si>
    <t xml:space="preserve">600064</t>
  </si>
  <si>
    <t xml:space="preserve">南京高科</t>
  </si>
  <si>
    <t xml:space="preserve">https://emweb.securities.eastmoney.com/PC_HSF10/FinanceAnalysis/Index?type=web&amp;code=SH600064</t>
  </si>
  <si>
    <t xml:space="preserve">600096</t>
  </si>
  <si>
    <t xml:space="preserve">云天化</t>
  </si>
  <si>
    <t xml:space="preserve">https://emweb.securities.eastmoney.com/PC_HSF10/FinanceAnalysis/Index?type=web&amp;code=SH600096</t>
  </si>
  <si>
    <t xml:space="preserve">600123</t>
  </si>
  <si>
    <t xml:space="preserve">兰花科创</t>
  </si>
  <si>
    <t xml:space="preserve">https://emweb.securities.eastmoney.com/PC_HSF10/FinanceAnalysis/Index?type=web&amp;code=SH600123</t>
  </si>
  <si>
    <t xml:space="preserve">600153</t>
  </si>
  <si>
    <t xml:space="preserve">建发股份</t>
  </si>
  <si>
    <t xml:space="preserve">https://emweb.securities.eastmoney.com/PC_HSF10/FinanceAnalysis/Index?type=web&amp;code=SH600153</t>
  </si>
  <si>
    <t xml:space="preserve">600177</t>
  </si>
  <si>
    <t xml:space="preserve">雅戈尔</t>
  </si>
  <si>
    <t xml:space="preserve">https://emweb.securities.eastmoney.com/PC_HSF10/FinanceAnalysis/Index?type=web&amp;code=SH600177</t>
  </si>
  <si>
    <t xml:space="preserve">600188</t>
  </si>
  <si>
    <t xml:space="preserve">兖矿能源</t>
  </si>
  <si>
    <t xml:space="preserve">https://emweb.securities.eastmoney.com/PC_HSF10/FinanceAnalysis/Index?type=web&amp;code=SH600188</t>
  </si>
  <si>
    <t xml:space="preserve">600256</t>
  </si>
  <si>
    <t xml:space="preserve">广汇能源</t>
  </si>
  <si>
    <t xml:space="preserve">https://emweb.securities.eastmoney.com/PC_HSF10/FinanceAnalysis/Index?type=web&amp;code=SH600256</t>
  </si>
  <si>
    <t xml:space="preserve">600273</t>
  </si>
  <si>
    <t xml:space="preserve">嘉化能源</t>
  </si>
  <si>
    <t xml:space="preserve">https://emweb.securities.eastmoney.com/PC_HSF10/FinanceAnalysis/Index?type=web&amp;code=SH600273</t>
  </si>
  <si>
    <t xml:space="preserve">600282</t>
  </si>
  <si>
    <t xml:space="preserve">南钢股份</t>
  </si>
  <si>
    <t xml:space="preserve">https://emweb.securities.eastmoney.com/PC_HSF10/FinanceAnalysis/Index?type=web&amp;code=SH600282</t>
  </si>
  <si>
    <t xml:space="preserve">600295</t>
  </si>
  <si>
    <t xml:space="preserve">鄂尔多斯</t>
  </si>
  <si>
    <t xml:space="preserve">https://emweb.securities.eastmoney.com/PC_HSF10/FinanceAnalysis/Index?type=web&amp;code=SH600295</t>
  </si>
  <si>
    <t xml:space="preserve">600348</t>
  </si>
  <si>
    <t xml:space="preserve">华阳股份</t>
  </si>
  <si>
    <t xml:space="preserve">https://emweb.securities.eastmoney.com/PC_HSF10/FinanceAnalysis/Index?type=web&amp;code=SH600348</t>
  </si>
  <si>
    <t xml:space="preserve">600350</t>
  </si>
  <si>
    <t xml:space="preserve">山东高速</t>
  </si>
  <si>
    <t xml:space="preserve">https://emweb.securities.eastmoney.com/PC_HSF10/FinanceAnalysis/Index?type=web&amp;code=SH600350</t>
  </si>
  <si>
    <t xml:space="preserve">600373</t>
  </si>
  <si>
    <t xml:space="preserve">中文传媒</t>
  </si>
  <si>
    <t xml:space="preserve">https://emweb.securities.eastmoney.com/PC_HSF10/FinanceAnalysis/Index?type=web&amp;code=SH600373</t>
  </si>
  <si>
    <t xml:space="preserve">600398</t>
  </si>
  <si>
    <t xml:space="preserve">海澜之家</t>
  </si>
  <si>
    <t xml:space="preserve">https://emweb.securities.eastmoney.com/PC_HSF10/FinanceAnalysis/Index?type=web&amp;code=SH600398</t>
  </si>
  <si>
    <t xml:space="preserve">600461</t>
  </si>
  <si>
    <t xml:space="preserve">洪城环境</t>
  </si>
  <si>
    <t xml:space="preserve">https://emweb.securities.eastmoney.com/PC_HSF10/FinanceAnalysis/Index?type=web&amp;code=SH600461</t>
  </si>
  <si>
    <t xml:space="preserve">600502</t>
  </si>
  <si>
    <t xml:space="preserve">安徽建工</t>
  </si>
  <si>
    <t xml:space="preserve">https://emweb.securities.eastmoney.com/PC_HSF10/FinanceAnalysis/Index?type=web&amp;code=SH600502</t>
  </si>
  <si>
    <t xml:space="preserve">600546</t>
  </si>
  <si>
    <t xml:space="preserve">山煤国际</t>
  </si>
  <si>
    <t xml:space="preserve">https://emweb.securities.eastmoney.com/PC_HSF10/FinanceAnalysis/Index?type=web&amp;code=SH600546</t>
  </si>
  <si>
    <t xml:space="preserve">600585</t>
  </si>
  <si>
    <t xml:space="preserve">海螺水泥</t>
  </si>
  <si>
    <t xml:space="preserve">https://emweb.securities.eastmoney.com/PC_HSF10/FinanceAnalysis/Index?type=web&amp;code=SH600585</t>
  </si>
  <si>
    <t xml:space="preserve">600729</t>
  </si>
  <si>
    <t xml:space="preserve">重百集团</t>
  </si>
  <si>
    <t xml:space="preserve">https://emweb.securities.eastmoney.com/PC_HSF10/FinanceAnalysis/Index?type=web&amp;code=SH600729</t>
  </si>
  <si>
    <t xml:space="preserve">600737</t>
  </si>
  <si>
    <t xml:space="preserve">中粮糖业</t>
  </si>
  <si>
    <t xml:space="preserve">https://emweb.securities.eastmoney.com/PC_HSF10/FinanceAnalysis/Index?type=web&amp;code=SH600737</t>
  </si>
  <si>
    <t xml:space="preserve">600741</t>
  </si>
  <si>
    <t xml:space="preserve">华域汽车</t>
  </si>
  <si>
    <t xml:space="preserve">https://emweb.securities.eastmoney.com/PC_HSF10/FinanceAnalysis/Index?type=web&amp;code=SH600741</t>
  </si>
  <si>
    <t xml:space="preserve">600755</t>
  </si>
  <si>
    <t xml:space="preserve">厦门国贸</t>
  </si>
  <si>
    <t xml:space="preserve">https://emweb.securities.eastmoney.com/PC_HSF10/FinanceAnalysis/Index?type=web&amp;code=SH600755</t>
  </si>
  <si>
    <t xml:space="preserve">600757</t>
  </si>
  <si>
    <t xml:space="preserve">长江传媒</t>
  </si>
  <si>
    <t xml:space="preserve">https://emweb.securities.eastmoney.com/PC_HSF10/FinanceAnalysis/Index?type=web&amp;code=SH600757</t>
  </si>
  <si>
    <t xml:space="preserve">600901</t>
  </si>
  <si>
    <t xml:space="preserve">江苏金租</t>
  </si>
  <si>
    <t xml:space="preserve">https://emweb.securities.eastmoney.com/PC_HSF10/FinanceAnalysis/Index?type=web&amp;code=SH600901</t>
  </si>
  <si>
    <t xml:space="preserve">600919</t>
  </si>
  <si>
    <t xml:space="preserve">江苏银行</t>
  </si>
  <si>
    <t xml:space="preserve">https://emweb.securities.eastmoney.com/PC_HSF10/FinanceAnalysis/Index?type=web&amp;code=SH600919</t>
  </si>
  <si>
    <t xml:space="preserve">600938</t>
  </si>
  <si>
    <t xml:space="preserve">中国海油</t>
  </si>
  <si>
    <t xml:space="preserve">https://emweb.securities.eastmoney.com/PC_HSF10/FinanceAnalysis/Index?type=web&amp;code=SH600938</t>
  </si>
  <si>
    <t xml:space="preserve">600971</t>
  </si>
  <si>
    <t xml:space="preserve">恒源煤电</t>
  </si>
  <si>
    <t xml:space="preserve">https://emweb.securities.eastmoney.com/PC_HSF10/FinanceAnalysis/Index?type=web&amp;code=SH600971</t>
  </si>
  <si>
    <t xml:space="preserve">600985</t>
  </si>
  <si>
    <t xml:space="preserve">淮北矿业</t>
  </si>
  <si>
    <t xml:space="preserve">https://emweb.securities.eastmoney.com/PC_HSF10/FinanceAnalysis/Index?type=web&amp;code=SH600985</t>
  </si>
  <si>
    <t xml:space="preserve">600997</t>
  </si>
  <si>
    <t xml:space="preserve">开滦股份</t>
  </si>
  <si>
    <t xml:space="preserve">https://emweb.securities.eastmoney.com/PC_HSF10/FinanceAnalysis/Index?type=web&amp;code=SH600997</t>
  </si>
  <si>
    <t xml:space="preserve">601000</t>
  </si>
  <si>
    <t xml:space="preserve">唐山港</t>
  </si>
  <si>
    <t xml:space="preserve">https://emweb.securities.eastmoney.com/PC_HSF10/FinanceAnalysis/Index?type=web&amp;code=SH601000</t>
  </si>
  <si>
    <t xml:space="preserve">601001</t>
  </si>
  <si>
    <t xml:space="preserve">晋控煤业</t>
  </si>
  <si>
    <t xml:space="preserve">https://emweb.securities.eastmoney.com/PC_HSF10/FinanceAnalysis/Index?type=web&amp;code=SH601001</t>
  </si>
  <si>
    <t xml:space="preserve">601006</t>
  </si>
  <si>
    <t xml:space="preserve">大秦铁路</t>
  </si>
  <si>
    <t xml:space="preserve">https://emweb.securities.eastmoney.com/PC_HSF10/FinanceAnalysis/Index?type=web&amp;code=SH601006</t>
  </si>
  <si>
    <t xml:space="preserve">601009</t>
  </si>
  <si>
    <t xml:space="preserve">南京银行</t>
  </si>
  <si>
    <t xml:space="preserve">https://emweb.securities.eastmoney.com/PC_HSF10/FinanceAnalysis/Index?type=web&amp;code=SH601009</t>
  </si>
  <si>
    <t xml:space="preserve">601019</t>
  </si>
  <si>
    <t xml:space="preserve">山东出版</t>
  </si>
  <si>
    <t xml:space="preserve">https://emweb.securities.eastmoney.com/PC_HSF10/FinanceAnalysis/Index?type=web&amp;code=SH601019</t>
  </si>
  <si>
    <t xml:space="preserve">601077</t>
  </si>
  <si>
    <t xml:space="preserve">渝农商行</t>
  </si>
  <si>
    <t xml:space="preserve">https://emweb.securities.eastmoney.com/PC_HSF10/FinanceAnalysis/Index?type=web&amp;code=SH601077</t>
  </si>
  <si>
    <t xml:space="preserve">601088</t>
  </si>
  <si>
    <t xml:space="preserve">中国神华</t>
  </si>
  <si>
    <t xml:space="preserve">https://emweb.securities.eastmoney.com/PC_HSF10/FinanceAnalysis/Index?type=web&amp;code=SH601088</t>
  </si>
  <si>
    <t xml:space="preserve">601098</t>
  </si>
  <si>
    <t xml:space="preserve">中南传媒</t>
  </si>
  <si>
    <t xml:space="preserve">https://emweb.securities.eastmoney.com/PC_HSF10/FinanceAnalysis/Index?type=web&amp;code=SH601098</t>
  </si>
  <si>
    <t xml:space="preserve">601101</t>
  </si>
  <si>
    <t xml:space="preserve">昊华能源</t>
  </si>
  <si>
    <t xml:space="preserve">https://emweb.securities.eastmoney.com/PC_HSF10/FinanceAnalysis/Index?type=web&amp;code=SH601101</t>
  </si>
  <si>
    <t xml:space="preserve">601166</t>
  </si>
  <si>
    <t xml:space="preserve">兴业银行</t>
  </si>
  <si>
    <t xml:space="preserve">https://emweb.securities.eastmoney.com/PC_HSF10/FinanceAnalysis/Index?type=web&amp;code=SH601166</t>
  </si>
  <si>
    <t xml:space="preserve">601168</t>
  </si>
  <si>
    <t xml:space="preserve">西部矿业</t>
  </si>
  <si>
    <t xml:space="preserve">https://emweb.securities.eastmoney.com/PC_HSF10/FinanceAnalysis/Index?type=web&amp;code=SH601168</t>
  </si>
  <si>
    <t xml:space="preserve">601169</t>
  </si>
  <si>
    <t xml:space="preserve">北京银行</t>
  </si>
  <si>
    <t xml:space="preserve">https://emweb.securities.eastmoney.com/PC_HSF10/FinanceAnalysis/Index?type=web&amp;code=SH601169</t>
  </si>
  <si>
    <t xml:space="preserve">601187</t>
  </si>
  <si>
    <t xml:space="preserve">厦门银行</t>
  </si>
  <si>
    <t xml:space="preserve">https://emweb.securities.eastmoney.com/PC_HSF10/FinanceAnalysis/Index?type=web&amp;code=SH601187</t>
  </si>
  <si>
    <t xml:space="preserve">601216</t>
  </si>
  <si>
    <t xml:space="preserve">君正集团</t>
  </si>
  <si>
    <t xml:space="preserve">https://emweb.securities.eastmoney.com/PC_HSF10/FinanceAnalysis/Index?type=web&amp;code=SH601216</t>
  </si>
  <si>
    <t xml:space="preserve">601225</t>
  </si>
  <si>
    <t xml:space="preserve">陕西煤业</t>
  </si>
  <si>
    <t xml:space="preserve">https://emweb.securities.eastmoney.com/PC_HSF10/FinanceAnalysis/Index?type=web&amp;code=SH601225</t>
  </si>
  <si>
    <t xml:space="preserve">601229</t>
  </si>
  <si>
    <t xml:space="preserve">上海银行</t>
  </si>
  <si>
    <t xml:space="preserve">https://emweb.securities.eastmoney.com/PC_HSF10/FinanceAnalysis/Index?type=web&amp;code=SH601229</t>
  </si>
  <si>
    <t xml:space="preserve">601288</t>
  </si>
  <si>
    <t xml:space="preserve">农业银行</t>
  </si>
  <si>
    <t xml:space="preserve">https://emweb.securities.eastmoney.com/PC_HSF10/FinanceAnalysis/Index?type=web&amp;code=SH601288</t>
  </si>
  <si>
    <t xml:space="preserve">601318</t>
  </si>
  <si>
    <t xml:space="preserve">中国平安</t>
  </si>
  <si>
    <t xml:space="preserve">保险</t>
  </si>
  <si>
    <t xml:space="preserve">https://emweb.securities.eastmoney.com/PC_HSF10/FinanceAnalysis/Index?type=web&amp;code=SH601318</t>
  </si>
  <si>
    <t xml:space="preserve">601328</t>
  </si>
  <si>
    <t xml:space="preserve">交通银行</t>
  </si>
  <si>
    <t xml:space="preserve">https://emweb.securities.eastmoney.com/PC_HSF10/FinanceAnalysis/Index?type=web&amp;code=SH601328</t>
  </si>
  <si>
    <t xml:space="preserve">601398</t>
  </si>
  <si>
    <t xml:space="preserve">工商银行</t>
  </si>
  <si>
    <t xml:space="preserve">https://emweb.securities.eastmoney.com/PC_HSF10/FinanceAnalysis/Index?type=web&amp;code=SH601398</t>
  </si>
  <si>
    <t xml:space="preserve">601598</t>
  </si>
  <si>
    <t xml:space="preserve">中国外运</t>
  </si>
  <si>
    <t xml:space="preserve">https://emweb.securities.eastmoney.com/PC_HSF10/FinanceAnalysis/Index?type=web&amp;code=SH601598</t>
  </si>
  <si>
    <t xml:space="preserve">601658</t>
  </si>
  <si>
    <t xml:space="preserve">邮储银行</t>
  </si>
  <si>
    <t xml:space="preserve">https://emweb.securities.eastmoney.com/PC_HSF10/FinanceAnalysis/Index?type=web&amp;code=SH601658</t>
  </si>
  <si>
    <t xml:space="preserve">601666</t>
  </si>
  <si>
    <t xml:space="preserve">平煤股份</t>
  </si>
  <si>
    <t xml:space="preserve">https://emweb.securities.eastmoney.com/PC_HSF10/FinanceAnalysis/Index?type=web&amp;code=SH601666</t>
  </si>
  <si>
    <t xml:space="preserve">601668</t>
  </si>
  <si>
    <t xml:space="preserve">中国建筑</t>
  </si>
  <si>
    <t xml:space="preserve">https://emweb.securities.eastmoney.com/PC_HSF10/FinanceAnalysis/Index?type=web&amp;code=SH601668</t>
  </si>
  <si>
    <t xml:space="preserve">601699</t>
  </si>
  <si>
    <t xml:space="preserve">潞安环能</t>
  </si>
  <si>
    <t xml:space="preserve">https://emweb.securities.eastmoney.com/PC_HSF10/FinanceAnalysis/Index?type=web&amp;code=SH601699</t>
  </si>
  <si>
    <t xml:space="preserve">601717</t>
  </si>
  <si>
    <t xml:space="preserve">中创智领</t>
  </si>
  <si>
    <t xml:space="preserve">https://emweb.securities.eastmoney.com/PC_HSF10/FinanceAnalysis/Index?type=web&amp;code=SH601717</t>
  </si>
  <si>
    <t xml:space="preserve">601818</t>
  </si>
  <si>
    <t xml:space="preserve">光大银行</t>
  </si>
  <si>
    <t xml:space="preserve">https://emweb.securities.eastmoney.com/PC_HSF10/FinanceAnalysis/Index?type=web&amp;code=SH601818</t>
  </si>
  <si>
    <t xml:space="preserve">601825</t>
  </si>
  <si>
    <t xml:space="preserve">沪农商行</t>
  </si>
  <si>
    <t xml:space="preserve">https://emweb.securities.eastmoney.com/PC_HSF10/FinanceAnalysis/Index?type=web&amp;code=SH601825</t>
  </si>
  <si>
    <t xml:space="preserve">601838</t>
  </si>
  <si>
    <t xml:space="preserve">成都银行</t>
  </si>
  <si>
    <t xml:space="preserve">https://emweb.securities.eastmoney.com/PC_HSF10/FinanceAnalysis/Index?type=web&amp;code=SH601838</t>
  </si>
  <si>
    <t xml:space="preserve">601857</t>
  </si>
  <si>
    <t xml:space="preserve">中国石油</t>
  </si>
  <si>
    <t xml:space="preserve">https://emweb.securities.eastmoney.com/PC_HSF10/FinanceAnalysis/Index?type=web&amp;code=SH601857</t>
  </si>
  <si>
    <t xml:space="preserve">601916</t>
  </si>
  <si>
    <t xml:space="preserve">浙商银行</t>
  </si>
  <si>
    <t xml:space="preserve">https://emweb.securities.eastmoney.com/PC_HSF10/FinanceAnalysis/Index?type=web&amp;code=SH601916</t>
  </si>
  <si>
    <t xml:space="preserve">601919</t>
  </si>
  <si>
    <t xml:space="preserve">中远海控</t>
  </si>
  <si>
    <t xml:space="preserve">https://emweb.securities.eastmoney.com/PC_HSF10/FinanceAnalysis/Index?type=web&amp;code=SH601919</t>
  </si>
  <si>
    <t xml:space="preserve">601928</t>
  </si>
  <si>
    <t xml:space="preserve">凤凰传媒</t>
  </si>
  <si>
    <t xml:space="preserve">https://emweb.securities.eastmoney.com/PC_HSF10/FinanceAnalysis/Index?type=web&amp;code=SH601928</t>
  </si>
  <si>
    <t xml:space="preserve">601939</t>
  </si>
  <si>
    <t xml:space="preserve">建设银行</t>
  </si>
  <si>
    <t xml:space="preserve">https://emweb.securities.eastmoney.com/PC_HSF10/FinanceAnalysis/Index?type=web&amp;code=SH601939</t>
  </si>
  <si>
    <t xml:space="preserve">601963</t>
  </si>
  <si>
    <t xml:space="preserve">重庆银行</t>
  </si>
  <si>
    <t xml:space="preserve">https://emweb.securities.eastmoney.com/PC_HSF10/FinanceAnalysis/Index?type=web&amp;code=SH601963</t>
  </si>
  <si>
    <t xml:space="preserve">601988</t>
  </si>
  <si>
    <t xml:space="preserve">中国银行</t>
  </si>
  <si>
    <t xml:space="preserve">https://emweb.securities.eastmoney.com/PC_HSF10/FinanceAnalysis/Index?type=web&amp;code=SH601988</t>
  </si>
  <si>
    <t xml:space="preserve">601997</t>
  </si>
  <si>
    <t xml:space="preserve">贵阳银行</t>
  </si>
  <si>
    <t xml:space="preserve">https://emweb.securities.eastmoney.com/PC_HSF10/FinanceAnalysis/Index?type=web&amp;code=SH601997</t>
  </si>
  <si>
    <t xml:space="preserve">601998</t>
  </si>
  <si>
    <t xml:space="preserve">中信银行</t>
  </si>
  <si>
    <t xml:space="preserve">https://emweb.securities.eastmoney.com/PC_HSF10/FinanceAnalysis/Index?type=web&amp;code=SH601998</t>
  </si>
  <si>
    <t xml:space="preserve">603565</t>
  </si>
  <si>
    <t xml:space="preserve">中谷物流</t>
  </si>
  <si>
    <t xml:space="preserve">https://emweb.securities.eastmoney.com/PC_HSF10/FinanceAnalysis/Index?type=web&amp;code=SH603565</t>
  </si>
  <si>
    <t xml:space="preserve">603706</t>
  </si>
  <si>
    <t xml:space="preserve">东方环宇</t>
  </si>
  <si>
    <t xml:space="preserve">https://emweb.securities.eastmoney.com/PC_HSF10/FinanceAnalysis/Index?type=web&amp;code=SH603706</t>
  </si>
  <si>
    <t xml:space="preserve">603967</t>
  </si>
  <si>
    <t xml:space="preserve">中创物流</t>
  </si>
  <si>
    <t xml:space="preserve">https://emweb.securities.eastmoney.com/PC_HSF10/FinanceAnalysis/Index?type=web&amp;code=SH603967</t>
  </si>
  <si>
    <t xml:space="preserve">920599</t>
  </si>
  <si>
    <t xml:space="preserve">同力股份</t>
  </si>
  <si>
    <t xml:space="preserve">https://emweb.securities.eastmoney.com/PC_HSF10/FinanceAnalysis/Index?type=web&amp;code=BJ920599</t>
  </si>
  <si>
    <t xml:space="preserve">数据与模型检查</t>
  </si>
  <si>
    <t xml:space="preserve">检查项</t>
  </si>
  <si>
    <t xml:space="preserve">实际值</t>
  </si>
  <si>
    <t xml:space="preserve">期望值</t>
  </si>
  <si>
    <t xml:space="preserve">差异</t>
  </si>
  <si>
    <t xml:space="preserve">容差</t>
  </si>
  <si>
    <t xml:space="preserve">状态</t>
  </si>
  <si>
    <t xml:space="preserve">说明</t>
  </si>
  <si>
    <t xml:space="preserve">成分股数量</t>
  </si>
  <si>
    <t xml:space="preserve">应为100只成分</t>
  </si>
  <si>
    <t xml:space="preserve">权重合计</t>
  </si>
  <si>
    <t xml:space="preserve">权重四舍五入允许0.1%误差</t>
  </si>
  <si>
    <t xml:space="preserve">缺失半年报</t>
  </si>
  <si>
    <t xml:space="preserve">100家公司均已披露</t>
  </si>
  <si>
    <t xml:space="preserve">利润增长公司数</t>
  </si>
  <si>
    <t xml:space="preserve">利润同比大于0的公司数</t>
  </si>
  <si>
    <t xml:space="preserve">10月13日新增检查</t>
  </si>
  <si>
    <t xml:space="preserve">行情样本数</t>
  </si>
  <si>
    <t xml:space="preserve">行情权重合计</t>
  </si>
  <si>
    <t xml:space="preserve">缺失10/13收盘</t>
  </si>
  <si>
    <t xml:space="preserve">100只股票均应有收盘价</t>
  </si>
  <si>
    <t xml:space="preserve">板块权重合计</t>
  </si>
  <si>
    <t xml:space="preserve">14个分组应覆盖全部成分</t>
  </si>
  <si>
    <t xml:space="preserve">实际低点进入模型底部区间</t>
  </si>
  <si>
    <t xml:space="preserve">5386.04应落入5332—5420区间</t>
  </si>
  <si>
    <t xml:space="preserve">来源与口径</t>
  </si>
  <si>
    <t xml:space="preserve">来源ID</t>
  </si>
  <si>
    <t xml:space="preserve">项目</t>
  </si>
  <si>
    <t xml:space="preserve">期间/日期</t>
  </si>
  <si>
    <t xml:space="preserve">来源名称</t>
  </si>
  <si>
    <t xml:space="preserve">URL或路径</t>
  </si>
  <si>
    <t xml:space="preserve">用途与备注</t>
  </si>
  <si>
    <t xml:space="preserve">S1</t>
  </si>
  <si>
    <t xml:space="preserve">指数编制方法</t>
  </si>
  <si>
    <t xml:space="preserve">V1.3</t>
  </si>
  <si>
    <t xml:space="preserve">中证指数有限公司</t>
  </si>
  <si>
    <t xml:space="preserve">https://oss-ch.csindex.com.cn/static/html/csindex/public/uploads/indices/detail/files/zh_CN/20231208175433-000922_Index_Methodology_cn.pdf</t>
  </si>
  <si>
    <t xml:space="preserve">100只样本、股息率加权、单只上限等</t>
  </si>
  <si>
    <t xml:space="preserve">S2</t>
  </si>
  <si>
    <t xml:space="preserve">成分与权重</t>
  </si>
  <si>
    <t xml:space="preserve">2026-07-31</t>
  </si>
  <si>
    <t xml:space="preserve">中证指数有限公司（经公开接口）</t>
  </si>
  <si>
    <t xml:space="preserve">https://www.csindex.com.cn/#/indices/family/detail?indexCode=000922</t>
  </si>
  <si>
    <t xml:space="preserve">100只成分权重，合计100.004%系小数四舍五入</t>
  </si>
  <si>
    <t xml:space="preserve">S3</t>
  </si>
  <si>
    <t xml:space="preserve">公司半年报财务摘要</t>
  </si>
  <si>
    <t xml:space="preserve">2026H1/2025H1</t>
  </si>
  <si>
    <t xml:space="preserve">东方财富F10</t>
  </si>
  <si>
    <t xml:space="preserve">详见“100只成分明细”U列</t>
  </si>
  <si>
    <t xml:space="preserve">营业收入、归母净利润、扣非净利润、经营现金流</t>
  </si>
  <si>
    <t xml:space="preserve">S4</t>
  </si>
  <si>
    <t xml:space="preserve">沪市半年报整体综述</t>
  </si>
  <si>
    <t xml:space="preserve">2026-08-30</t>
  </si>
  <si>
    <t xml:space="preserve">上海证券交易所</t>
  </si>
  <si>
    <t xml:space="preserve">https://www.sse.com.cn/aboutus/mediacenter/hotandd/c/c_20260830_10830362.shtml</t>
  </si>
  <si>
    <t xml:space="preserve">用于交叉验证披露完成度与市场背景</t>
  </si>
  <si>
    <t xml:space="preserve">S5</t>
  </si>
  <si>
    <t xml:space="preserve">上一期视频理念</t>
  </si>
  <si>
    <t xml:space="preserve">2026-08</t>
  </si>
  <si>
    <t xml:space="preserve">用户提供</t>
  </si>
  <si>
    <t xml:space="preserve">C:/Users/Administrator/Desktop/8月全新工作流文件夹/8.17红利指数/红利指数.txt</t>
  </si>
  <si>
    <t xml:space="preserve">5100/6100技术通道与约4.3%趋势斜率</t>
  </si>
  <si>
    <t xml:space="preserve">关键限制：半年报不是全年盈利；指数按股息率加权且12月定期调样；当前价格已部分反映半年报预期。故本表把“历史技术通道”和“等估值基本面修正”并列展示，不把二者重复相乘，也不把结果当作保证触及的点位。</t>
  </si>
  <si>
    <t xml:space="preserve">10月13日新增来源</t>
  </si>
  <si>
    <t xml:space="preserve">S6</t>
  </si>
  <si>
    <t xml:space="preserve">股票行情、PE、PB与行业</t>
  </si>
  <si>
    <t xml:space="preserve">2026-10-13</t>
  </si>
  <si>
    <t xml:space="preserve">东方财富行情接口</t>
  </si>
  <si>
    <t xml:space="preserve">https://push2.eastmoney.com/api/qt/ulist.np/get</t>
  </si>
  <si>
    <t xml:space="preserve">100只成分收盘价、PE(TTM)、PB与行业分类</t>
  </si>
  <si>
    <t xml:space="preserve">S7</t>
  </si>
  <si>
    <t xml:space="preserve">股票与指数历史行情</t>
  </si>
  <si>
    <t xml:space="preserve">2026-08-31至2026-10-13</t>
  </si>
  <si>
    <t xml:space="preserve">东方财富历史行情接口</t>
  </si>
  <si>
    <t xml:space="preserve">https://push2his.eastmoney.com/api/qt/stock/kline/get</t>
  </si>
  <si>
    <t xml:space="preserve">前复权日线、区间高低点与阶段涨跌</t>
  </si>
  <si>
    <t xml:space="preserve">S8</t>
  </si>
  <si>
    <t xml:space="preserve">现金分红明细</t>
  </si>
  <si>
    <t xml:space="preserve">截至2026-10-13的近12个月</t>
  </si>
  <si>
    <t xml:space="preserve">东方财富数据中心</t>
  </si>
  <si>
    <t xml:space="preserve">https://datacenter-web.eastmoney.com/api/data/v1/get?reportName=RPT_SHAREBONUS_DET</t>
  </si>
  <si>
    <t xml:space="preserve">已实施税前现金分红；TTM股息率按10月13日价格计算</t>
  </si>
  <si>
    <t xml:space="preserve">S9</t>
  </si>
  <si>
    <t xml:space="preserve">2026年8月PPI</t>
  </si>
  <si>
    <t xml:space="preserve">国家统计局</t>
  </si>
  <si>
    <t xml:space="preserve">https://www.stats.gov.cn/zwfwck/sjfb/202609/t20260909_1965262.html</t>
  </si>
  <si>
    <t xml:space="preserve">上游周期行业价格背景</t>
  </si>
  <si>
    <t xml:space="preserve">S10</t>
  </si>
  <si>
    <t xml:space="preserve">2026年9月PMI</t>
  </si>
  <si>
    <t xml:space="preserve">2026-09</t>
  </si>
  <si>
    <t xml:space="preserve">https://www.stats.gov.cn/zwfwck/sjfb/202609/t20260930_1965449.html</t>
  </si>
  <si>
    <t xml:space="preserve">制造业与需求边际背景</t>
  </si>
  <si>
    <t xml:space="preserve">10月13日新增口径：板块为本表自定义的14个红利分组；位置分与综合性价比分都是横截面相对评分。价格收益使用前复权收盘，TTM股息率使用近12个月已实施税前现金分红。评分用于比较，不代表未来收益承诺。</t>
  </si>
  <si>
    <t xml:space="preserve">中证红利（000922）10月13日行情与板块评分明细</t>
  </si>
  <si>
    <t xml:space="preserve">区间：2026-08-31至2026-10-13｜价格为前复权收盘｜蓝字为市场与映射输入，绿字为原半年报链接，黑字为公式</t>
  </si>
  <si>
    <t xml:space="preserve">细分红利板块</t>
  </si>
  <si>
    <t xml:space="preserve">原分析板块</t>
  </si>
  <si>
    <t xml:space="preserve">东财行业</t>
  </si>
  <si>
    <t xml:space="preserve">8/31收盘</t>
  </si>
  <si>
    <t xml:space="preserve">10/13收盘</t>
  </si>
  <si>
    <t xml:space="preserve">9/30收盘</t>
  </si>
  <si>
    <t xml:space="preserve">国庆后涨跌</t>
  </si>
  <si>
    <t xml:space="preserve">区间低点</t>
  </si>
  <si>
    <t xml:space="preserve">低点日期</t>
  </si>
  <si>
    <t xml:space="preserve">区间高点</t>
  </si>
  <si>
    <t xml:space="preserve">高点日期</t>
  </si>
  <si>
    <t xml:space="preserve">H1归母净利</t>
  </si>
  <si>
    <t xml:space="preserve">H1同期净利</t>
  </si>
  <si>
    <t xml:space="preserve">利润同比</t>
  </si>
  <si>
    <t xml:space="preserve">利润增长标记</t>
  </si>
  <si>
    <t xml:space="preserve">TTM每股分红</t>
  </si>
  <si>
    <t xml:space="preserve">连续3年分红次数</t>
  </si>
  <si>
    <t xml:space="preserve">PE(TTM)</t>
  </si>
  <si>
    <t xml:space="preserve">PB</t>
  </si>
  <si>
    <t xml:space="preserve">PE评分值</t>
  </si>
  <si>
    <t xml:space="preserve">PE有效</t>
  </si>
  <si>
    <t xml:space="preserve">PB评分值</t>
  </si>
  <si>
    <t xml:space="preserve">PB有效</t>
  </si>
  <si>
    <t xml:space="preserve">H1经营现金流</t>
  </si>
  <si>
    <t xml:space="preserve">H1同期现金流</t>
  </si>
  <si>
    <t xml:space="preserve">现金流改善标记</t>
  </si>
  <si>
    <t xml:space="preserve">房地产开发</t>
  </si>
  <si>
    <t xml:space="preserve">工程机械</t>
  </si>
  <si>
    <t xml:space="preserve">农化制品</t>
  </si>
  <si>
    <t xml:space="preserve">铁路公路</t>
  </si>
  <si>
    <t xml:space="preserve">白色家电</t>
  </si>
  <si>
    <t xml:space="preserve">水泥</t>
  </si>
  <si>
    <t xml:space="preserve">食品加工</t>
  </si>
  <si>
    <t xml:space="preserve">工业金属</t>
  </si>
  <si>
    <t xml:space="preserve">煤炭开采</t>
  </si>
  <si>
    <t xml:space="preserve">装修建材</t>
  </si>
  <si>
    <t xml:space="preserve">服装家纺</t>
  </si>
  <si>
    <t xml:space="preserve">燃气Ⅱ</t>
  </si>
  <si>
    <t xml:space="preserve">专业连锁Ⅱ</t>
  </si>
  <si>
    <t xml:space="preserve">家居用品</t>
  </si>
  <si>
    <t xml:space="preserve">化学原料</t>
  </si>
  <si>
    <t xml:space="preserve">中药Ⅱ</t>
  </si>
  <si>
    <t xml:space="preserve">能源金属</t>
  </si>
  <si>
    <t xml:space="preserve">饰品</t>
  </si>
  <si>
    <t xml:space="preserve">环境治理</t>
  </si>
  <si>
    <t xml:space="preserve">银行Ⅱ</t>
  </si>
  <si>
    <t xml:space="preserve">炼化及贸易</t>
  </si>
  <si>
    <t xml:space="preserve">基础建设</t>
  </si>
  <si>
    <t xml:space="preserve">物流</t>
  </si>
  <si>
    <t xml:space="preserve">化学制品</t>
  </si>
  <si>
    <t xml:space="preserve">普钢</t>
  </si>
  <si>
    <t xml:space="preserve">冶钢原料</t>
  </si>
  <si>
    <t xml:space="preserve">出版</t>
  </si>
  <si>
    <t xml:space="preserve">一般零售</t>
  </si>
  <si>
    <t xml:space="preserve">农产品加工</t>
  </si>
  <si>
    <t xml:space="preserve">汽车零部件</t>
  </si>
  <si>
    <t xml:space="preserve">多元金融</t>
  </si>
  <si>
    <t xml:space="preserve">油气开采Ⅱ</t>
  </si>
  <si>
    <t xml:space="preserve">焦炭Ⅱ</t>
  </si>
  <si>
    <t xml:space="preserve">航运港口</t>
  </si>
  <si>
    <t xml:space="preserve">保险Ⅱ</t>
  </si>
  <si>
    <t xml:space="preserve">房屋建设Ⅱ</t>
  </si>
  <si>
    <t xml:space="preserve">专用设备</t>
  </si>
  <si>
    <t xml:space="preserve">中证红利指数区间行情（000922，前复权）</t>
  </si>
  <si>
    <t xml:space="preserve">日期</t>
  </si>
  <si>
    <t xml:space="preserve">开盘</t>
  </si>
  <si>
    <t xml:space="preserve">收盘</t>
  </si>
  <si>
    <t xml:space="preserve">最高</t>
  </si>
  <si>
    <t xml:space="preserve">最低</t>
  </si>
  <si>
    <t xml:space="preserve">涨跌幅</t>
  </si>
  <si>
    <t xml:space="preserve">中证红利10月13日量化方法</t>
  </si>
  <si>
    <t xml:space="preserve">位置分判断相对高低，基本面分判断盈利与分红质量；两者合成综合性价比分。所有评分均为14个板块的横截面相对排名。</t>
  </si>
  <si>
    <t xml:space="preserve">8月31日模型复刻</t>
  </si>
  <si>
    <t xml:space="preserve">参数/结果</t>
  </si>
  <si>
    <t xml:space="preserve">数值</t>
  </si>
  <si>
    <t xml:space="preserve">口径</t>
  </si>
  <si>
    <t xml:space="preserve">上一期技术底</t>
  </si>
  <si>
    <t xml:space="preserve">历史技术通道输入</t>
  </si>
  <si>
    <t xml:space="preserve">上一期技术顶</t>
  </si>
  <si>
    <t xml:space="preserve">按权重营收同比</t>
  </si>
  <si>
    <t xml:space="preserve">指数权重加权</t>
  </si>
  <si>
    <t xml:space="preserve">利润池同比</t>
  </si>
  <si>
    <t xml:space="preserve">100家公司利润合计</t>
  </si>
  <si>
    <t xml:space="preserve">利润增长公司占比</t>
  </si>
  <si>
    <t xml:space="preserve">利润增量为正的公司数占比</t>
  </si>
  <si>
    <t xml:space="preserve">修正率</t>
  </si>
  <si>
    <t xml:space="preserve">底部</t>
  </si>
  <si>
    <t xml:space="preserve">顶部</t>
  </si>
  <si>
    <t xml:space="preserve">保守：按权重营收</t>
  </si>
  <si>
    <t xml:space="preserve">中枢：两口径均值</t>
  </si>
  <si>
    <t xml:space="preserve">积极：按利润池</t>
  </si>
  <si>
    <t xml:space="preserve">位置分（高分代表相对位置更高）</t>
  </si>
  <si>
    <t xml:space="preserve">基本面分（高分代表盈利与分红更强）</t>
  </si>
  <si>
    <t xml:space="preserve">指标</t>
  </si>
  <si>
    <t xml:space="preserve">高分方向</t>
  </si>
  <si>
    <t xml:space="preserve">含义</t>
  </si>
  <si>
    <t xml:space="preserve">处理</t>
  </si>
  <si>
    <t xml:space="preserve">8/31至10/13涨跌</t>
  </si>
  <si>
    <t xml:space="preserve">涨幅高</t>
  </si>
  <si>
    <t xml:space="preserve">中期价格兑现</t>
  </si>
  <si>
    <t xml:space="preserve">增速高</t>
  </si>
  <si>
    <t xml:space="preserve">按指数权重加权</t>
  </si>
  <si>
    <t xml:space="preserve">近期资金集中</t>
  </si>
  <si>
    <t xml:space="preserve">评分时限制在±50%</t>
  </si>
  <si>
    <t xml:space="preserve">反弹高</t>
  </si>
  <si>
    <t xml:space="preserve">从区间低位修复</t>
  </si>
  <si>
    <t xml:space="preserve">利润增长权重占比</t>
  </si>
  <si>
    <t xml:space="preserve">占比高</t>
  </si>
  <si>
    <t xml:space="preserve">按指数权重统计</t>
  </si>
  <si>
    <t xml:space="preserve">距区间高点</t>
  </si>
  <si>
    <t xml:space="preserve">越接近0越高</t>
  </si>
  <si>
    <t xml:space="preserve">接近阶段高位</t>
  </si>
  <si>
    <t xml:space="preserve">股息率高</t>
  </si>
  <si>
    <t xml:space="preserve">近12个月实施现金分红/现价</t>
  </si>
  <si>
    <t xml:space="preserve">股息率低</t>
  </si>
  <si>
    <t xml:space="preserve">分红收益缓冲较少</t>
  </si>
  <si>
    <t xml:space="preserve">2023—2025年度均实施现金分红</t>
  </si>
  <si>
    <t xml:space="preserve">PB高</t>
  </si>
  <si>
    <t xml:space="preserve">绝对估值较高</t>
  </si>
  <si>
    <t xml:space="preserve">综合与解释</t>
  </si>
  <si>
    <t xml:space="preserve">55%×基本面分 + 45%×(100-位置分)</t>
  </si>
  <si>
    <t xml:space="preserve">位置分区间</t>
  </si>
  <si>
    <t xml:space="preserve">≥65 偏高；55—65 中高；45—55 中性；35—45 中低；&lt;35 偏低</t>
  </si>
  <si>
    <t xml:space="preserve">性价比区间</t>
  </si>
  <si>
    <t xml:space="preserve">≥65 较高；55—65 中上；45—55 中性；35—45 中下；&lt;35 较低</t>
  </si>
  <si>
    <t xml:space="preserve">重要限制</t>
  </si>
  <si>
    <t xml:space="preserve">板块分数只在本次100只成分、14个分组内比较，不代表绝对估值，也不等同于未来收益预测。</t>
  </si>
  <si>
    <t xml:space="preserve">使用建议</t>
  </si>
  <si>
    <t xml:space="preserve">先看位置分辨别追涨风险，再用基本面分剔除低位但盈利转弱的板块。</t>
  </si>
  <si>
    <t xml:space="preserve">日常更新</t>
  </si>
  <si>
    <t xml:space="preserve">在结论页黄色格输入日期与中证红利收盘，可更新指数位置指标；板块评分需同步刷新100只成分行情后重算。</t>
  </si>
  <si>
    <t xml:space="preserve">行业分组映射</t>
  </si>
  <si>
    <t xml:space="preserve">备注</t>
  </si>
  <si>
    <t xml:space="preserve">煤炭开采、焦炭Ⅱ</t>
  </si>
  <si>
    <t xml:space="preserve">油气开采Ⅱ、炼化及贸易</t>
  </si>
  <si>
    <t xml:space="preserve">航运港口、铁路公路、物流</t>
  </si>
  <si>
    <t xml:space="preserve">工业金属、能源金属</t>
  </si>
  <si>
    <t xml:space="preserve">有色矿业/化工</t>
  </si>
  <si>
    <t xml:space="preserve">藏格矿业按有色，其余按化工</t>
  </si>
  <si>
    <t xml:space="preserve">保险Ⅱ、多元金融</t>
  </si>
  <si>
    <t xml:space="preserve">基础建设、房屋建设Ⅱ、房地产开发</t>
  </si>
  <si>
    <t xml:space="preserve">水泥、装修建材、家居用品</t>
  </si>
  <si>
    <t xml:space="preserve">化学原料、化学制品</t>
  </si>
  <si>
    <t xml:space="preserve">普钢、冶钢原料</t>
  </si>
  <si>
    <t xml:space="preserve">工程机械、专用设备、汽车零部件</t>
  </si>
  <si>
    <t xml:space="preserve">家电、服装、食品、零售、饰品</t>
  </si>
  <si>
    <t xml:space="preserve">出版、中药Ⅱ</t>
  </si>
  <si>
    <t xml:space="preserve">环境治理、燃气Ⅱ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</si>
</sst>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_ * #,##0.00_ ;_ * \-#,##0.00_ ;_ * \-??_ ;_ @_ "/>
    <numFmt numFmtId="166" formatCode="_ * #,##0_ ;_ * \-#,##0_ ;_ * \-_ ;_ @_ "/>
    <numFmt numFmtId="167" formatCode="_ \￥* #,##0.00_ ;_ \￥* \-#,##0.00_ ;_ \￥* \-??_ ;_ @_ "/>
    <numFmt numFmtId="168" formatCode="_ \￥* #,##0_ ;_ \￥* \-#,##0_ ;_ \￥* \-_ ;_ @_ "/>
    <numFmt numFmtId="169" formatCode="0%"/>
    <numFmt numFmtId="170" formatCode="yyyy\-mm\-dd"/>
    <numFmt numFmtId="171" formatCode="#,##0.00"/>
    <numFmt numFmtId="172" formatCode="0.0%"/>
    <numFmt numFmtId="173" formatCode="#,##0"/>
    <numFmt numFmtId="174" formatCode="0.00"/>
    <numFmt numFmtId="175" formatCode="0"/>
    <numFmt numFmtId="176" formatCode="0.000%"/>
    <numFmt numFmtId="177" formatCode="#,##0.0;[RED]\(#,##0.0\);\-"/>
    <numFmt numFmtId="178" formatCode="0.0%;[RED]\(0.0%\);\-"/>
    <numFmt numFmtId="179" formatCode="0.0"/>
    <numFmt numFmtId="180" formatCode="0.000"/>
    <numFmt numFmtId="181" formatCode="0.00%"/>
  </numFmts>
  <fonts count="43">
    <font>
      <sz val="10"/>
      <name val="思源黑体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"/>
    </font>
    <font>
      <sz val="10"/>
      <name val="思源黑体"/>
      <family val="2"/>
      <charset val="1"/>
    </font>
    <font>
      <sz val="11"/>
      <name val="Calibri"/>
      <family val="0"/>
      <charset val="1"/>
    </font>
    <font>
      <b val="true"/>
      <sz val="15"/>
      <color rgb="FFFFFFFF"/>
      <name val="Microsoft YaHei"/>
      <family val="2"/>
      <charset val="1"/>
    </font>
    <font>
      <b val="true"/>
      <sz val="10"/>
      <color rgb="FF7F6000"/>
      <name val="Microsoft YaHei"/>
      <family val="2"/>
      <charset val="1"/>
    </font>
    <font>
      <sz val="10"/>
      <color rgb="FF1F1F1F"/>
      <name val="Microsoft YaHei"/>
      <family val="2"/>
      <charset val="1"/>
    </font>
    <font>
      <b val="true"/>
      <sz val="9"/>
      <color rgb="FFFFFFFF"/>
      <name val="Microsoft YaHei"/>
      <family val="2"/>
      <charset val="1"/>
    </font>
    <font>
      <b val="true"/>
      <sz val="14"/>
      <color rgb="FF0000FF"/>
      <name val="Microsoft YaHei"/>
      <family val="2"/>
      <charset val="1"/>
    </font>
    <font>
      <b val="true"/>
      <sz val="14"/>
      <color rgb="FF17365D"/>
      <name val="Microsoft YaHei"/>
      <family val="2"/>
      <charset val="1"/>
    </font>
    <font>
      <i val="true"/>
      <sz val="8"/>
      <color rgb="FF7F6000"/>
      <name val="Microsoft YaHei"/>
      <family val="2"/>
      <charset val="1"/>
    </font>
    <font>
      <i val="true"/>
      <sz val="9"/>
      <color rgb="FF666666"/>
      <name val="Microsoft YaHei"/>
      <family val="2"/>
      <charset val="1"/>
    </font>
    <font>
      <b val="true"/>
      <sz val="9"/>
      <color rgb="FF17365D"/>
      <name val="Microsoft YaHei"/>
      <family val="2"/>
      <charset val="1"/>
    </font>
    <font>
      <b val="true"/>
      <sz val="10"/>
      <color rgb="FFFFFFFF"/>
      <name val="Microsoft YaHei"/>
      <family val="2"/>
      <charset val="1"/>
    </font>
    <font>
      <b val="true"/>
      <sz val="10"/>
      <color rgb="FF375623"/>
      <name val="Microsoft YaHei"/>
      <family val="2"/>
      <charset val="1"/>
    </font>
    <font>
      <b val="true"/>
      <sz val="10"/>
      <color rgb="FF17365D"/>
      <name val="Microsoft YaHei"/>
      <family val="2"/>
      <charset val="1"/>
    </font>
    <font>
      <sz val="9"/>
      <color rgb="FF1F1F1F"/>
      <name val="Microsoft YaHei"/>
      <family val="2"/>
      <charset val="1"/>
    </font>
    <font>
      <b val="true"/>
      <sz val="9"/>
      <color rgb="FF1F1F1F"/>
      <name val="Microsoft YaHei"/>
      <family val="2"/>
      <charset val="1"/>
    </font>
    <font>
      <sz val="10"/>
      <name val="Arial"/>
      <family val="2"/>
      <charset val="134"/>
    </font>
    <font>
      <b val="true"/>
      <sz val="9"/>
      <color rgb="FF000000"/>
      <name val="Microsoft YaHei"/>
      <family val="2"/>
    </font>
    <font>
      <sz val="10"/>
      <color rgb="FF000000"/>
      <name val="Calibri"/>
      <family val="2"/>
    </font>
    <font>
      <sz val="6.75"/>
      <color rgb="FF000000"/>
      <name val="Microsoft YaHei"/>
      <family val="2"/>
    </font>
    <font>
      <b val="true"/>
      <sz val="15"/>
      <color rgb="FFFFFFFF"/>
      <name val="Microsoft YaHei"/>
      <family val="0"/>
      <charset val="1"/>
    </font>
    <font>
      <sz val="9"/>
      <color rgb="FF667085"/>
      <name val="Microsoft YaHei"/>
      <family val="0"/>
      <charset val="1"/>
    </font>
    <font>
      <b val="true"/>
      <sz val="9"/>
      <color rgb="FFFFFFFF"/>
      <name val="Microsoft YaHei"/>
      <family val="0"/>
      <charset val="1"/>
    </font>
    <font>
      <sz val="10"/>
      <color rgb="FF0000FF"/>
      <name val="Microsoft YaHei"/>
      <family val="0"/>
      <charset val="1"/>
    </font>
    <font>
      <sz val="10"/>
      <color rgb="FF101828"/>
      <name val="Microsoft YaHei"/>
      <family val="0"/>
      <charset val="1"/>
    </font>
    <font>
      <sz val="8"/>
      <color rgb="FF0000FF"/>
      <name val="Microsoft YaHei"/>
      <family val="0"/>
      <charset val="1"/>
    </font>
    <font>
      <b val="true"/>
      <sz val="14"/>
      <color rgb="FFFFFFFF"/>
      <name val="Microsoft YaHei"/>
      <family val="0"/>
      <charset val="1"/>
    </font>
    <font>
      <sz val="10"/>
      <color rgb="FF1F1F1F"/>
      <name val="Microsoft YaHei"/>
      <family val="0"/>
      <charset val="1"/>
    </font>
    <font>
      <b val="true"/>
      <sz val="10"/>
      <color rgb="FF1F1F1F"/>
      <name val="Microsoft YaHei"/>
      <family val="0"/>
      <charset val="1"/>
    </font>
    <font>
      <u val="single"/>
      <sz val="9"/>
      <color rgb="FF0563C1"/>
      <name val="Microsoft YaHei"/>
      <family val="2"/>
      <charset val="1"/>
    </font>
    <font>
      <b val="true"/>
      <sz val="9"/>
      <color rgb="FF7F6000"/>
      <name val="Microsoft YaHei"/>
      <family val="2"/>
      <charset val="1"/>
    </font>
    <font>
      <i val="true"/>
      <sz val="9"/>
      <color rgb="FF44546A"/>
      <name val="Microsoft YaHei"/>
      <family val="2"/>
      <charset val="1"/>
    </font>
    <font>
      <sz val="9"/>
      <color rgb="FF008000"/>
      <name val="Microsoft YaHei"/>
      <family val="2"/>
      <charset val="1"/>
    </font>
    <font>
      <sz val="9"/>
      <color rgb="FF0000FF"/>
      <name val="Microsoft YaHei"/>
      <family val="2"/>
      <charset val="1"/>
    </font>
    <font>
      <sz val="10"/>
      <color rgb="FF0000FF"/>
      <name val="Microsoft YaHei"/>
      <family val="2"/>
      <charset val="1"/>
    </font>
    <font>
      <sz val="10"/>
      <color rgb="FF008000"/>
      <name val="Microsoft YaHei"/>
      <family val="2"/>
      <charset val="1"/>
    </font>
    <font>
      <b val="true"/>
      <sz val="10"/>
      <color rgb="FF1F1F1F"/>
      <name val="Microsoft YaHei"/>
      <family val="2"/>
      <charset val="1"/>
    </font>
    <font>
      <sz val="9"/>
      <color rgb="FF44546A"/>
      <name val="Microsoft YaHe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FF2CC"/>
        <bgColor rgb="FFFCE4D6"/>
      </patternFill>
    </fill>
    <fill>
      <patternFill patternType="solid">
        <fgColor rgb="FF1F4E78"/>
        <bgColor rgb="FF17365D"/>
      </patternFill>
    </fill>
    <fill>
      <patternFill patternType="solid">
        <fgColor rgb="FFFFFFFF"/>
        <bgColor rgb="FFEEF4FA"/>
      </patternFill>
    </fill>
    <fill>
      <patternFill patternType="solid">
        <fgColor rgb="FFE2F0D9"/>
        <bgColor rgb="FFEAECF0"/>
      </patternFill>
    </fill>
    <fill>
      <patternFill patternType="solid">
        <fgColor rgb="FFF2F2F2"/>
        <bgColor rgb="FFEEF4FA"/>
      </patternFill>
    </fill>
    <fill>
      <patternFill patternType="solid">
        <fgColor rgb="FFEEF4FA"/>
        <bgColor rgb="FFEAF3F8"/>
      </patternFill>
    </fill>
    <fill>
      <patternFill patternType="solid">
        <fgColor rgb="FFEAF3F8"/>
        <bgColor rgb="FFEEF4FA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/>
      <top style="thin">
        <color rgb="FFB4C6E7"/>
      </top>
      <bottom style="thin">
        <color rgb="FFB4C6E7"/>
      </bottom>
      <diagonal/>
    </border>
    <border diagonalUp="false" diagonalDown="false">
      <left/>
      <right/>
      <top style="thin">
        <color rgb="FFB4C6E7"/>
      </top>
      <bottom style="thin">
        <color rgb="FFB4C6E7"/>
      </bottom>
      <diagonal/>
    </border>
    <border diagonalUp="false" diagonalDown="false">
      <left/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/>
      <top style="thin">
        <color rgb="FFA6A6A6"/>
      </top>
      <bottom/>
      <diagonal/>
    </border>
    <border diagonalUp="false" diagonalDown="false">
      <left style="thin">
        <color rgb="FFD0D5DD"/>
      </left>
      <right/>
      <top style="thin">
        <color rgb="FFD0D5DD"/>
      </top>
      <bottom style="thin">
        <color rgb="FFD0D5DD"/>
      </bottom>
      <diagonal/>
    </border>
    <border diagonalUp="false" diagonalDown="false">
      <left/>
      <right/>
      <top style="thin">
        <color rgb="FFD0D5DD"/>
      </top>
      <bottom style="thin">
        <color rgb="FFD0D5DD"/>
      </bottom>
      <diagonal/>
    </border>
    <border diagonalUp="false" diagonalDown="false">
      <left/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/>
      <right/>
      <top/>
      <bottom style="thin">
        <color rgb="FFEAECF0"/>
      </bottom>
      <diagonal/>
    </border>
    <border diagonalUp="false" diagonalDown="false">
      <left/>
      <right/>
      <top style="thin">
        <color rgb="FFEAECF0"/>
      </top>
      <bottom style="thin">
        <color rgb="FFEAECF0"/>
      </bottom>
      <diagonal/>
    </border>
    <border diagonalUp="false" diagonalDown="false">
      <left/>
      <right/>
      <top style="thin">
        <color rgb="FFEAECF0"/>
      </top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3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3" borderId="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5" borderId="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5" borderId="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5" borderId="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4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5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6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9" fillId="0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0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9" fillId="0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" fillId="0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7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7" borderId="7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7" borderId="7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8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4" borderId="8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4" borderId="9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4" borderId="1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11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8" fillId="0" borderId="11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8" fillId="0" borderId="11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29" fillId="0" borderId="11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9" fillId="0" borderId="11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11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1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2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8" fillId="0" borderId="12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8" fillId="0" borderId="12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29" fillId="0" borderId="12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9" fillId="0" borderId="12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12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2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3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8" fillId="0" borderId="13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8" fillId="0" borderId="13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29" fillId="0" borderId="13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9" fillId="0" borderId="13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13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3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4" borderId="4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5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6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1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12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32" fillId="0" borderId="12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13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9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1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12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13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3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3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9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37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38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8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38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7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37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9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38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9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8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38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0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9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7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dxfs count="10">
    <dxf>
      <font>
        <color rgb="FFC00000"/>
      </font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375623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EAECF0"/>
      <rgbColor rgb="FFFF00FF"/>
      <rgbColor rgb="FF00FFFF"/>
      <rgbColor rgb="FF9C0006"/>
      <rgbColor rgb="FF008000"/>
      <rgbColor rgb="FF000080"/>
      <rgbColor rgb="FF7F6000"/>
      <rgbColor rgb="FF800080"/>
      <rgbColor rgb="FF44546A"/>
      <rgbColor rgb="FFCCCCCC"/>
      <rgbColor rgb="FF666666"/>
      <rgbColor rgb="FF9EADBA"/>
      <rgbColor rgb="FFC0504D"/>
      <rgbColor rgb="FFFFF2CC"/>
      <rgbColor rgb="FFEAF3F8"/>
      <rgbColor rgb="FF660066"/>
      <rgbColor rgb="FFFF8080"/>
      <rgbColor rgb="FF0563C1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A"/>
      <rgbColor rgb="FFE2F0D9"/>
      <rgbColor rgb="FFF2F2F2"/>
      <rgbColor rgb="FFB4C6E7"/>
      <rgbColor rgb="FFD9D9D9"/>
      <rgbColor rgb="FFB3B3B3"/>
      <rgbColor rgb="FFFCE4D6"/>
      <rgbColor rgb="FF4F81BD"/>
      <rgbColor rgb="FF33CCCC"/>
      <rgbColor rgb="FF99CC00"/>
      <rgbColor rgb="FFFFCC00"/>
      <rgbColor rgb="FFFF9900"/>
      <rgbColor rgb="FFFF6600"/>
      <rgbColor rgb="FF667085"/>
      <rgbColor rgb="FFA6A6A6"/>
      <rgbColor rgb="FF17365D"/>
      <rgbColor rgb="FF5B9BD5"/>
      <rgbColor rgb="FF101828"/>
      <rgbColor rgb="FF375623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Microsoft YaHei"/>
                <a:ea typeface="Microsoft YaHei"/>
              </a:rPr>
              <a:t>板块位置分与综合性价比分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"位置分"</c:f>
              <c:strCache>
                <c:ptCount val="1"/>
                <c:pt idx="0">
                  <c:v>位置分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结论!$A$23:$A$36</c:f>
              <c:strCache>
                <c:ptCount val="14"/>
                <c:pt idx="0">
                  <c:v>油气炼化</c:v>
                </c:pt>
                <c:pt idx="1">
                  <c:v>出版医药</c:v>
                </c:pt>
                <c:pt idx="2">
                  <c:v>交通物流</c:v>
                </c:pt>
                <c:pt idx="3">
                  <c:v>钢铁</c:v>
                </c:pt>
                <c:pt idx="4">
                  <c:v>消费</c:v>
                </c:pt>
                <c:pt idx="5">
                  <c:v>保险金融</c:v>
                </c:pt>
                <c:pt idx="6">
                  <c:v>建筑地产</c:v>
                </c:pt>
                <c:pt idx="7">
                  <c:v>银行</c:v>
                </c:pt>
                <c:pt idx="8">
                  <c:v>煤炭</c:v>
                </c:pt>
                <c:pt idx="9">
                  <c:v>公用环保</c:v>
                </c:pt>
                <c:pt idx="10">
                  <c:v>建材家居</c:v>
                </c:pt>
                <c:pt idx="11">
                  <c:v>有色矿业</c:v>
                </c:pt>
                <c:pt idx="12">
                  <c:v>机械汽车</c:v>
                </c:pt>
                <c:pt idx="13">
                  <c:v>化工</c:v>
                </c:pt>
              </c:strCache>
            </c:strRef>
          </c:cat>
          <c:val>
            <c:numRef>
              <c:f>结论!$O$23:$O$36</c:f>
              <c:numCache>
                <c:formatCode>0</c:formatCode>
                <c:ptCount val="14"/>
                <c:pt idx="0">
                  <c:v>84.6153846153846</c:v>
                </c:pt>
                <c:pt idx="1">
                  <c:v>81.1538461538462</c:v>
                </c:pt>
                <c:pt idx="2">
                  <c:v>72.3076923076923</c:v>
                </c:pt>
                <c:pt idx="3">
                  <c:v>58.0769230769231</c:v>
                </c:pt>
                <c:pt idx="4">
                  <c:v>56.1538461538462</c:v>
                </c:pt>
                <c:pt idx="5">
                  <c:v>53.8461538461539</c:v>
                </c:pt>
                <c:pt idx="6">
                  <c:v>49.2307692307692</c:v>
                </c:pt>
                <c:pt idx="7">
                  <c:v>45.3846153846154</c:v>
                </c:pt>
                <c:pt idx="8">
                  <c:v>41.9230769230769</c:v>
                </c:pt>
                <c:pt idx="9">
                  <c:v>40</c:v>
                </c:pt>
                <c:pt idx="10">
                  <c:v>32.3076923076923</c:v>
                </c:pt>
                <c:pt idx="11">
                  <c:v>31.1538461538462</c:v>
                </c:pt>
                <c:pt idx="12">
                  <c:v>29.2307692307692</c:v>
                </c:pt>
                <c:pt idx="13">
                  <c:v>24.6153846153846</c:v>
                </c:pt>
              </c:numCache>
            </c:numRef>
          </c:val>
        </c:ser>
        <c:ser>
          <c:idx val="1"/>
          <c:order val="1"/>
          <c:tx>
            <c:strRef>
              <c:f>"综合性价比分"</c:f>
              <c:strCache>
                <c:ptCount val="1"/>
                <c:pt idx="0">
                  <c:v>综合性价比分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结论!$A$23:$A$36</c:f>
              <c:strCache>
                <c:ptCount val="14"/>
                <c:pt idx="0">
                  <c:v>油气炼化</c:v>
                </c:pt>
                <c:pt idx="1">
                  <c:v>出版医药</c:v>
                </c:pt>
                <c:pt idx="2">
                  <c:v>交通物流</c:v>
                </c:pt>
                <c:pt idx="3">
                  <c:v>钢铁</c:v>
                </c:pt>
                <c:pt idx="4">
                  <c:v>消费</c:v>
                </c:pt>
                <c:pt idx="5">
                  <c:v>保险金融</c:v>
                </c:pt>
                <c:pt idx="6">
                  <c:v>建筑地产</c:v>
                </c:pt>
                <c:pt idx="7">
                  <c:v>银行</c:v>
                </c:pt>
                <c:pt idx="8">
                  <c:v>煤炭</c:v>
                </c:pt>
                <c:pt idx="9">
                  <c:v>公用环保</c:v>
                </c:pt>
                <c:pt idx="10">
                  <c:v>建材家居</c:v>
                </c:pt>
                <c:pt idx="11">
                  <c:v>有色矿业</c:v>
                </c:pt>
                <c:pt idx="12">
                  <c:v>机械汽车</c:v>
                </c:pt>
                <c:pt idx="13">
                  <c:v>化工</c:v>
                </c:pt>
              </c:strCache>
            </c:strRef>
          </c:cat>
          <c:val>
            <c:numRef>
              <c:f>结论!$R$23:$R$36</c:f>
              <c:numCache>
                <c:formatCode>0</c:formatCode>
                <c:ptCount val="14"/>
                <c:pt idx="0">
                  <c:v>41.4038461538462</c:v>
                </c:pt>
                <c:pt idx="1">
                  <c:v>17.5769230769231</c:v>
                </c:pt>
                <c:pt idx="2">
                  <c:v>34.4615384615385</c:v>
                </c:pt>
                <c:pt idx="3">
                  <c:v>51.6538461538462</c:v>
                </c:pt>
                <c:pt idx="4">
                  <c:v>47.2307692307692</c:v>
                </c:pt>
                <c:pt idx="5">
                  <c:v>64.1346153846154</c:v>
                </c:pt>
                <c:pt idx="6">
                  <c:v>38.2884615384615</c:v>
                </c:pt>
                <c:pt idx="7">
                  <c:v>54.1923076923077</c:v>
                </c:pt>
                <c:pt idx="8">
                  <c:v>55.75</c:v>
                </c:pt>
                <c:pt idx="9">
                  <c:v>46.6730769230769</c:v>
                </c:pt>
                <c:pt idx="10">
                  <c:v>43.5769230769231</c:v>
                </c:pt>
                <c:pt idx="11">
                  <c:v>66.0961538461538</c:v>
                </c:pt>
                <c:pt idx="12">
                  <c:v>53</c:v>
                </c:pt>
                <c:pt idx="13">
                  <c:v>50.4230769230769</c:v>
                </c:pt>
              </c:numCache>
            </c:numRef>
          </c:val>
        </c:ser>
        <c:gapWidth val="150"/>
        <c:overlap val="0"/>
        <c:axId val="97197612"/>
        <c:axId val="31848232"/>
      </c:barChart>
      <c:catAx>
        <c:axId val="9719761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1848232"/>
        <c:crosses val="autoZero"/>
        <c:auto val="1"/>
        <c:lblAlgn val="ctr"/>
        <c:lblOffset val="100"/>
        <c:noMultiLvlLbl val="0"/>
      </c:catAx>
      <c:valAx>
        <c:axId val="3184823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71976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675" b="0" u="none" strike="noStrike">
              <a:solidFill>
                <a:srgbClr val="000000"/>
              </a:solidFill>
              <a:uFillTx/>
              <a:latin typeface="Microsoft YaHei"/>
              <a:ea typeface="Microsoft YaHe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19</xdr:col>
      <xdr:colOff>698040</xdr:colOff>
      <xdr:row>18</xdr:row>
      <xdr:rowOff>380880</xdr:rowOff>
    </xdr:to>
    <xdr:graphicFrame>
      <xdr:nvGraphicFramePr>
        <xdr:cNvPr id="1" name="Chart"/>
        <xdr:cNvGraphicFramePr/>
      </xdr:nvGraphicFramePr>
      <xdr:xfrm>
        <a:off x="8917200" y="1003320"/>
        <a:ext cx="6635520" cy="4508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T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4" activeCellId="0" sqref="1:1048576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6" min="4" style="1" width="15.14"/>
    <col collapsed="false" customWidth="true" hidden="false" outlineLevel="0" max="7" min="7" style="1" width="9"/>
    <col collapsed="false" customWidth="true" hidden="false" outlineLevel="0" max="9" min="8" style="1" width="14.13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11"/>
    <col collapsed="false" customWidth="true" hidden="false" outlineLevel="0" max="13" min="13" style="1" width="8"/>
    <col collapsed="false" customWidth="true" hidden="false" outlineLevel="0" max="14" min="14" style="1" width="10"/>
    <col collapsed="false" customWidth="true" hidden="false" outlineLevel="0" max="15" min="15" style="1" width="8"/>
    <col collapsed="false" customWidth="true" hidden="false" outlineLevel="0" max="17" min="16" style="1" width="9"/>
    <col collapsed="false" customWidth="true" hidden="false" outlineLevel="0" max="18" min="18" style="1" width="11"/>
    <col collapsed="false" customWidth="true" hidden="false" outlineLevel="0" max="19" min="19" style="1" width="9"/>
    <col collapsed="false" customWidth="true" hidden="false" outlineLevel="0" max="20" min="20" style="1" width="10"/>
    <col collapsed="false" customWidth="false" hidden="false" outlineLevel="0" max="16384" min="21" style="1" width="8.76"/>
  </cols>
  <sheetData>
    <row r="1" customFormat="false" ht="30" hidden="false" customHeight="true" outlineLevel="0" collapsed="false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</row>
    <row r="2" customFormat="false" ht="34" hidden="false" customHeight="true" outlineLevel="0" collapsed="false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customFormat="false" ht="15" hidden="false" customHeight="false" outlineLevel="0" collapsed="false">
      <c r="A4" s="5" t="s">
        <v>2</v>
      </c>
      <c r="B4" s="5"/>
      <c r="C4" s="5" t="s">
        <v>3</v>
      </c>
      <c r="D4" s="5"/>
      <c r="E4" s="5" t="s">
        <v>4</v>
      </c>
      <c r="F4" s="5"/>
      <c r="G4" s="5" t="s">
        <v>5</v>
      </c>
      <c r="H4" s="5"/>
      <c r="I4" s="5" t="s">
        <v>6</v>
      </c>
      <c r="J4" s="5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30" hidden="false" customHeight="true" outlineLevel="0" collapsed="false">
      <c r="A5" s="6" t="n">
        <v>46308</v>
      </c>
      <c r="B5" s="6"/>
      <c r="C5" s="7" t="n">
        <v>5624.5</v>
      </c>
      <c r="D5" s="7"/>
      <c r="E5" s="8" t="n">
        <f aca="false">MIN('10.13行情明细'!$E$110:$E$135)</f>
        <v>5386.04</v>
      </c>
      <c r="F5" s="8"/>
      <c r="G5" s="9" t="n">
        <f aca="false">IF(OR(C5="",C5&lt;=0),"",C5/E5-1)</f>
        <v>0.0442737150113999</v>
      </c>
      <c r="H5" s="9"/>
      <c r="I5" s="10" t="n">
        <f aca="false">IF(OR(C5="",C5&lt;=0),"",C5/'10.13行情明细'!C110-1)</f>
        <v>-0.016424117151241</v>
      </c>
      <c r="J5" s="10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26" hidden="false" customHeight="true" outlineLevel="0" collapsed="false">
      <c r="A6" s="11" t="s">
        <v>7</v>
      </c>
      <c r="B6" s="11"/>
      <c r="C6" s="11"/>
      <c r="D6" s="11"/>
      <c r="E6" s="12" t="n">
        <f aca="false">INDEX('10.13行情明细'!$A$110:$A$135,MATCH(E5,'10.13行情明细'!$E$110:$E$135,0))</f>
        <v>46294</v>
      </c>
      <c r="F6" s="12"/>
      <c r="G6" s="13" t="str">
        <f aca="false">IF(OR(C5="",C5&lt;=0),"指数状态：请输入有效收盘","指数状态："&amp;IF(C5&lt;B10,"低于保守底部",IF(C5&lt;=B12,"处于模型底部区间",IF(C5&lt;F10,"位于底部与顶部之间",IF(C5&lt;=F12,"进入模型顶部区间","高于积极顶部")))))</f>
        <v>指数状态：位于底部与顶部之间</v>
      </c>
      <c r="H6" s="13"/>
      <c r="I6" s="13"/>
      <c r="J6" s="13"/>
      <c r="K6" s="4"/>
      <c r="L6" s="4"/>
      <c r="M6" s="4"/>
      <c r="N6" s="4"/>
      <c r="O6" s="4"/>
      <c r="P6" s="4"/>
      <c r="Q6" s="4"/>
      <c r="R6" s="4"/>
      <c r="S6" s="4"/>
      <c r="T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customFormat="false" ht="22" hidden="false" customHeight="true" outlineLevel="0" collapsed="false">
      <c r="A8" s="14" t="s">
        <v>8</v>
      </c>
      <c r="B8" s="14" t="str">
        <f aca="false">""</f>
        <v/>
      </c>
      <c r="C8" s="14" t="s">
        <v>8</v>
      </c>
      <c r="D8" s="14" t="s">
        <v>8</v>
      </c>
      <c r="E8" s="14" t="s">
        <v>8</v>
      </c>
      <c r="F8" s="14" t="s">
        <v>8</v>
      </c>
      <c r="G8" s="14" t="s">
        <v>8</v>
      </c>
      <c r="H8" s="14" t="s">
        <v>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customFormat="false" ht="15" hidden="false" customHeight="false" outlineLevel="0" collapsed="false">
      <c r="A9" s="15" t="s">
        <v>9</v>
      </c>
      <c r="B9" s="16" t="str">
        <f aca="false">"模型底部"</f>
        <v>模型底部</v>
      </c>
      <c r="C9" s="16" t="s">
        <v>10</v>
      </c>
      <c r="D9" s="16" t="s">
        <v>11</v>
      </c>
      <c r="E9" s="16" t="s">
        <v>12</v>
      </c>
      <c r="F9" s="16" t="s">
        <v>13</v>
      </c>
      <c r="G9" s="17" t="s">
        <v>14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customFormat="false" ht="15" hidden="false" customHeight="false" outlineLevel="0" collapsed="false">
      <c r="A10" s="4" t="s">
        <v>15</v>
      </c>
      <c r="B10" s="18" t="n">
        <f aca="false">'10.13方法'!C13</f>
        <v>5332.33246884039</v>
      </c>
      <c r="C10" s="18" t="n">
        <f aca="false">$E$5</f>
        <v>5386.04</v>
      </c>
      <c r="D10" s="19" t="n">
        <f aca="false">$C10/$B10-1</f>
        <v>0.010072052234825</v>
      </c>
      <c r="E10" s="20" t="str">
        <f aca="false">IF(ABS(D10)&lt;=1.2%,"命中","接近")</f>
        <v>命中</v>
      </c>
      <c r="F10" s="18" t="n">
        <f aca="false">'10.13方法'!D13</f>
        <v>6377.88785488752</v>
      </c>
      <c r="G10" s="19" t="n">
        <f aca="false">IF(OR($C$5="",$C$5&lt;=0),"",F10/$C$5-1)</f>
        <v>0.133947525093345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customFormat="false" ht="15" hidden="false" customHeight="false" outlineLevel="0" collapsed="false">
      <c r="A11" s="4" t="s">
        <v>16</v>
      </c>
      <c r="B11" s="18" t="n">
        <f aca="false">'10.13方法'!C14</f>
        <v>5376.29401835818</v>
      </c>
      <c r="C11" s="18" t="n">
        <f aca="false">$E$5</f>
        <v>5386.04</v>
      </c>
      <c r="D11" s="19" t="n">
        <f aca="false">$C11/$B11-1</f>
        <v>0.00181276946694897</v>
      </c>
      <c r="E11" s="20" t="str">
        <f aca="false">IF(ABS(D11)&lt;=1.2%,"命中","接近")</f>
        <v>命中</v>
      </c>
      <c r="F11" s="18" t="n">
        <f aca="false">'10.13方法'!D14</f>
        <v>6430.46931607547</v>
      </c>
      <c r="G11" s="19" t="n">
        <f aca="false">IF(OR($C$5="",$C$5&lt;=0),"",F11/$C$5-1)</f>
        <v>0.143296171406431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customFormat="false" ht="15" hidden="false" customHeight="false" outlineLevel="0" collapsed="false">
      <c r="A12" s="4" t="s">
        <v>17</v>
      </c>
      <c r="B12" s="18" t="n">
        <f aca="false">'10.13方法'!C15</f>
        <v>5420.25556787598</v>
      </c>
      <c r="C12" s="18" t="n">
        <f aca="false">$E$5</f>
        <v>5386.04</v>
      </c>
      <c r="D12" s="19" t="n">
        <f aca="false">$C12/$B12-1</f>
        <v>-0.00631253774799101</v>
      </c>
      <c r="E12" s="20" t="str">
        <f aca="false">IF(ABS(D12)&lt;=1.2%,"命中","接近")</f>
        <v>命中</v>
      </c>
      <c r="F12" s="18" t="n">
        <f aca="false">'10.13方法'!D15</f>
        <v>6483.05077726342</v>
      </c>
      <c r="G12" s="19" t="n">
        <f aca="false">IF(OR($C$5="",$C$5&lt;=0),"",F12/$C$5-1)</f>
        <v>0.152644817719517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customFormat="false" ht="15" hidden="false" customHeight="false" outlineLevel="0" collapsed="false">
      <c r="A13" s="4"/>
      <c r="B13" s="4" t="str">
        <f aca="false">""</f>
        <v/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customFormat="false" ht="22" hidden="false" customHeight="true" outlineLevel="0" collapsed="false">
      <c r="A14" s="14" t="s">
        <v>18</v>
      </c>
      <c r="B14" s="14" t="s">
        <v>18</v>
      </c>
      <c r="C14" s="14" t="s">
        <v>18</v>
      </c>
      <c r="D14" s="14" t="s">
        <v>18</v>
      </c>
      <c r="E14" s="14" t="s">
        <v>18</v>
      </c>
      <c r="F14" s="14" t="s">
        <v>18</v>
      </c>
      <c r="G14" s="14" t="s">
        <v>18</v>
      </c>
      <c r="H14" s="14" t="s">
        <v>18</v>
      </c>
      <c r="I14" s="14" t="s">
        <v>18</v>
      </c>
      <c r="J14" s="14" t="s">
        <v>18</v>
      </c>
      <c r="K14" s="4"/>
      <c r="L14" s="4"/>
      <c r="M14" s="4"/>
      <c r="N14" s="4"/>
      <c r="O14" s="4"/>
      <c r="P14" s="4"/>
      <c r="Q14" s="4"/>
      <c r="R14" s="4"/>
      <c r="S14" s="4"/>
      <c r="T14" s="4"/>
    </row>
    <row r="15" customFormat="false" ht="30" hidden="false" customHeight="true" outlineLevel="0" collapsed="false">
      <c r="A15" s="21" t="s">
        <v>19</v>
      </c>
      <c r="B15" s="21"/>
      <c r="C15" s="22" t="s">
        <v>20</v>
      </c>
      <c r="D15" s="22"/>
      <c r="E15" s="22"/>
      <c r="F15" s="22"/>
      <c r="G15" s="22"/>
      <c r="H15" s="22"/>
      <c r="I15" s="22"/>
      <c r="J15" s="22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customFormat="false" ht="30" hidden="false" customHeight="true" outlineLevel="0" collapsed="false">
      <c r="A16" s="21" t="s">
        <v>21</v>
      </c>
      <c r="B16" s="21" t="str">
        <f aca="false">""</f>
        <v/>
      </c>
      <c r="C16" s="22" t="str">
        <f aca="false">"8/31以来加权上涨3.5%，位置分约45；加权PE约6.5倍、PB约0.63倍、TTM股息率约4.7%，绝对估值仍低，但靠近区间高位，适合等回撤而不是追涨。"</f>
        <v>8/31以来加权上涨3.5%，位置分约45；加权PE约6.5倍、PB约0.63倍、TTM股息率约4.7%，绝对估值仍低，但靠近区间高位，适合等回撤而不是追涨。</v>
      </c>
      <c r="D16" s="22" t="str">
        <f aca="false">""</f>
        <v/>
      </c>
      <c r="E16" s="22" t="str">
        <f aca="false">""</f>
        <v/>
      </c>
      <c r="F16" s="22" t="str">
        <f aca="false">""</f>
        <v/>
      </c>
      <c r="G16" s="22"/>
      <c r="H16" s="22"/>
      <c r="I16" s="22"/>
      <c r="J16" s="22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customFormat="false" ht="30" hidden="false" customHeight="true" outlineLevel="0" collapsed="false">
      <c r="A17" s="21" t="s">
        <v>22</v>
      </c>
      <c r="B17" s="21" t="str">
        <f aca="false">""</f>
        <v/>
      </c>
      <c r="C17" s="22" t="str">
        <f aca="false">"8/31以来仍下跌约8.3%，从各自区间低点反弹约5.4%；H1利润池同比约+18.9%，但当前TTM股息率约2.1%，结论是“中低位置、盈利改善、股息吸引力下降”。"</f>
        <v>8/31以来仍下跌约8.3%，从各自区间低点反弹约5.4%；H1利润池同比约+18.9%，但当前TTM股息率约2.1%，结论是“中低位置、盈利改善、股息吸引力下降”。</v>
      </c>
      <c r="D17" s="22" t="str">
        <f aca="false">""</f>
        <v/>
      </c>
      <c r="E17" s="22" t="str">
        <f aca="false">""</f>
        <v/>
      </c>
      <c r="F17" s="22" t="str">
        <f aca="false">""</f>
        <v/>
      </c>
      <c r="G17" s="22"/>
      <c r="H17" s="22"/>
      <c r="I17" s="22"/>
      <c r="J17" s="22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customFormat="false" ht="30" hidden="false" customHeight="true" outlineLevel="0" collapsed="false">
      <c r="A18" s="21" t="s">
        <v>23</v>
      </c>
      <c r="B18" s="21" t="str">
        <f aca="false">""</f>
        <v/>
      </c>
      <c r="C18" s="22" t="str">
        <f aca="false">"油气炼化、出版医药、交通物流的位置分居前；油气盈利强但涨得快，出版医药与交通物流则出现价格强、利润弱的背离，追涨风险更高。"</f>
        <v>油气炼化、出版医药、交通物流的位置分居前；油气盈利强但涨得快，出版医药与交通物流则出现价格强、利润弱的背离，追涨风险更高。</v>
      </c>
      <c r="D18" s="22" t="str">
        <f aca="false">""</f>
        <v/>
      </c>
      <c r="E18" s="22" t="str">
        <f aca="false">""</f>
        <v/>
      </c>
      <c r="F18" s="22" t="str">
        <f aca="false">""</f>
        <v/>
      </c>
      <c r="G18" s="22"/>
      <c r="H18" s="22"/>
      <c r="I18" s="22"/>
      <c r="J18" s="22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customFormat="false" ht="30" hidden="false" customHeight="true" outlineLevel="0" collapsed="false">
      <c r="A19" s="21" t="s">
        <v>24</v>
      </c>
      <c r="B19" s="21"/>
      <c r="C19" s="22" t="s">
        <v>25</v>
      </c>
      <c r="D19" s="22"/>
      <c r="E19" s="22"/>
      <c r="F19" s="22"/>
      <c r="G19" s="22"/>
      <c r="H19" s="22"/>
      <c r="I19" s="22"/>
      <c r="J19" s="22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customFormat="false" ht="22" hidden="false" customHeight="true" outlineLevel="0" collapsed="false">
      <c r="A21" s="14" t="s">
        <v>26</v>
      </c>
      <c r="B21" s="14" t="s">
        <v>26</v>
      </c>
      <c r="C21" s="14" t="s">
        <v>26</v>
      </c>
      <c r="D21" s="14" t="s">
        <v>26</v>
      </c>
      <c r="E21" s="14" t="s">
        <v>26</v>
      </c>
      <c r="F21" s="14" t="s">
        <v>26</v>
      </c>
      <c r="G21" s="14" t="s">
        <v>26</v>
      </c>
      <c r="H21" s="14" t="s">
        <v>26</v>
      </c>
      <c r="I21" s="14" t="s">
        <v>26</v>
      </c>
      <c r="J21" s="14" t="s">
        <v>26</v>
      </c>
      <c r="K21" s="14" t="s">
        <v>26</v>
      </c>
      <c r="L21" s="14" t="s">
        <v>26</v>
      </c>
      <c r="M21" s="14" t="s">
        <v>26</v>
      </c>
      <c r="N21" s="14" t="s">
        <v>26</v>
      </c>
      <c r="O21" s="14" t="s">
        <v>26</v>
      </c>
      <c r="P21" s="14" t="s">
        <v>26</v>
      </c>
      <c r="Q21" s="14" t="s">
        <v>26</v>
      </c>
      <c r="R21" s="14" t="s">
        <v>26</v>
      </c>
      <c r="S21" s="14" t="s">
        <v>26</v>
      </c>
      <c r="T21" s="14" t="s">
        <v>26</v>
      </c>
    </row>
    <row r="22" customFormat="false" ht="42" hidden="false" customHeight="true" outlineLevel="0" collapsed="false">
      <c r="A22" s="15" t="s">
        <v>27</v>
      </c>
      <c r="B22" s="16" t="s">
        <v>28</v>
      </c>
      <c r="C22" s="16" t="s">
        <v>29</v>
      </c>
      <c r="D22" s="16" t="s">
        <v>30</v>
      </c>
      <c r="E22" s="16" t="s">
        <v>31</v>
      </c>
      <c r="F22" s="16" t="s">
        <v>5</v>
      </c>
      <c r="G22" s="16" t="s">
        <v>32</v>
      </c>
      <c r="H22" s="16" t="s">
        <v>33</v>
      </c>
      <c r="I22" s="16" t="s">
        <v>34</v>
      </c>
      <c r="J22" s="16" t="s">
        <v>35</v>
      </c>
      <c r="K22" s="16" t="s">
        <v>36</v>
      </c>
      <c r="L22" s="16" t="s">
        <v>37</v>
      </c>
      <c r="M22" s="16" t="s">
        <v>38</v>
      </c>
      <c r="N22" s="16" t="s">
        <v>39</v>
      </c>
      <c r="O22" s="16" t="s">
        <v>40</v>
      </c>
      <c r="P22" s="16" t="s">
        <v>41</v>
      </c>
      <c r="Q22" s="16" t="s">
        <v>42</v>
      </c>
      <c r="R22" s="16" t="s">
        <v>43</v>
      </c>
      <c r="S22" s="16" t="s">
        <v>44</v>
      </c>
      <c r="T22" s="17" t="s">
        <v>45</v>
      </c>
    </row>
    <row r="23" customFormat="false" ht="21" hidden="false" customHeight="true" outlineLevel="0" collapsed="false">
      <c r="A23" s="4" t="s">
        <v>46</v>
      </c>
      <c r="B23" s="4" t="n">
        <f aca="false">COUNTIF('10.13行情明细'!$C$4:$C$103,$A23)</f>
        <v>3</v>
      </c>
      <c r="C23" s="19" t="n">
        <f aca="false">SUMIF('10.13行情明细'!$C$4:$C$103,$A23,'10.13行情明细'!$E$4:$E$103)</f>
        <v>0.03296</v>
      </c>
      <c r="D23" s="19" t="n">
        <f aca="false">SUMPRODUCT(--('10.13行情明细'!$C$4:$C$103=$A23),'10.13行情明细'!$E$4:$E$103,'10.13行情明细'!$I$4:$I$103)/$C23</f>
        <v>0.0381519355837604</v>
      </c>
      <c r="E23" s="19" t="n">
        <f aca="false">SUMPRODUCT(--('10.13行情明细'!$C$4:$C$103=$A23),'10.13行情明细'!$E$4:$E$103,'10.13行情明细'!$K$4:$K$103)/$C23</f>
        <v>0.0531538237403008</v>
      </c>
      <c r="F23" s="19" t="n">
        <f aca="false">SUMPRODUCT(--('10.13行情明细'!$C$4:$C$103=$A23),'10.13行情明细'!$E$4:$E$103,'10.13行情明细'!$N$4:$N$103)/$C23</f>
        <v>0.119062911737325</v>
      </c>
      <c r="G23" s="19" t="n">
        <f aca="false">SUMPRODUCT(--('10.13行情明细'!$C$4:$C$103=$A23),'10.13行情明细'!$E$4:$E$103,'10.13行情明细'!$Q$4:$Q$103)/$C23</f>
        <v>-0.0177459194202729</v>
      </c>
      <c r="H23" s="19" t="n">
        <f aca="false">SUMPRODUCT(--('10.13行情明细'!$C$4:$C$103=$A23),'10.13行情明细'!$E$4:$E$103,'10.13行情明细'!$R$4:$R$103)/$C23</f>
        <v>0.0829495002929692</v>
      </c>
      <c r="I23" s="19" t="n">
        <f aca="false">SUMIF('10.13行情明细'!$C$4:$C$103,$A23,'10.13行情明细'!$S$4:$S$103)/SUMIF('10.13行情明细'!$C$4:$C$103,$A23,'10.13行情明细'!$T$4:$T$103)-1</f>
        <v>0.222445469870081</v>
      </c>
      <c r="J23" s="19" t="n">
        <f aca="false">SUMPRODUCT(--('10.13行情明细'!$C$4:$C$103=$A23),'10.13行情明细'!$E$4:$E$103,'10.13行情明细'!$W$4:$W$103)/$C23</f>
        <v>1</v>
      </c>
      <c r="K23" s="19" t="n">
        <f aca="false">SUMPRODUCT(--('10.13行情明细'!$C$4:$C$103=$A23),'10.13行情明细'!$E$4:$E$103,'10.13行情明细'!$Y$4:$Y$103)/SUMPRODUCT(--('10.13行情明细'!$C$4:$C$103=$A23),'10.13行情明细'!$E$4:$E$103,--('10.13行情明细'!$Y$4:$Y$103&gt;0))</f>
        <v>0.0384171463442761</v>
      </c>
      <c r="L23" s="23" t="n">
        <f aca="false">SUMPRODUCT(--('10.13行情明细'!$C$4:$C$103=$A23),'10.13行情明细'!$E$4:$E$103,'10.13行情明细'!$AC$4:$AC$103)/SUMPRODUCT(--('10.13行情明细'!$C$4:$C$103=$A23),'10.13行情明细'!$E$4:$E$103,'10.13行情明细'!$AD$4:$AD$103)</f>
        <v>13.9081796116505</v>
      </c>
      <c r="M23" s="23" t="n">
        <f aca="false">SUMPRODUCT(--('10.13行情明细'!$C$4:$C$103=$A23),'10.13行情明细'!$E$4:$E$103,'10.13行情明细'!$AE$4:$AE$103)/SUMPRODUCT(--('10.13行情明细'!$C$4:$C$103=$A23),'10.13行情明细'!$E$4:$E$103,'10.13行情明细'!$AF$4:$AF$103)</f>
        <v>1.40648058252427</v>
      </c>
      <c r="N23" s="19" t="n">
        <f aca="false">SUMPRODUCT(--('10.13行情明细'!$C$4:$C$103=$A23),'10.13行情明细'!$E$4:$E$103,--('10.13行情明细'!$Z$4:$Z$103=3))/$C23</f>
        <v>1</v>
      </c>
      <c r="O23" s="24" t="n">
        <f aca="false">100*(20%*(RANK(D23,$D$23:$D$36,1)-1)/13+25%*(RANK(E23,$E$23:$E$36,1)-1)/13+15%*(RANK(F23,$F$23:$F$36,1)-1)/13+10%*(RANK(G23,$G$23:$G$36,1)-1)/13+15%*(RANK(K23,$K$23:$K$36,0)-1)/13+15%*(RANK(M23,$M$23:$M$36,1)-1)/13)</f>
        <v>84.6153846153846</v>
      </c>
      <c r="P23" s="4" t="str">
        <f aca="false">IF(O23&gt;=65,"偏高",IF(O23&gt;=55,"中高",IF(O23&gt;=45,"中性",IF(O23&gt;=35,"中低","偏低"))))</f>
        <v>偏高</v>
      </c>
      <c r="Q23" s="24" t="n">
        <f aca="false">100*(20%*(RANK(H23,$H$23:$H$36,1)-1)/13+30%*(RANK(T23,$T$23:$T$36,1)-1)/13+15%*(RANK(J23,$J$23:$J$36,1)-1)/13+20%*(RANK(K23,$K$23:$K$36,1)-1)/13+15%*(RANK(N23,$N$23:$N$36,1)-1)/13)</f>
        <v>62.6923076923077</v>
      </c>
      <c r="R23" s="24" t="n">
        <f aca="false">55%*Q23+45%*(100-O23)</f>
        <v>41.4038461538462</v>
      </c>
      <c r="S23" s="4" t="str">
        <f aca="false">IF(R23&gt;=65,"较高",IF(R23&gt;=55,"中上",IF(R23&gt;=45,"中性",IF(R23&gt;=35,"中下","较低"))))</f>
        <v>中下</v>
      </c>
      <c r="T23" s="19" t="n">
        <f aca="false">MAX(-50%,MIN(50%,I23))</f>
        <v>0.222445469870081</v>
      </c>
    </row>
    <row r="24" customFormat="false" ht="21" hidden="false" customHeight="true" outlineLevel="0" collapsed="false">
      <c r="A24" s="4" t="s">
        <v>47</v>
      </c>
      <c r="B24" s="4" t="n">
        <f aca="false">COUNTIF('10.13行情明细'!$C$4:$C$103,$A24)</f>
        <v>6</v>
      </c>
      <c r="C24" s="19" t="n">
        <f aca="false">SUMIF('10.13行情明细'!$C$4:$C$103,$A24,'10.13行情明细'!$E$4:$E$103)</f>
        <v>0.04219</v>
      </c>
      <c r="D24" s="19" t="n">
        <f aca="false">SUMPRODUCT(--('10.13行情明细'!$C$4:$C$103=$A24),'10.13行情明细'!$E$4:$E$103,'10.13行情明细'!$I$4:$I$103)/$C24</f>
        <v>0.0525186683567934</v>
      </c>
      <c r="E24" s="19" t="n">
        <f aca="false">SUMPRODUCT(--('10.13行情明细'!$C$4:$C$103=$A24),'10.13行情明细'!$E$4:$E$103,'10.13行情明细'!$K$4:$K$103)/$C24</f>
        <v>0.0535677468585458</v>
      </c>
      <c r="F24" s="19" t="n">
        <f aca="false">SUMPRODUCT(--('10.13行情明细'!$C$4:$C$103=$A24),'10.13行情明细'!$E$4:$E$103,'10.13行情明细'!$N$4:$N$103)/$C24</f>
        <v>0.0890877069892377</v>
      </c>
      <c r="G24" s="19" t="n">
        <f aca="false">SUMPRODUCT(--('10.13行情明细'!$C$4:$C$103=$A24),'10.13行情明细'!$E$4:$E$103,'10.13行情明细'!$Q$4:$Q$103)/$C24</f>
        <v>-0.0232179613133014</v>
      </c>
      <c r="H24" s="19" t="n">
        <f aca="false">SUMPRODUCT(--('10.13行情明细'!$C$4:$C$103=$A24),'10.13行情明细'!$E$4:$E$103,'10.13行情明细'!$R$4:$R$103)/$C24</f>
        <v>-0.0912554802834804</v>
      </c>
      <c r="I24" s="19" t="n">
        <f aca="false">SUMIF('10.13行情明细'!$C$4:$C$103,$A24,'10.13行情明细'!$S$4:$S$103)/SUMIF('10.13行情明细'!$C$4:$C$103,$A24,'10.13行情明细'!$T$4:$T$103)-1</f>
        <v>-0.188213922127405</v>
      </c>
      <c r="J24" s="19" t="n">
        <f aca="false">SUMPRODUCT(--('10.13行情明细'!$C$4:$C$103=$A24),'10.13行情明细'!$E$4:$E$103,'10.13行情明细'!$W$4:$W$103)/$C24</f>
        <v>0</v>
      </c>
      <c r="K24" s="19" t="n">
        <f aca="false">SUMPRODUCT(--('10.13行情明细'!$C$4:$C$103=$A24),'10.13行情明细'!$E$4:$E$103,'10.13行情明细'!$Y$4:$Y$103)/SUMPRODUCT(--('10.13行情明细'!$C$4:$C$103=$A24),'10.13行情明细'!$E$4:$E$103,--('10.13行情明细'!$Y$4:$Y$103&gt;0))</f>
        <v>0.0426560736202549</v>
      </c>
      <c r="L24" s="23" t="n">
        <f aca="false">SUMPRODUCT(--('10.13行情明细'!$C$4:$C$103=$A24),'10.13行情明细'!$E$4:$E$103,'10.13行情明细'!$AC$4:$AC$103)/SUMPRODUCT(--('10.13行情明细'!$C$4:$C$103=$A24),'10.13行情明细'!$E$4:$E$103,'10.13行情明细'!$AD$4:$AD$103)</f>
        <v>18.3488983275816</v>
      </c>
      <c r="M24" s="23" t="n">
        <f aca="false">SUMPRODUCT(--('10.13行情明细'!$C$4:$C$103=$A24),'10.13行情明细'!$E$4:$E$103,'10.13行情明细'!$AE$4:$AE$103)/SUMPRODUCT(--('10.13行情明细'!$C$4:$C$103=$A24),'10.13行情明细'!$E$4:$E$103,'10.13行情明细'!$AF$4:$AF$103)</f>
        <v>1.06183692818203</v>
      </c>
      <c r="N24" s="19" t="n">
        <f aca="false">SUMPRODUCT(--('10.13行情明细'!$C$4:$C$103=$A24),'10.13行情明细'!$E$4:$E$103,--('10.13行情明细'!$Z$4:$Z$103=3))/$C24</f>
        <v>1</v>
      </c>
      <c r="O24" s="24" t="n">
        <f aca="false">100*(20%*(RANK(D24,$D$23:$D$36,1)-1)/13+25%*(RANK(E24,$E$23:$E$36,1)-1)/13+15%*(RANK(F24,$F$23:$F$36,1)-1)/13+10%*(RANK(G24,$G$23:$G$36,1)-1)/13+15%*(RANK(K24,$K$23:$K$36,0)-1)/13+15%*(RANK(M24,$M$23:$M$36,1)-1)/13)</f>
        <v>81.1538461538462</v>
      </c>
      <c r="P24" s="4" t="str">
        <f aca="false">IF(O24&gt;=65,"偏高",IF(O24&gt;=55,"中高",IF(O24&gt;=45,"中性",IF(O24&gt;=35,"中低","偏低"))))</f>
        <v>偏高</v>
      </c>
      <c r="Q24" s="24" t="n">
        <f aca="false">100*(20%*(RANK(H24,$H$23:$H$36,1)-1)/13+30%*(RANK(T24,$T$23:$T$36,1)-1)/13+15%*(RANK(J24,$J$23:$J$36,1)-1)/13+20%*(RANK(K24,$K$23:$K$36,1)-1)/13+15%*(RANK(N24,$N$23:$N$36,1)-1)/13)</f>
        <v>16.5384615384615</v>
      </c>
      <c r="R24" s="24" t="n">
        <f aca="false">55%*Q24+45%*(100-O24)</f>
        <v>17.5769230769231</v>
      </c>
      <c r="S24" s="4" t="str">
        <f aca="false">IF(R24&gt;=65,"较高",IF(R24&gt;=55,"中上",IF(R24&gt;=45,"中性",IF(R24&gt;=35,"中下","较低"))))</f>
        <v>较低</v>
      </c>
      <c r="T24" s="19" t="n">
        <f aca="false">MAX(-50%,MIN(50%,I24))</f>
        <v>-0.188213922127405</v>
      </c>
    </row>
    <row r="25" customFormat="false" ht="21" hidden="false" customHeight="true" outlineLevel="0" collapsed="false">
      <c r="A25" s="4" t="s">
        <v>48</v>
      </c>
      <c r="B25" s="4" t="n">
        <f aca="false">COUNTIF('10.13行情明细'!$C$4:$C$103,$A25)</f>
        <v>12</v>
      </c>
      <c r="C25" s="19" t="n">
        <f aca="false">SUMIF('10.13行情明细'!$C$4:$C$103,$A25,'10.13行情明细'!$E$4:$E$103)</f>
        <v>0.14445</v>
      </c>
      <c r="D25" s="19" t="n">
        <f aca="false">SUMPRODUCT(--('10.13行情明细'!$C$4:$C$103=$A25),'10.13行情明细'!$E$4:$E$103,'10.13行情明细'!$I$4:$I$103)/$C25</f>
        <v>0.0140625248616072</v>
      </c>
      <c r="E25" s="19" t="n">
        <f aca="false">SUMPRODUCT(--('10.13行情明细'!$C$4:$C$103=$A25),'10.13行情明细'!$E$4:$E$103,'10.13行情明细'!$K$4:$K$103)/$C25</f>
        <v>0.0438319673986753</v>
      </c>
      <c r="F25" s="19" t="n">
        <f aca="false">SUMPRODUCT(--('10.13行情明细'!$C$4:$C$103=$A25),'10.13行情明细'!$E$4:$E$103,'10.13行情明细'!$N$4:$N$103)/$C25</f>
        <v>0.0867068735942889</v>
      </c>
      <c r="G25" s="19" t="n">
        <f aca="false">SUMPRODUCT(--('10.13行情明细'!$C$4:$C$103=$A25),'10.13行情明细'!$E$4:$E$103,'10.13行情明细'!$Q$4:$Q$103)/$C25</f>
        <v>-0.0276871567429258</v>
      </c>
      <c r="H25" s="19" t="n">
        <f aca="false">SUMPRODUCT(--('10.13行情明细'!$C$4:$C$103=$A25),'10.13行情明细'!$E$4:$E$103,'10.13行情明细'!$R$4:$R$103)/$C25</f>
        <v>0.0359680443367703</v>
      </c>
      <c r="I25" s="19" t="n">
        <f aca="false">SUMIF('10.13行情明细'!$C$4:$C$103,$A25,'10.13行情明细'!$S$4:$S$103)/SUMIF('10.13行情明细'!$C$4:$C$103,$A25,'10.13行情明细'!$T$4:$T$103)-1</f>
        <v>-0.132844688077542</v>
      </c>
      <c r="J25" s="19" t="n">
        <f aca="false">SUMPRODUCT(--('10.13行情明细'!$C$4:$C$103=$A25),'10.13行情明细'!$E$4:$E$103,'10.13行情明细'!$W$4:$W$103)/$C25</f>
        <v>0.503703703703704</v>
      </c>
      <c r="K25" s="19" t="n">
        <f aca="false">SUMPRODUCT(--('10.13行情明细'!$C$4:$C$103=$A25),'10.13行情明细'!$E$4:$E$103,'10.13行情明细'!$Y$4:$Y$103)/SUMPRODUCT(--('10.13行情明细'!$C$4:$C$103=$A25),'10.13行情明细'!$E$4:$E$103,--('10.13行情明细'!$Y$4:$Y$103&gt;0))</f>
        <v>0.0451277936801576</v>
      </c>
      <c r="L25" s="23" t="n">
        <f aca="false">SUMPRODUCT(--('10.13行情明细'!$C$4:$C$103=$A25),'10.13行情明细'!$E$4:$E$103,'10.13行情明细'!$AC$4:$AC$103)/SUMPRODUCT(--('10.13行情明细'!$C$4:$C$103=$A25),'10.13行情明细'!$E$4:$E$103,'10.13行情明细'!$AD$4:$AD$103)</f>
        <v>14.6436388261851</v>
      </c>
      <c r="M25" s="23" t="n">
        <f aca="false">SUMPRODUCT(--('10.13行情明细'!$C$4:$C$103=$A25),'10.13行情明细'!$E$4:$E$103,'10.13行情明细'!$AE$4:$AE$103)/SUMPRODUCT(--('10.13行情明细'!$C$4:$C$103=$A25),'10.13行情明细'!$E$4:$E$103,'10.13行情明细'!$AF$4:$AF$103)</f>
        <v>1.46814676358602</v>
      </c>
      <c r="N25" s="19" t="n">
        <f aca="false">SUMPRODUCT(--('10.13行情明细'!$C$4:$C$103=$A25),'10.13行情明细'!$E$4:$E$103,--('10.13行情明细'!$Z$4:$Z$103=3))/$C25</f>
        <v>1</v>
      </c>
      <c r="O25" s="24" t="n">
        <f aca="false">100*(20%*(RANK(D25,$D$23:$D$36,1)-1)/13+25%*(RANK(E25,$E$23:$E$36,1)-1)/13+15%*(RANK(F25,$F$23:$F$36,1)-1)/13+10%*(RANK(G25,$G$23:$G$36,1)-1)/13+15%*(RANK(K25,$K$23:$K$36,0)-1)/13+15%*(RANK(M25,$M$23:$M$36,1)-1)/13)</f>
        <v>72.3076923076923</v>
      </c>
      <c r="P25" s="4" t="str">
        <f aca="false">IF(O25&gt;=65,"偏高",IF(O25&gt;=55,"中高",IF(O25&gt;=45,"中性",IF(O25&gt;=35,"中低","偏低"))))</f>
        <v>偏高</v>
      </c>
      <c r="Q25" s="24" t="n">
        <f aca="false">100*(20%*(RANK(H25,$H$23:$H$36,1)-1)/13+30%*(RANK(T25,$T$23:$T$36,1)-1)/13+15%*(RANK(J25,$J$23:$J$36,1)-1)/13+20%*(RANK(K25,$K$23:$K$36,1)-1)/13+15%*(RANK(N25,$N$23:$N$36,1)-1)/13)</f>
        <v>40</v>
      </c>
      <c r="R25" s="24" t="n">
        <f aca="false">55%*Q25+45%*(100-O25)</f>
        <v>34.4615384615385</v>
      </c>
      <c r="S25" s="4" t="str">
        <f aca="false">IF(R25&gt;=65,"较高",IF(R25&gt;=55,"中上",IF(R25&gt;=45,"中性",IF(R25&gt;=35,"中下","较低"))))</f>
        <v>较低</v>
      </c>
      <c r="T25" s="19" t="n">
        <f aca="false">MAX(-50%,MIN(50%,I25))</f>
        <v>-0.132844688077542</v>
      </c>
    </row>
    <row r="26" customFormat="false" ht="21" hidden="false" customHeight="true" outlineLevel="0" collapsed="false">
      <c r="A26" s="4" t="s">
        <v>49</v>
      </c>
      <c r="B26" s="4" t="n">
        <f aca="false">COUNTIF('10.13行情明细'!$C$4:$C$103,$A26)</f>
        <v>2</v>
      </c>
      <c r="C26" s="19" t="n">
        <f aca="false">SUMIF('10.13行情明细'!$C$4:$C$103,$A26,'10.13行情明细'!$E$4:$E$103)</f>
        <v>0.02431</v>
      </c>
      <c r="D26" s="19" t="n">
        <f aca="false">SUMPRODUCT(--('10.13行情明细'!$C$4:$C$103=$A26),'10.13行情明细'!$E$4:$E$103,'10.13行情明细'!$I$4:$I$103)/$C26</f>
        <v>-0.00216249325077953</v>
      </c>
      <c r="E26" s="19" t="n">
        <f aca="false">SUMPRODUCT(--('10.13行情明细'!$C$4:$C$103=$A26),'10.13行情明细'!$E$4:$E$103,'10.13行情明细'!$K$4:$K$103)/$C26</f>
        <v>0.0411321161565116</v>
      </c>
      <c r="F26" s="19" t="n">
        <f aca="false">SUMPRODUCT(--('10.13行情明细'!$C$4:$C$103=$A26),'10.13行情明细'!$E$4:$E$103,'10.13行情明细'!$N$4:$N$103)/$C26</f>
        <v>0.0829501910202852</v>
      </c>
      <c r="G26" s="19" t="n">
        <f aca="false">SUMPRODUCT(--('10.13行情明细'!$C$4:$C$103=$A26),'10.13行情明细'!$E$4:$E$103,'10.13行情明细'!$Q$4:$Q$103)/$C26</f>
        <v>-0.053779957702327</v>
      </c>
      <c r="H26" s="19" t="n">
        <f aca="false">SUMPRODUCT(--('10.13行情明细'!$C$4:$C$103=$A26),'10.13行情明细'!$E$4:$E$103,'10.13行情明细'!$R$4:$R$103)/$C26</f>
        <v>0.0654719071776611</v>
      </c>
      <c r="I26" s="19" t="n">
        <f aca="false">SUMIF('10.13行情明细'!$C$4:$C$103,$A26,'10.13行情明细'!$S$4:$S$103)/SUMIF('10.13行情明细'!$C$4:$C$103,$A26,'10.13行情明细'!$T$4:$T$103)-1</f>
        <v>0.116669968068935</v>
      </c>
      <c r="J26" s="19" t="n">
        <f aca="false">SUMPRODUCT(--('10.13行情明细'!$C$4:$C$103=$A26),'10.13行情明细'!$E$4:$E$103,'10.13行情明细'!$W$4:$W$103)/$C26</f>
        <v>0.602221308103661</v>
      </c>
      <c r="K26" s="19" t="n">
        <f aca="false">SUMPRODUCT(--('10.13行情明细'!$C$4:$C$103=$A26),'10.13行情明细'!$E$4:$E$103,'10.13行情明细'!$Y$4:$Y$103)/SUMPRODUCT(--('10.13行情明细'!$C$4:$C$103=$A26),'10.13行情明细'!$E$4:$E$103,--('10.13行情明细'!$Y$4:$Y$103&gt;0))</f>
        <v>0.0515901226573163</v>
      </c>
      <c r="L26" s="23" t="n">
        <f aca="false">SUMPRODUCT(--('10.13行情明细'!$C$4:$C$103=$A26),'10.13行情明细'!$E$4:$E$103,'10.13行情明细'!$AC$4:$AC$103)/SUMPRODUCT(--('10.13行情明细'!$C$4:$C$103=$A26),'10.13行情明细'!$E$4:$E$103,'10.13行情明细'!$AD$4:$AD$103)</f>
        <v>12.4915302344714</v>
      </c>
      <c r="M26" s="23" t="n">
        <f aca="false">SUMPRODUCT(--('10.13行情明细'!$C$4:$C$103=$A26),'10.13行情明细'!$E$4:$E$103,'10.13行情明细'!$AE$4:$AE$103)/SUMPRODUCT(--('10.13行情明细'!$C$4:$C$103=$A26),'10.13行情明细'!$E$4:$E$103,'10.13行情明细'!$AF$4:$AF$103)</f>
        <v>1.50166598107775</v>
      </c>
      <c r="N26" s="19" t="n">
        <f aca="false">SUMPRODUCT(--('10.13行情明细'!$C$4:$C$103=$A26),'10.13行情明细'!$E$4:$E$103,--('10.13行情明细'!$Z$4:$Z$103=3))/$C26</f>
        <v>1</v>
      </c>
      <c r="O26" s="24" t="n">
        <f aca="false">100*(20%*(RANK(D26,$D$23:$D$36,1)-1)/13+25%*(RANK(E26,$E$23:$E$36,1)-1)/13+15%*(RANK(F26,$F$23:$F$36,1)-1)/13+10%*(RANK(G26,$G$23:$G$36,1)-1)/13+15%*(RANK(K26,$K$23:$K$36,0)-1)/13+15%*(RANK(M26,$M$23:$M$36,1)-1)/13)</f>
        <v>58.0769230769231</v>
      </c>
      <c r="P26" s="4" t="str">
        <f aca="false">IF(O26&gt;=65,"偏高",IF(O26&gt;=55,"中高",IF(O26&gt;=45,"中性",IF(O26&gt;=35,"中低","偏低"))))</f>
        <v>中高</v>
      </c>
      <c r="Q26" s="24" t="n">
        <f aca="false">100*(20%*(RANK(H26,$H$23:$H$36,1)-1)/13+30%*(RANK(T26,$T$23:$T$36,1)-1)/13+15%*(RANK(J26,$J$23:$J$36,1)-1)/13+20%*(RANK(K26,$K$23:$K$36,1)-1)/13+15%*(RANK(N26,$N$23:$N$36,1)-1)/13)</f>
        <v>59.6153846153846</v>
      </c>
      <c r="R26" s="24" t="n">
        <f aca="false">55%*Q26+45%*(100-O26)</f>
        <v>51.6538461538462</v>
      </c>
      <c r="S26" s="4" t="str">
        <f aca="false">IF(R26&gt;=65,"较高",IF(R26&gt;=55,"中上",IF(R26&gt;=45,"中性",IF(R26&gt;=35,"中下","较低"))))</f>
        <v>中性</v>
      </c>
      <c r="T26" s="19" t="n">
        <f aca="false">MAX(-50%,MIN(50%,I26))</f>
        <v>0.116669968068935</v>
      </c>
    </row>
    <row r="27" customFormat="false" ht="21" hidden="false" customHeight="true" outlineLevel="0" collapsed="false">
      <c r="A27" s="4" t="s">
        <v>50</v>
      </c>
      <c r="B27" s="4" t="n">
        <f aca="false">COUNTIF('10.13行情明细'!$C$4:$C$103,$A27)</f>
        <v>10</v>
      </c>
      <c r="C27" s="19" t="n">
        <f aca="false">SUMIF('10.13行情明细'!$C$4:$C$103,$A27,'10.13行情明细'!$E$4:$E$103)</f>
        <v>0.09281</v>
      </c>
      <c r="D27" s="19" t="n">
        <f aca="false">SUMPRODUCT(--('10.13行情明细'!$C$4:$C$103=$A27),'10.13行情明细'!$E$4:$E$103,'10.13行情明细'!$I$4:$I$103)/$C27</f>
        <v>0.00815755181971157</v>
      </c>
      <c r="E27" s="19" t="n">
        <f aca="false">SUMPRODUCT(--('10.13行情明细'!$C$4:$C$103=$A27),'10.13行情明细'!$E$4:$E$103,'10.13行情明细'!$K$4:$K$103)/$C27</f>
        <v>0.0340663030949708</v>
      </c>
      <c r="F27" s="19" t="n">
        <f aca="false">SUMPRODUCT(--('10.13行情明细'!$C$4:$C$103=$A27),'10.13行情明细'!$E$4:$E$103,'10.13行情明细'!$N$4:$N$103)/$C27</f>
        <v>0.0683940244385302</v>
      </c>
      <c r="G27" s="19" t="n">
        <f aca="false">SUMPRODUCT(--('10.13行情明细'!$C$4:$C$103=$A27),'10.13行情明细'!$E$4:$E$103,'10.13行情明细'!$Q$4:$Q$103)/$C27</f>
        <v>-0.0553316305339685</v>
      </c>
      <c r="H27" s="19" t="n">
        <f aca="false">SUMPRODUCT(--('10.13行情明细'!$C$4:$C$103=$A27),'10.13行情明细'!$E$4:$E$103,'10.13行情明细'!$R$4:$R$103)/$C27</f>
        <v>-0.0165080382642623</v>
      </c>
      <c r="I27" s="19" t="n">
        <f aca="false">SUMIF('10.13行情明细'!$C$4:$C$103,$A27,'10.13行情明细'!$S$4:$S$103)/SUMIF('10.13行情明细'!$C$4:$C$103,$A27,'10.13行情明细'!$T$4:$T$103)-1</f>
        <v>-0.0474464292958583</v>
      </c>
      <c r="J27" s="19" t="n">
        <f aca="false">SUMPRODUCT(--('10.13行情明细'!$C$4:$C$103=$A27),'10.13行情明细'!$E$4:$E$103,'10.13行情明细'!$W$4:$W$103)/$C27</f>
        <v>0.380885680422368</v>
      </c>
      <c r="K27" s="19" t="n">
        <f aca="false">SUMPRODUCT(--('10.13行情明细'!$C$4:$C$103=$A27),'10.13行情明细'!$E$4:$E$103,'10.13行情明细'!$Y$4:$Y$103)/SUMPRODUCT(--('10.13行情明细'!$C$4:$C$103=$A27),'10.13行情明细'!$E$4:$E$103,--('10.13行情明细'!$Y$4:$Y$103&gt;0))</f>
        <v>0.0607584808891878</v>
      </c>
      <c r="L27" s="23" t="n">
        <f aca="false">SUMPRODUCT(--('10.13行情明细'!$C$4:$C$103=$A27),'10.13行情明细'!$E$4:$E$103,'10.13行情明细'!$AC$4:$AC$103)/SUMPRODUCT(--('10.13行情明细'!$C$4:$C$103=$A27),'10.13行情明细'!$E$4:$E$103,'10.13行情明细'!$AD$4:$AD$103)</f>
        <v>17.1551082857451</v>
      </c>
      <c r="M27" s="23" t="n">
        <f aca="false">SUMPRODUCT(--('10.13行情明细'!$C$4:$C$103=$A27),'10.13行情明细'!$E$4:$E$103,'10.13行情明细'!$AE$4:$AE$103)/SUMPRODUCT(--('10.13行情明细'!$C$4:$C$103=$A27),'10.13行情明细'!$E$4:$E$103,'10.13行情明细'!$AF$4:$AF$103)</f>
        <v>1.89875767697446</v>
      </c>
      <c r="N27" s="19" t="n">
        <f aca="false">SUMPRODUCT(--('10.13行情明细'!$C$4:$C$103=$A27),'10.13行情明细'!$E$4:$E$103,--('10.13行情明细'!$Z$4:$Z$103=3))/$C27</f>
        <v>1</v>
      </c>
      <c r="O27" s="24" t="n">
        <f aca="false">100*(20%*(RANK(D27,$D$23:$D$36,1)-1)/13+25%*(RANK(E27,$E$23:$E$36,1)-1)/13+15%*(RANK(F27,$F$23:$F$36,1)-1)/13+10%*(RANK(G27,$G$23:$G$36,1)-1)/13+15%*(RANK(K27,$K$23:$K$36,0)-1)/13+15%*(RANK(M27,$M$23:$M$36,1)-1)/13)</f>
        <v>56.1538461538462</v>
      </c>
      <c r="P27" s="4" t="str">
        <f aca="false">IF(O27&gt;=65,"偏高",IF(O27&gt;=55,"中高",IF(O27&gt;=45,"中性",IF(O27&gt;=35,"中低","偏低"))))</f>
        <v>中高</v>
      </c>
      <c r="Q27" s="24" t="n">
        <f aca="false">100*(20%*(RANK(H27,$H$23:$H$36,1)-1)/13+30%*(RANK(T27,$T$23:$T$36,1)-1)/13+15%*(RANK(J27,$J$23:$J$36,1)-1)/13+20%*(RANK(K27,$K$23:$K$36,1)-1)/13+15%*(RANK(N27,$N$23:$N$36,1)-1)/13)</f>
        <v>50</v>
      </c>
      <c r="R27" s="24" t="n">
        <f aca="false">55%*Q27+45%*(100-O27)</f>
        <v>47.2307692307692</v>
      </c>
      <c r="S27" s="4" t="str">
        <f aca="false">IF(R27&gt;=65,"较高",IF(R27&gt;=55,"中上",IF(R27&gt;=45,"中性",IF(R27&gt;=35,"中下","较低"))))</f>
        <v>中性</v>
      </c>
      <c r="T27" s="19" t="n">
        <f aca="false">MAX(-50%,MIN(50%,I27))</f>
        <v>-0.0474464292958583</v>
      </c>
    </row>
    <row r="28" customFormat="false" ht="21" hidden="false" customHeight="true" outlineLevel="0" collapsed="false">
      <c r="A28" s="4" t="s">
        <v>51</v>
      </c>
      <c r="B28" s="4" t="n">
        <f aca="false">COUNTIF('10.13行情明细'!$C$4:$C$103,$A28)</f>
        <v>2</v>
      </c>
      <c r="C28" s="19" t="n">
        <f aca="false">SUMIF('10.13行情明细'!$C$4:$C$103,$A28,'10.13行情明细'!$E$4:$E$103)</f>
        <v>0.01903</v>
      </c>
      <c r="D28" s="19" t="n">
        <f aca="false">SUMPRODUCT(--('10.13行情明细'!$C$4:$C$103=$A28),'10.13行情明细'!$E$4:$E$103,'10.13行情明细'!$I$4:$I$103)/$C28</f>
        <v>0.0451709968060367</v>
      </c>
      <c r="E28" s="19" t="n">
        <f aca="false">SUMPRODUCT(--('10.13行情明细'!$C$4:$C$103=$A28),'10.13行情明细'!$E$4:$E$103,'10.13行情明细'!$K$4:$K$103)/$C28</f>
        <v>0.0193937062415339</v>
      </c>
      <c r="F28" s="19" t="n">
        <f aca="false">SUMPRODUCT(--('10.13行情明细'!$C$4:$C$103=$A28),'10.13行情明细'!$E$4:$E$103,'10.13行情明细'!$N$4:$N$103)/$C28</f>
        <v>0.0747356537298671</v>
      </c>
      <c r="G28" s="19" t="n">
        <f aca="false">SUMPRODUCT(--('10.13行情明细'!$C$4:$C$103=$A28),'10.13行情明细'!$E$4:$E$103,'10.13行情明细'!$Q$4:$Q$103)/$C28</f>
        <v>-0.043984747850848</v>
      </c>
      <c r="H28" s="19" t="n">
        <f aca="false">SUMPRODUCT(--('10.13行情明细'!$C$4:$C$103=$A28),'10.13行情明细'!$E$4:$E$103,'10.13行情明细'!$R$4:$R$103)/$C28</f>
        <v>0.161190729371449</v>
      </c>
      <c r="I28" s="19" t="n">
        <f aca="false">SUMIF('10.13行情明细'!$C$4:$C$103,$A28,'10.13行情明细'!$S$4:$S$103)/SUMIF('10.13行情明细'!$C$4:$C$103,$A28,'10.13行情明细'!$T$4:$T$103)-1</f>
        <v>0.354584738183673</v>
      </c>
      <c r="J28" s="19" t="n">
        <f aca="false">SUMPRODUCT(--('10.13行情明细'!$C$4:$C$103=$A28),'10.13行情明细'!$E$4:$E$103,'10.13行情明细'!$W$4:$W$103)/$C28</f>
        <v>1</v>
      </c>
      <c r="K28" s="19" t="n">
        <f aca="false">SUMPRODUCT(--('10.13行情明细'!$C$4:$C$103=$A28),'10.13行情明细'!$E$4:$E$103,'10.13行情明细'!$Y$4:$Y$103)/SUMPRODUCT(--('10.13行情明细'!$C$4:$C$103=$A28),'10.13行情明细'!$E$4:$E$103,--('10.13行情明细'!$Y$4:$Y$103&gt;0))</f>
        <v>0.0533542576190098</v>
      </c>
      <c r="L28" s="23" t="n">
        <f aca="false">SUMPRODUCT(--('10.13行情明细'!$C$4:$C$103=$A28),'10.13行情明细'!$E$4:$E$103,'10.13行情明细'!$AC$4:$AC$103)/SUMPRODUCT(--('10.13行情明细'!$C$4:$C$103=$A28),'10.13行情明细'!$E$4:$E$103,'10.13行情明细'!$AD$4:$AD$103)</f>
        <v>9.72315291644772</v>
      </c>
      <c r="M28" s="23" t="n">
        <f aca="false">SUMPRODUCT(--('10.13行情明细'!$C$4:$C$103=$A28),'10.13行情明细'!$E$4:$E$103,'10.13行情明细'!$AE$4:$AE$103)/SUMPRODUCT(--('10.13行情明细'!$C$4:$C$103=$A28),'10.13行情明细'!$E$4:$E$103,'10.13行情明细'!$AF$4:$AF$103)</f>
        <v>1.34319495533368</v>
      </c>
      <c r="N28" s="19" t="n">
        <f aca="false">SUMPRODUCT(--('10.13行情明细'!$C$4:$C$103=$A28),'10.13行情明细'!$E$4:$E$103,--('10.13行情明细'!$Z$4:$Z$103=3))/$C28</f>
        <v>1</v>
      </c>
      <c r="O28" s="24" t="n">
        <f aca="false">100*(20%*(RANK(D28,$D$23:$D$36,1)-1)/13+25%*(RANK(E28,$E$23:$E$36,1)-1)/13+15%*(RANK(F28,$F$23:$F$36,1)-1)/13+10%*(RANK(G28,$G$23:$G$36,1)-1)/13+15%*(RANK(K28,$K$23:$K$36,0)-1)/13+15%*(RANK(M28,$M$23:$M$36,1)-1)/13)</f>
        <v>53.8461538461539</v>
      </c>
      <c r="P28" s="4" t="str">
        <f aca="false">IF(O28&gt;=65,"偏高",IF(O28&gt;=55,"中高",IF(O28&gt;=45,"中性",IF(O28&gt;=35,"中低","偏低"))))</f>
        <v>中性</v>
      </c>
      <c r="Q28" s="24" t="n">
        <f aca="false">100*(20%*(RANK(H28,$H$23:$H$36,1)-1)/13+30%*(RANK(T28,$T$23:$T$36,1)-1)/13+15%*(RANK(J28,$J$23:$J$36,1)-1)/13+20%*(RANK(K28,$K$23:$K$36,1)-1)/13+15%*(RANK(N28,$N$23:$N$36,1)-1)/13)</f>
        <v>78.8461538461538</v>
      </c>
      <c r="R28" s="24" t="n">
        <f aca="false">55%*Q28+45%*(100-O28)</f>
        <v>64.1346153846154</v>
      </c>
      <c r="S28" s="4" t="str">
        <f aca="false">IF(R28&gt;=65,"较高",IF(R28&gt;=55,"中上",IF(R28&gt;=45,"中性",IF(R28&gt;=35,"中下","较低"))))</f>
        <v>中上</v>
      </c>
      <c r="T28" s="19" t="n">
        <f aca="false">MAX(-50%,MIN(50%,I28))</f>
        <v>0.354584738183673</v>
      </c>
    </row>
    <row r="29" customFormat="false" ht="21" hidden="false" customHeight="true" outlineLevel="0" collapsed="false">
      <c r="A29" s="4" t="s">
        <v>52</v>
      </c>
      <c r="B29" s="4" t="n">
        <f aca="false">COUNTIF('10.13行情明细'!$C$4:$C$103,$A29)</f>
        <v>5</v>
      </c>
      <c r="C29" s="19" t="n">
        <f aca="false">SUMIF('10.13行情明细'!$C$4:$C$103,$A29,'10.13行情明细'!$E$4:$E$103)</f>
        <v>0.03596</v>
      </c>
      <c r="D29" s="19" t="n">
        <f aca="false">SUMPRODUCT(--('10.13行情明细'!$C$4:$C$103=$A29),'10.13行情明细'!$E$4:$E$103,'10.13行情明细'!$I$4:$I$103)/$C29</f>
        <v>0.0179748362749023</v>
      </c>
      <c r="E29" s="19" t="n">
        <f aca="false">SUMPRODUCT(--('10.13行情明细'!$C$4:$C$103=$A29),'10.13行情明细'!$E$4:$E$103,'10.13行情明细'!$K$4:$K$103)/$C29</f>
        <v>0.0204827912107016</v>
      </c>
      <c r="F29" s="19" t="n">
        <f aca="false">SUMPRODUCT(--('10.13行情明细'!$C$4:$C$103=$A29),'10.13行情明细'!$E$4:$E$103,'10.13行情明细'!$N$4:$N$103)/$C29</f>
        <v>0.0654484066873006</v>
      </c>
      <c r="G29" s="19" t="n">
        <f aca="false">SUMPRODUCT(--('10.13行情明细'!$C$4:$C$103=$A29),'10.13行情明细'!$E$4:$E$103,'10.13行情明细'!$Q$4:$Q$103)/$C29</f>
        <v>-0.0347342287952861</v>
      </c>
      <c r="H29" s="19" t="n">
        <f aca="false">SUMPRODUCT(--('10.13行情明细'!$C$4:$C$103=$A29),'10.13行情明细'!$E$4:$E$103,'10.13行情明细'!$R$4:$R$103)/$C29</f>
        <v>-0.0568446639628617</v>
      </c>
      <c r="I29" s="19" t="n">
        <f aca="false">SUMIF('10.13行情明细'!$C$4:$C$103,$A29,'10.13行情明细'!$S$4:$S$103)/SUMIF('10.13行情明细'!$C$4:$C$103,$A29,'10.13行情明细'!$T$4:$T$103)-1</f>
        <v>-0.215518611794739</v>
      </c>
      <c r="J29" s="19" t="n">
        <f aca="false">SUMPRODUCT(--('10.13行情明细'!$C$4:$C$103=$A29),'10.13行情明细'!$E$4:$E$103,'10.13行情明细'!$W$4:$W$103)/$C29</f>
        <v>0.446329254727475</v>
      </c>
      <c r="K29" s="19" t="n">
        <f aca="false">SUMPRODUCT(--('10.13行情明细'!$C$4:$C$103=$A29),'10.13行情明细'!$E$4:$E$103,'10.13行情明细'!$Y$4:$Y$103)/SUMPRODUCT(--('10.13行情明细'!$C$4:$C$103=$A29),'10.13行情明细'!$E$4:$E$103,--('10.13行情明细'!$Y$4:$Y$103&gt;0))</f>
        <v>0.0482260989556866</v>
      </c>
      <c r="L29" s="23" t="n">
        <f aca="false">SUMPRODUCT(--('10.13行情明细'!$C$4:$C$103=$A29),'10.13行情明细'!$E$4:$E$103,'10.13行情明细'!$AC$4:$AC$103)/SUMPRODUCT(--('10.13行情明细'!$C$4:$C$103=$A29),'10.13行情明细'!$E$4:$E$103,'10.13行情明细'!$AD$4:$AD$103)</f>
        <v>7.86941417322835</v>
      </c>
      <c r="M29" s="23" t="n">
        <f aca="false">SUMPRODUCT(--('10.13行情明细'!$C$4:$C$103=$A29),'10.13行情明细'!$E$4:$E$103,'10.13行情明细'!$AE$4:$AE$103)/SUMPRODUCT(--('10.13行情明细'!$C$4:$C$103=$A29),'10.13行情明细'!$E$4:$E$103,'10.13行情明细'!$AF$4:$AF$103)</f>
        <v>0.881671301446051</v>
      </c>
      <c r="N29" s="19" t="n">
        <f aca="false">SUMPRODUCT(--('10.13行情明细'!$C$4:$C$103=$A29),'10.13行情明细'!$E$4:$E$103,--('10.13行情明细'!$Z$4:$Z$103=3))/$C29</f>
        <v>1</v>
      </c>
      <c r="O29" s="24" t="n">
        <f aca="false">100*(20%*(RANK(D29,$D$23:$D$36,1)-1)/13+25%*(RANK(E29,$E$23:$E$36,1)-1)/13+15%*(RANK(F29,$F$23:$F$36,1)-1)/13+10%*(RANK(G29,$G$23:$G$36,1)-1)/13+15%*(RANK(K29,$K$23:$K$36,0)-1)/13+15%*(RANK(M29,$M$23:$M$36,1)-1)/13)</f>
        <v>49.2307692307692</v>
      </c>
      <c r="P29" s="4" t="str">
        <f aca="false">IF(O29&gt;=65,"偏高",IF(O29&gt;=55,"中高",IF(O29&gt;=45,"中性",IF(O29&gt;=35,"中低","偏低"))))</f>
        <v>中性</v>
      </c>
      <c r="Q29" s="24" t="n">
        <f aca="false">100*(20%*(RANK(H29,$H$23:$H$36,1)-1)/13+30%*(RANK(T29,$T$23:$T$36,1)-1)/13+15%*(RANK(J29,$J$23:$J$36,1)-1)/13+20%*(RANK(K29,$K$23:$K$36,1)-1)/13+15%*(RANK(N29,$N$23:$N$36,1)-1)/13)</f>
        <v>28.0769230769231</v>
      </c>
      <c r="R29" s="24" t="n">
        <f aca="false">55%*Q29+45%*(100-O29)</f>
        <v>38.2884615384615</v>
      </c>
      <c r="S29" s="4" t="str">
        <f aca="false">IF(R29&gt;=65,"较高",IF(R29&gt;=55,"中上",IF(R29&gt;=45,"中性",IF(R29&gt;=35,"中下","较低"))))</f>
        <v>中下</v>
      </c>
      <c r="T29" s="19" t="n">
        <f aca="false">MAX(-50%,MIN(50%,I29))</f>
        <v>-0.215518611794739</v>
      </c>
    </row>
    <row r="30" customFormat="false" ht="21" hidden="false" customHeight="true" outlineLevel="0" collapsed="false">
      <c r="A30" s="4" t="s">
        <v>21</v>
      </c>
      <c r="B30" s="4" t="n">
        <f aca="false">COUNTIF('10.13行情明细'!$C$4:$C$103,$A30)</f>
        <v>23</v>
      </c>
      <c r="C30" s="19" t="n">
        <f aca="false">SUMIF('10.13行情明细'!$C$4:$C$103,$A30,'10.13行情明细'!$E$4:$E$103)</f>
        <v>0.22922</v>
      </c>
      <c r="D30" s="19" t="n">
        <f aca="false">SUMPRODUCT(--('10.13行情明细'!$C$4:$C$103=$A30),'10.13行情明细'!$E$4:$E$103,'10.13行情明细'!$I$4:$I$103)/$C30</f>
        <v>0.0345325727635463</v>
      </c>
      <c r="E30" s="19" t="n">
        <f aca="false">SUMPRODUCT(--('10.13行情明细'!$C$4:$C$103=$A30),'10.13行情明细'!$E$4:$E$103,'10.13行情明细'!$K$4:$K$103)/$C30</f>
        <v>0.0161127663243607</v>
      </c>
      <c r="F30" s="19" t="n">
        <f aca="false">SUMPRODUCT(--('10.13行情明细'!$C$4:$C$103=$A30),'10.13行情明细'!$E$4:$E$103,'10.13行情明细'!$N$4:$N$103)/$C30</f>
        <v>0.0635152977480402</v>
      </c>
      <c r="G30" s="19" t="n">
        <f aca="false">SUMPRODUCT(--('10.13行情明细'!$C$4:$C$103=$A30),'10.13行情明细'!$E$4:$E$103,'10.13行情明细'!$Q$4:$Q$103)/$C30</f>
        <v>-0.017881399209429</v>
      </c>
      <c r="H30" s="19" t="n">
        <f aca="false">SUMPRODUCT(--('10.13行情明细'!$C$4:$C$103=$A30),'10.13行情明细'!$E$4:$E$103,'10.13行情明细'!$R$4:$R$103)/$C30</f>
        <v>0.0703724455768431</v>
      </c>
      <c r="I30" s="19" t="n">
        <f aca="false">SUMIF('10.13行情明细'!$C$4:$C$103,$A30,'10.13行情明细'!$S$4:$S$103)/SUMIF('10.13行情明细'!$C$4:$C$103,$A30,'10.13行情明细'!$T$4:$T$103)-1</f>
        <v>0.0259207019906473</v>
      </c>
      <c r="J30" s="19" t="n">
        <f aca="false">SUMPRODUCT(--('10.13行情明细'!$C$4:$C$103=$A30),'10.13行情明细'!$E$4:$E$103,'10.13行情明细'!$W$4:$W$103)/$C30</f>
        <v>0.792557368466975</v>
      </c>
      <c r="K30" s="19" t="n">
        <f aca="false">SUMPRODUCT(--('10.13行情明细'!$C$4:$C$103=$A30),'10.13行情明细'!$E$4:$E$103,'10.13行情明细'!$Y$4:$Y$103)/SUMPRODUCT(--('10.13行情明细'!$C$4:$C$103=$A30),'10.13行情明细'!$E$4:$E$103,--('10.13行情明细'!$Y$4:$Y$103&gt;0))</f>
        <v>0.0468065093791503</v>
      </c>
      <c r="L30" s="23" t="n">
        <f aca="false">SUMPRODUCT(--('10.13行情明细'!$C$4:$C$103=$A30),'10.13行情明细'!$E$4:$E$103,'10.13行情明细'!$AC$4:$AC$103)/SUMPRODUCT(--('10.13行情明细'!$C$4:$C$103=$A30),'10.13行情明细'!$E$4:$E$103,'10.13行情明细'!$AD$4:$AD$103)</f>
        <v>6.52267385044935</v>
      </c>
      <c r="M30" s="23" t="n">
        <f aca="false">SUMPRODUCT(--('10.13行情明细'!$C$4:$C$103=$A30),'10.13行情明细'!$E$4:$E$103,'10.13行情明细'!$AE$4:$AE$103)/SUMPRODUCT(--('10.13行情明细'!$C$4:$C$103=$A30),'10.13行情明细'!$E$4:$E$103,'10.13行情明细'!$AF$4:$AF$103)</f>
        <v>0.629033679434604</v>
      </c>
      <c r="N30" s="19" t="n">
        <f aca="false">SUMPRODUCT(--('10.13行情明细'!$C$4:$C$103=$A30),'10.13行情明细'!$E$4:$E$103,--('10.13行情明细'!$Z$4:$Z$103=3))/$C30</f>
        <v>1</v>
      </c>
      <c r="O30" s="24" t="n">
        <f aca="false">100*(20%*(RANK(D30,$D$23:$D$36,1)-1)/13+25%*(RANK(E30,$E$23:$E$36,1)-1)/13+15%*(RANK(F30,$F$23:$F$36,1)-1)/13+10%*(RANK(G30,$G$23:$G$36,1)-1)/13+15%*(RANK(K30,$K$23:$K$36,0)-1)/13+15%*(RANK(M30,$M$23:$M$36,1)-1)/13)</f>
        <v>45.3846153846154</v>
      </c>
      <c r="P30" s="4" t="str">
        <f aca="false">IF(O30&gt;=65,"偏高",IF(O30&gt;=55,"中高",IF(O30&gt;=45,"中性",IF(O30&gt;=35,"中低","偏低"))))</f>
        <v>中性</v>
      </c>
      <c r="Q30" s="24" t="n">
        <f aca="false">100*(20%*(RANK(H30,$H$23:$H$36,1)-1)/13+30%*(RANK(T30,$T$23:$T$36,1)-1)/13+15%*(RANK(J30,$J$23:$J$36,1)-1)/13+20%*(RANK(K30,$K$23:$K$36,1)-1)/13+15%*(RANK(N30,$N$23:$N$36,1)-1)/13)</f>
        <v>53.8461538461539</v>
      </c>
      <c r="R30" s="24" t="n">
        <f aca="false">55%*Q30+45%*(100-O30)</f>
        <v>54.1923076923077</v>
      </c>
      <c r="S30" s="4" t="str">
        <f aca="false">IF(R30&gt;=65,"较高",IF(R30&gt;=55,"中上",IF(R30&gt;=45,"中性",IF(R30&gt;=35,"中下","较低"))))</f>
        <v>中性</v>
      </c>
      <c r="T30" s="19" t="n">
        <f aca="false">MAX(-50%,MIN(50%,I30))</f>
        <v>0.0259207019906473</v>
      </c>
    </row>
    <row r="31" customFormat="false" ht="21" hidden="false" customHeight="true" outlineLevel="0" collapsed="false">
      <c r="A31" s="4" t="s">
        <v>22</v>
      </c>
      <c r="B31" s="4" t="n">
        <f aca="false">COUNTIF('10.13行情明细'!$C$4:$C$103,$A31)</f>
        <v>15</v>
      </c>
      <c r="C31" s="19" t="n">
        <f aca="false">SUMIF('10.13行情明细'!$C$4:$C$103,$A31,'10.13行情明细'!$E$4:$E$103)</f>
        <v>0.20149</v>
      </c>
      <c r="D31" s="19" t="n">
        <f aca="false">SUMPRODUCT(--('10.13行情明细'!$C$4:$C$103=$A31),'10.13行情明细'!$E$4:$E$103,'10.13行情明细'!$I$4:$I$103)/$C31</f>
        <v>-0.0827951788406984</v>
      </c>
      <c r="E31" s="19" t="n">
        <f aca="false">SUMPRODUCT(--('10.13行情明细'!$C$4:$C$103=$A31),'10.13行情明细'!$E$4:$E$103,'10.13行情明细'!$K$4:$K$103)/$C31</f>
        <v>0.0188653946093193</v>
      </c>
      <c r="F31" s="19" t="n">
        <f aca="false">SUMPRODUCT(--('10.13行情明细'!$C$4:$C$103=$A31),'10.13行情明细'!$E$4:$E$103,'10.13行情明细'!$N$4:$N$103)/$C31</f>
        <v>0.0544859547005247</v>
      </c>
      <c r="G31" s="19" t="n">
        <f aca="false">SUMPRODUCT(--('10.13行情明细'!$C$4:$C$103=$A31),'10.13行情明细'!$E$4:$E$103,'10.13行情明细'!$Q$4:$Q$103)/$C31</f>
        <v>-0.107207660717091</v>
      </c>
      <c r="H31" s="19" t="n">
        <f aca="false">SUMPRODUCT(--('10.13行情明细'!$C$4:$C$103=$A31),'10.13行情明细'!$E$4:$E$103,'10.13行情明细'!$R$4:$R$103)/$C31</f>
        <v>0.0741977909194919</v>
      </c>
      <c r="I31" s="19" t="n">
        <f aca="false">SUMIF('10.13行情明细'!$C$4:$C$103,$A31,'10.13行情明细'!$S$4:$S$103)/SUMIF('10.13行情明细'!$C$4:$C$103,$A31,'10.13行情明细'!$T$4:$T$103)-1</f>
        <v>0.189326380702124</v>
      </c>
      <c r="J31" s="19" t="n">
        <f aca="false">SUMPRODUCT(--('10.13行情明细'!$C$4:$C$103=$A31),'10.13行情明细'!$E$4:$E$103,'10.13行情明细'!$W$4:$W$103)/$C31</f>
        <v>0.919598987542806</v>
      </c>
      <c r="K31" s="19" t="n">
        <f aca="false">SUMPRODUCT(--('10.13行情明细'!$C$4:$C$103=$A31),'10.13行情明细'!$E$4:$E$103,'10.13行情明细'!$Y$4:$Y$103)/SUMPRODUCT(--('10.13行情明细'!$C$4:$C$103=$A31),'10.13行情明细'!$E$4:$E$103,--('10.13行情明细'!$Y$4:$Y$103&gt;0))</f>
        <v>0.0213371527280735</v>
      </c>
      <c r="L31" s="23" t="n">
        <f aca="false">SUMPRODUCT(--('10.13行情明细'!$C$4:$C$103=$A31),'10.13行情明细'!$E$4:$E$103,'10.13行情明细'!$AC$4:$AC$103)/SUMPRODUCT(--('10.13行情明细'!$C$4:$C$103=$A31),'10.13行情明细'!$E$4:$E$103,'10.13行情明细'!$AD$4:$AD$103)</f>
        <v>23.6162354525862</v>
      </c>
      <c r="M31" s="23" t="n">
        <f aca="false">SUMPRODUCT(--('10.13行情明细'!$C$4:$C$103=$A31),'10.13行情明细'!$E$4:$E$103,'10.13行情明细'!$AE$4:$AE$103)/SUMPRODUCT(--('10.13行情明细'!$C$4:$C$103=$A31),'10.13行情明细'!$E$4:$E$103,'10.13行情明细'!$AF$4:$AF$103)</f>
        <v>1.54226810263537</v>
      </c>
      <c r="N31" s="19" t="n">
        <f aca="false">SUMPRODUCT(--('10.13行情明细'!$C$4:$C$103=$A31),'10.13行情明细'!$E$4:$E$103,--('10.13行情明细'!$Z$4:$Z$103=3))/$C31</f>
        <v>0.973150032259666</v>
      </c>
      <c r="O31" s="24" t="n">
        <f aca="false">100*(20%*(RANK(D31,$D$23:$D$36,1)-1)/13+25%*(RANK(E31,$E$23:$E$36,1)-1)/13+15%*(RANK(F31,$F$23:$F$36,1)-1)/13+10%*(RANK(G31,$G$23:$G$36,1)-1)/13+15%*(RANK(K31,$K$23:$K$36,0)-1)/13+15%*(RANK(M31,$M$23:$M$36,1)-1)/13)</f>
        <v>41.9230769230769</v>
      </c>
      <c r="P31" s="4" t="str">
        <f aca="false">IF(O31&gt;=65,"偏高",IF(O31&gt;=55,"中高",IF(O31&gt;=45,"中性",IF(O31&gt;=35,"中低","偏低"))))</f>
        <v>中低</v>
      </c>
      <c r="Q31" s="24" t="n">
        <f aca="false">100*(20%*(RANK(H31,$H$23:$H$36,1)-1)/13+30%*(RANK(T31,$T$23:$T$36,1)-1)/13+15%*(RANK(J31,$J$23:$J$36,1)-1)/13+20%*(RANK(K31,$K$23:$K$36,1)-1)/13+15%*(RANK(N31,$N$23:$N$36,1)-1)/13)</f>
        <v>53.8461538461539</v>
      </c>
      <c r="R31" s="24" t="n">
        <f aca="false">55%*Q31+45%*(100-O31)</f>
        <v>55.75</v>
      </c>
      <c r="S31" s="4" t="str">
        <f aca="false">IF(R31&gt;=65,"较高",IF(R31&gt;=55,"中上",IF(R31&gt;=45,"中性",IF(R31&gt;=35,"中下","较低"))))</f>
        <v>中上</v>
      </c>
      <c r="T31" s="19" t="n">
        <f aca="false">MAX(-50%,MIN(50%,I31))</f>
        <v>0.189326380702124</v>
      </c>
    </row>
    <row r="32" customFormat="false" ht="21" hidden="false" customHeight="true" outlineLevel="0" collapsed="false">
      <c r="A32" s="4" t="s">
        <v>53</v>
      </c>
      <c r="B32" s="4" t="n">
        <f aca="false">COUNTIF('10.13行情明细'!$C$4:$C$103,$A32)</f>
        <v>4</v>
      </c>
      <c r="C32" s="19" t="n">
        <f aca="false">SUMIF('10.13行情明细'!$C$4:$C$103,$A32,'10.13行情明细'!$E$4:$E$103)</f>
        <v>0.02716</v>
      </c>
      <c r="D32" s="19" t="n">
        <f aca="false">SUMPRODUCT(--('10.13行情明细'!$C$4:$C$103=$A32),'10.13行情明细'!$E$4:$E$103,'10.13行情明细'!$I$4:$I$103)/$C32</f>
        <v>0.00486170488689638</v>
      </c>
      <c r="E32" s="19" t="n">
        <f aca="false">SUMPRODUCT(--('10.13行情明细'!$C$4:$C$103=$A32),'10.13行情明细'!$E$4:$E$103,'10.13行情明细'!$K$4:$K$103)/$C32</f>
        <v>0.0164540042213238</v>
      </c>
      <c r="F32" s="19" t="n">
        <f aca="false">SUMPRODUCT(--('10.13行情明细'!$C$4:$C$103=$A32),'10.13行情明细'!$E$4:$E$103,'10.13行情明细'!$N$4:$N$103)/$C32</f>
        <v>0.0451621210255479</v>
      </c>
      <c r="G32" s="19" t="n">
        <f aca="false">SUMPRODUCT(--('10.13行情明细'!$C$4:$C$103=$A32),'10.13行情明细'!$E$4:$E$103,'10.13行情明细'!$Q$4:$Q$103)/$C32</f>
        <v>-0.0330454513332852</v>
      </c>
      <c r="H32" s="19" t="n">
        <f aca="false">SUMPRODUCT(--('10.13行情明细'!$C$4:$C$103=$A32),'10.13行情明细'!$E$4:$E$103,'10.13行情明细'!$R$4:$R$103)/$C32</f>
        <v>-0.0352514436022534</v>
      </c>
      <c r="I32" s="19" t="n">
        <f aca="false">SUMIF('10.13行情明细'!$C$4:$C$103,$A32,'10.13行情明细'!$S$4:$S$103)/SUMIF('10.13行情明细'!$C$4:$C$103,$A32,'10.13行情明细'!$T$4:$T$103)-1</f>
        <v>-0.0644849304372969</v>
      </c>
      <c r="J32" s="19" t="n">
        <f aca="false">SUMPRODUCT(--('10.13行情明细'!$C$4:$C$103=$A32),'10.13行情明细'!$E$4:$E$103,'10.13行情明细'!$W$4:$W$103)/$C32</f>
        <v>0.345360824742268</v>
      </c>
      <c r="K32" s="19" t="n">
        <f aca="false">SUMPRODUCT(--('10.13行情明细'!$C$4:$C$103=$A32),'10.13行情明细'!$E$4:$E$103,'10.13行情明细'!$Y$4:$Y$103)/SUMPRODUCT(--('10.13行情明细'!$C$4:$C$103=$A32),'10.13行情明细'!$E$4:$E$103,--('10.13行情明细'!$Y$4:$Y$103&gt;0))</f>
        <v>0.0469321058530242</v>
      </c>
      <c r="L32" s="23" t="n">
        <f aca="false">SUMPRODUCT(--('10.13行情明细'!$C$4:$C$103=$A32),'10.13行情明细'!$E$4:$E$103,'10.13行情明细'!$AC$4:$AC$103)/SUMPRODUCT(--('10.13行情明细'!$C$4:$C$103=$A32),'10.13行情明细'!$E$4:$E$103,'10.13行情明细'!$AD$4:$AD$103)</f>
        <v>13.4920986745214</v>
      </c>
      <c r="M32" s="23" t="n">
        <f aca="false">SUMPRODUCT(--('10.13行情明细'!$C$4:$C$103=$A32),'10.13行情明细'!$E$4:$E$103,'10.13行情明细'!$AE$4:$AE$103)/SUMPRODUCT(--('10.13行情明细'!$C$4:$C$103=$A32),'10.13行情明细'!$E$4:$E$103,'10.13行情明细'!$AF$4:$AF$103)</f>
        <v>1.38157216494845</v>
      </c>
      <c r="N32" s="19" t="n">
        <f aca="false">SUMPRODUCT(--('10.13行情明细'!$C$4:$C$103=$A32),'10.13行情明细'!$E$4:$E$103,--('10.13行情明细'!$Z$4:$Z$103=3))/$C32</f>
        <v>1</v>
      </c>
      <c r="O32" s="24" t="n">
        <f aca="false">100*(20%*(RANK(D32,$D$23:$D$36,1)-1)/13+25%*(RANK(E32,$E$23:$E$36,1)-1)/13+15%*(RANK(F32,$F$23:$F$36,1)-1)/13+10%*(RANK(G32,$G$23:$G$36,1)-1)/13+15%*(RANK(K32,$K$23:$K$36,0)-1)/13+15%*(RANK(M32,$M$23:$M$36,1)-1)/13)</f>
        <v>40</v>
      </c>
      <c r="P32" s="4" t="str">
        <f aca="false">IF(O32&gt;=65,"偏高",IF(O32&gt;=55,"中高",IF(O32&gt;=45,"中性",IF(O32&gt;=35,"中低","偏低"))))</f>
        <v>中低</v>
      </c>
      <c r="Q32" s="24" t="n">
        <f aca="false">100*(20%*(RANK(H32,$H$23:$H$36,1)-1)/13+30%*(RANK(T32,$T$23:$T$36,1)-1)/13+15%*(RANK(J32,$J$23:$J$36,1)-1)/13+20%*(RANK(K32,$K$23:$K$36,1)-1)/13+15%*(RANK(N32,$N$23:$N$36,1)-1)/13)</f>
        <v>35.7692307692308</v>
      </c>
      <c r="R32" s="24" t="n">
        <f aca="false">55%*Q32+45%*(100-O32)</f>
        <v>46.6730769230769</v>
      </c>
      <c r="S32" s="4" t="str">
        <f aca="false">IF(R32&gt;=65,"较高",IF(R32&gt;=55,"中上",IF(R32&gt;=45,"中性",IF(R32&gt;=35,"中下","较低"))))</f>
        <v>中性</v>
      </c>
      <c r="T32" s="19" t="n">
        <f aca="false">MAX(-50%,MIN(50%,I32))</f>
        <v>-0.0644849304372969</v>
      </c>
    </row>
    <row r="33" customFormat="false" ht="21" hidden="false" customHeight="true" outlineLevel="0" collapsed="false">
      <c r="A33" s="4" t="s">
        <v>54</v>
      </c>
      <c r="B33" s="4" t="n">
        <f aca="false">COUNTIF('10.13行情明细'!$C$4:$C$103,$A33)</f>
        <v>5</v>
      </c>
      <c r="C33" s="19" t="n">
        <f aca="false">SUMIF('10.13行情明细'!$C$4:$C$103,$A33,'10.13行情明细'!$E$4:$E$103)</f>
        <v>0.0394</v>
      </c>
      <c r="D33" s="19" t="n">
        <f aca="false">SUMPRODUCT(--('10.13行情明细'!$C$4:$C$103=$A33),'10.13行情明细'!$E$4:$E$103,'10.13行情明细'!$I$4:$I$103)/$C33</f>
        <v>-0.0167092428367483</v>
      </c>
      <c r="E33" s="19" t="n">
        <f aca="false">SUMPRODUCT(--('10.13行情明细'!$C$4:$C$103=$A33),'10.13行情明细'!$E$4:$E$103,'10.13行情明细'!$K$4:$K$103)/$C33</f>
        <v>-0.00508011641018787</v>
      </c>
      <c r="F33" s="19" t="n">
        <f aca="false">SUMPRODUCT(--('10.13行情明细'!$C$4:$C$103=$A33),'10.13行情明细'!$E$4:$E$103,'10.13行情明细'!$N$4:$N$103)/$C33</f>
        <v>0.0677688179115644</v>
      </c>
      <c r="G33" s="19" t="n">
        <f aca="false">SUMPRODUCT(--('10.13行情明细'!$C$4:$C$103=$A33),'10.13行情明细'!$E$4:$E$103,'10.13行情明细'!$Q$4:$Q$103)/$C33</f>
        <v>-0.0790521560610772</v>
      </c>
      <c r="H33" s="19" t="n">
        <f aca="false">SUMPRODUCT(--('10.13行情明细'!$C$4:$C$103=$A33),'10.13行情明细'!$E$4:$E$103,'10.13行情明细'!$R$4:$R$103)/$C33</f>
        <v>-0.0968728505321829</v>
      </c>
      <c r="I33" s="19" t="n">
        <f aca="false">SUMIF('10.13行情明细'!$C$4:$C$103,$A33,'10.13行情明细'!$S$4:$S$103)/SUMIF('10.13行情明细'!$C$4:$C$103,$A33,'10.13行情明细'!$T$4:$T$103)-1</f>
        <v>-0.222449244871904</v>
      </c>
      <c r="J33" s="19" t="n">
        <f aca="false">SUMPRODUCT(--('10.13行情明细'!$C$4:$C$103=$A33),'10.13行情明细'!$E$4:$E$103,'10.13行情明细'!$W$4:$W$103)/$C33</f>
        <v>0.290609137055838</v>
      </c>
      <c r="K33" s="19" t="n">
        <f aca="false">SUMPRODUCT(--('10.13行情明细'!$C$4:$C$103=$A33),'10.13行情明细'!$E$4:$E$103,'10.13行情明细'!$Y$4:$Y$103)/SUMPRODUCT(--('10.13行情明细'!$C$4:$C$103=$A33),'10.13行情明细'!$E$4:$E$103,--('10.13行情明细'!$Y$4:$Y$103&gt;0))</f>
        <v>0.0584442562847123</v>
      </c>
      <c r="L33" s="23" t="n">
        <f aca="false">SUMPRODUCT(--('10.13行情明细'!$C$4:$C$103=$A33),'10.13行情明细'!$E$4:$E$103,'10.13行情明细'!$AC$4:$AC$103)/SUMPRODUCT(--('10.13行情明细'!$C$4:$C$103=$A33),'10.13行情明细'!$E$4:$E$103,'10.13行情明细'!$AD$4:$AD$103)</f>
        <v>13.0999517766497</v>
      </c>
      <c r="M33" s="23" t="n">
        <f aca="false">SUMPRODUCT(--('10.13行情明细'!$C$4:$C$103=$A33),'10.13行情明细'!$E$4:$E$103,'10.13行情明细'!$AE$4:$AE$103)/SUMPRODUCT(--('10.13行情明细'!$C$4:$C$103=$A33),'10.13行情明细'!$E$4:$E$103,'10.13行情明细'!$AF$4:$AF$103)</f>
        <v>1.51906345177665</v>
      </c>
      <c r="N33" s="19" t="n">
        <f aca="false">SUMPRODUCT(--('10.13行情明细'!$C$4:$C$103=$A33),'10.13行情明细'!$E$4:$E$103,--('10.13行情明细'!$Z$4:$Z$103=3))/$C33</f>
        <v>1</v>
      </c>
      <c r="O33" s="24" t="n">
        <f aca="false">100*(20%*(RANK(D33,$D$23:$D$36,1)-1)/13+25%*(RANK(E33,$E$23:$E$36,1)-1)/13+15%*(RANK(F33,$F$23:$F$36,1)-1)/13+10%*(RANK(G33,$G$23:$G$36,1)-1)/13+15%*(RANK(K33,$K$23:$K$36,0)-1)/13+15%*(RANK(M33,$M$23:$M$36,1)-1)/13)</f>
        <v>32.3076923076923</v>
      </c>
      <c r="P33" s="4" t="str">
        <f aca="false">IF(O33&gt;=65,"偏高",IF(O33&gt;=55,"中高",IF(O33&gt;=45,"中性",IF(O33&gt;=35,"中低","偏低"))))</f>
        <v>偏低</v>
      </c>
      <c r="Q33" s="24" t="n">
        <f aca="false">100*(20%*(RANK(H33,$H$23:$H$36,1)-1)/13+30%*(RANK(T33,$T$23:$T$36,1)-1)/13+15%*(RANK(J33,$J$23:$J$36,1)-1)/13+20%*(RANK(K33,$K$23:$K$36,1)-1)/13+15%*(RANK(N33,$N$23:$N$36,1)-1)/13)</f>
        <v>23.8461538461538</v>
      </c>
      <c r="R33" s="24" t="n">
        <f aca="false">55%*Q33+45%*(100-O33)</f>
        <v>43.5769230769231</v>
      </c>
      <c r="S33" s="4" t="str">
        <f aca="false">IF(R33&gt;=65,"较高",IF(R33&gt;=55,"中上",IF(R33&gt;=45,"中性",IF(R33&gt;=35,"中下","较低"))))</f>
        <v>中下</v>
      </c>
      <c r="T33" s="19" t="n">
        <f aca="false">MAX(-50%,MIN(50%,I33))</f>
        <v>-0.222449244871904</v>
      </c>
    </row>
    <row r="34" customFormat="false" ht="21" hidden="false" customHeight="true" outlineLevel="0" collapsed="false">
      <c r="A34" s="4" t="s">
        <v>55</v>
      </c>
      <c r="B34" s="4" t="n">
        <f aca="false">COUNTIF('10.13行情明细'!$C$4:$C$103,$A34)</f>
        <v>5</v>
      </c>
      <c r="C34" s="19" t="n">
        <f aca="false">SUMIF('10.13行情明细'!$C$4:$C$103,$A34,'10.13行情明细'!$E$4:$E$103)</f>
        <v>0.05131</v>
      </c>
      <c r="D34" s="19" t="n">
        <f aca="false">SUMPRODUCT(--('10.13行情明细'!$C$4:$C$103=$A34),'10.13行情明细'!$E$4:$E$103,'10.13行情明细'!$I$4:$I$103)/$C34</f>
        <v>-0.100965025149334</v>
      </c>
      <c r="E34" s="19" t="n">
        <f aca="false">SUMPRODUCT(--('10.13行情明细'!$C$4:$C$103=$A34),'10.13行情明细'!$E$4:$E$103,'10.13行情明细'!$K$4:$K$103)/$C34</f>
        <v>-0.0072402560761156</v>
      </c>
      <c r="F34" s="19" t="n">
        <f aca="false">SUMPRODUCT(--('10.13行情明细'!$C$4:$C$103=$A34),'10.13行情明细'!$E$4:$E$103,'10.13行情明细'!$N$4:$N$103)/$C34</f>
        <v>0.0390512075063962</v>
      </c>
      <c r="G34" s="19" t="n">
        <f aca="false">SUMPRODUCT(--('10.13行情明细'!$C$4:$C$103=$A34),'10.13行情明细'!$E$4:$E$103,'10.13行情明细'!$Q$4:$Q$103)/$C34</f>
        <v>-0.138102094925403</v>
      </c>
      <c r="H34" s="19" t="n">
        <f aca="false">SUMPRODUCT(--('10.13行情明细'!$C$4:$C$103=$A34),'10.13行情明细'!$E$4:$E$103,'10.13行情明细'!$R$4:$R$103)/$C34</f>
        <v>0.260309355494976</v>
      </c>
      <c r="I34" s="19" t="n">
        <f aca="false">SUMIF('10.13行情明细'!$C$4:$C$103,$A34,'10.13行情明细'!$S$4:$S$103)/SUMIF('10.13行情明细'!$C$4:$C$103,$A34,'10.13行情明细'!$T$4:$T$103)-1</f>
        <v>1.20412955528973</v>
      </c>
      <c r="J34" s="19" t="n">
        <f aca="false">SUMPRODUCT(--('10.13行情明细'!$C$4:$C$103=$A34),'10.13行情明细'!$E$4:$E$103,'10.13行情明细'!$W$4:$W$103)/$C34</f>
        <v>0.935100370298188</v>
      </c>
      <c r="K34" s="19" t="n">
        <f aca="false">SUMPRODUCT(--('10.13行情明细'!$C$4:$C$103=$A34),'10.13行情明细'!$E$4:$E$103,'10.13行情明细'!$Y$4:$Y$103)/SUMPRODUCT(--('10.13行情明细'!$C$4:$C$103=$A34),'10.13行情明细'!$E$4:$E$103,--('10.13行情明细'!$Y$4:$Y$103&gt;0))</f>
        <v>0.0193331474625682</v>
      </c>
      <c r="L34" s="23" t="n">
        <f aca="false">SUMPRODUCT(--('10.13行情明细'!$C$4:$C$103=$A34),'10.13行情明细'!$E$4:$E$103,'10.13行情明细'!$AC$4:$AC$103)/SUMPRODUCT(--('10.13行情明细'!$C$4:$C$103=$A34),'10.13行情明细'!$E$4:$E$103,'10.13行情明细'!$AD$4:$AD$103)</f>
        <v>15.3705476515299</v>
      </c>
      <c r="M34" s="23" t="n">
        <f aca="false">SUMPRODUCT(--('10.13行情明细'!$C$4:$C$103=$A34),'10.13行情明细'!$E$4:$E$103,'10.13行情明细'!$AE$4:$AE$103)/SUMPRODUCT(--('10.13行情明细'!$C$4:$C$103=$A34),'10.13行情明细'!$E$4:$E$103,'10.13行情明细'!$AF$4:$AF$103)</f>
        <v>3.20803936854414</v>
      </c>
      <c r="N34" s="19" t="n">
        <f aca="false">SUMPRODUCT(--('10.13行情明细'!$C$4:$C$103=$A34),'10.13行情明细'!$E$4:$E$103,--('10.13行情明细'!$Z$4:$Z$103=3))/$C34</f>
        <v>0.757162346521146</v>
      </c>
      <c r="O34" s="24" t="n">
        <f aca="false">100*(20%*(RANK(D34,$D$23:$D$36,1)-1)/13+25%*(RANK(E34,$E$23:$E$36,1)-1)/13+15%*(RANK(F34,$F$23:$F$36,1)-1)/13+10%*(RANK(G34,$G$23:$G$36,1)-1)/13+15%*(RANK(K34,$K$23:$K$36,0)-1)/13+15%*(RANK(M34,$M$23:$M$36,1)-1)/13)</f>
        <v>31.1538461538462</v>
      </c>
      <c r="P34" s="4" t="str">
        <f aca="false">IF(O34&gt;=65,"偏高",IF(O34&gt;=55,"中高",IF(O34&gt;=45,"中性",IF(O34&gt;=35,"中低","偏低"))))</f>
        <v>偏低</v>
      </c>
      <c r="Q34" s="24" t="n">
        <f aca="false">100*(20%*(RANK(H34,$H$23:$H$36,1)-1)/13+30%*(RANK(T34,$T$23:$T$36,1)-1)/13+15%*(RANK(J34,$J$23:$J$36,1)-1)/13+20%*(RANK(K34,$K$23:$K$36,1)-1)/13+15%*(RANK(N34,$N$23:$N$36,1)-1)/13)</f>
        <v>63.8461538461538</v>
      </c>
      <c r="R34" s="24" t="n">
        <f aca="false">55%*Q34+45%*(100-O34)</f>
        <v>66.0961538461538</v>
      </c>
      <c r="S34" s="4" t="str">
        <f aca="false">IF(R34&gt;=65,"较高",IF(R34&gt;=55,"中上",IF(R34&gt;=45,"中性",IF(R34&gt;=35,"中下","较低"))))</f>
        <v>较高</v>
      </c>
      <c r="T34" s="19" t="n">
        <f aca="false">MAX(-50%,MIN(50%,I34))</f>
        <v>0.5</v>
      </c>
    </row>
    <row r="35" customFormat="false" ht="21" hidden="false" customHeight="true" outlineLevel="0" collapsed="false">
      <c r="A35" s="4" t="s">
        <v>56</v>
      </c>
      <c r="B35" s="4" t="n">
        <f aca="false">COUNTIF('10.13行情明细'!$C$4:$C$103,$A35)</f>
        <v>4</v>
      </c>
      <c r="C35" s="19" t="n">
        <f aca="false">SUMIF('10.13行情明细'!$C$4:$C$103,$A35,'10.13行情明细'!$E$4:$E$103)</f>
        <v>0.02518</v>
      </c>
      <c r="D35" s="19" t="n">
        <f aca="false">SUMPRODUCT(--('10.13行情明细'!$C$4:$C$103=$A35),'10.13行情明细'!$E$4:$E$103,'10.13行情明细'!$I$4:$I$103)/$C35</f>
        <v>-0.0344595994594063</v>
      </c>
      <c r="E35" s="19" t="n">
        <f aca="false">SUMPRODUCT(--('10.13行情明细'!$C$4:$C$103=$A35),'10.13行情明细'!$E$4:$E$103,'10.13行情明细'!$K$4:$K$103)/$C35</f>
        <v>0.0199471615701252</v>
      </c>
      <c r="F35" s="19" t="n">
        <f aca="false">SUMPRODUCT(--('10.13行情明细'!$C$4:$C$103=$A35),'10.13行情明细'!$E$4:$E$103,'10.13行情明细'!$N$4:$N$103)/$C35</f>
        <v>0.0547044567012033</v>
      </c>
      <c r="G35" s="19" t="n">
        <f aca="false">SUMPRODUCT(--('10.13行情明细'!$C$4:$C$103=$A35),'10.13行情明细'!$E$4:$E$103,'10.13行情明细'!$Q$4:$Q$103)/$C35</f>
        <v>-0.0653910486987946</v>
      </c>
      <c r="H35" s="19" t="n">
        <f aca="false">SUMPRODUCT(--('10.13行情明细'!$C$4:$C$103=$A35),'10.13行情明细'!$E$4:$E$103,'10.13行情明细'!$R$4:$R$103)/$C35</f>
        <v>0.0252775702783263</v>
      </c>
      <c r="I35" s="19" t="n">
        <f aca="false">SUMIF('10.13行情明细'!$C$4:$C$103,$A35,'10.13行情明细'!$S$4:$S$103)/SUMIF('10.13行情明细'!$C$4:$C$103,$A35,'10.13行情明细'!$T$4:$T$103)-1</f>
        <v>-0.204887979192879</v>
      </c>
      <c r="J35" s="19" t="n">
        <f aca="false">SUMPRODUCT(--('10.13行情明细'!$C$4:$C$103=$A35),'10.13行情明细'!$E$4:$E$103,'10.13行情明细'!$W$4:$W$103)/$C35</f>
        <v>0.167593328038126</v>
      </c>
      <c r="K35" s="19" t="n">
        <f aca="false">SUMPRODUCT(--('10.13行情明细'!$C$4:$C$103=$A35),'10.13行情明细'!$E$4:$E$103,'10.13行情明细'!$Y$4:$Y$103)/SUMPRODUCT(--('10.13行情明细'!$C$4:$C$103=$A35),'10.13行情明细'!$E$4:$E$103,--('10.13行情明细'!$Y$4:$Y$103&gt;0))</f>
        <v>0.0679052453779614</v>
      </c>
      <c r="L35" s="23" t="n">
        <f aca="false">SUMPRODUCT(--('10.13行情明细'!$C$4:$C$103=$A35),'10.13行情明细'!$E$4:$E$103,'10.13行情明细'!$AC$4:$AC$103)/SUMPRODUCT(--('10.13行情明细'!$C$4:$C$103=$A35),'10.13行情明细'!$E$4:$E$103,'10.13行情明细'!$AD$4:$AD$103)</f>
        <v>8.93211278792693</v>
      </c>
      <c r="M35" s="23" t="n">
        <f aca="false">SUMPRODUCT(--('10.13行情明细'!$C$4:$C$103=$A35),'10.13行情明细'!$E$4:$E$103,'10.13行情明细'!$AE$4:$AE$103)/SUMPRODUCT(--('10.13行情明细'!$C$4:$C$103=$A35),'10.13行情明细'!$E$4:$E$103,'10.13行情明细'!$AF$4:$AF$103)</f>
        <v>1.13135027799841</v>
      </c>
      <c r="N35" s="19" t="n">
        <f aca="false">SUMPRODUCT(--('10.13行情明细'!$C$4:$C$103=$A35),'10.13行情明细'!$E$4:$E$103,--('10.13行情明细'!$Z$4:$Z$103=3))/$C35</f>
        <v>1</v>
      </c>
      <c r="O35" s="24" t="n">
        <f aca="false">100*(20%*(RANK(D35,$D$23:$D$36,1)-1)/13+25%*(RANK(E35,$E$23:$E$36,1)-1)/13+15%*(RANK(F35,$F$23:$F$36,1)-1)/13+10%*(RANK(G35,$G$23:$G$36,1)-1)/13+15%*(RANK(K35,$K$23:$K$36,0)-1)/13+15%*(RANK(M35,$M$23:$M$36,1)-1)/13)</f>
        <v>29.2307692307692</v>
      </c>
      <c r="P35" s="4" t="str">
        <f aca="false">IF(O35&gt;=65,"偏高",IF(O35&gt;=55,"中高",IF(O35&gt;=45,"中性",IF(O35&gt;=35,"中低","偏低"))))</f>
        <v>偏低</v>
      </c>
      <c r="Q35" s="24" t="n">
        <f aca="false">100*(20%*(RANK(H35,$H$23:$H$36,1)-1)/13+30%*(RANK(T35,$T$23:$T$36,1)-1)/13+15%*(RANK(J35,$J$23:$J$36,1)-1)/13+20%*(RANK(K35,$K$23:$K$36,1)-1)/13+15%*(RANK(N35,$N$23:$N$36,1)-1)/13)</f>
        <v>38.4615384615385</v>
      </c>
      <c r="R35" s="24" t="n">
        <f aca="false">55%*Q35+45%*(100-O35)</f>
        <v>53</v>
      </c>
      <c r="S35" s="4" t="str">
        <f aca="false">IF(R35&gt;=65,"较高",IF(R35&gt;=55,"中上",IF(R35&gt;=45,"中性",IF(R35&gt;=35,"中下","较低"))))</f>
        <v>中性</v>
      </c>
      <c r="T35" s="19" t="n">
        <f aca="false">MAX(-50%,MIN(50%,I35))</f>
        <v>-0.204887979192879</v>
      </c>
    </row>
    <row r="36" customFormat="false" ht="21" hidden="false" customHeight="true" outlineLevel="0" collapsed="false">
      <c r="A36" s="4" t="s">
        <v>57</v>
      </c>
      <c r="B36" s="4" t="n">
        <f aca="false">COUNTIF('10.13行情明细'!$C$4:$C$103,$A36)</f>
        <v>4</v>
      </c>
      <c r="C36" s="19" t="n">
        <f aca="false">SUMIF('10.13行情明细'!$C$4:$C$103,$A36,'10.13行情明细'!$E$4:$E$103)</f>
        <v>0.03457</v>
      </c>
      <c r="D36" s="19" t="n">
        <f aca="false">SUMPRODUCT(--('10.13行情明细'!$C$4:$C$103=$A36),'10.13行情明细'!$E$4:$E$103,'10.13行情明细'!$I$4:$I$103)/$C36</f>
        <v>-0.0775689614759729</v>
      </c>
      <c r="E36" s="19" t="n">
        <f aca="false">SUMPRODUCT(--('10.13行情明细'!$C$4:$C$103=$A36),'10.13行情明细'!$E$4:$E$103,'10.13行情明细'!$K$4:$K$103)/$C36</f>
        <v>0.00623911343812387</v>
      </c>
      <c r="F36" s="19" t="n">
        <f aca="false">SUMPRODUCT(--('10.13行情明细'!$C$4:$C$103=$A36),'10.13行情明细'!$E$4:$E$103,'10.13行情明细'!$N$4:$N$103)/$C36</f>
        <v>0.03512200796331</v>
      </c>
      <c r="G36" s="19" t="n">
        <f aca="false">SUMPRODUCT(--('10.13行情明细'!$C$4:$C$103=$A36),'10.13行情明细'!$E$4:$E$103,'10.13行情明细'!$Q$4:$Q$103)/$C36</f>
        <v>-0.0995679020502022</v>
      </c>
      <c r="H36" s="19" t="n">
        <f aca="false">SUMPRODUCT(--('10.13行情明细'!$C$4:$C$103=$A36),'10.13行情明细'!$E$4:$E$103,'10.13行情明细'!$R$4:$R$103)/$C36</f>
        <v>0.00275421889713655</v>
      </c>
      <c r="I36" s="19" t="n">
        <f aca="false">SUMIF('10.13行情明细'!$C$4:$C$103,$A36,'10.13行情明细'!$S$4:$S$103)/SUMIF('10.13行情明细'!$C$4:$C$103,$A36,'10.13行情明细'!$T$4:$T$103)-1</f>
        <v>-0.14834101141063</v>
      </c>
      <c r="J36" s="19" t="n">
        <f aca="false">SUMPRODUCT(--('10.13行情明细'!$C$4:$C$103=$A36),'10.13行情明细'!$E$4:$E$103,'10.13行情明细'!$W$4:$W$103)/$C36</f>
        <v>0.26786230835985</v>
      </c>
      <c r="K36" s="19" t="n">
        <f aca="false">SUMPRODUCT(--('10.13行情明细'!$C$4:$C$103=$A36),'10.13行情明细'!$E$4:$E$103,'10.13行情明细'!$Y$4:$Y$103)/SUMPRODUCT(--('10.13行情明细'!$C$4:$C$103=$A36),'10.13行情明细'!$E$4:$E$103,--('10.13行情明细'!$Y$4:$Y$103&gt;0))</f>
        <v>0.0475517360292227</v>
      </c>
      <c r="L36" s="23" t="n">
        <f aca="false">SUMPRODUCT(--('10.13行情明细'!$C$4:$C$103=$A36),'10.13行情明细'!$E$4:$E$103,'10.13行情明细'!$AC$4:$AC$103)/SUMPRODUCT(--('10.13行情明细'!$C$4:$C$103=$A36),'10.13行情明细'!$E$4:$E$103,'10.13行情明细'!$AD$4:$AD$103)</f>
        <v>21.2384090251663</v>
      </c>
      <c r="M36" s="23" t="n">
        <f aca="false">SUMPRODUCT(--('10.13行情明细'!$C$4:$C$103=$A36),'10.13行情明细'!$E$4:$E$103,'10.13行情明细'!$AE$4:$AE$103)/SUMPRODUCT(--('10.13行情明细'!$C$4:$C$103=$A36),'10.13行情明细'!$E$4:$E$103,'10.13行情明细'!$AF$4:$AF$103)</f>
        <v>1.48170957477582</v>
      </c>
      <c r="N36" s="19" t="n">
        <f aca="false">SUMPRODUCT(--('10.13行情明细'!$C$4:$C$103=$A36),'10.13行情明细'!$E$4:$E$103,--('10.13行情明细'!$Z$4:$Z$103=3))/$C36</f>
        <v>0.745154758461093</v>
      </c>
      <c r="O36" s="24" t="n">
        <f aca="false">100*(20%*(RANK(D36,$D$23:$D$36,1)-1)/13+25%*(RANK(E36,$E$23:$E$36,1)-1)/13+15%*(RANK(F36,$F$23:$F$36,1)-1)/13+10%*(RANK(G36,$G$23:$G$36,1)-1)/13+15%*(RANK(K36,$K$23:$K$36,0)-1)/13+15%*(RANK(M36,$M$23:$M$36,1)-1)/13)</f>
        <v>24.6153846153846</v>
      </c>
      <c r="P36" s="4" t="str">
        <f aca="false">IF(O36&gt;=65,"偏高",IF(O36&gt;=55,"中高",IF(O36&gt;=45,"中性",IF(O36&gt;=35,"中低","偏低"))))</f>
        <v>偏低</v>
      </c>
      <c r="Q36" s="24" t="n">
        <f aca="false">100*(20%*(RANK(H36,$H$23:$H$36,1)-1)/13+30%*(RANK(T36,$T$23:$T$36,1)-1)/13+15%*(RANK(J36,$J$23:$J$36,1)-1)/13+20%*(RANK(K36,$K$23:$K$36,1)-1)/13+15%*(RANK(N36,$N$23:$N$36,1)-1)/13)</f>
        <v>30</v>
      </c>
      <c r="R36" s="24" t="n">
        <f aca="false">55%*Q36+45%*(100-O36)</f>
        <v>50.4230769230769</v>
      </c>
      <c r="S36" s="4" t="str">
        <f aca="false">IF(R36&gt;=65,"较高",IF(R36&gt;=55,"中上",IF(R36&gt;=45,"中性",IF(R36&gt;=35,"中下","较低"))))</f>
        <v>中性</v>
      </c>
      <c r="T36" s="19" t="n">
        <f aca="false">MAX(-50%,MIN(50%,I36))</f>
        <v>-0.14834101141063</v>
      </c>
    </row>
    <row r="37" customFormat="false" ht="21" hidden="false" customHeight="true" outlineLevel="0" collapsed="false">
      <c r="A37" s="25" t="s">
        <v>58</v>
      </c>
      <c r="B37" s="25" t="n">
        <f aca="false">SUM(B23:B36)</f>
        <v>100</v>
      </c>
      <c r="C37" s="26" t="n">
        <f aca="false">SUM(C23:C36)</f>
        <v>1.00004</v>
      </c>
      <c r="D37" s="26" t="n">
        <f aca="false">$I$5</f>
        <v>-0.016424117151241</v>
      </c>
      <c r="E37" s="26" t="n">
        <f aca="false">IF(OR($C$5="",$C$5&lt;=0),"",$C$5/'10.13行情明细'!C131-1)</f>
        <v>0.0238761846162807</v>
      </c>
      <c r="F37" s="26" t="n">
        <f aca="false">$G$5</f>
        <v>0.0442737150113999</v>
      </c>
      <c r="G37" s="26" t="n">
        <f aca="false">IF(OR($C$5="",$C$5&lt;=0),"",$C$5/MAX('10.13行情明细'!$D$110:$D$135)-1)</f>
        <v>-0.0279357222604362</v>
      </c>
      <c r="H37" s="26" t="n">
        <f aca="false">'10.13方法'!B8</f>
        <v>0.0455553860471344</v>
      </c>
      <c r="I37" s="26" t="n">
        <f aca="false">'10.13方法'!B9</f>
        <v>0.0627952093874462</v>
      </c>
      <c r="J37" s="26" t="n">
        <f aca="false">'10.13方法'!B10</f>
        <v>0.58</v>
      </c>
      <c r="K37" s="26" t="n">
        <f aca="false">SUMPRODUCT('10.13行情明细'!$E$4:$E$103,'10.13行情明细'!$Y$4:$Y$103)/SUMPRODUCT('10.13行情明细'!$E$4:$E$103,--('10.13行情明细'!$Y$4:$Y$103&gt;0))</f>
        <v>0.0422902479208879</v>
      </c>
      <c r="L37" s="27" t="n">
        <f aca="false">SUMPRODUCT('10.13行情明细'!$E$4:$E$103,'10.13行情明细'!$AC$4:$AC$103)/SUMPRODUCT('10.13行情明细'!$E$4:$E$103,'10.13行情明细'!$AD$4:$AD$103)</f>
        <v>14.4574949941382</v>
      </c>
      <c r="M37" s="27" t="n">
        <f aca="false">SUMPRODUCT('10.13行情明细'!$E$4:$E$103,'10.13行情明细'!$AE$4:$AE$103)/SUMPRODUCT('10.13行情明细'!$E$4:$E$103,'10.13行情明细'!$AF$4:$AF$103)</f>
        <v>1.36979850805968</v>
      </c>
      <c r="N37" s="26" t="n">
        <f aca="false">SUMPRODUCT('10.13行情明细'!$E$4:$E$103,--('10.13行情明细'!$Z$4:$Z$103=3))/SUM('10.13行情明细'!$E$4:$E$103)</f>
        <v>0.973321067157314</v>
      </c>
      <c r="O37" s="25"/>
      <c r="P37" s="25"/>
      <c r="Q37" s="25"/>
      <c r="R37" s="25"/>
      <c r="S37" s="25"/>
      <c r="T37" s="25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</sheetData>
  <mergeCells count="28">
    <mergeCell ref="A1:T1"/>
    <mergeCell ref="A2:T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D6"/>
    <mergeCell ref="E6:F6"/>
    <mergeCell ref="G6:J6"/>
    <mergeCell ref="A8:H8"/>
    <mergeCell ref="A14:J14"/>
    <mergeCell ref="A15:B15"/>
    <mergeCell ref="C15:J15"/>
    <mergeCell ref="A16:B16"/>
    <mergeCell ref="C16:J16"/>
    <mergeCell ref="A17:B17"/>
    <mergeCell ref="C17:J17"/>
    <mergeCell ref="A18:B18"/>
    <mergeCell ref="C18:J18"/>
    <mergeCell ref="A19:B19"/>
    <mergeCell ref="C19:J19"/>
    <mergeCell ref="A21:T21"/>
  </mergeCells>
  <conditionalFormatting sqref="O23:O3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R23:R3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3:K36">
    <cfRule type="cellIs" priority="4" operator="lessThan" aboveAverage="0" equalAverage="0" bottom="0" percent="0" rank="0" text="" dxfId="0">
      <formula>0</formula>
    </cfRule>
  </conditionalFormatting>
  <conditionalFormatting sqref="P23:P36">
    <cfRule type="containsText" priority="5" operator="containsText" aboveAverage="0" equalAverage="0" bottom="0" percent="0" rank="0" text="偏高" dxfId="1">
      <formula>NOT(ISERROR(SEARCH("偏高",P23)))</formula>
    </cfRule>
    <cfRule type="containsText" priority="6" operator="containsText" aboveAverage="0" equalAverage="0" bottom="0" percent="0" rank="0" text="偏低" dxfId="2">
      <formula>NOT(ISERROR(SEARCH("偏低",P23)))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10.09"/>
    <col collapsed="false" customWidth="true" hidden="false" outlineLevel="0" max="2" min="2" style="0" width="12.11"/>
    <col collapsed="false" customWidth="true" hidden="false" outlineLevel="0" max="3" min="3" style="0" width="11.1"/>
    <col collapsed="false" customWidth="true" hidden="false" outlineLevel="0" max="20" min="4" style="0" width="13.12"/>
    <col collapsed="false" customWidth="true" hidden="false" outlineLevel="0" max="21" min="21" style="0" width="45.41"/>
  </cols>
  <sheetData>
    <row r="1" customFormat="false" ht="30" hidden="false" customHeight="true" outlineLevel="0" collapsed="false">
      <c r="A1" s="28" t="s">
        <v>59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customFormat="false" ht="24" hidden="false" customHeight="true" outlineLevel="0" collapsed="false">
      <c r="A2" s="29" t="s">
        <v>60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customFormat="false" ht="36" hidden="false" customHeight="true" outlineLevel="0" collapsed="false">
      <c r="A3" s="30" t="s">
        <v>61</v>
      </c>
      <c r="B3" s="31" t="s">
        <v>62</v>
      </c>
      <c r="C3" s="31" t="s">
        <v>63</v>
      </c>
      <c r="D3" s="31" t="s">
        <v>64</v>
      </c>
      <c r="E3" s="31" t="s">
        <v>65</v>
      </c>
      <c r="F3" s="31" t="s">
        <v>66</v>
      </c>
      <c r="G3" s="31" t="s">
        <v>67</v>
      </c>
      <c r="H3" s="31" t="s">
        <v>68</v>
      </c>
      <c r="I3" s="31" t="s">
        <v>69</v>
      </c>
      <c r="J3" s="31" t="s">
        <v>70</v>
      </c>
      <c r="K3" s="31" t="s">
        <v>71</v>
      </c>
      <c r="L3" s="31" t="s">
        <v>72</v>
      </c>
      <c r="M3" s="31" t="s">
        <v>73</v>
      </c>
      <c r="N3" s="31" t="s">
        <v>74</v>
      </c>
      <c r="O3" s="31" t="s">
        <v>75</v>
      </c>
      <c r="P3" s="31" t="s">
        <v>76</v>
      </c>
      <c r="Q3" s="31" t="s">
        <v>77</v>
      </c>
      <c r="R3" s="31" t="s">
        <v>78</v>
      </c>
      <c r="S3" s="31" t="s">
        <v>79</v>
      </c>
      <c r="T3" s="31" t="s">
        <v>80</v>
      </c>
      <c r="U3" s="32" t="s">
        <v>81</v>
      </c>
    </row>
    <row r="4" customFormat="false" ht="15" hidden="false" customHeight="false" outlineLevel="0" collapsed="false">
      <c r="A4" s="33" t="s">
        <v>82</v>
      </c>
      <c r="B4" s="33" t="s">
        <v>83</v>
      </c>
      <c r="C4" s="33" t="s">
        <v>84</v>
      </c>
      <c r="D4" s="34" t="n">
        <v>0.00421</v>
      </c>
      <c r="E4" s="35" t="n">
        <v>65.8905345304</v>
      </c>
      <c r="F4" s="35" t="n">
        <v>62.623370829</v>
      </c>
      <c r="G4" s="36" t="n">
        <f aca="false">IFERROR(E4/F4-1,"")</f>
        <v>0.0521716358948698</v>
      </c>
      <c r="H4" s="35" t="n">
        <v>-3.3289641801</v>
      </c>
      <c r="I4" s="35" t="n">
        <v>0.4142367474</v>
      </c>
      <c r="J4" s="36" t="n">
        <f aca="false">IFERROR(H4/I4-1,"")</f>
        <v>-9.03638064704445</v>
      </c>
      <c r="K4" s="37" t="n">
        <f aca="false">H4-I4</f>
        <v>-3.7432009275</v>
      </c>
      <c r="L4" s="35" t="n">
        <v>-3.5603690975</v>
      </c>
      <c r="M4" s="35" t="n">
        <v>0.2217061048</v>
      </c>
      <c r="N4" s="36" t="n">
        <f aca="false">IFERROR(L4/M4-1,"")</f>
        <v>-17.0589583255355</v>
      </c>
      <c r="O4" s="35" t="n">
        <v>-1.0316958193</v>
      </c>
      <c r="P4" s="35" t="n">
        <v>-9.7974394076</v>
      </c>
      <c r="Q4" s="36" t="n">
        <f aca="false">IFERROR(O4/P4-1,"")</f>
        <v>-0.894697402415196</v>
      </c>
      <c r="R4" s="38" t="n">
        <f aca="false">IF(AND(H4&gt;0,I4&gt;0),1,0)</f>
        <v>0</v>
      </c>
      <c r="S4" s="36" t="str">
        <f aca="false">IF(R4=1,MIN(MAX(J4,-50%),50%),"")</f>
        <v/>
      </c>
      <c r="T4" s="36" t="str">
        <f aca="false">IF(S4="","",D4*S4)</f>
        <v/>
      </c>
      <c r="U4" s="39" t="s">
        <v>85</v>
      </c>
    </row>
    <row r="5" customFormat="false" ht="15" hidden="false" customHeight="false" outlineLevel="0" collapsed="false">
      <c r="A5" s="40" t="s">
        <v>86</v>
      </c>
      <c r="B5" s="40" t="s">
        <v>87</v>
      </c>
      <c r="C5" s="40" t="s">
        <v>88</v>
      </c>
      <c r="D5" s="41" t="n">
        <v>0.007</v>
      </c>
      <c r="E5" s="42" t="n">
        <v>271.3503085185</v>
      </c>
      <c r="F5" s="42" t="n">
        <v>248.5463198497</v>
      </c>
      <c r="G5" s="43" t="n">
        <f aca="false">IFERROR(E5/F5-1,"")</f>
        <v>0.0917494521045008</v>
      </c>
      <c r="H5" s="42" t="n">
        <v>21.0218913077</v>
      </c>
      <c r="I5" s="42" t="n">
        <v>27.647786029</v>
      </c>
      <c r="J5" s="43" t="n">
        <f aca="false">IFERROR(H5/I5-1,"")</f>
        <v>-0.239653718180184</v>
      </c>
      <c r="K5" s="44" t="n">
        <f aca="false">H5-I5</f>
        <v>-6.6258947213</v>
      </c>
      <c r="L5" s="42" t="n">
        <v>8.3128380047</v>
      </c>
      <c r="M5" s="42" t="n">
        <v>19.251678882</v>
      </c>
      <c r="N5" s="43" t="n">
        <f aca="false">IFERROR(L5/M5-1,"")</f>
        <v>-0.568201918614362</v>
      </c>
      <c r="O5" s="42" t="n">
        <v>24.1953703276</v>
      </c>
      <c r="P5" s="42" t="n">
        <v>17.5178027634</v>
      </c>
      <c r="Q5" s="43" t="n">
        <f aca="false">IFERROR(O5/P5-1,"")</f>
        <v>0.381187507040065</v>
      </c>
      <c r="R5" s="45" t="n">
        <f aca="false">IF(AND(H5&gt;0,I5&gt;0),1,0)</f>
        <v>1</v>
      </c>
      <c r="S5" s="43" t="n">
        <f aca="false">IF(R5=1,MIN(MAX(J5,-50%),50%),"")</f>
        <v>-0.239653718180184</v>
      </c>
      <c r="T5" s="43" t="n">
        <f aca="false">IF(S5="","",D5*S5)</f>
        <v>-0.00167757602726129</v>
      </c>
      <c r="U5" s="46" t="s">
        <v>89</v>
      </c>
    </row>
    <row r="6" customFormat="false" ht="15" hidden="false" customHeight="false" outlineLevel="0" collapsed="false">
      <c r="A6" s="40" t="s">
        <v>90</v>
      </c>
      <c r="B6" s="40" t="s">
        <v>91</v>
      </c>
      <c r="C6" s="40" t="s">
        <v>55</v>
      </c>
      <c r="D6" s="41" t="n">
        <v>0.01246</v>
      </c>
      <c r="E6" s="42" t="n">
        <v>20.6487802942</v>
      </c>
      <c r="F6" s="42" t="n">
        <v>16.781419373</v>
      </c>
      <c r="G6" s="43" t="n">
        <f aca="false">IFERROR(E6/F6-1,"")</f>
        <v>0.230454935618991</v>
      </c>
      <c r="H6" s="42" t="n">
        <v>36.3808137005</v>
      </c>
      <c r="I6" s="42" t="n">
        <v>18.0020523331</v>
      </c>
      <c r="J6" s="43" t="n">
        <f aca="false">IFERROR(H6/I6-1,"")</f>
        <v>1.0209258937442</v>
      </c>
      <c r="K6" s="44" t="n">
        <f aca="false">H6-I6</f>
        <v>18.3787613674</v>
      </c>
      <c r="L6" s="42" t="n">
        <v>37.0569323872</v>
      </c>
      <c r="M6" s="42" t="n">
        <v>18.0839798746</v>
      </c>
      <c r="N6" s="43" t="n">
        <f aca="false">IFERROR(L6/M6-1,"")</f>
        <v>1.04915801964857</v>
      </c>
      <c r="O6" s="42" t="n">
        <v>9.841579151</v>
      </c>
      <c r="P6" s="42" t="n">
        <v>8.3407623224</v>
      </c>
      <c r="Q6" s="43" t="n">
        <f aca="false">IFERROR(O6/P6-1,"")</f>
        <v>0.179937608888506</v>
      </c>
      <c r="R6" s="45" t="n">
        <f aca="false">IF(AND(H6&gt;0,I6&gt;0),1,0)</f>
        <v>1</v>
      </c>
      <c r="S6" s="43" t="n">
        <f aca="false">IF(R6=1,MIN(MAX(J6,-50%),50%),"")</f>
        <v>0.5</v>
      </c>
      <c r="T6" s="43" t="n">
        <f aca="false">IF(S6="","",D6*S6)</f>
        <v>0.00623</v>
      </c>
      <c r="U6" s="46" t="s">
        <v>92</v>
      </c>
    </row>
    <row r="7" customFormat="false" ht="15" hidden="false" customHeight="false" outlineLevel="0" collapsed="false">
      <c r="A7" s="40" t="s">
        <v>93</v>
      </c>
      <c r="B7" s="40" t="s">
        <v>94</v>
      </c>
      <c r="C7" s="40" t="s">
        <v>95</v>
      </c>
      <c r="D7" s="41" t="n">
        <v>0.01043</v>
      </c>
      <c r="E7" s="42" t="n">
        <v>21.189530071</v>
      </c>
      <c r="F7" s="42" t="n">
        <v>21.1796277325</v>
      </c>
      <c r="G7" s="43" t="n">
        <f aca="false">IFERROR(E7/F7-1,"")</f>
        <v>0.000467540724750526</v>
      </c>
      <c r="H7" s="42" t="n">
        <v>8.5012925686</v>
      </c>
      <c r="I7" s="42" t="n">
        <v>10.5715285414</v>
      </c>
      <c r="J7" s="43" t="n">
        <f aca="false">IFERROR(H7/I7-1,"")</f>
        <v>-0.195831280660368</v>
      </c>
      <c r="K7" s="44" t="n">
        <f aca="false">H7-I7</f>
        <v>-2.0702359728</v>
      </c>
      <c r="L7" s="42" t="n">
        <v>8.4688885321</v>
      </c>
      <c r="M7" s="42" t="n">
        <v>7.9905938463</v>
      </c>
      <c r="N7" s="43" t="n">
        <f aca="false">IFERROR(L7/M7-1,"")</f>
        <v>0.0598572139943605</v>
      </c>
      <c r="O7" s="42" t="n">
        <v>17.0857622487</v>
      </c>
      <c r="P7" s="42" t="n">
        <v>18.9766678255</v>
      </c>
      <c r="Q7" s="43" t="n">
        <f aca="false">IFERROR(O7/P7-1,"")</f>
        <v>-0.0996437095378298</v>
      </c>
      <c r="R7" s="45" t="n">
        <f aca="false">IF(AND(H7&gt;0,I7&gt;0),1,0)</f>
        <v>1</v>
      </c>
      <c r="S7" s="43" t="n">
        <f aca="false">IF(R7=1,MIN(MAX(J7,-50%),50%),"")</f>
        <v>-0.195831280660368</v>
      </c>
      <c r="T7" s="43" t="n">
        <f aca="false">IF(S7="","",D7*S7)</f>
        <v>-0.00204252025728764</v>
      </c>
      <c r="U7" s="46" t="s">
        <v>96</v>
      </c>
    </row>
    <row r="8" customFormat="false" ht="15" hidden="false" customHeight="false" outlineLevel="0" collapsed="false">
      <c r="A8" s="40" t="s">
        <v>97</v>
      </c>
      <c r="B8" s="40" t="s">
        <v>98</v>
      </c>
      <c r="C8" s="40" t="s">
        <v>88</v>
      </c>
      <c r="D8" s="41" t="n">
        <v>0.01143</v>
      </c>
      <c r="E8" s="42" t="n">
        <v>896.7295542792</v>
      </c>
      <c r="F8" s="42" t="n">
        <v>976.1938306189</v>
      </c>
      <c r="G8" s="43" t="n">
        <f aca="false">IFERROR(E8/F8-1,"")</f>
        <v>-0.0814021497035279</v>
      </c>
      <c r="H8" s="42" t="n">
        <v>132.7759088257</v>
      </c>
      <c r="I8" s="42" t="n">
        <v>144.1240711384</v>
      </c>
      <c r="J8" s="43" t="n">
        <f aca="false">IFERROR(H8/I8-1,"")</f>
        <v>-0.0787388409379761</v>
      </c>
      <c r="K8" s="44" t="n">
        <f aca="false">H8-I8</f>
        <v>-11.3481623127</v>
      </c>
      <c r="L8" s="42" t="n">
        <v>127.066727209</v>
      </c>
      <c r="M8" s="42" t="n">
        <v>139.4640916152</v>
      </c>
      <c r="N8" s="43" t="n">
        <f aca="false">IFERROR(L8/M8-1,"")</f>
        <v>-0.0888928774612893</v>
      </c>
      <c r="O8" s="42" t="n">
        <v>188.0883239246</v>
      </c>
      <c r="P8" s="42" t="n">
        <v>283.285621872</v>
      </c>
      <c r="Q8" s="43" t="n">
        <f aca="false">IFERROR(O8/P8-1,"")</f>
        <v>-0.336047051446946</v>
      </c>
      <c r="R8" s="45" t="n">
        <f aca="false">IF(AND(H8&gt;0,I8&gt;0),1,0)</f>
        <v>1</v>
      </c>
      <c r="S8" s="43" t="n">
        <f aca="false">IF(R8=1,MIN(MAX(J8,-50%),50%),"")</f>
        <v>-0.0787388409379761</v>
      </c>
      <c r="T8" s="43" t="n">
        <f aca="false">IF(S8="","",D8*S8)</f>
        <v>-0.000899984951921067</v>
      </c>
      <c r="U8" s="46" t="s">
        <v>99</v>
      </c>
    </row>
    <row r="9" customFormat="false" ht="15" hidden="false" customHeight="false" outlineLevel="0" collapsed="false">
      <c r="A9" s="40" t="s">
        <v>100</v>
      </c>
      <c r="B9" s="40" t="s">
        <v>101</v>
      </c>
      <c r="C9" s="40" t="s">
        <v>102</v>
      </c>
      <c r="D9" s="41" t="n">
        <v>0.01145</v>
      </c>
      <c r="E9" s="42" t="n">
        <v>18.3851630234</v>
      </c>
      <c r="F9" s="42" t="n">
        <v>22.7233344325</v>
      </c>
      <c r="G9" s="43" t="n">
        <f aca="false">IFERROR(E9/F9-1,"")</f>
        <v>-0.190912624288772</v>
      </c>
      <c r="H9" s="42" t="n">
        <v>13.640648053</v>
      </c>
      <c r="I9" s="42" t="n">
        <v>2.4686948079</v>
      </c>
      <c r="J9" s="43" t="n">
        <f aca="false">IFERROR(H9/I9-1,"")</f>
        <v>4.52544932218796</v>
      </c>
      <c r="K9" s="44" t="n">
        <f aca="false">H9-I9</f>
        <v>11.1719532451</v>
      </c>
      <c r="L9" s="42" t="n">
        <v>1.5075244169</v>
      </c>
      <c r="M9" s="42" t="n">
        <v>2.8200206833</v>
      </c>
      <c r="N9" s="43" t="n">
        <f aca="false">IFERROR(L9/M9-1,"")</f>
        <v>-0.465420794312796</v>
      </c>
      <c r="O9" s="42" t="n">
        <v>3.1147396771</v>
      </c>
      <c r="P9" s="42" t="n">
        <v>4.7554006753</v>
      </c>
      <c r="Q9" s="43" t="n">
        <f aca="false">IFERROR(O9/P9-1,"")</f>
        <v>-0.345010044415762</v>
      </c>
      <c r="R9" s="45" t="n">
        <f aca="false">IF(AND(H9&gt;0,I9&gt;0),1,0)</f>
        <v>1</v>
      </c>
      <c r="S9" s="43" t="n">
        <f aca="false">IF(R9=1,MIN(MAX(J9,-50%),50%),"")</f>
        <v>0.5</v>
      </c>
      <c r="T9" s="43" t="n">
        <f aca="false">IF(S9="","",D9*S9)</f>
        <v>0.005725</v>
      </c>
      <c r="U9" s="46" t="s">
        <v>103</v>
      </c>
    </row>
    <row r="10" customFormat="false" ht="15" hidden="false" customHeight="false" outlineLevel="0" collapsed="false">
      <c r="A10" s="40" t="s">
        <v>104</v>
      </c>
      <c r="B10" s="40" t="s">
        <v>105</v>
      </c>
      <c r="C10" s="40" t="s">
        <v>88</v>
      </c>
      <c r="D10" s="41" t="n">
        <v>0.01017</v>
      </c>
      <c r="E10" s="42" t="n">
        <v>281.8435036058</v>
      </c>
      <c r="F10" s="42" t="n">
        <v>285.0308951628</v>
      </c>
      <c r="G10" s="43" t="n">
        <f aca="false">IFERROR(E10/F10-1,"")</f>
        <v>-0.0111826177831686</v>
      </c>
      <c r="H10" s="42" t="n">
        <v>23.0558962418</v>
      </c>
      <c r="I10" s="42" t="n">
        <v>23.2316230394</v>
      </c>
      <c r="J10" s="43" t="n">
        <f aca="false">IFERROR(H10/I10-1,"")</f>
        <v>-0.00756412056540234</v>
      </c>
      <c r="K10" s="44" t="n">
        <f aca="false">H10-I10</f>
        <v>-0.175726797599999</v>
      </c>
      <c r="L10" s="42" t="n">
        <v>22.863570283</v>
      </c>
      <c r="M10" s="42" t="n">
        <v>22.1510402036</v>
      </c>
      <c r="N10" s="43" t="n">
        <f aca="false">IFERROR(L10/M10-1,"")</f>
        <v>0.0321668902611716</v>
      </c>
      <c r="O10" s="42" t="n">
        <v>16.1693600015</v>
      </c>
      <c r="P10" s="42" t="n">
        <v>29.1420468454</v>
      </c>
      <c r="Q10" s="43" t="n">
        <f aca="false">IFERROR(O10/P10-1,"")</f>
        <v>-0.445153592426803</v>
      </c>
      <c r="R10" s="45" t="n">
        <f aca="false">IF(AND(H10&gt;0,I10&gt;0),1,0)</f>
        <v>1</v>
      </c>
      <c r="S10" s="43" t="n">
        <f aca="false">IF(R10=1,MIN(MAX(J10,-50%),50%),"")</f>
        <v>-0.00756412056540234</v>
      </c>
      <c r="T10" s="43" t="n">
        <f aca="false">IF(S10="","",D10*S10)</f>
        <v>-7.69271061501418E-005</v>
      </c>
      <c r="U10" s="46" t="s">
        <v>106</v>
      </c>
    </row>
    <row r="11" customFormat="false" ht="15" hidden="false" customHeight="false" outlineLevel="0" collapsed="false">
      <c r="A11" s="40" t="s">
        <v>107</v>
      </c>
      <c r="B11" s="40" t="s">
        <v>108</v>
      </c>
      <c r="C11" s="40" t="s">
        <v>55</v>
      </c>
      <c r="D11" s="41" t="n">
        <v>0.00853</v>
      </c>
      <c r="E11" s="42" t="n">
        <v>247.9085761936</v>
      </c>
      <c r="F11" s="42" t="n">
        <v>204.2847499371</v>
      </c>
      <c r="G11" s="43" t="n">
        <f aca="false">IFERROR(E11/F11-1,"")</f>
        <v>0.21354421350557</v>
      </c>
      <c r="H11" s="42" t="n">
        <v>47.813773054</v>
      </c>
      <c r="I11" s="42" t="n">
        <v>19.0445683389</v>
      </c>
      <c r="J11" s="43" t="n">
        <f aca="false">IFERROR(H11/I11-1,"")</f>
        <v>1.51062519260868</v>
      </c>
      <c r="K11" s="44" t="n">
        <f aca="false">H11-I11</f>
        <v>28.7692047151</v>
      </c>
      <c r="L11" s="42" t="n">
        <v>47.8531122137</v>
      </c>
      <c r="M11" s="42" t="n">
        <v>20.1006915478</v>
      </c>
      <c r="N11" s="43" t="n">
        <f aca="false">IFERROR(L11/M11-1,"")</f>
        <v>1.38066994361383</v>
      </c>
      <c r="O11" s="42" t="n">
        <v>72.0045611433</v>
      </c>
      <c r="P11" s="42" t="n">
        <v>44.3683361521</v>
      </c>
      <c r="Q11" s="43" t="n">
        <f aca="false">IFERROR(O11/P11-1,"")</f>
        <v>0.622881707721914</v>
      </c>
      <c r="R11" s="45" t="n">
        <f aca="false">IF(AND(H11&gt;0,I11&gt;0),1,0)</f>
        <v>1</v>
      </c>
      <c r="S11" s="43" t="n">
        <f aca="false">IF(R11=1,MIN(MAX(J11,-50%),50%),"")</f>
        <v>0.5</v>
      </c>
      <c r="T11" s="43" t="n">
        <f aca="false">IF(S11="","",D11*S11)</f>
        <v>0.004265</v>
      </c>
      <c r="U11" s="46" t="s">
        <v>109</v>
      </c>
    </row>
    <row r="12" customFormat="false" ht="15" hidden="false" customHeight="false" outlineLevel="0" collapsed="false">
      <c r="A12" s="40" t="s">
        <v>110</v>
      </c>
      <c r="B12" s="40" t="s">
        <v>111</v>
      </c>
      <c r="C12" s="40" t="s">
        <v>22</v>
      </c>
      <c r="D12" s="41" t="n">
        <v>0.01391</v>
      </c>
      <c r="E12" s="42" t="n">
        <v>180.2806806087</v>
      </c>
      <c r="F12" s="42" t="n">
        <v>180.5329275693</v>
      </c>
      <c r="G12" s="43" t="n">
        <f aca="false">IFERROR(E12/F12-1,"")</f>
        <v>-0.00139723519690427</v>
      </c>
      <c r="H12" s="42" t="n">
        <v>12.3696953466</v>
      </c>
      <c r="I12" s="42" t="n">
        <v>10.1369573107</v>
      </c>
      <c r="J12" s="43" t="n">
        <f aca="false">IFERROR(H12/I12-1,"")</f>
        <v>0.220257219939483</v>
      </c>
      <c r="K12" s="44" t="n">
        <f aca="false">H12-I12</f>
        <v>2.2327380359</v>
      </c>
      <c r="L12" s="42" t="n">
        <v>10.7534060219</v>
      </c>
      <c r="M12" s="42" t="n">
        <v>10.265936813</v>
      </c>
      <c r="N12" s="43" t="n">
        <f aca="false">IFERROR(L12/M12-1,"")</f>
        <v>0.0474841427313975</v>
      </c>
      <c r="O12" s="42" t="n">
        <v>16.0134163525</v>
      </c>
      <c r="P12" s="42" t="n">
        <v>33.2728685761</v>
      </c>
      <c r="Q12" s="43" t="n">
        <f aca="false">IFERROR(O12/P12-1,"")</f>
        <v>-0.518724503242787</v>
      </c>
      <c r="R12" s="45" t="n">
        <f aca="false">IF(AND(H12&gt;0,I12&gt;0),1,0)</f>
        <v>1</v>
      </c>
      <c r="S12" s="43" t="n">
        <f aca="false">IF(R12=1,MIN(MAX(J12,-50%),50%),"")</f>
        <v>0.220257219939483</v>
      </c>
      <c r="T12" s="43" t="n">
        <f aca="false">IF(S12="","",D12*S12)</f>
        <v>0.00306377792935821</v>
      </c>
      <c r="U12" s="46" t="s">
        <v>112</v>
      </c>
    </row>
    <row r="13" customFormat="false" ht="15" hidden="false" customHeight="false" outlineLevel="0" collapsed="false">
      <c r="A13" s="40" t="s">
        <v>113</v>
      </c>
      <c r="B13" s="40" t="s">
        <v>114</v>
      </c>
      <c r="C13" s="40" t="s">
        <v>102</v>
      </c>
      <c r="D13" s="41" t="n">
        <v>0.00922</v>
      </c>
      <c r="E13" s="42" t="n">
        <v>42.6651585316</v>
      </c>
      <c r="F13" s="42" t="n">
        <v>36.3407557519</v>
      </c>
      <c r="G13" s="43" t="n">
        <f aca="false">IFERROR(E13/F13-1,"")</f>
        <v>0.174030579409988</v>
      </c>
      <c r="H13" s="42" t="n">
        <v>2.4730882393</v>
      </c>
      <c r="I13" s="42" t="n">
        <v>2.6784711136</v>
      </c>
      <c r="J13" s="43" t="n">
        <f aca="false">IFERROR(H13/I13-1,"")</f>
        <v>-0.0766791447767212</v>
      </c>
      <c r="K13" s="44" t="n">
        <f aca="false">H13-I13</f>
        <v>-0.2053828743</v>
      </c>
      <c r="L13" s="42" t="n">
        <v>2.6080279132</v>
      </c>
      <c r="M13" s="42" t="n">
        <v>2.3781510305</v>
      </c>
      <c r="N13" s="43" t="n">
        <f aca="false">IFERROR(L13/M13-1,"")</f>
        <v>0.0966620200953632</v>
      </c>
      <c r="O13" s="42" t="n">
        <v>2.1296852996</v>
      </c>
      <c r="P13" s="42" t="n">
        <v>1.0737049349</v>
      </c>
      <c r="Q13" s="43" t="n">
        <f aca="false">IFERROR(O13/P13-1,"")</f>
        <v>0.983492140509114</v>
      </c>
      <c r="R13" s="45" t="n">
        <f aca="false">IF(AND(H13&gt;0,I13&gt;0),1,0)</f>
        <v>1</v>
      </c>
      <c r="S13" s="43" t="n">
        <f aca="false">IF(R13=1,MIN(MAX(J13,-50%),50%),"")</f>
        <v>-0.0766791447767212</v>
      </c>
      <c r="T13" s="43" t="n">
        <f aca="false">IF(S13="","",D13*S13)</f>
        <v>-0.00070698171484137</v>
      </c>
      <c r="U13" s="46" t="s">
        <v>115</v>
      </c>
    </row>
    <row r="14" customFormat="false" ht="15" hidden="false" customHeight="false" outlineLevel="0" collapsed="false">
      <c r="A14" s="40" t="s">
        <v>116</v>
      </c>
      <c r="B14" s="40" t="s">
        <v>117</v>
      </c>
      <c r="C14" s="40" t="s">
        <v>88</v>
      </c>
      <c r="D14" s="41" t="n">
        <v>0.00477</v>
      </c>
      <c r="E14" s="42" t="n">
        <v>26.289292281</v>
      </c>
      <c r="F14" s="42" t="n">
        <v>23.9077182775</v>
      </c>
      <c r="G14" s="43" t="n">
        <f aca="false">IFERROR(E14/F14-1,"")</f>
        <v>0.0996152780393664</v>
      </c>
      <c r="H14" s="42" t="n">
        <v>2.9134168064</v>
      </c>
      <c r="I14" s="42" t="n">
        <v>1.9723262942</v>
      </c>
      <c r="J14" s="43" t="n">
        <f aca="false">IFERROR(H14/I14-1,"")</f>
        <v>0.477147475530522</v>
      </c>
      <c r="K14" s="44" t="n">
        <f aca="false">H14-I14</f>
        <v>0.9410905122</v>
      </c>
      <c r="L14" s="42" t="n">
        <v>2.0287817806</v>
      </c>
      <c r="M14" s="42" t="n">
        <v>1.6215576317</v>
      </c>
      <c r="N14" s="43" t="n">
        <f aca="false">IFERROR(L14/M14-1,"")</f>
        <v>0.251131468249498</v>
      </c>
      <c r="O14" s="42" t="n">
        <v>3.0611350809</v>
      </c>
      <c r="P14" s="42" t="n">
        <v>0.9464980233</v>
      </c>
      <c r="Q14" s="43" t="n">
        <f aca="false">IFERROR(O14/P14-1,"")</f>
        <v>2.23416954451446</v>
      </c>
      <c r="R14" s="45" t="n">
        <f aca="false">IF(AND(H14&gt;0,I14&gt;0),1,0)</f>
        <v>1</v>
      </c>
      <c r="S14" s="43" t="n">
        <f aca="false">IF(R14=1,MIN(MAX(J14,-50%),50%),"")</f>
        <v>0.477147475530522</v>
      </c>
      <c r="T14" s="43" t="n">
        <f aca="false">IF(S14="","",D14*S14)</f>
        <v>0.00227599345828059</v>
      </c>
      <c r="U14" s="46" t="s">
        <v>118</v>
      </c>
    </row>
    <row r="15" customFormat="false" ht="15" hidden="false" customHeight="false" outlineLevel="0" collapsed="false">
      <c r="A15" s="40" t="s">
        <v>119</v>
      </c>
      <c r="B15" s="40" t="s">
        <v>120</v>
      </c>
      <c r="C15" s="40" t="s">
        <v>102</v>
      </c>
      <c r="D15" s="41" t="n">
        <v>0.00653</v>
      </c>
      <c r="E15" s="42" t="n">
        <v>17.4164485754</v>
      </c>
      <c r="F15" s="42" t="n">
        <v>20.5624800247</v>
      </c>
      <c r="G15" s="43" t="n">
        <f aca="false">IFERROR(E15/F15-1,"")</f>
        <v>-0.152998638565043</v>
      </c>
      <c r="H15" s="42" t="n">
        <v>2.1945047804</v>
      </c>
      <c r="I15" s="42" t="n">
        <v>4.3539687841</v>
      </c>
      <c r="J15" s="43" t="n">
        <f aca="false">IFERROR(H15/I15-1,"")</f>
        <v>-0.495975995874389</v>
      </c>
      <c r="K15" s="44" t="n">
        <f aca="false">H15-I15</f>
        <v>-2.1594640037</v>
      </c>
      <c r="L15" s="42" t="n">
        <v>1.5000974609</v>
      </c>
      <c r="M15" s="42" t="n">
        <v>2.4185960284</v>
      </c>
      <c r="N15" s="43" t="n">
        <f aca="false">IFERROR(L15/M15-1,"")</f>
        <v>-0.379765184724803</v>
      </c>
      <c r="O15" s="42" t="n">
        <v>1.7094921128</v>
      </c>
      <c r="P15" s="42" t="n">
        <v>1.3498505357</v>
      </c>
      <c r="Q15" s="43" t="n">
        <f aca="false">IFERROR(O15/P15-1,"")</f>
        <v>0.26643066590591</v>
      </c>
      <c r="R15" s="45" t="n">
        <f aca="false">IF(AND(H15&gt;0,I15&gt;0),1,0)</f>
        <v>1</v>
      </c>
      <c r="S15" s="43" t="n">
        <f aca="false">IF(R15=1,MIN(MAX(J15,-50%),50%),"")</f>
        <v>-0.495975995874389</v>
      </c>
      <c r="T15" s="43" t="n">
        <f aca="false">IF(S15="","",D15*S15)</f>
        <v>-0.00323872325305976</v>
      </c>
      <c r="U15" s="46" t="s">
        <v>121</v>
      </c>
    </row>
    <row r="16" customFormat="false" ht="15" hidden="false" customHeight="false" outlineLevel="0" collapsed="false">
      <c r="A16" s="40" t="s">
        <v>122</v>
      </c>
      <c r="B16" s="40" t="s">
        <v>123</v>
      </c>
      <c r="C16" s="40" t="s">
        <v>88</v>
      </c>
      <c r="D16" s="41" t="n">
        <v>0.00459</v>
      </c>
      <c r="E16" s="42" t="n">
        <v>44.4899640731</v>
      </c>
      <c r="F16" s="42" t="n">
        <v>48.5026741097</v>
      </c>
      <c r="G16" s="43" t="n">
        <f aca="false">IFERROR(E16/F16-1,"")</f>
        <v>-0.0827317278945143</v>
      </c>
      <c r="H16" s="42" t="n">
        <v>4.0409244386</v>
      </c>
      <c r="I16" s="42" t="n">
        <v>5.0930715497</v>
      </c>
      <c r="J16" s="43" t="n">
        <f aca="false">IFERROR(H16/I16-1,"")</f>
        <v>-0.206584003549288</v>
      </c>
      <c r="K16" s="44" t="n">
        <f aca="false">H16-I16</f>
        <v>-1.0521471111</v>
      </c>
      <c r="L16" s="42" t="n">
        <v>3.9836771423</v>
      </c>
      <c r="M16" s="42" t="n">
        <v>4.967231408</v>
      </c>
      <c r="N16" s="43" t="n">
        <f aca="false">IFERROR(L16/M16-1,"")</f>
        <v>-0.198008545387262</v>
      </c>
      <c r="O16" s="42" t="n">
        <v>2.8166847064</v>
      </c>
      <c r="P16" s="42" t="n">
        <v>5.2690223883</v>
      </c>
      <c r="Q16" s="43" t="n">
        <f aca="false">IFERROR(O16/P16-1,"")</f>
        <v>-0.465425557375782</v>
      </c>
      <c r="R16" s="45" t="n">
        <f aca="false">IF(AND(H16&gt;0,I16&gt;0),1,0)</f>
        <v>1</v>
      </c>
      <c r="S16" s="43" t="n">
        <f aca="false">IF(R16=1,MIN(MAX(J16,-50%),50%),"")</f>
        <v>-0.206584003549288</v>
      </c>
      <c r="T16" s="43" t="n">
        <f aca="false">IF(S16="","",D16*S16)</f>
        <v>-0.00094822057629123</v>
      </c>
      <c r="U16" s="46" t="s">
        <v>124</v>
      </c>
    </row>
    <row r="17" customFormat="false" ht="15" hidden="false" customHeight="false" outlineLevel="0" collapsed="false">
      <c r="A17" s="40" t="s">
        <v>125</v>
      </c>
      <c r="B17" s="40" t="s">
        <v>126</v>
      </c>
      <c r="C17" s="40" t="s">
        <v>88</v>
      </c>
      <c r="D17" s="41" t="n">
        <v>0.00691</v>
      </c>
      <c r="E17" s="42" t="n">
        <v>307.5456179322</v>
      </c>
      <c r="F17" s="42" t="n">
        <v>253.7030946569</v>
      </c>
      <c r="G17" s="43" t="n">
        <f aca="false">IFERROR(E17/F17-1,"")</f>
        <v>0.212226513626548</v>
      </c>
      <c r="H17" s="42" t="n">
        <v>0.4646248628</v>
      </c>
      <c r="I17" s="42" t="n">
        <v>2.2155793126</v>
      </c>
      <c r="J17" s="43" t="n">
        <f aca="false">IFERROR(H17/I17-1,"")</f>
        <v>-0.790291929448123</v>
      </c>
      <c r="K17" s="44" t="n">
        <f aca="false">H17-I17</f>
        <v>-1.7509544498</v>
      </c>
      <c r="L17" s="42" t="n">
        <v>1.5787192033</v>
      </c>
      <c r="M17" s="42" t="n">
        <v>2.0623652322</v>
      </c>
      <c r="N17" s="43" t="n">
        <f aca="false">IFERROR(L17/M17-1,"")</f>
        <v>-0.234510367683069</v>
      </c>
      <c r="O17" s="42" t="n">
        <v>-18.4983344511</v>
      </c>
      <c r="P17" s="42" t="n">
        <v>18.1926320661</v>
      </c>
      <c r="Q17" s="43" t="n">
        <f aca="false">IFERROR(O17/P17-1,"")</f>
        <v>-2.01680363698278</v>
      </c>
      <c r="R17" s="45" t="n">
        <f aca="false">IF(AND(H17&gt;0,I17&gt;0),1,0)</f>
        <v>1</v>
      </c>
      <c r="S17" s="43" t="n">
        <f aca="false">IF(R17=1,MIN(MAX(J17,-50%),50%),"")</f>
        <v>-0.5</v>
      </c>
      <c r="T17" s="43" t="n">
        <f aca="false">IF(S17="","",D17*S17)</f>
        <v>-0.003455</v>
      </c>
      <c r="U17" s="46" t="s">
        <v>127</v>
      </c>
    </row>
    <row r="18" customFormat="false" ht="15" hidden="false" customHeight="false" outlineLevel="0" collapsed="false">
      <c r="A18" s="40" t="s">
        <v>128</v>
      </c>
      <c r="B18" s="40" t="s">
        <v>129</v>
      </c>
      <c r="C18" s="40" t="s">
        <v>55</v>
      </c>
      <c r="D18" s="41" t="n">
        <v>0.00333</v>
      </c>
      <c r="E18" s="42" t="n">
        <v>46.5605739937</v>
      </c>
      <c r="F18" s="42" t="n">
        <v>37.24627826</v>
      </c>
      <c r="G18" s="43" t="n">
        <f aca="false">IFERROR(E18/F18-1,"")</f>
        <v>0.250073193049812</v>
      </c>
      <c r="H18" s="42" t="n">
        <v>0.801436087</v>
      </c>
      <c r="I18" s="42" t="n">
        <v>2.0802421335</v>
      </c>
      <c r="J18" s="43" t="n">
        <f aca="false">IFERROR(H18/I18-1,"")</f>
        <v>-0.614739037300631</v>
      </c>
      <c r="K18" s="44" t="n">
        <f aca="false">H18-I18</f>
        <v>-1.2788060465</v>
      </c>
      <c r="L18" s="42" t="n">
        <v>0.7069849455</v>
      </c>
      <c r="M18" s="42" t="n">
        <v>1.9143996362</v>
      </c>
      <c r="N18" s="43" t="n">
        <f aca="false">IFERROR(L18/M18-1,"")</f>
        <v>-0.630701483571458</v>
      </c>
      <c r="O18" s="42" t="n">
        <v>-0.4302558344</v>
      </c>
      <c r="P18" s="42" t="n">
        <v>-0.2423677278</v>
      </c>
      <c r="Q18" s="43" t="n">
        <f aca="false">IFERROR(O18/P18-1,"")</f>
        <v>0.775219161005808</v>
      </c>
      <c r="R18" s="45" t="n">
        <f aca="false">IF(AND(H18&gt;0,I18&gt;0),1,0)</f>
        <v>1</v>
      </c>
      <c r="S18" s="43" t="n">
        <f aca="false">IF(R18=1,MIN(MAX(J18,-50%),50%),"")</f>
        <v>-0.5</v>
      </c>
      <c r="T18" s="43" t="n">
        <f aca="false">IF(S18="","",D18*S18)</f>
        <v>-0.001665</v>
      </c>
      <c r="U18" s="46" t="s">
        <v>130</v>
      </c>
    </row>
    <row r="19" customFormat="false" ht="15" hidden="false" customHeight="false" outlineLevel="0" collapsed="false">
      <c r="A19" s="40" t="s">
        <v>131</v>
      </c>
      <c r="B19" s="40" t="s">
        <v>132</v>
      </c>
      <c r="C19" s="40" t="s">
        <v>88</v>
      </c>
      <c r="D19" s="41" t="n">
        <v>0.00938</v>
      </c>
      <c r="E19" s="42" t="n">
        <v>67.2220476383</v>
      </c>
      <c r="F19" s="42" t="n">
        <v>61.4884202876</v>
      </c>
      <c r="G19" s="43" t="n">
        <f aca="false">IFERROR(E19/F19-1,"")</f>
        <v>0.0932472703621605</v>
      </c>
      <c r="H19" s="42" t="n">
        <v>4.792874148</v>
      </c>
      <c r="I19" s="42" t="n">
        <v>3.2505055278</v>
      </c>
      <c r="J19" s="43" t="n">
        <f aca="false">IFERROR(H19/I19-1,"")</f>
        <v>0.47450115282342</v>
      </c>
      <c r="K19" s="44" t="n">
        <f aca="false">H19-I19</f>
        <v>1.5423686202</v>
      </c>
      <c r="L19" s="42" t="n">
        <v>4.7165940976</v>
      </c>
      <c r="M19" s="42" t="n">
        <v>2.9613644218</v>
      </c>
      <c r="N19" s="43" t="n">
        <f aca="false">IFERROR(L19/M19-1,"")</f>
        <v>0.592709787042394</v>
      </c>
      <c r="O19" s="42" t="n">
        <v>2.6854677694</v>
      </c>
      <c r="P19" s="42" t="n">
        <v>-2.7716538414</v>
      </c>
      <c r="Q19" s="43" t="n">
        <f aca="false">IFERROR(O19/P19-1,"")</f>
        <v>-1.96890446032162</v>
      </c>
      <c r="R19" s="45" t="n">
        <f aca="false">IF(AND(H19&gt;0,I19&gt;0),1,0)</f>
        <v>1</v>
      </c>
      <c r="S19" s="43" t="n">
        <f aca="false">IF(R19=1,MIN(MAX(J19,-50%),50%),"")</f>
        <v>0.47450115282342</v>
      </c>
      <c r="T19" s="43" t="n">
        <f aca="false">IF(S19="","",D19*S19)</f>
        <v>0.00445082081348368</v>
      </c>
      <c r="U19" s="46" t="s">
        <v>133</v>
      </c>
    </row>
    <row r="20" customFormat="false" ht="15" hidden="false" customHeight="false" outlineLevel="0" collapsed="false">
      <c r="A20" s="40" t="s">
        <v>134</v>
      </c>
      <c r="B20" s="40" t="s">
        <v>135</v>
      </c>
      <c r="C20" s="40" t="s">
        <v>88</v>
      </c>
      <c r="D20" s="41" t="n">
        <v>0.00609</v>
      </c>
      <c r="E20" s="42" t="n">
        <v>33.7662031551</v>
      </c>
      <c r="F20" s="42" t="n">
        <v>45.5080624859</v>
      </c>
      <c r="G20" s="43" t="n">
        <f aca="false">IFERROR(E20/F20-1,"")</f>
        <v>-0.258017122448095</v>
      </c>
      <c r="H20" s="42" t="n">
        <v>0.6191737536</v>
      </c>
      <c r="I20" s="42" t="n">
        <v>3.1937996708</v>
      </c>
      <c r="J20" s="43" t="n">
        <f aca="false">IFERROR(H20/I20-1,"")</f>
        <v>-0.806132563898441</v>
      </c>
      <c r="K20" s="44" t="n">
        <f aca="false">H20-I20</f>
        <v>-2.5746259172</v>
      </c>
      <c r="L20" s="42" t="n">
        <v>1.2210760314</v>
      </c>
      <c r="M20" s="42" t="n">
        <v>4.2853153269</v>
      </c>
      <c r="N20" s="43" t="n">
        <f aca="false">IFERROR(L20/M20-1,"")</f>
        <v>-0.715055733767128</v>
      </c>
      <c r="O20" s="42" t="n">
        <v>0.4927468991</v>
      </c>
      <c r="P20" s="42" t="n">
        <v>-1.0506919333</v>
      </c>
      <c r="Q20" s="43" t="n">
        <f aca="false">IFERROR(O20/P20-1,"")</f>
        <v>-1.46897371482846</v>
      </c>
      <c r="R20" s="45" t="n">
        <f aca="false">IF(AND(H20&gt;0,I20&gt;0),1,0)</f>
        <v>1</v>
      </c>
      <c r="S20" s="43" t="n">
        <f aca="false">IF(R20=1,MIN(MAX(J20,-50%),50%),"")</f>
        <v>-0.5</v>
      </c>
      <c r="T20" s="43" t="n">
        <f aca="false">IF(S20="","",D20*S20)</f>
        <v>-0.003045</v>
      </c>
      <c r="U20" s="46" t="s">
        <v>136</v>
      </c>
    </row>
    <row r="21" customFormat="false" ht="15" hidden="false" customHeight="false" outlineLevel="0" collapsed="false">
      <c r="A21" s="40" t="s">
        <v>137</v>
      </c>
      <c r="B21" s="40" t="s">
        <v>138</v>
      </c>
      <c r="C21" s="40" t="s">
        <v>88</v>
      </c>
      <c r="D21" s="41" t="n">
        <v>0.00881</v>
      </c>
      <c r="E21" s="42" t="n">
        <v>144.2214443437</v>
      </c>
      <c r="F21" s="42" t="n">
        <v>133.4173819442</v>
      </c>
      <c r="G21" s="43" t="n">
        <f aca="false">IFERROR(E21/F21-1,"")</f>
        <v>0.0809794214371455</v>
      </c>
      <c r="H21" s="42" t="n">
        <v>8.4383064432</v>
      </c>
      <c r="I21" s="42" t="n">
        <v>13.8525812722</v>
      </c>
      <c r="J21" s="43" t="n">
        <f aca="false">IFERROR(H21/I21-1,"")</f>
        <v>-0.390849526352581</v>
      </c>
      <c r="K21" s="44" t="n">
        <f aca="false">H21-I21</f>
        <v>-5.414274829</v>
      </c>
      <c r="L21" s="42" t="n">
        <v>7.7209660354</v>
      </c>
      <c r="M21" s="42" t="n">
        <v>13.4669644878</v>
      </c>
      <c r="N21" s="43" t="n">
        <f aca="false">IFERROR(L21/M21-1,"")</f>
        <v>-0.426673617325227</v>
      </c>
      <c r="O21" s="42" t="n">
        <v>18.4968540912</v>
      </c>
      <c r="P21" s="42" t="n">
        <v>15.1950778211</v>
      </c>
      <c r="Q21" s="43" t="n">
        <f aca="false">IFERROR(O21/P21-1,"")</f>
        <v>0.217292488329025</v>
      </c>
      <c r="R21" s="45" t="n">
        <f aca="false">IF(AND(H21&gt;0,I21&gt;0),1,0)</f>
        <v>1</v>
      </c>
      <c r="S21" s="43" t="n">
        <f aca="false">IF(R21=1,MIN(MAX(J21,-50%),50%),"")</f>
        <v>-0.390849526352581</v>
      </c>
      <c r="T21" s="43" t="n">
        <f aca="false">IF(S21="","",D21*S21)</f>
        <v>-0.00344338432716624</v>
      </c>
      <c r="U21" s="46" t="s">
        <v>139</v>
      </c>
    </row>
    <row r="22" customFormat="false" ht="15" hidden="false" customHeight="false" outlineLevel="0" collapsed="false">
      <c r="A22" s="40" t="s">
        <v>140</v>
      </c>
      <c r="B22" s="40" t="s">
        <v>141</v>
      </c>
      <c r="C22" s="40" t="s">
        <v>88</v>
      </c>
      <c r="D22" s="41" t="n">
        <v>0.00452</v>
      </c>
      <c r="E22" s="42" t="n">
        <v>14.979564764</v>
      </c>
      <c r="F22" s="42" t="n">
        <v>13.1014332588</v>
      </c>
      <c r="G22" s="43" t="n">
        <f aca="false">IFERROR(E22/F22-1,"")</f>
        <v>0.143353133058056</v>
      </c>
      <c r="H22" s="42" t="n">
        <v>0.794694571</v>
      </c>
      <c r="I22" s="42" t="n">
        <v>0.8130990541</v>
      </c>
      <c r="J22" s="43" t="n">
        <f aca="false">IFERROR(H22/I22-1,"")</f>
        <v>-0.0226349827947735</v>
      </c>
      <c r="K22" s="44" t="n">
        <f aca="false">H22-I22</f>
        <v>-0.0184044831000001</v>
      </c>
      <c r="L22" s="42" t="n">
        <v>0.7042581447</v>
      </c>
      <c r="M22" s="42" t="n">
        <v>0.4818545618</v>
      </c>
      <c r="N22" s="43" t="n">
        <f aca="false">IFERROR(L22/M22-1,"")</f>
        <v>0.46155749168213</v>
      </c>
      <c r="O22" s="42" t="n">
        <v>0.2554797031</v>
      </c>
      <c r="P22" s="42" t="n">
        <v>3.4962238442</v>
      </c>
      <c r="Q22" s="43" t="n">
        <f aca="false">IFERROR(O22/P22-1,"")</f>
        <v>-0.926926960490867</v>
      </c>
      <c r="R22" s="45" t="n">
        <f aca="false">IF(AND(H22&gt;0,I22&gt;0),1,0)</f>
        <v>1</v>
      </c>
      <c r="S22" s="43" t="n">
        <f aca="false">IF(R22=1,MIN(MAX(J22,-50%),50%),"")</f>
        <v>-0.0226349827947735</v>
      </c>
      <c r="T22" s="43" t="n">
        <f aca="false">IF(S22="","",D22*S22)</f>
        <v>-0.000102310122232376</v>
      </c>
      <c r="U22" s="46" t="s">
        <v>142</v>
      </c>
    </row>
    <row r="23" customFormat="false" ht="15" hidden="false" customHeight="false" outlineLevel="0" collapsed="false">
      <c r="A23" s="40" t="s">
        <v>143</v>
      </c>
      <c r="B23" s="40" t="s">
        <v>144</v>
      </c>
      <c r="C23" s="40" t="s">
        <v>55</v>
      </c>
      <c r="D23" s="41" t="n">
        <v>0.00895</v>
      </c>
      <c r="E23" s="42" t="n">
        <v>50.8300691007</v>
      </c>
      <c r="F23" s="42" t="n">
        <v>36.9349406931</v>
      </c>
      <c r="G23" s="43" t="n">
        <f aca="false">IFERROR(E23/F23-1,"")</f>
        <v>0.376205515613453</v>
      </c>
      <c r="H23" s="42" t="n">
        <v>9.5888336624</v>
      </c>
      <c r="I23" s="42" t="n">
        <v>4.0080795236</v>
      </c>
      <c r="J23" s="43" t="n">
        <f aca="false">IFERROR(H23/I23-1,"")</f>
        <v>1.39237610080836</v>
      </c>
      <c r="K23" s="44" t="n">
        <f aca="false">H23-I23</f>
        <v>5.5807541388</v>
      </c>
      <c r="L23" s="42" t="n">
        <v>9.1342077034</v>
      </c>
      <c r="M23" s="42" t="n">
        <v>3.2648890031</v>
      </c>
      <c r="N23" s="43" t="n">
        <f aca="false">IFERROR(L23/M23-1,"")</f>
        <v>1.7977084962849</v>
      </c>
      <c r="O23" s="42" t="n">
        <v>10.8491159157</v>
      </c>
      <c r="P23" s="42" t="n">
        <v>2.4090761661</v>
      </c>
      <c r="Q23" s="43" t="n">
        <f aca="false">IFERROR(O23/P23-1,"")</f>
        <v>3.5034341663275</v>
      </c>
      <c r="R23" s="45" t="n">
        <f aca="false">IF(AND(H23&gt;0,I23&gt;0),1,0)</f>
        <v>1</v>
      </c>
      <c r="S23" s="43" t="n">
        <f aca="false">IF(R23=1,MIN(MAX(J23,-50%),50%),"")</f>
        <v>0.5</v>
      </c>
      <c r="T23" s="43" t="n">
        <f aca="false">IF(S23="","",D23*S23)</f>
        <v>0.004475</v>
      </c>
      <c r="U23" s="46" t="s">
        <v>145</v>
      </c>
    </row>
    <row r="24" customFormat="false" ht="15" hidden="false" customHeight="false" outlineLevel="0" collapsed="false">
      <c r="A24" s="40" t="s">
        <v>146</v>
      </c>
      <c r="B24" s="40" t="s">
        <v>147</v>
      </c>
      <c r="C24" s="40" t="s">
        <v>88</v>
      </c>
      <c r="D24" s="41" t="n">
        <v>0.01082</v>
      </c>
      <c r="E24" s="42" t="n">
        <v>36.4082592733</v>
      </c>
      <c r="F24" s="42" t="n">
        <v>45.9670921119</v>
      </c>
      <c r="G24" s="43" t="n">
        <f aca="false">IFERROR(E24/F24-1,"")</f>
        <v>-0.207949478625501</v>
      </c>
      <c r="H24" s="42" t="n">
        <v>4.4989125987</v>
      </c>
      <c r="I24" s="42" t="n">
        <v>5.9381465647</v>
      </c>
      <c r="J24" s="43" t="n">
        <f aca="false">IFERROR(H24/I24-1,"")</f>
        <v>-0.242370906530953</v>
      </c>
      <c r="K24" s="44" t="n">
        <f aca="false">H24-I24</f>
        <v>-1.439233966</v>
      </c>
      <c r="L24" s="42" t="n">
        <v>4.3619596521</v>
      </c>
      <c r="M24" s="42" t="n">
        <v>5.8118974772</v>
      </c>
      <c r="N24" s="43" t="n">
        <f aca="false">IFERROR(L24/M24-1,"")</f>
        <v>-0.249477529634356</v>
      </c>
      <c r="O24" s="42" t="n">
        <v>2.0365923176</v>
      </c>
      <c r="P24" s="42" t="n">
        <v>4.0322564924</v>
      </c>
      <c r="Q24" s="43" t="n">
        <f aca="false">IFERROR(O24/P24-1,"")</f>
        <v>-0.494924908314099</v>
      </c>
      <c r="R24" s="45" t="n">
        <f aca="false">IF(AND(H24&gt;0,I24&gt;0),1,0)</f>
        <v>1</v>
      </c>
      <c r="S24" s="43" t="n">
        <f aca="false">IF(R24=1,MIN(MAX(J24,-50%),50%),"")</f>
        <v>-0.242370906530953</v>
      </c>
      <c r="T24" s="43" t="n">
        <f aca="false">IF(S24="","",D24*S24)</f>
        <v>-0.00262245320866491</v>
      </c>
      <c r="U24" s="46" t="s">
        <v>148</v>
      </c>
    </row>
    <row r="25" customFormat="false" ht="15" hidden="false" customHeight="false" outlineLevel="0" collapsed="false">
      <c r="A25" s="40" t="s">
        <v>149</v>
      </c>
      <c r="B25" s="40" t="s">
        <v>150</v>
      </c>
      <c r="C25" s="40" t="s">
        <v>88</v>
      </c>
      <c r="D25" s="41" t="n">
        <v>0.00938</v>
      </c>
      <c r="E25" s="42" t="n">
        <v>15.5830110814</v>
      </c>
      <c r="F25" s="42" t="n">
        <v>14.7774185075</v>
      </c>
      <c r="G25" s="43" t="n">
        <f aca="false">IFERROR(E25/F25-1,"")</f>
        <v>0.0545151085415316</v>
      </c>
      <c r="H25" s="42" t="n">
        <v>4.2771325376</v>
      </c>
      <c r="I25" s="42" t="n">
        <v>4.0014294205</v>
      </c>
      <c r="J25" s="43" t="n">
        <f aca="false">IFERROR(H25/I25-1,"")</f>
        <v>0.0689011570933942</v>
      </c>
      <c r="K25" s="44" t="n">
        <f aca="false">H25-I25</f>
        <v>0.2757031171</v>
      </c>
      <c r="L25" s="42" t="n">
        <v>4.0056363406</v>
      </c>
      <c r="M25" s="42" t="n">
        <v>3.8558716797</v>
      </c>
      <c r="N25" s="43" t="n">
        <f aca="false">IFERROR(L25/M25-1,"")</f>
        <v>0.0388406755568307</v>
      </c>
      <c r="O25" s="42" t="n">
        <v>6.2765978374</v>
      </c>
      <c r="P25" s="42" t="n">
        <v>7.2364340508</v>
      </c>
      <c r="Q25" s="43" t="n">
        <f aca="false">IFERROR(O25/P25-1,"")</f>
        <v>-0.132639392090347</v>
      </c>
      <c r="R25" s="45" t="n">
        <f aca="false">IF(AND(H25&gt;0,I25&gt;0),1,0)</f>
        <v>1</v>
      </c>
      <c r="S25" s="43" t="n">
        <f aca="false">IF(R25=1,MIN(MAX(J25,-50%),50%),"")</f>
        <v>0.0689011570933942</v>
      </c>
      <c r="T25" s="43" t="n">
        <f aca="false">IF(S25="","",D25*S25)</f>
        <v>0.000646292853536037</v>
      </c>
      <c r="U25" s="46" t="s">
        <v>151</v>
      </c>
    </row>
    <row r="26" customFormat="false" ht="15" hidden="false" customHeight="false" outlineLevel="0" collapsed="false">
      <c r="A26" s="40" t="s">
        <v>152</v>
      </c>
      <c r="B26" s="40" t="s">
        <v>153</v>
      </c>
      <c r="C26" s="40" t="s">
        <v>95</v>
      </c>
      <c r="D26" s="41" t="n">
        <v>0.00981</v>
      </c>
      <c r="E26" s="42" t="n">
        <v>32.2657969376</v>
      </c>
      <c r="F26" s="42" t="n">
        <v>37.4105168541</v>
      </c>
      <c r="G26" s="43" t="n">
        <f aca="false">IFERROR(E26/F26-1,"")</f>
        <v>-0.137520685334669</v>
      </c>
      <c r="H26" s="42" t="n">
        <v>10.0740660194</v>
      </c>
      <c r="I26" s="42" t="n">
        <v>9.6047500859</v>
      </c>
      <c r="J26" s="43" t="n">
        <f aca="false">IFERROR(H26/I26-1,"")</f>
        <v>0.0488628990137878</v>
      </c>
      <c r="K26" s="44" t="n">
        <f aca="false">H26-I26</f>
        <v>0.469315933500001</v>
      </c>
      <c r="L26" s="42" t="n">
        <v>9.1114391533</v>
      </c>
      <c r="M26" s="42" t="n">
        <v>8.4052177329</v>
      </c>
      <c r="N26" s="43" t="n">
        <f aca="false">IFERROR(L26/M26-1,"")</f>
        <v>0.0840217877563936</v>
      </c>
      <c r="O26" s="42" t="n">
        <v>17.2173792335</v>
      </c>
      <c r="P26" s="42" t="n">
        <v>15.2948054692</v>
      </c>
      <c r="Q26" s="43" t="n">
        <f aca="false">IFERROR(O26/P26-1,"")</f>
        <v>0.125701092973794</v>
      </c>
      <c r="R26" s="45" t="n">
        <f aca="false">IF(AND(H26&gt;0,I26&gt;0),1,0)</f>
        <v>1</v>
      </c>
      <c r="S26" s="43" t="n">
        <f aca="false">IF(R26=1,MIN(MAX(J26,-50%),50%),"")</f>
        <v>0.0488628990137878</v>
      </c>
      <c r="T26" s="43" t="n">
        <f aca="false">IF(S26="","",D26*S26)</f>
        <v>0.000479345039325259</v>
      </c>
      <c r="U26" s="46" t="s">
        <v>154</v>
      </c>
    </row>
    <row r="27" customFormat="false" ht="15" hidden="false" customHeight="false" outlineLevel="0" collapsed="false">
      <c r="A27" s="40" t="s">
        <v>155</v>
      </c>
      <c r="B27" s="40" t="s">
        <v>156</v>
      </c>
      <c r="C27" s="40" t="s">
        <v>21</v>
      </c>
      <c r="D27" s="41" t="n">
        <v>0.01104</v>
      </c>
      <c r="E27" s="42" t="n">
        <v>513.08</v>
      </c>
      <c r="F27" s="42" t="n">
        <v>455.22</v>
      </c>
      <c r="G27" s="43" t="n">
        <f aca="false">IFERROR(E27/F27-1,"")</f>
        <v>0.127103378586178</v>
      </c>
      <c r="H27" s="42" t="n">
        <v>93.65</v>
      </c>
      <c r="I27" s="42" t="n">
        <v>114.7</v>
      </c>
      <c r="J27" s="43" t="n">
        <f aca="false">IFERROR(H27/I27-1,"")</f>
        <v>-0.183522231909329</v>
      </c>
      <c r="K27" s="44" t="n">
        <f aca="false">H27-I27</f>
        <v>-21.05</v>
      </c>
      <c r="L27" s="42" t="n">
        <v>93.54</v>
      </c>
      <c r="M27" s="42" t="n">
        <v>112.97</v>
      </c>
      <c r="N27" s="43" t="n">
        <f aca="false">IFERROR(L27/M27-1,"")</f>
        <v>-0.171992564397628</v>
      </c>
      <c r="O27" s="42" t="n">
        <v>991.48</v>
      </c>
      <c r="P27" s="42" t="n">
        <v>1318.78</v>
      </c>
      <c r="Q27" s="43" t="n">
        <f aca="false">IFERROR(O27/P27-1,"")</f>
        <v>-0.24818392756942</v>
      </c>
      <c r="R27" s="45" t="n">
        <f aca="false">IF(AND(H27&gt;0,I27&gt;0),1,0)</f>
        <v>1</v>
      </c>
      <c r="S27" s="43" t="n">
        <f aca="false">IF(R27=1,MIN(MAX(J27,-50%),50%),"")</f>
        <v>-0.183522231909329</v>
      </c>
      <c r="T27" s="43" t="n">
        <f aca="false">IF(S27="","",D27*S27)</f>
        <v>-0.00202608544027899</v>
      </c>
      <c r="U27" s="46" t="s">
        <v>157</v>
      </c>
    </row>
    <row r="28" customFormat="false" ht="15" hidden="false" customHeight="false" outlineLevel="0" collapsed="false">
      <c r="A28" s="40" t="s">
        <v>158</v>
      </c>
      <c r="B28" s="40" t="s">
        <v>159</v>
      </c>
      <c r="C28" s="40" t="s">
        <v>21</v>
      </c>
      <c r="D28" s="41" t="n">
        <v>0.00862</v>
      </c>
      <c r="E28" s="42" t="n">
        <v>751.66</v>
      </c>
      <c r="F28" s="42" t="n">
        <v>723.84</v>
      </c>
      <c r="G28" s="43" t="n">
        <f aca="false">IFERROR(E28/F28-1,"")</f>
        <v>0.038433908045977</v>
      </c>
      <c r="H28" s="42" t="n">
        <v>195.37</v>
      </c>
      <c r="I28" s="42" t="n">
        <v>213.8</v>
      </c>
      <c r="J28" s="43" t="n">
        <f aca="false">IFERROR(H28/I28-1,"")</f>
        <v>-0.0862020579981291</v>
      </c>
      <c r="K28" s="44" t="n">
        <f aca="false">H28-I28</f>
        <v>-18.43</v>
      </c>
      <c r="L28" s="42" t="n">
        <v>196.33</v>
      </c>
      <c r="M28" s="42" t="n">
        <v>215.07</v>
      </c>
      <c r="N28" s="43" t="n">
        <f aca="false">IFERROR(L28/M28-1,"")</f>
        <v>-0.0871344213511879</v>
      </c>
      <c r="O28" s="42" t="n">
        <v>1841.68</v>
      </c>
      <c r="P28" s="42" t="n">
        <v>-2190.43</v>
      </c>
      <c r="Q28" s="43" t="n">
        <f aca="false">IFERROR(O28/P28-1,"")</f>
        <v>-1.84078468611186</v>
      </c>
      <c r="R28" s="45" t="n">
        <f aca="false">IF(AND(H28&gt;0,I28&gt;0),1,0)</f>
        <v>1</v>
      </c>
      <c r="S28" s="43" t="n">
        <f aca="false">IF(R28=1,MIN(MAX(J28,-50%),50%),"")</f>
        <v>-0.0862020579981291</v>
      </c>
      <c r="T28" s="43" t="n">
        <f aca="false">IF(S28="","",D28*S28)</f>
        <v>-0.000743061739943873</v>
      </c>
      <c r="U28" s="46" t="s">
        <v>160</v>
      </c>
    </row>
    <row r="29" customFormat="false" ht="15" hidden="false" customHeight="false" outlineLevel="0" collapsed="false">
      <c r="A29" s="40" t="s">
        <v>161</v>
      </c>
      <c r="B29" s="40" t="s">
        <v>162</v>
      </c>
      <c r="C29" s="40" t="s">
        <v>163</v>
      </c>
      <c r="D29" s="41" t="n">
        <v>0.00888</v>
      </c>
      <c r="E29" s="42" t="n">
        <v>14365.61</v>
      </c>
      <c r="F29" s="42" t="n">
        <v>14090.52</v>
      </c>
      <c r="G29" s="43" t="n">
        <f aca="false">IFERROR(E29/F29-1,"")</f>
        <v>0.0195230552172667</v>
      </c>
      <c r="H29" s="42" t="n">
        <v>256.27</v>
      </c>
      <c r="I29" s="42" t="n">
        <v>214.83</v>
      </c>
      <c r="J29" s="43" t="n">
        <f aca="false">IFERROR(H29/I29-1,"")</f>
        <v>0.192896709025741</v>
      </c>
      <c r="K29" s="44" t="n">
        <f aca="false">H29-I29</f>
        <v>41.44</v>
      </c>
      <c r="L29" s="42" t="n">
        <v>252.73</v>
      </c>
      <c r="M29" s="42" t="n">
        <v>212.15</v>
      </c>
      <c r="N29" s="43" t="n">
        <f aca="false">IFERROR(L29/M29-1,"")</f>
        <v>0.191279754890408</v>
      </c>
      <c r="O29" s="42" t="n">
        <v>624.99</v>
      </c>
      <c r="P29" s="42" t="n">
        <v>610.16</v>
      </c>
      <c r="Q29" s="43" t="n">
        <f aca="false">IFERROR(O29/P29-1,"")</f>
        <v>0.0243051003015604</v>
      </c>
      <c r="R29" s="45" t="n">
        <f aca="false">IF(AND(H29&gt;0,I29&gt;0),1,0)</f>
        <v>1</v>
      </c>
      <c r="S29" s="43" t="n">
        <f aca="false">IF(R29=1,MIN(MAX(J29,-50%),50%),"")</f>
        <v>0.192896709025741</v>
      </c>
      <c r="T29" s="43" t="n">
        <f aca="false">IF(S29="","",D29*S29)</f>
        <v>0.00171292277614858</v>
      </c>
      <c r="U29" s="46" t="s">
        <v>164</v>
      </c>
    </row>
    <row r="30" customFormat="false" ht="15" hidden="false" customHeight="false" outlineLevel="0" collapsed="false">
      <c r="A30" s="40" t="s">
        <v>165</v>
      </c>
      <c r="B30" s="40" t="s">
        <v>166</v>
      </c>
      <c r="C30" s="40" t="s">
        <v>21</v>
      </c>
      <c r="D30" s="41" t="n">
        <v>0.00871</v>
      </c>
      <c r="E30" s="42" t="n">
        <v>1781.81</v>
      </c>
      <c r="F30" s="42" t="n">
        <v>1699.69</v>
      </c>
      <c r="G30" s="43" t="n">
        <f aca="false">IFERROR(E30/F30-1,"")</f>
        <v>0.0483146926792533</v>
      </c>
      <c r="H30" s="42" t="n">
        <v>764.45</v>
      </c>
      <c r="I30" s="42" t="n">
        <v>749.3</v>
      </c>
      <c r="J30" s="43" t="n">
        <f aca="false">IFERROR(H30/I30-1,"")</f>
        <v>0.0202188709462166</v>
      </c>
      <c r="K30" s="44" t="n">
        <f aca="false">H30-I30</f>
        <v>15.1500000000001</v>
      </c>
      <c r="L30" s="42" t="n">
        <v>763.39</v>
      </c>
      <c r="M30" s="42" t="n">
        <v>748.19</v>
      </c>
      <c r="N30" s="43" t="n">
        <f aca="false">IFERROR(L30/M30-1,"")</f>
        <v>0.0203156952111094</v>
      </c>
      <c r="O30" s="42" t="n">
        <v>3046.11</v>
      </c>
      <c r="P30" s="42" t="n">
        <v>1344.61</v>
      </c>
      <c r="Q30" s="43" t="n">
        <f aca="false">IFERROR(O30/P30-1,"")</f>
        <v>1.26542268761946</v>
      </c>
      <c r="R30" s="45" t="n">
        <f aca="false">IF(AND(H30&gt;0,I30&gt;0),1,0)</f>
        <v>1</v>
      </c>
      <c r="S30" s="43" t="n">
        <f aca="false">IF(R30=1,MIN(MAX(J30,-50%),50%),"")</f>
        <v>0.0202188709462166</v>
      </c>
      <c r="T30" s="43" t="n">
        <f aca="false">IF(S30="","",D30*S30)</f>
        <v>0.000176106365941546</v>
      </c>
      <c r="U30" s="46" t="s">
        <v>167</v>
      </c>
    </row>
    <row r="31" customFormat="false" ht="15" hidden="false" customHeight="false" outlineLevel="0" collapsed="false">
      <c r="A31" s="40" t="s">
        <v>168</v>
      </c>
      <c r="B31" s="40" t="s">
        <v>169</v>
      </c>
      <c r="C31" s="40" t="s">
        <v>84</v>
      </c>
      <c r="D31" s="41" t="n">
        <v>0.01117</v>
      </c>
      <c r="E31" s="42" t="n">
        <v>468.5170795272</v>
      </c>
      <c r="F31" s="42" t="n">
        <v>435.3565737214</v>
      </c>
      <c r="G31" s="43" t="n">
        <f aca="false">IFERROR(E31/F31-1,"")</f>
        <v>0.0761686116792635</v>
      </c>
      <c r="H31" s="42" t="n">
        <v>30.9074397606</v>
      </c>
      <c r="I31" s="42" t="n">
        <v>27.7954672585</v>
      </c>
      <c r="J31" s="43" t="n">
        <f aca="false">IFERROR(H31/I31-1,"")</f>
        <v>0.111959711745747</v>
      </c>
      <c r="K31" s="44" t="n">
        <f aca="false">H31-I31</f>
        <v>3.1119725021</v>
      </c>
      <c r="L31" s="42" t="n">
        <v>30.8332864454</v>
      </c>
      <c r="M31" s="42" t="n">
        <v>27.2029154417</v>
      </c>
      <c r="N31" s="43" t="n">
        <f aca="false">IFERROR(L31/M31-1,"")</f>
        <v>0.133455217749746</v>
      </c>
      <c r="O31" s="42" t="n">
        <v>-48.0317382109</v>
      </c>
      <c r="P31" s="42" t="n">
        <v>-42.8367420454</v>
      </c>
      <c r="Q31" s="43" t="n">
        <f aca="false">IFERROR(O31/P31-1,"")</f>
        <v>0.121274306061702</v>
      </c>
      <c r="R31" s="45" t="n">
        <f aca="false">IF(AND(H31&gt;0,I31&gt;0),1,0)</f>
        <v>1</v>
      </c>
      <c r="S31" s="43" t="n">
        <f aca="false">IF(R31=1,MIN(MAX(J31,-50%),50%),"")</f>
        <v>0.111959711745747</v>
      </c>
      <c r="T31" s="43" t="n">
        <f aca="false">IF(S31="","",D31*S31)</f>
        <v>0.00125058998019999</v>
      </c>
      <c r="U31" s="46" t="s">
        <v>170</v>
      </c>
    </row>
    <row r="32" customFormat="false" ht="15" hidden="false" customHeight="false" outlineLevel="0" collapsed="false">
      <c r="A32" s="40" t="s">
        <v>171</v>
      </c>
      <c r="B32" s="40" t="s">
        <v>172</v>
      </c>
      <c r="C32" s="40" t="s">
        <v>88</v>
      </c>
      <c r="D32" s="41" t="n">
        <v>0.00662</v>
      </c>
      <c r="E32" s="42" t="n">
        <v>2090.4520630351</v>
      </c>
      <c r="F32" s="42" t="n">
        <v>2039.4825427609</v>
      </c>
      <c r="G32" s="43" t="n">
        <f aca="false">IFERROR(E32/F32-1,"")</f>
        <v>0.0249913981637719</v>
      </c>
      <c r="H32" s="42" t="n">
        <v>10.6599767572</v>
      </c>
      <c r="I32" s="42" t="n">
        <v>10.3211525068</v>
      </c>
      <c r="J32" s="43" t="n">
        <f aca="false">IFERROR(H32/I32-1,"")</f>
        <v>0.0328281410604843</v>
      </c>
      <c r="K32" s="44" t="n">
        <f aca="false">H32-I32</f>
        <v>0.3388242504</v>
      </c>
      <c r="L32" s="42" t="n">
        <v>9.417917</v>
      </c>
      <c r="M32" s="42" t="n">
        <v>3.307447</v>
      </c>
      <c r="N32" s="43" t="n">
        <f aca="false">IFERROR(L32/M32-1,"")</f>
        <v>1.84748841024512</v>
      </c>
      <c r="O32" s="42" t="n">
        <v>-138.6610796863</v>
      </c>
      <c r="P32" s="42" t="n">
        <v>-29.8579284985</v>
      </c>
      <c r="Q32" s="43" t="n">
        <f aca="false">IFERROR(O32/P32-1,"")</f>
        <v>3.64402879433736</v>
      </c>
      <c r="R32" s="45" t="n">
        <f aca="false">IF(AND(H32&gt;0,I32&gt;0),1,0)</f>
        <v>1</v>
      </c>
      <c r="S32" s="43" t="n">
        <f aca="false">IF(R32=1,MIN(MAX(J32,-50%),50%),"")</f>
        <v>0.0328281410604843</v>
      </c>
      <c r="T32" s="43" t="n">
        <f aca="false">IF(S32="","",D32*S32)</f>
        <v>0.000217322293820406</v>
      </c>
      <c r="U32" s="46" t="s">
        <v>173</v>
      </c>
    </row>
    <row r="33" customFormat="false" ht="15" hidden="false" customHeight="false" outlineLevel="0" collapsed="false">
      <c r="A33" s="40" t="s">
        <v>174</v>
      </c>
      <c r="B33" s="40" t="s">
        <v>175</v>
      </c>
      <c r="C33" s="40" t="s">
        <v>88</v>
      </c>
      <c r="D33" s="41" t="n">
        <v>0.00814</v>
      </c>
      <c r="E33" s="42" t="n">
        <v>14.0820844673</v>
      </c>
      <c r="F33" s="42" t="n">
        <v>19.5998192423</v>
      </c>
      <c r="G33" s="43" t="n">
        <f aca="false">IFERROR(E33/F33-1,"")</f>
        <v>-0.281519676624962</v>
      </c>
      <c r="H33" s="42" t="n">
        <v>12.5575641658</v>
      </c>
      <c r="I33" s="42" t="n">
        <v>13.8101151987</v>
      </c>
      <c r="J33" s="43" t="n">
        <f aca="false">IFERROR(H33/I33-1,"")</f>
        <v>-0.0906980872265213</v>
      </c>
      <c r="K33" s="44" t="n">
        <f aca="false">H33-I33</f>
        <v>-1.2525510329</v>
      </c>
      <c r="L33" s="42" t="n">
        <v>13.3668335212</v>
      </c>
      <c r="M33" s="42" t="n">
        <v>13.5225267159</v>
      </c>
      <c r="N33" s="43" t="n">
        <f aca="false">IFERROR(L33/M33-1,"")</f>
        <v>-0.0115136170902833</v>
      </c>
      <c r="O33" s="42" t="n">
        <v>9.137639924</v>
      </c>
      <c r="P33" s="42" t="n">
        <v>5.4514006303</v>
      </c>
      <c r="Q33" s="43" t="n">
        <f aca="false">IFERROR(O33/P33-1,"")</f>
        <v>0.676200401271396</v>
      </c>
      <c r="R33" s="45" t="n">
        <f aca="false">IF(AND(H33&gt;0,I33&gt;0),1,0)</f>
        <v>1</v>
      </c>
      <c r="S33" s="43" t="n">
        <f aca="false">IF(R33=1,MIN(MAX(J33,-50%),50%),"")</f>
        <v>-0.0906980872265213</v>
      </c>
      <c r="T33" s="43" t="n">
        <f aca="false">IF(S33="","",D33*S33)</f>
        <v>-0.000738282430023883</v>
      </c>
      <c r="U33" s="46" t="s">
        <v>176</v>
      </c>
    </row>
    <row r="34" customFormat="false" ht="15" hidden="false" customHeight="false" outlineLevel="0" collapsed="false">
      <c r="A34" s="40" t="s">
        <v>177</v>
      </c>
      <c r="B34" s="40" t="s">
        <v>178</v>
      </c>
      <c r="C34" s="40" t="s">
        <v>88</v>
      </c>
      <c r="D34" s="41" t="n">
        <v>0.00926</v>
      </c>
      <c r="E34" s="42" t="n">
        <v>228.2098202844</v>
      </c>
      <c r="F34" s="42" t="n">
        <v>250.557132283</v>
      </c>
      <c r="G34" s="43" t="n">
        <f aca="false">IFERROR(E34/F34-1,"")</f>
        <v>-0.0891904844016138</v>
      </c>
      <c r="H34" s="42" t="n">
        <v>29.3444040774</v>
      </c>
      <c r="I34" s="42" t="n">
        <v>27.6474740132</v>
      </c>
      <c r="J34" s="43" t="n">
        <f aca="false">IFERROR(H34/I34-1,"")</f>
        <v>0.0613773997360416</v>
      </c>
      <c r="K34" s="44" t="n">
        <f aca="false">H34-I34</f>
        <v>1.6969300642</v>
      </c>
      <c r="L34" s="42" t="n">
        <v>28.7436416566</v>
      </c>
      <c r="M34" s="42" t="n">
        <v>26.95787938</v>
      </c>
      <c r="N34" s="43" t="n">
        <f aca="false">IFERROR(L34/M34-1,"")</f>
        <v>0.0662426836854553</v>
      </c>
      <c r="O34" s="42" t="n">
        <v>29.4453529287</v>
      </c>
      <c r="P34" s="42" t="n">
        <v>42.1628290383</v>
      </c>
      <c r="Q34" s="43" t="n">
        <f aca="false">IFERROR(O34/P34-1,"")</f>
        <v>-0.301627675364185</v>
      </c>
      <c r="R34" s="45" t="n">
        <f aca="false">IF(AND(H34&gt;0,I34&gt;0),1,0)</f>
        <v>1</v>
      </c>
      <c r="S34" s="43" t="n">
        <f aca="false">IF(R34=1,MIN(MAX(J34,-50%),50%),"")</f>
        <v>0.0613773997360416</v>
      </c>
      <c r="T34" s="43" t="n">
        <f aca="false">IF(S34="","",D34*S34)</f>
        <v>0.000568354721555745</v>
      </c>
      <c r="U34" s="46" t="s">
        <v>179</v>
      </c>
    </row>
    <row r="35" customFormat="false" ht="15" hidden="false" customHeight="false" outlineLevel="0" collapsed="false">
      <c r="A35" s="40" t="s">
        <v>180</v>
      </c>
      <c r="B35" s="40" t="s">
        <v>181</v>
      </c>
      <c r="C35" s="40" t="s">
        <v>22</v>
      </c>
      <c r="D35" s="41" t="n">
        <v>0.00541</v>
      </c>
      <c r="E35" s="42" t="n">
        <v>47.9218473738</v>
      </c>
      <c r="F35" s="42" t="n">
        <v>40.5011919791</v>
      </c>
      <c r="G35" s="43" t="n">
        <f aca="false">IFERROR(E35/F35-1,"")</f>
        <v>0.183220666654189</v>
      </c>
      <c r="H35" s="42" t="n">
        <v>0.8311038203</v>
      </c>
      <c r="I35" s="42" t="n">
        <v>0.5747783265</v>
      </c>
      <c r="J35" s="43" t="n">
        <f aca="false">IFERROR(H35/I35-1,"")</f>
        <v>0.445955391813125</v>
      </c>
      <c r="K35" s="44" t="n">
        <f aca="false">H35-I35</f>
        <v>0.2563254938</v>
      </c>
      <c r="L35" s="42" t="n">
        <v>0.9468084777</v>
      </c>
      <c r="M35" s="42" t="n">
        <v>-1.7046054092</v>
      </c>
      <c r="N35" s="43" t="n">
        <f aca="false">IFERROR(L35/M35-1,"")</f>
        <v>-1.55544143682165</v>
      </c>
      <c r="O35" s="42" t="n">
        <v>2.8106117779</v>
      </c>
      <c r="P35" s="42" t="n">
        <v>-4.6021281335</v>
      </c>
      <c r="Q35" s="43" t="n">
        <f aca="false">IFERROR(O35/P35-1,"")</f>
        <v>-1.61072001829781</v>
      </c>
      <c r="R35" s="45" t="n">
        <f aca="false">IF(AND(H35&gt;0,I35&gt;0),1,0)</f>
        <v>1</v>
      </c>
      <c r="S35" s="43" t="n">
        <f aca="false">IF(R35=1,MIN(MAX(J35,-50%),50%),"")</f>
        <v>0.445955391813125</v>
      </c>
      <c r="T35" s="43" t="n">
        <f aca="false">IF(S35="","",D35*S35)</f>
        <v>0.00241261866970901</v>
      </c>
      <c r="U35" s="46" t="s">
        <v>182</v>
      </c>
    </row>
    <row r="36" customFormat="false" ht="15" hidden="false" customHeight="false" outlineLevel="0" collapsed="false">
      <c r="A36" s="40" t="s">
        <v>183</v>
      </c>
      <c r="B36" s="40" t="s">
        <v>184</v>
      </c>
      <c r="C36" s="40" t="s">
        <v>88</v>
      </c>
      <c r="D36" s="41" t="n">
        <v>0.01155</v>
      </c>
      <c r="E36" s="42" t="n">
        <v>3037.8412819963</v>
      </c>
      <c r="F36" s="42" t="n">
        <v>3153.2057344366</v>
      </c>
      <c r="G36" s="43" t="n">
        <f aca="false">IFERROR(E36/F36-1,"")</f>
        <v>-0.0365864019529042</v>
      </c>
      <c r="H36" s="42" t="n">
        <v>9.8890956137</v>
      </c>
      <c r="I36" s="42" t="n">
        <v>8.407460104</v>
      </c>
      <c r="J36" s="43" t="n">
        <f aca="false">IFERROR(H36/I36-1,"")</f>
        <v>0.176228669701934</v>
      </c>
      <c r="K36" s="44" t="n">
        <f aca="false">H36-I36</f>
        <v>1.4816355097</v>
      </c>
      <c r="L36" s="42" t="n">
        <v>10.7657814972</v>
      </c>
      <c r="M36" s="42" t="n">
        <v>6.7489515869</v>
      </c>
      <c r="N36" s="43" t="n">
        <f aca="false">IFERROR(L36/M36-1,"")</f>
        <v>0.595178356012634</v>
      </c>
      <c r="O36" s="42" t="n">
        <v>66.4083608877</v>
      </c>
      <c r="P36" s="42" t="n">
        <v>178.6910017487</v>
      </c>
      <c r="Q36" s="43" t="n">
        <f aca="false">IFERROR(O36/P36-1,"")</f>
        <v>-0.628362031451966</v>
      </c>
      <c r="R36" s="45" t="n">
        <f aca="false">IF(AND(H36&gt;0,I36&gt;0),1,0)</f>
        <v>1</v>
      </c>
      <c r="S36" s="43" t="n">
        <f aca="false">IF(R36=1,MIN(MAX(J36,-50%),50%),"")</f>
        <v>0.176228669701934</v>
      </c>
      <c r="T36" s="43" t="n">
        <f aca="false">IF(S36="","",D36*S36)</f>
        <v>0.00203544113505733</v>
      </c>
      <c r="U36" s="46" t="s">
        <v>185</v>
      </c>
    </row>
    <row r="37" customFormat="false" ht="15" hidden="false" customHeight="false" outlineLevel="0" collapsed="false">
      <c r="A37" s="40" t="s">
        <v>186</v>
      </c>
      <c r="B37" s="40" t="s">
        <v>187</v>
      </c>
      <c r="C37" s="40" t="s">
        <v>88</v>
      </c>
      <c r="D37" s="41" t="n">
        <v>0.01313</v>
      </c>
      <c r="E37" s="42" t="n">
        <v>51.4875633467</v>
      </c>
      <c r="F37" s="42" t="n">
        <v>51.1131056788</v>
      </c>
      <c r="G37" s="43" t="n">
        <f aca="false">IFERROR(E37/F37-1,"")</f>
        <v>0.00732605978304535</v>
      </c>
      <c r="H37" s="42" t="n">
        <v>21.2307245268</v>
      </c>
      <c r="I37" s="42" t="n">
        <v>17.1509062375</v>
      </c>
      <c r="J37" s="43" t="n">
        <f aca="false">IFERROR(H37/I37-1,"")</f>
        <v>0.237877709364394</v>
      </c>
      <c r="K37" s="44" t="n">
        <f aca="false">H37-I37</f>
        <v>4.0798182893</v>
      </c>
      <c r="L37" s="42" t="n">
        <v>20.608286409</v>
      </c>
      <c r="M37" s="42" t="n">
        <v>16.7893087467</v>
      </c>
      <c r="N37" s="43" t="n">
        <f aca="false">IFERROR(L37/M37-1,"")</f>
        <v>0.22746485396849</v>
      </c>
      <c r="O37" s="42" t="n">
        <v>5.9918622121</v>
      </c>
      <c r="P37" s="42" t="n">
        <v>5.9382814918</v>
      </c>
      <c r="Q37" s="43" t="n">
        <f aca="false">IFERROR(O37/P37-1,"")</f>
        <v>0.00902293371811158</v>
      </c>
      <c r="R37" s="45" t="n">
        <f aca="false">IF(AND(H37&gt;0,I37&gt;0),1,0)</f>
        <v>1</v>
      </c>
      <c r="S37" s="43" t="n">
        <f aca="false">IF(R37=1,MIN(MAX(J37,-50%),50%),"")</f>
        <v>0.237877709364394</v>
      </c>
      <c r="T37" s="43" t="n">
        <f aca="false">IF(S37="","",D37*S37)</f>
        <v>0.0031233343239545</v>
      </c>
      <c r="U37" s="46" t="s">
        <v>188</v>
      </c>
    </row>
    <row r="38" customFormat="false" ht="15" hidden="false" customHeight="false" outlineLevel="0" collapsed="false">
      <c r="A38" s="40" t="s">
        <v>189</v>
      </c>
      <c r="B38" s="40" t="s">
        <v>190</v>
      </c>
      <c r="C38" s="40" t="s">
        <v>22</v>
      </c>
      <c r="D38" s="41" t="n">
        <v>0.01984</v>
      </c>
      <c r="E38" s="42" t="n">
        <v>756.47064</v>
      </c>
      <c r="F38" s="42" t="n">
        <v>669.4127</v>
      </c>
      <c r="G38" s="43" t="n">
        <f aca="false">IFERROR(E38/F38-1,"")</f>
        <v>0.130051222511912</v>
      </c>
      <c r="H38" s="42" t="n">
        <v>71.49644</v>
      </c>
      <c r="I38" s="42" t="n">
        <v>48.39084</v>
      </c>
      <c r="J38" s="43" t="n">
        <f aca="false">IFERROR(H38/I38-1,"")</f>
        <v>0.477478795573708</v>
      </c>
      <c r="K38" s="44" t="n">
        <f aca="false">H38-I38</f>
        <v>23.1056</v>
      </c>
      <c r="L38" s="42" t="n">
        <v>46.07236</v>
      </c>
      <c r="M38" s="42" t="n">
        <v>44.2966</v>
      </c>
      <c r="N38" s="43" t="n">
        <f aca="false">IFERROR(L38/M38-1,"")</f>
        <v>0.0400879525742384</v>
      </c>
      <c r="O38" s="42" t="n">
        <v>138.35582</v>
      </c>
      <c r="P38" s="42" t="n">
        <v>140.00704</v>
      </c>
      <c r="Q38" s="43" t="n">
        <f aca="false">IFERROR(O38/P38-1,"")</f>
        <v>-0.0117938355099857</v>
      </c>
      <c r="R38" s="45" t="n">
        <f aca="false">IF(AND(H38&gt;0,I38&gt;0),1,0)</f>
        <v>1</v>
      </c>
      <c r="S38" s="43" t="n">
        <f aca="false">IF(R38=1,MIN(MAX(J38,-50%),50%),"")</f>
        <v>0.477478795573708</v>
      </c>
      <c r="T38" s="43" t="n">
        <f aca="false">IF(S38="","",D38*S38)</f>
        <v>0.00947317930418236</v>
      </c>
      <c r="U38" s="46" t="s">
        <v>191</v>
      </c>
    </row>
    <row r="39" customFormat="false" ht="15" hidden="false" customHeight="false" outlineLevel="0" collapsed="false">
      <c r="A39" s="40" t="s">
        <v>192</v>
      </c>
      <c r="B39" s="40" t="s">
        <v>193</v>
      </c>
      <c r="C39" s="40" t="s">
        <v>163</v>
      </c>
      <c r="D39" s="41" t="n">
        <v>0.01884</v>
      </c>
      <c r="E39" s="42" t="n">
        <v>142.4103443776</v>
      </c>
      <c r="F39" s="42" t="n">
        <v>157.4767845009</v>
      </c>
      <c r="G39" s="43" t="n">
        <f aca="false">IFERROR(E39/F39-1,"")</f>
        <v>-0.0956740396436904</v>
      </c>
      <c r="H39" s="42" t="n">
        <v>12.782199292</v>
      </c>
      <c r="I39" s="42" t="n">
        <v>8.5325191899</v>
      </c>
      <c r="J39" s="43" t="n">
        <f aca="false">IFERROR(H39/I39-1,"")</f>
        <v>0.498056905295962</v>
      </c>
      <c r="K39" s="44" t="n">
        <f aca="false">H39-I39</f>
        <v>4.2496801021</v>
      </c>
      <c r="L39" s="42" t="n">
        <v>13.3137207067</v>
      </c>
      <c r="M39" s="42" t="n">
        <v>8.3385015957</v>
      </c>
      <c r="N39" s="43" t="n">
        <f aca="false">IFERROR(L39/M39-1,"")</f>
        <v>0.596656252193514</v>
      </c>
      <c r="O39" s="42" t="n">
        <v>28.1437148536</v>
      </c>
      <c r="P39" s="42" t="n">
        <v>28.2315933358</v>
      </c>
      <c r="Q39" s="43" t="n">
        <f aca="false">IFERROR(O39/P39-1,"")</f>
        <v>-0.00311277090013062</v>
      </c>
      <c r="R39" s="45" t="n">
        <f aca="false">IF(AND(H39&gt;0,I39&gt;0),1,0)</f>
        <v>1</v>
      </c>
      <c r="S39" s="43" t="n">
        <f aca="false">IF(R39=1,MIN(MAX(J39,-50%),50%),"")</f>
        <v>0.498056905295962</v>
      </c>
      <c r="T39" s="43" t="n">
        <f aca="false">IF(S39="","",D39*S39)</f>
        <v>0.00938339209577592</v>
      </c>
      <c r="U39" s="46" t="s">
        <v>194</v>
      </c>
    </row>
    <row r="40" customFormat="false" ht="15" hidden="false" customHeight="false" outlineLevel="0" collapsed="false">
      <c r="A40" s="40" t="s">
        <v>195</v>
      </c>
      <c r="B40" s="40" t="s">
        <v>196</v>
      </c>
      <c r="C40" s="40" t="s">
        <v>88</v>
      </c>
      <c r="D40" s="41" t="n">
        <v>0.00756</v>
      </c>
      <c r="E40" s="42" t="n">
        <v>50.3615678421</v>
      </c>
      <c r="F40" s="42" t="n">
        <v>50.0630706364</v>
      </c>
      <c r="G40" s="43" t="n">
        <f aca="false">IFERROR(E40/F40-1,"")</f>
        <v>0.00596242303769068</v>
      </c>
      <c r="H40" s="42" t="n">
        <v>2.1887234432</v>
      </c>
      <c r="I40" s="42" t="n">
        <v>5.8059281578</v>
      </c>
      <c r="J40" s="43" t="n">
        <f aca="false">IFERROR(H40/I40-1,"")</f>
        <v>-0.623019199736471</v>
      </c>
      <c r="K40" s="44" t="n">
        <f aca="false">H40-I40</f>
        <v>-3.6172047146</v>
      </c>
      <c r="L40" s="42" t="n">
        <v>3.0268418485</v>
      </c>
      <c r="M40" s="42" t="n">
        <v>5.2925194198</v>
      </c>
      <c r="N40" s="43" t="n">
        <f aca="false">IFERROR(L40/M40-1,"")</f>
        <v>-0.428090554155325</v>
      </c>
      <c r="O40" s="42" t="n">
        <v>-0.4366724102</v>
      </c>
      <c r="P40" s="42" t="n">
        <v>3.0264342998</v>
      </c>
      <c r="Q40" s="43" t="n">
        <f aca="false">IFERROR(O40/P40-1,"")</f>
        <v>-1.14428610270141</v>
      </c>
      <c r="R40" s="45" t="n">
        <f aca="false">IF(AND(H40&gt;0,I40&gt;0),1,0)</f>
        <v>1</v>
      </c>
      <c r="S40" s="43" t="n">
        <f aca="false">IF(R40=1,MIN(MAX(J40,-50%),50%),"")</f>
        <v>-0.5</v>
      </c>
      <c r="T40" s="43" t="n">
        <f aca="false">IF(S40="","",D40*S40)</f>
        <v>-0.00378</v>
      </c>
      <c r="U40" s="46" t="s">
        <v>197</v>
      </c>
    </row>
    <row r="41" customFormat="false" ht="15" hidden="false" customHeight="false" outlineLevel="0" collapsed="false">
      <c r="A41" s="40" t="s">
        <v>198</v>
      </c>
      <c r="B41" s="40" t="s">
        <v>199</v>
      </c>
      <c r="C41" s="40" t="s">
        <v>88</v>
      </c>
      <c r="D41" s="41" t="n">
        <v>0.00967</v>
      </c>
      <c r="E41" s="42" t="n">
        <v>311.3102459358</v>
      </c>
      <c r="F41" s="42" t="n">
        <v>289.4449540932</v>
      </c>
      <c r="G41" s="43" t="n">
        <f aca="false">IFERROR(E41/F41-1,"")</f>
        <v>0.0755421420667071</v>
      </c>
      <c r="H41" s="42" t="n">
        <v>13.2209209377</v>
      </c>
      <c r="I41" s="42" t="n">
        <v>14.630863697</v>
      </c>
      <c r="J41" s="43" t="n">
        <f aca="false">IFERROR(H41/I41-1,"")</f>
        <v>-0.0963677051812808</v>
      </c>
      <c r="K41" s="44" t="n">
        <f aca="false">H41-I41</f>
        <v>-1.4099427593</v>
      </c>
      <c r="L41" s="42" t="n">
        <v>11.2657040513</v>
      </c>
      <c r="M41" s="42" t="n">
        <v>11.4921048759</v>
      </c>
      <c r="N41" s="43" t="n">
        <f aca="false">IFERROR(L41/M41-1,"")</f>
        <v>-0.0197005532967929</v>
      </c>
      <c r="O41" s="42" t="n">
        <v>15.4306473329</v>
      </c>
      <c r="P41" s="42" t="n">
        <v>22.6504526479</v>
      </c>
      <c r="Q41" s="43" t="n">
        <f aca="false">IFERROR(O41/P41-1,"")</f>
        <v>-0.318748831523655</v>
      </c>
      <c r="R41" s="45" t="n">
        <f aca="false">IF(AND(H41&gt;0,I41&gt;0),1,0)</f>
        <v>1</v>
      </c>
      <c r="S41" s="43" t="n">
        <f aca="false">IF(R41=1,MIN(MAX(J41,-50%),50%),"")</f>
        <v>-0.0963677051812808</v>
      </c>
      <c r="T41" s="43" t="n">
        <f aca="false">IF(S41="","",D41*S41)</f>
        <v>-0.000931875709102985</v>
      </c>
      <c r="U41" s="46" t="s">
        <v>200</v>
      </c>
    </row>
    <row r="42" customFormat="false" ht="15" hidden="false" customHeight="false" outlineLevel="0" collapsed="false">
      <c r="A42" s="40" t="s">
        <v>201</v>
      </c>
      <c r="B42" s="40" t="s">
        <v>202</v>
      </c>
      <c r="C42" s="40" t="s">
        <v>88</v>
      </c>
      <c r="D42" s="41" t="n">
        <v>0.01464</v>
      </c>
      <c r="E42" s="42" t="n">
        <v>125.2002659256</v>
      </c>
      <c r="F42" s="42" t="n">
        <v>118.2450535152</v>
      </c>
      <c r="G42" s="43" t="n">
        <f aca="false">IFERROR(E42/F42-1,"")</f>
        <v>0.0588203244333254</v>
      </c>
      <c r="H42" s="42" t="n">
        <v>14.1571009209</v>
      </c>
      <c r="I42" s="42" t="n">
        <v>9.8866953325</v>
      </c>
      <c r="J42" s="43" t="n">
        <f aca="false">IFERROR(H42/I42-1,"")</f>
        <v>0.431934579228119</v>
      </c>
      <c r="K42" s="44" t="n">
        <f aca="false">H42-I42</f>
        <v>4.2704055884</v>
      </c>
      <c r="L42" s="42" t="n">
        <v>13.3998435427</v>
      </c>
      <c r="M42" s="42" t="n">
        <v>9.6899575585</v>
      </c>
      <c r="N42" s="43" t="n">
        <f aca="false">IFERROR(L42/M42-1,"")</f>
        <v>0.382858847606169</v>
      </c>
      <c r="O42" s="42" t="n">
        <v>18.7463080559</v>
      </c>
      <c r="P42" s="42" t="n">
        <v>10.3384669514</v>
      </c>
      <c r="Q42" s="43" t="n">
        <f aca="false">IFERROR(O42/P42-1,"")</f>
        <v>0.81325801436754</v>
      </c>
      <c r="R42" s="45" t="n">
        <f aca="false">IF(AND(H42&gt;0,I42&gt;0),1,0)</f>
        <v>1</v>
      </c>
      <c r="S42" s="43" t="n">
        <f aca="false">IF(R42=1,MIN(MAX(J42,-50%),50%),"")</f>
        <v>0.431934579228119</v>
      </c>
      <c r="T42" s="43" t="n">
        <f aca="false">IF(S42="","",D42*S42)</f>
        <v>0.00632352223989967</v>
      </c>
      <c r="U42" s="46" t="s">
        <v>203</v>
      </c>
    </row>
    <row r="43" customFormat="false" ht="15" hidden="false" customHeight="false" outlineLevel="0" collapsed="false">
      <c r="A43" s="40" t="s">
        <v>204</v>
      </c>
      <c r="B43" s="40" t="s">
        <v>205</v>
      </c>
      <c r="C43" s="40" t="s">
        <v>22</v>
      </c>
      <c r="D43" s="41" t="n">
        <v>0.0124</v>
      </c>
      <c r="E43" s="42" t="n">
        <v>99.2099706388</v>
      </c>
      <c r="F43" s="42" t="n">
        <v>112.3959409035</v>
      </c>
      <c r="G43" s="43" t="n">
        <f aca="false">IFERROR(E43/F43-1,"")</f>
        <v>-0.117317139379803</v>
      </c>
      <c r="H43" s="42" t="n">
        <v>10.6152874417</v>
      </c>
      <c r="I43" s="42" t="n">
        <v>7.826363313</v>
      </c>
      <c r="J43" s="43" t="n">
        <f aca="false">IFERROR(H43/I43-1,"")</f>
        <v>0.356349944049678</v>
      </c>
      <c r="K43" s="44" t="n">
        <f aca="false">H43-I43</f>
        <v>2.7889241287</v>
      </c>
      <c r="L43" s="42" t="n">
        <v>10.3266828412</v>
      </c>
      <c r="M43" s="42" t="n">
        <v>8.2411335342</v>
      </c>
      <c r="N43" s="43" t="n">
        <f aca="false">IFERROR(L43/M43-1,"")</f>
        <v>0.25306583109534</v>
      </c>
      <c r="O43" s="42" t="n">
        <v>6.9903378762</v>
      </c>
      <c r="P43" s="42" t="n">
        <v>0.5181726707</v>
      </c>
      <c r="Q43" s="43" t="n">
        <f aca="false">IFERROR(O43/P43-1,"")</f>
        <v>12.4903638718668</v>
      </c>
      <c r="R43" s="45" t="n">
        <f aca="false">IF(AND(H43&gt;0,I43&gt;0),1,0)</f>
        <v>1</v>
      </c>
      <c r="S43" s="43" t="n">
        <f aca="false">IF(R43=1,MIN(MAX(J43,-50%),50%),"")</f>
        <v>0.356349944049678</v>
      </c>
      <c r="T43" s="43" t="n">
        <f aca="false">IF(S43="","",D43*S43)</f>
        <v>0.004418739306216</v>
      </c>
      <c r="U43" s="46" t="s">
        <v>206</v>
      </c>
    </row>
    <row r="44" customFormat="false" ht="15" hidden="false" customHeight="false" outlineLevel="0" collapsed="false">
      <c r="A44" s="40" t="s">
        <v>207</v>
      </c>
      <c r="B44" s="40" t="s">
        <v>208</v>
      </c>
      <c r="C44" s="40" t="s">
        <v>95</v>
      </c>
      <c r="D44" s="41" t="n">
        <v>0.01162</v>
      </c>
      <c r="E44" s="42" t="n">
        <v>109.6395369656</v>
      </c>
      <c r="F44" s="42" t="n">
        <v>107.3884122074</v>
      </c>
      <c r="G44" s="43" t="n">
        <f aca="false">IFERROR(E44/F44-1,"")</f>
        <v>0.0209624549979601</v>
      </c>
      <c r="H44" s="42" t="n">
        <v>15.7753318817</v>
      </c>
      <c r="I44" s="42" t="n">
        <v>16.9586982399</v>
      </c>
      <c r="J44" s="43" t="n">
        <f aca="false">IFERROR(H44/I44-1,"")</f>
        <v>-0.0697793156915667</v>
      </c>
      <c r="K44" s="44" t="n">
        <f aca="false">H44-I44</f>
        <v>-1.1833663582</v>
      </c>
      <c r="L44" s="42" t="n">
        <v>15.7160912054</v>
      </c>
      <c r="M44" s="42" t="n">
        <v>16.671135005</v>
      </c>
      <c r="N44" s="43" t="n">
        <f aca="false">IFERROR(L44/M44-1,"")</f>
        <v>-0.0572872692419301</v>
      </c>
      <c r="O44" s="42" t="n">
        <v>35.5322984408</v>
      </c>
      <c r="P44" s="42" t="n">
        <v>35.9594627658</v>
      </c>
      <c r="Q44" s="43" t="n">
        <f aca="false">IFERROR(O44/P44-1,"")</f>
        <v>-0.0118790519141533</v>
      </c>
      <c r="R44" s="45" t="n">
        <f aca="false">IF(AND(H44&gt;0,I44&gt;0),1,0)</f>
        <v>1</v>
      </c>
      <c r="S44" s="43" t="n">
        <f aca="false">IF(R44=1,MIN(MAX(J44,-50%),50%),"")</f>
        <v>-0.0697793156915667</v>
      </c>
      <c r="T44" s="43" t="n">
        <f aca="false">IF(S44="","",D44*S44)</f>
        <v>-0.000810835648336005</v>
      </c>
      <c r="U44" s="46" t="s">
        <v>209</v>
      </c>
    </row>
    <row r="45" customFormat="false" ht="15" hidden="false" customHeight="false" outlineLevel="0" collapsed="false">
      <c r="A45" s="40" t="s">
        <v>210</v>
      </c>
      <c r="B45" s="40" t="s">
        <v>211</v>
      </c>
      <c r="C45" s="40" t="s">
        <v>88</v>
      </c>
      <c r="D45" s="41" t="n">
        <v>0.0068</v>
      </c>
      <c r="E45" s="42" t="n">
        <v>30.9009713099</v>
      </c>
      <c r="F45" s="42" t="n">
        <v>35.2708364125</v>
      </c>
      <c r="G45" s="43" t="n">
        <f aca="false">IFERROR(E45/F45-1,"")</f>
        <v>-0.123894569765613</v>
      </c>
      <c r="H45" s="42" t="n">
        <v>2.8857587177</v>
      </c>
      <c r="I45" s="42" t="n">
        <v>2.9061837645</v>
      </c>
      <c r="J45" s="43" t="n">
        <f aca="false">IFERROR(H45/I45-1,"")</f>
        <v>-0.00702813326861806</v>
      </c>
      <c r="K45" s="44" t="n">
        <f aca="false">H45-I45</f>
        <v>-0.0204250468000002</v>
      </c>
      <c r="L45" s="42" t="n">
        <v>-1.0734372916</v>
      </c>
      <c r="M45" s="42" t="n">
        <v>0.2119751266</v>
      </c>
      <c r="N45" s="43" t="n">
        <f aca="false">IFERROR(L45/M45-1,"")</f>
        <v>-6.06397759405796</v>
      </c>
      <c r="O45" s="42" t="n">
        <v>-5.3981922269</v>
      </c>
      <c r="P45" s="42" t="n">
        <v>-8.0101114351</v>
      </c>
      <c r="Q45" s="43" t="n">
        <f aca="false">IFERROR(O45/P45-1,"")</f>
        <v>-0.326077761759302</v>
      </c>
      <c r="R45" s="45" t="n">
        <f aca="false">IF(AND(H45&gt;0,I45&gt;0),1,0)</f>
        <v>1</v>
      </c>
      <c r="S45" s="43" t="n">
        <f aca="false">IF(R45=1,MIN(MAX(J45,-50%),50%),"")</f>
        <v>-0.00702813326861806</v>
      </c>
      <c r="T45" s="43" t="n">
        <f aca="false">IF(S45="","",D45*S45)</f>
        <v>-4.77913062266028E-005</v>
      </c>
      <c r="U45" s="46" t="s">
        <v>212</v>
      </c>
    </row>
    <row r="46" customFormat="false" ht="15" hidden="false" customHeight="false" outlineLevel="0" collapsed="false">
      <c r="A46" s="40" t="s">
        <v>213</v>
      </c>
      <c r="B46" s="40" t="s">
        <v>214</v>
      </c>
      <c r="C46" s="40" t="s">
        <v>88</v>
      </c>
      <c r="D46" s="41" t="n">
        <v>0.01214</v>
      </c>
      <c r="E46" s="42" t="n">
        <v>124.1976104169</v>
      </c>
      <c r="F46" s="42" t="n">
        <v>115.6605830664</v>
      </c>
      <c r="G46" s="43" t="n">
        <f aca="false">IFERROR(E46/F46-1,"")</f>
        <v>0.0738110350489842</v>
      </c>
      <c r="H46" s="42" t="n">
        <v>14.87862698</v>
      </c>
      <c r="I46" s="42" t="n">
        <v>15.8042150467</v>
      </c>
      <c r="J46" s="43" t="n">
        <f aca="false">IFERROR(H46/I46-1,"")</f>
        <v>-0.0585658992847776</v>
      </c>
      <c r="K46" s="44" t="n">
        <f aca="false">H46-I46</f>
        <v>-0.9255880667</v>
      </c>
      <c r="L46" s="42" t="n">
        <v>14.3727483319</v>
      </c>
      <c r="M46" s="42" t="n">
        <v>15.6630176761</v>
      </c>
      <c r="N46" s="43" t="n">
        <f aca="false">IFERROR(L46/M46-1,"")</f>
        <v>-0.0823768044499372</v>
      </c>
      <c r="O46" s="42" t="n">
        <v>26.5670219286</v>
      </c>
      <c r="P46" s="42" t="n">
        <v>27.1750352415</v>
      </c>
      <c r="Q46" s="43" t="n">
        <f aca="false">IFERROR(O46/P46-1,"")</f>
        <v>-0.0223739659395724</v>
      </c>
      <c r="R46" s="45" t="n">
        <f aca="false">IF(AND(H46&gt;0,I46&gt;0),1,0)</f>
        <v>1</v>
      </c>
      <c r="S46" s="43" t="n">
        <f aca="false">IF(R46=1,MIN(MAX(J46,-50%),50%),"")</f>
        <v>-0.0585658992847776</v>
      </c>
      <c r="T46" s="43" t="n">
        <f aca="false">IF(S46="","",D46*S46)</f>
        <v>-0.0007109900173172</v>
      </c>
      <c r="U46" s="46" t="s">
        <v>215</v>
      </c>
    </row>
    <row r="47" customFormat="false" ht="15" hidden="false" customHeight="false" outlineLevel="0" collapsed="false">
      <c r="A47" s="40" t="s">
        <v>216</v>
      </c>
      <c r="B47" s="40" t="s">
        <v>217</v>
      </c>
      <c r="C47" s="40" t="s">
        <v>88</v>
      </c>
      <c r="D47" s="41" t="n">
        <v>0.00852</v>
      </c>
      <c r="E47" s="42" t="n">
        <v>34.0068786437</v>
      </c>
      <c r="F47" s="42" t="n">
        <v>36.8726905446</v>
      </c>
      <c r="G47" s="43" t="n">
        <f aca="false">IFERROR(E47/F47-1,"")</f>
        <v>-0.077721800567648</v>
      </c>
      <c r="H47" s="42" t="n">
        <v>5.8142228166</v>
      </c>
      <c r="I47" s="42" t="n">
        <v>6.0868236492</v>
      </c>
      <c r="J47" s="43" t="n">
        <f aca="false">IFERROR(H47/I47-1,"")</f>
        <v>-0.0447854001217578</v>
      </c>
      <c r="K47" s="44" t="n">
        <f aca="false">H47-I47</f>
        <v>-0.2726008326</v>
      </c>
      <c r="L47" s="42" t="n">
        <v>5.6808826978</v>
      </c>
      <c r="M47" s="42" t="n">
        <v>6.0500340084</v>
      </c>
      <c r="N47" s="43" t="n">
        <f aca="false">IFERROR(L47/M47-1,"")</f>
        <v>-0.0610164025669049</v>
      </c>
      <c r="O47" s="42" t="n">
        <v>5.6936141757</v>
      </c>
      <c r="P47" s="42" t="n">
        <v>3.4478361832</v>
      </c>
      <c r="Q47" s="43" t="n">
        <f aca="false">IFERROR(O47/P47-1,"")</f>
        <v>0.651358670531629</v>
      </c>
      <c r="R47" s="45" t="n">
        <f aca="false">IF(AND(H47&gt;0,I47&gt;0),1,0)</f>
        <v>1</v>
      </c>
      <c r="S47" s="43" t="n">
        <f aca="false">IF(R47=1,MIN(MAX(J47,-50%),50%),"")</f>
        <v>-0.0447854001217578</v>
      </c>
      <c r="T47" s="43" t="n">
        <f aca="false">IF(S47="","",D47*S47)</f>
        <v>-0.000381571609037376</v>
      </c>
      <c r="U47" s="46" t="s">
        <v>218</v>
      </c>
    </row>
    <row r="48" customFormat="false" ht="15" hidden="false" customHeight="false" outlineLevel="0" collapsed="false">
      <c r="A48" s="40" t="s">
        <v>219</v>
      </c>
      <c r="B48" s="40" t="s">
        <v>220</v>
      </c>
      <c r="C48" s="40" t="s">
        <v>84</v>
      </c>
      <c r="D48" s="41" t="n">
        <v>0.00488</v>
      </c>
      <c r="E48" s="42" t="n">
        <v>306.8784853623</v>
      </c>
      <c r="F48" s="42" t="n">
        <v>301.8507151037</v>
      </c>
      <c r="G48" s="43" t="n">
        <f aca="false">IFERROR(E48/F48-1,"")</f>
        <v>0.0166564795345034</v>
      </c>
      <c r="H48" s="42" t="n">
        <v>5.6438966399</v>
      </c>
      <c r="I48" s="42" t="n">
        <v>5.528761078</v>
      </c>
      <c r="J48" s="43" t="n">
        <f aca="false">IFERROR(H48/I48-1,"")</f>
        <v>0.0208248394668649</v>
      </c>
      <c r="K48" s="44" t="n">
        <f aca="false">H48-I48</f>
        <v>0.115135561900001</v>
      </c>
      <c r="L48" s="42" t="n">
        <v>5.1446314255</v>
      </c>
      <c r="M48" s="42" t="n">
        <v>5.0353231286</v>
      </c>
      <c r="N48" s="43" t="n">
        <f aca="false">IFERROR(L48/M48-1,"")</f>
        <v>0.0217082983769488</v>
      </c>
      <c r="O48" s="42" t="n">
        <v>-45.0907137228</v>
      </c>
      <c r="P48" s="42" t="n">
        <v>-27.9746833004</v>
      </c>
      <c r="Q48" s="43" t="n">
        <f aca="false">IFERROR(O48/P48-1,"")</f>
        <v>0.611840006859176</v>
      </c>
      <c r="R48" s="45" t="n">
        <f aca="false">IF(AND(H48&gt;0,I48&gt;0),1,0)</f>
        <v>1</v>
      </c>
      <c r="S48" s="43" t="n">
        <f aca="false">IF(R48=1,MIN(MAX(J48,-50%),50%),"")</f>
        <v>0.0208248394668649</v>
      </c>
      <c r="T48" s="43" t="n">
        <f aca="false">IF(S48="","",D48*S48)</f>
        <v>0.000101625216598301</v>
      </c>
      <c r="U48" s="46" t="s">
        <v>221</v>
      </c>
    </row>
    <row r="49" customFormat="false" ht="15" hidden="false" customHeight="false" outlineLevel="0" collapsed="false">
      <c r="A49" s="40" t="s">
        <v>222</v>
      </c>
      <c r="B49" s="40" t="s">
        <v>223</v>
      </c>
      <c r="C49" s="40" t="s">
        <v>22</v>
      </c>
      <c r="D49" s="41" t="n">
        <v>0.01813</v>
      </c>
      <c r="E49" s="42" t="n">
        <v>103.5458557821</v>
      </c>
      <c r="F49" s="42" t="n">
        <v>85.1352053518</v>
      </c>
      <c r="G49" s="43" t="n">
        <f aca="false">IFERROR(E49/F49-1,"")</f>
        <v>0.216251906061923</v>
      </c>
      <c r="H49" s="42" t="n">
        <v>10.0950849507</v>
      </c>
      <c r="I49" s="42" t="n">
        <v>6.549758502</v>
      </c>
      <c r="J49" s="43" t="n">
        <f aca="false">IFERROR(H49/I49-1,"")</f>
        <v>0.541291170906136</v>
      </c>
      <c r="K49" s="44" t="n">
        <f aca="false">H49-I49</f>
        <v>3.5453264487</v>
      </c>
      <c r="L49" s="42" t="n">
        <v>10.448902095</v>
      </c>
      <c r="M49" s="42" t="n">
        <v>6.8206579464</v>
      </c>
      <c r="N49" s="43" t="n">
        <f aca="false">IFERROR(L49/M49-1,"")</f>
        <v>0.531949289513194</v>
      </c>
      <c r="O49" s="42" t="n">
        <v>25.6053576421</v>
      </c>
      <c r="P49" s="42" t="n">
        <v>-4.6928384006</v>
      </c>
      <c r="Q49" s="43" t="n">
        <f aca="false">IFERROR(O49/P49-1,"")</f>
        <v>-6.45626238457865</v>
      </c>
      <c r="R49" s="45" t="n">
        <f aca="false">IF(AND(H49&gt;0,I49&gt;0),1,0)</f>
        <v>1</v>
      </c>
      <c r="S49" s="43" t="n">
        <f aca="false">IF(R49=1,MIN(MAX(J49,-50%),50%),"")</f>
        <v>0.5</v>
      </c>
      <c r="T49" s="43" t="n">
        <f aca="false">IF(S49="","",D49*S49)</f>
        <v>0.009065</v>
      </c>
      <c r="U49" s="46" t="s">
        <v>224</v>
      </c>
    </row>
    <row r="50" customFormat="false" ht="15" hidden="false" customHeight="false" outlineLevel="0" collapsed="false">
      <c r="A50" s="40" t="s">
        <v>225</v>
      </c>
      <c r="B50" s="40" t="s">
        <v>226</v>
      </c>
      <c r="C50" s="40" t="s">
        <v>102</v>
      </c>
      <c r="D50" s="41" t="n">
        <v>0.00611</v>
      </c>
      <c r="E50" s="42" t="n">
        <v>369.26872423</v>
      </c>
      <c r="F50" s="42" t="n">
        <v>414.36745534</v>
      </c>
      <c r="G50" s="43" t="n">
        <f aca="false">IFERROR(E50/F50-1,"")</f>
        <v>-0.108837531830282</v>
      </c>
      <c r="H50" s="42" t="n">
        <v>25.26711692</v>
      </c>
      <c r="I50" s="42" t="n">
        <v>44.14319671</v>
      </c>
      <c r="J50" s="43" t="n">
        <f aca="false">IFERROR(H50/I50-1,"")</f>
        <v>-0.427610168651966</v>
      </c>
      <c r="K50" s="44" t="n">
        <f aca="false">H50-I50</f>
        <v>-18.87607979</v>
      </c>
      <c r="L50" s="42" t="n">
        <v>19.02123</v>
      </c>
      <c r="M50" s="42" t="n">
        <v>41.98096926</v>
      </c>
      <c r="N50" s="43" t="n">
        <f aca="false">IFERROR(L50/M50-1,"")</f>
        <v>-0.546908269740126</v>
      </c>
      <c r="O50" s="42" t="n">
        <v>45.15900235</v>
      </c>
      <c r="P50" s="42" t="n">
        <v>83.37280763</v>
      </c>
      <c r="Q50" s="43" t="n">
        <f aca="false">IFERROR(O50/P50-1,"")</f>
        <v>-0.458348547521501</v>
      </c>
      <c r="R50" s="45" t="n">
        <f aca="false">IF(AND(H50&gt;0,I50&gt;0),1,0)</f>
        <v>1</v>
      </c>
      <c r="S50" s="43" t="n">
        <f aca="false">IF(R50=1,MIN(MAX(J50,-50%),50%),"")</f>
        <v>-0.427610168651966</v>
      </c>
      <c r="T50" s="43" t="n">
        <f aca="false">IF(S50="","",D50*S50)</f>
        <v>-0.00261269813046351</v>
      </c>
      <c r="U50" s="46" t="s">
        <v>227</v>
      </c>
    </row>
    <row r="51" customFormat="false" ht="15" hidden="false" customHeight="false" outlineLevel="0" collapsed="false">
      <c r="A51" s="40" t="s">
        <v>228</v>
      </c>
      <c r="B51" s="40" t="s">
        <v>229</v>
      </c>
      <c r="C51" s="40" t="s">
        <v>88</v>
      </c>
      <c r="D51" s="41" t="n">
        <v>0.00599</v>
      </c>
      <c r="E51" s="42" t="n">
        <v>75.8704350087</v>
      </c>
      <c r="F51" s="42" t="n">
        <v>80.4157983782</v>
      </c>
      <c r="G51" s="43" t="n">
        <f aca="false">IFERROR(E51/F51-1,"")</f>
        <v>-0.0565232636020462</v>
      </c>
      <c r="H51" s="42" t="n">
        <v>4.4627814116</v>
      </c>
      <c r="I51" s="42" t="n">
        <v>7.7381478836</v>
      </c>
      <c r="J51" s="43" t="n">
        <f aca="false">IFERROR(H51/I51-1,"")</f>
        <v>-0.423275248970327</v>
      </c>
      <c r="K51" s="44" t="n">
        <f aca="false">H51-I51</f>
        <v>-3.275366472</v>
      </c>
      <c r="L51" s="42" t="n">
        <v>4.7222887025</v>
      </c>
      <c r="M51" s="42" t="n">
        <v>7.2124457594</v>
      </c>
      <c r="N51" s="43" t="n">
        <f aca="false">IFERROR(L51/M51-1,"")</f>
        <v>-0.345258340924723</v>
      </c>
      <c r="O51" s="42" t="n">
        <v>13.7275905535</v>
      </c>
      <c r="P51" s="42" t="n">
        <v>8.440580936</v>
      </c>
      <c r="Q51" s="43" t="n">
        <f aca="false">IFERROR(O51/P51-1,"")</f>
        <v>0.626379825937137</v>
      </c>
      <c r="R51" s="45" t="n">
        <f aca="false">IF(AND(H51&gt;0,I51&gt;0),1,0)</f>
        <v>1</v>
      </c>
      <c r="S51" s="43" t="n">
        <f aca="false">IF(R51=1,MIN(MAX(J51,-50%),50%),"")</f>
        <v>-0.423275248970327</v>
      </c>
      <c r="T51" s="43" t="n">
        <f aca="false">IF(S51="","",D51*S51)</f>
        <v>-0.00253541874133226</v>
      </c>
      <c r="U51" s="46" t="s">
        <v>230</v>
      </c>
    </row>
    <row r="52" customFormat="false" ht="15" hidden="false" customHeight="false" outlineLevel="0" collapsed="false">
      <c r="A52" s="40" t="s">
        <v>231</v>
      </c>
      <c r="B52" s="40" t="s">
        <v>232</v>
      </c>
      <c r="C52" s="40" t="s">
        <v>88</v>
      </c>
      <c r="D52" s="41" t="n">
        <v>0.00807</v>
      </c>
      <c r="E52" s="42" t="n">
        <v>92.770052432</v>
      </c>
      <c r="F52" s="42" t="n">
        <v>117.6747577163</v>
      </c>
      <c r="G52" s="43" t="n">
        <f aca="false">IFERROR(E52/F52-1,"")</f>
        <v>-0.211640166231252</v>
      </c>
      <c r="H52" s="42" t="n">
        <v>6.0834306977</v>
      </c>
      <c r="I52" s="42" t="n">
        <v>4.4485963976</v>
      </c>
      <c r="J52" s="43" t="n">
        <f aca="false">IFERROR(H52/I52-1,"")</f>
        <v>0.367494408119826</v>
      </c>
      <c r="K52" s="44" t="n">
        <f aca="false">H52-I52</f>
        <v>1.6348343001</v>
      </c>
      <c r="L52" s="42" t="n">
        <v>5.6701478879</v>
      </c>
      <c r="M52" s="42" t="n">
        <v>4.0299502489</v>
      </c>
      <c r="N52" s="43" t="n">
        <f aca="false">IFERROR(L52/M52-1,"")</f>
        <v>0.40700195726925</v>
      </c>
      <c r="O52" s="42" t="n">
        <v>11.9839033194</v>
      </c>
      <c r="P52" s="42" t="n">
        <v>10.2768743592</v>
      </c>
      <c r="Q52" s="43" t="n">
        <f aca="false">IFERROR(O52/P52-1,"")</f>
        <v>0.166103904799794</v>
      </c>
      <c r="R52" s="45" t="n">
        <f aca="false">IF(AND(H52&gt;0,I52&gt;0),1,0)</f>
        <v>1</v>
      </c>
      <c r="S52" s="43" t="n">
        <f aca="false">IF(R52=1,MIN(MAX(J52,-50%),50%),"")</f>
        <v>0.367494408119826</v>
      </c>
      <c r="T52" s="43" t="n">
        <f aca="false">IF(S52="","",D52*S52)</f>
        <v>0.00296567987352699</v>
      </c>
      <c r="U52" s="46" t="s">
        <v>233</v>
      </c>
    </row>
    <row r="53" customFormat="false" ht="15" hidden="false" customHeight="false" outlineLevel="0" collapsed="false">
      <c r="A53" s="40" t="s">
        <v>234</v>
      </c>
      <c r="B53" s="40" t="s">
        <v>235</v>
      </c>
      <c r="C53" s="40" t="s">
        <v>88</v>
      </c>
      <c r="D53" s="41" t="n">
        <v>0.00708</v>
      </c>
      <c r="E53" s="42" t="n">
        <v>839.3859674394</v>
      </c>
      <c r="F53" s="42" t="n">
        <v>851.5746681998</v>
      </c>
      <c r="G53" s="43" t="n">
        <f aca="false">IFERROR(E53/F53-1,"")</f>
        <v>-0.0143131321486659</v>
      </c>
      <c r="H53" s="42" t="n">
        <v>26.4659100698</v>
      </c>
      <c r="I53" s="42" t="n">
        <v>28.9793449335</v>
      </c>
      <c r="J53" s="43" t="n">
        <f aca="false">IFERROR(H53/I53-1,"")</f>
        <v>-0.0867319419906721</v>
      </c>
      <c r="K53" s="44" t="n">
        <f aca="false">H53-I53</f>
        <v>-2.5134348637</v>
      </c>
      <c r="L53" s="42" t="n">
        <v>23.0976234823</v>
      </c>
      <c r="M53" s="42" t="n">
        <v>26.8105517793</v>
      </c>
      <c r="N53" s="43" t="n">
        <f aca="false">IFERROR(L53/M53-1,"")</f>
        <v>-0.1384875748759</v>
      </c>
      <c r="O53" s="42" t="n">
        <v>79.6828403738</v>
      </c>
      <c r="P53" s="42" t="n">
        <v>68.2869459266</v>
      </c>
      <c r="Q53" s="43" t="n">
        <f aca="false">IFERROR(O53/P53-1,"")</f>
        <v>0.166882473546982</v>
      </c>
      <c r="R53" s="45" t="n">
        <f aca="false">IF(AND(H53&gt;0,I53&gt;0),1,0)</f>
        <v>1</v>
      </c>
      <c r="S53" s="43" t="n">
        <f aca="false">IF(R53=1,MIN(MAX(J53,-50%),50%),"")</f>
        <v>-0.0867319419906721</v>
      </c>
      <c r="T53" s="43" t="n">
        <f aca="false">IF(S53="","",D53*S53)</f>
        <v>-0.000614062149293959</v>
      </c>
      <c r="U53" s="46" t="s">
        <v>236</v>
      </c>
    </row>
    <row r="54" customFormat="false" ht="15" hidden="false" customHeight="false" outlineLevel="0" collapsed="false">
      <c r="A54" s="40" t="s">
        <v>237</v>
      </c>
      <c r="B54" s="40" t="s">
        <v>238</v>
      </c>
      <c r="C54" s="40" t="s">
        <v>88</v>
      </c>
      <c r="D54" s="41" t="n">
        <v>0.01005</v>
      </c>
      <c r="E54" s="42" t="n">
        <v>1962.0423921953</v>
      </c>
      <c r="F54" s="42" t="n">
        <v>1516.584896699</v>
      </c>
      <c r="G54" s="43" t="n">
        <f aca="false">IFERROR(E54/F54-1,"")</f>
        <v>0.293724074706192</v>
      </c>
      <c r="H54" s="42" t="n">
        <v>4.2630438019</v>
      </c>
      <c r="I54" s="42" t="n">
        <v>5.2308121478</v>
      </c>
      <c r="J54" s="43" t="n">
        <f aca="false">IFERROR(H54/I54-1,"")</f>
        <v>-0.185013018734964</v>
      </c>
      <c r="K54" s="44" t="n">
        <f aca="false">H54-I54</f>
        <v>-0.9677683459</v>
      </c>
      <c r="L54" s="42" t="n">
        <v>8.2568980393</v>
      </c>
      <c r="M54" s="42" t="n">
        <v>-5.3865156773</v>
      </c>
      <c r="N54" s="43" t="n">
        <f aca="false">IFERROR(L54/M54-1,"")</f>
        <v>-2.53288294956542</v>
      </c>
      <c r="O54" s="42" t="n">
        <v>-285.5541693631</v>
      </c>
      <c r="P54" s="42" t="n">
        <v>-1.0548735128</v>
      </c>
      <c r="Q54" s="43" t="n">
        <f aca="false">IFERROR(O54/P54-1,"")</f>
        <v>269.699914158561</v>
      </c>
      <c r="R54" s="45" t="n">
        <f aca="false">IF(AND(H54&gt;0,I54&gt;0),1,0)</f>
        <v>1</v>
      </c>
      <c r="S54" s="43" t="n">
        <f aca="false">IF(R54=1,MIN(MAX(J54,-50%),50%),"")</f>
        <v>-0.185013018734964</v>
      </c>
      <c r="T54" s="43" t="n">
        <f aca="false">IF(S54="","",D54*S54)</f>
        <v>-0.00185938083828639</v>
      </c>
      <c r="U54" s="46" t="s">
        <v>239</v>
      </c>
    </row>
    <row r="55" customFormat="false" ht="15" hidden="false" customHeight="false" outlineLevel="0" collapsed="false">
      <c r="A55" s="40" t="s">
        <v>240</v>
      </c>
      <c r="B55" s="40" t="s">
        <v>241</v>
      </c>
      <c r="C55" s="40" t="s">
        <v>88</v>
      </c>
      <c r="D55" s="41" t="n">
        <v>0.00746</v>
      </c>
      <c r="E55" s="42" t="n">
        <v>29.5691859737</v>
      </c>
      <c r="F55" s="42" t="n">
        <v>35.4773571647</v>
      </c>
      <c r="G55" s="43" t="n">
        <f aca="false">IFERROR(E55/F55-1,"")</f>
        <v>-0.166533576995939</v>
      </c>
      <c r="H55" s="42" t="n">
        <v>4.8299518287</v>
      </c>
      <c r="I55" s="42" t="n">
        <v>6.8497099241</v>
      </c>
      <c r="J55" s="43" t="n">
        <f aca="false">IFERROR(H55/I55-1,"")</f>
        <v>-0.294867683125338</v>
      </c>
      <c r="K55" s="44" t="n">
        <f aca="false">H55-I55</f>
        <v>-2.0197580954</v>
      </c>
      <c r="L55" s="42" t="n">
        <v>4.56994019</v>
      </c>
      <c r="M55" s="42" t="n">
        <v>6.6214077311</v>
      </c>
      <c r="N55" s="43" t="n">
        <f aca="false">IFERROR(L55/M55-1,"")</f>
        <v>-0.309823473256977</v>
      </c>
      <c r="O55" s="42" t="n">
        <v>1.8952702627</v>
      </c>
      <c r="P55" s="42" t="n">
        <v>1.2405304095</v>
      </c>
      <c r="Q55" s="43" t="n">
        <f aca="false">IFERROR(O55/P55-1,"")</f>
        <v>0.52779024857915</v>
      </c>
      <c r="R55" s="45" t="n">
        <f aca="false">IF(AND(H55&gt;0,I55&gt;0),1,0)</f>
        <v>1</v>
      </c>
      <c r="S55" s="43" t="n">
        <f aca="false">IF(R55=1,MIN(MAX(J55,-50%),50%),"")</f>
        <v>-0.294867683125338</v>
      </c>
      <c r="T55" s="43" t="n">
        <f aca="false">IF(S55="","",D55*S55)</f>
        <v>-0.00219971291611502</v>
      </c>
      <c r="U55" s="46" t="s">
        <v>242</v>
      </c>
    </row>
    <row r="56" customFormat="false" ht="15" hidden="false" customHeight="false" outlineLevel="0" collapsed="false">
      <c r="A56" s="40" t="s">
        <v>243</v>
      </c>
      <c r="B56" s="40" t="s">
        <v>244</v>
      </c>
      <c r="C56" s="40" t="s">
        <v>88</v>
      </c>
      <c r="D56" s="41" t="n">
        <v>0.01112</v>
      </c>
      <c r="E56" s="42" t="n">
        <v>35.1450010863</v>
      </c>
      <c r="F56" s="42" t="n">
        <v>30.0621250693</v>
      </c>
      <c r="G56" s="43" t="n">
        <f aca="false">IFERROR(E56/F56-1,"")</f>
        <v>0.169079065611058</v>
      </c>
      <c r="H56" s="42" t="n">
        <v>17.0915956735</v>
      </c>
      <c r="I56" s="42" t="n">
        <v>15.6411911964</v>
      </c>
      <c r="J56" s="43" t="n">
        <f aca="false">IFERROR(H56/I56-1,"")</f>
        <v>0.092729796528146</v>
      </c>
      <c r="K56" s="44" t="n">
        <f aca="false">H56-I56</f>
        <v>1.4504044771</v>
      </c>
      <c r="L56" s="42" t="n">
        <v>16.820569</v>
      </c>
      <c r="M56" s="42" t="n">
        <v>15.511255</v>
      </c>
      <c r="N56" s="43" t="n">
        <f aca="false">IFERROR(L56/M56-1,"")</f>
        <v>0.084410577996429</v>
      </c>
      <c r="O56" s="42" t="n">
        <v>-13.9209559492</v>
      </c>
      <c r="P56" s="42" t="n">
        <v>-50.5704932102</v>
      </c>
      <c r="Q56" s="43" t="n">
        <f aca="false">IFERROR(O56/P56-1,"")</f>
        <v>-0.724721768258488</v>
      </c>
      <c r="R56" s="45" t="n">
        <f aca="false">IF(AND(H56&gt;0,I56&gt;0),1,0)</f>
        <v>1</v>
      </c>
      <c r="S56" s="43" t="n">
        <f aca="false">IF(R56=1,MIN(MAX(J56,-50%),50%),"")</f>
        <v>0.092729796528146</v>
      </c>
      <c r="T56" s="43" t="n">
        <f aca="false">IF(S56="","",D56*S56)</f>
        <v>0.00103115533739298</v>
      </c>
      <c r="U56" s="46" t="s">
        <v>245</v>
      </c>
    </row>
    <row r="57" customFormat="false" ht="15" hidden="false" customHeight="false" outlineLevel="0" collapsed="false">
      <c r="A57" s="40" t="s">
        <v>246</v>
      </c>
      <c r="B57" s="40" t="s">
        <v>247</v>
      </c>
      <c r="C57" s="40" t="s">
        <v>21</v>
      </c>
      <c r="D57" s="41" t="n">
        <v>0.01229</v>
      </c>
      <c r="E57" s="42" t="n">
        <v>489.51744</v>
      </c>
      <c r="F57" s="42" t="n">
        <v>448.64292</v>
      </c>
      <c r="G57" s="43" t="n">
        <f aca="false">IFERROR(E57/F57-1,"")</f>
        <v>0.0911070211472411</v>
      </c>
      <c r="H57" s="42" t="n">
        <v>218.75647</v>
      </c>
      <c r="I57" s="42" t="n">
        <v>202.38459</v>
      </c>
      <c r="J57" s="43" t="n">
        <f aca="false">IFERROR(H57/I57-1,"")</f>
        <v>0.0808948942209484</v>
      </c>
      <c r="K57" s="44" t="n">
        <f aca="false">H57-I57</f>
        <v>16.37188</v>
      </c>
      <c r="L57" s="42" t="n">
        <v>218.03568</v>
      </c>
      <c r="M57" s="42" t="n">
        <v>201.7061</v>
      </c>
      <c r="N57" s="43" t="n">
        <f aca="false">IFERROR(L57/M57-1,"")</f>
        <v>0.0809572938051948</v>
      </c>
      <c r="O57" s="42" t="n">
        <v>1892.71509</v>
      </c>
      <c r="P57" s="42" t="n">
        <v>3130.4401</v>
      </c>
      <c r="Q57" s="43" t="n">
        <f aca="false">IFERROR(O57/P57-1,"")</f>
        <v>-0.395383706591287</v>
      </c>
      <c r="R57" s="45" t="n">
        <f aca="false">IF(AND(H57&gt;0,I57&gt;0),1,0)</f>
        <v>1</v>
      </c>
      <c r="S57" s="43" t="n">
        <f aca="false">IF(R57=1,MIN(MAX(J57,-50%),50%),"")</f>
        <v>0.0808948942209484</v>
      </c>
      <c r="T57" s="43" t="n">
        <f aca="false">IF(S57="","",D57*S57)</f>
        <v>0.000994198249975456</v>
      </c>
      <c r="U57" s="46" t="s">
        <v>248</v>
      </c>
    </row>
    <row r="58" customFormat="false" ht="15" hidden="false" customHeight="false" outlineLevel="0" collapsed="false">
      <c r="A58" s="40" t="s">
        <v>249</v>
      </c>
      <c r="B58" s="40" t="s">
        <v>250</v>
      </c>
      <c r="C58" s="40" t="s">
        <v>163</v>
      </c>
      <c r="D58" s="41" t="n">
        <v>0.01104</v>
      </c>
      <c r="E58" s="42" t="n">
        <v>2426.6</v>
      </c>
      <c r="F58" s="42" t="n">
        <v>2076.08</v>
      </c>
      <c r="G58" s="43" t="n">
        <f aca="false">IFERROR(E58/F58-1,"")</f>
        <v>0.16883742437671</v>
      </c>
      <c r="H58" s="42" t="n">
        <v>858.18</v>
      </c>
      <c r="I58" s="42" t="n">
        <v>695.33</v>
      </c>
      <c r="J58" s="43" t="n">
        <f aca="false">IFERROR(H58/I58-1,"")</f>
        <v>0.234205341348712</v>
      </c>
      <c r="K58" s="44" t="n">
        <f aca="false">H58-I58</f>
        <v>162.85</v>
      </c>
      <c r="L58" s="42" t="n">
        <v>857.33</v>
      </c>
      <c r="M58" s="42" t="n">
        <v>693.53</v>
      </c>
      <c r="N58" s="43" t="n">
        <f aca="false">IFERROR(L58/M58-1,"")</f>
        <v>0.236183005782014</v>
      </c>
      <c r="O58" s="42" t="n">
        <v>1416.31</v>
      </c>
      <c r="P58" s="42" t="n">
        <v>1091.82</v>
      </c>
      <c r="Q58" s="43" t="n">
        <f aca="false">IFERROR(O58/P58-1,"")</f>
        <v>0.29720100382847</v>
      </c>
      <c r="R58" s="45" t="n">
        <f aca="false">IF(AND(H58&gt;0,I58&gt;0),1,0)</f>
        <v>1</v>
      </c>
      <c r="S58" s="43" t="n">
        <f aca="false">IF(R58=1,MIN(MAX(J58,-50%),50%),"")</f>
        <v>0.234205341348712</v>
      </c>
      <c r="T58" s="43" t="n">
        <f aca="false">IF(S58="","",D58*S58)</f>
        <v>0.00258562696848978</v>
      </c>
      <c r="U58" s="46" t="s">
        <v>251</v>
      </c>
    </row>
    <row r="59" customFormat="false" ht="15" hidden="false" customHeight="false" outlineLevel="0" collapsed="false">
      <c r="A59" s="40" t="s">
        <v>252</v>
      </c>
      <c r="B59" s="40" t="s">
        <v>253</v>
      </c>
      <c r="C59" s="40" t="s">
        <v>22</v>
      </c>
      <c r="D59" s="41" t="n">
        <v>0.00588</v>
      </c>
      <c r="E59" s="42" t="n">
        <v>34.4279702595</v>
      </c>
      <c r="F59" s="42" t="n">
        <v>23.7727214136</v>
      </c>
      <c r="G59" s="43" t="n">
        <f aca="false">IFERROR(E59/F59-1,"")</f>
        <v>0.448213255037949</v>
      </c>
      <c r="H59" s="42" t="n">
        <v>1.6124425383</v>
      </c>
      <c r="I59" s="42" t="n">
        <v>-1.292125412</v>
      </c>
      <c r="J59" s="43" t="n">
        <f aca="false">IFERROR(H59/I59-1,"")</f>
        <v>-2.24789940924094</v>
      </c>
      <c r="K59" s="44" t="n">
        <f aca="false">H59-I59</f>
        <v>2.9045679503</v>
      </c>
      <c r="L59" s="42" t="n">
        <v>0.7593428451</v>
      </c>
      <c r="M59" s="42" t="n">
        <v>-1.4176242203</v>
      </c>
      <c r="N59" s="43" t="n">
        <f aca="false">IFERROR(L59/M59-1,"")</f>
        <v>-1.53564466113545</v>
      </c>
      <c r="O59" s="42" t="n">
        <v>14.3524742066</v>
      </c>
      <c r="P59" s="42" t="n">
        <v>-2.2913256114</v>
      </c>
      <c r="Q59" s="43" t="n">
        <f aca="false">IFERROR(O59/P59-1,"")</f>
        <v>-7.26383004457871</v>
      </c>
      <c r="R59" s="45" t="n">
        <f aca="false">IF(AND(H59&gt;0,I59&gt;0),1,0)</f>
        <v>0</v>
      </c>
      <c r="S59" s="43" t="str">
        <f aca="false">IF(R59=1,MIN(MAX(J59,-50%),50%),"")</f>
        <v/>
      </c>
      <c r="T59" s="43" t="str">
        <f aca="false">IF(S59="","",D59*S59)</f>
        <v/>
      </c>
      <c r="U59" s="46" t="s">
        <v>254</v>
      </c>
    </row>
    <row r="60" customFormat="false" ht="15" hidden="false" customHeight="false" outlineLevel="0" collapsed="false">
      <c r="A60" s="40" t="s">
        <v>255</v>
      </c>
      <c r="B60" s="40" t="s">
        <v>256</v>
      </c>
      <c r="C60" s="40" t="s">
        <v>22</v>
      </c>
      <c r="D60" s="41" t="n">
        <v>0.01548</v>
      </c>
      <c r="E60" s="42" t="n">
        <v>214.4470150149</v>
      </c>
      <c r="F60" s="42" t="n">
        <v>206.822276507</v>
      </c>
      <c r="G60" s="43" t="n">
        <f aca="false">IFERROR(E60/F60-1,"")</f>
        <v>0.0368661376166697</v>
      </c>
      <c r="H60" s="42" t="n">
        <v>12.3910746032</v>
      </c>
      <c r="I60" s="42" t="n">
        <v>10.3161555991</v>
      </c>
      <c r="J60" s="43" t="n">
        <f aca="false">IFERROR(H60/I60-1,"")</f>
        <v>0.201132968979357</v>
      </c>
      <c r="K60" s="44" t="n">
        <f aca="false">H60-I60</f>
        <v>2.0749190041</v>
      </c>
      <c r="L60" s="42" t="n">
        <v>12.1261697255</v>
      </c>
      <c r="M60" s="42" t="n">
        <v>9.7334070597</v>
      </c>
      <c r="N60" s="43" t="n">
        <f aca="false">IFERROR(L60/M60-1,"")</f>
        <v>0.245829918663008</v>
      </c>
      <c r="O60" s="42" t="n">
        <v>23.8509313396</v>
      </c>
      <c r="P60" s="42" t="n">
        <v>21.2594324991</v>
      </c>
      <c r="Q60" s="43" t="n">
        <f aca="false">IFERROR(O60/P60-1,"")</f>
        <v>0.121898777900572</v>
      </c>
      <c r="R60" s="45" t="n">
        <f aca="false">IF(AND(H60&gt;0,I60&gt;0),1,0)</f>
        <v>1</v>
      </c>
      <c r="S60" s="43" t="n">
        <f aca="false">IF(R60=1,MIN(MAX(J60,-50%),50%),"")</f>
        <v>0.201132968979357</v>
      </c>
      <c r="T60" s="43" t="n">
        <f aca="false">IF(S60="","",D60*S60)</f>
        <v>0.00311353835980045</v>
      </c>
      <c r="U60" s="46" t="s">
        <v>257</v>
      </c>
    </row>
    <row r="61" customFormat="false" ht="15" hidden="false" customHeight="false" outlineLevel="0" collapsed="false">
      <c r="A61" s="40" t="s">
        <v>258</v>
      </c>
      <c r="B61" s="40" t="s">
        <v>259</v>
      </c>
      <c r="C61" s="40" t="s">
        <v>22</v>
      </c>
      <c r="D61" s="41" t="n">
        <v>0.0046</v>
      </c>
      <c r="E61" s="42" t="n">
        <v>94.6189531349</v>
      </c>
      <c r="F61" s="42" t="n">
        <v>88.226011946</v>
      </c>
      <c r="G61" s="43" t="n">
        <f aca="false">IFERROR(E61/F61-1,"")</f>
        <v>0.072460956217911</v>
      </c>
      <c r="H61" s="42" t="n">
        <v>-1.3815368164</v>
      </c>
      <c r="I61" s="42" t="n">
        <v>3.6070946198</v>
      </c>
      <c r="J61" s="43" t="n">
        <f aca="false">IFERROR(H61/I61-1,"")</f>
        <v>-1.38300542736431</v>
      </c>
      <c r="K61" s="44" t="n">
        <f aca="false">H61-I61</f>
        <v>-4.9886314362</v>
      </c>
      <c r="L61" s="42" t="n">
        <v>-1.3739084693</v>
      </c>
      <c r="M61" s="42" t="n">
        <v>3.5452574059</v>
      </c>
      <c r="N61" s="43" t="n">
        <f aca="false">IFERROR(L61/M61-1,"")</f>
        <v>-1.38753419343079</v>
      </c>
      <c r="O61" s="42" t="n">
        <v>1.4144734336</v>
      </c>
      <c r="P61" s="42" t="n">
        <v>-3.0434491249</v>
      </c>
      <c r="Q61" s="43" t="n">
        <f aca="false">IFERROR(O61/P61-1,"")</f>
        <v>-1.46476000601669</v>
      </c>
      <c r="R61" s="45" t="n">
        <f aca="false">IF(AND(H61&gt;0,I61&gt;0),1,0)</f>
        <v>0</v>
      </c>
      <c r="S61" s="43" t="str">
        <f aca="false">IF(R61=1,MIN(MAX(J61,-50%),50%),"")</f>
        <v/>
      </c>
      <c r="T61" s="43" t="str">
        <f aca="false">IF(S61="","",D61*S61)</f>
        <v/>
      </c>
      <c r="U61" s="46" t="s">
        <v>260</v>
      </c>
    </row>
    <row r="62" customFormat="false" ht="15" hidden="false" customHeight="false" outlineLevel="0" collapsed="false">
      <c r="A62" s="40" t="s">
        <v>261</v>
      </c>
      <c r="B62" s="40" t="s">
        <v>262</v>
      </c>
      <c r="C62" s="40" t="s">
        <v>95</v>
      </c>
      <c r="D62" s="41" t="n">
        <v>0.01159</v>
      </c>
      <c r="E62" s="42" t="n">
        <v>29.8653348826</v>
      </c>
      <c r="F62" s="42" t="n">
        <v>25.9285682897</v>
      </c>
      <c r="G62" s="43" t="n">
        <f aca="false">IFERROR(E62/F62-1,"")</f>
        <v>0.1518312368394</v>
      </c>
      <c r="H62" s="42" t="n">
        <v>10.0840792309</v>
      </c>
      <c r="I62" s="42" t="n">
        <v>8.8478922174</v>
      </c>
      <c r="J62" s="43" t="n">
        <f aca="false">IFERROR(H62/I62-1,"")</f>
        <v>0.139715424094899</v>
      </c>
      <c r="K62" s="44" t="n">
        <f aca="false">H62-I62</f>
        <v>1.2361870135</v>
      </c>
      <c r="L62" s="42" t="n">
        <v>10.0601195921</v>
      </c>
      <c r="M62" s="42" t="n">
        <v>8.7329973351</v>
      </c>
      <c r="N62" s="43" t="n">
        <f aca="false">IFERROR(L62/M62-1,"")</f>
        <v>0.151966410394514</v>
      </c>
      <c r="O62" s="42" t="n">
        <v>11.0523947526</v>
      </c>
      <c r="P62" s="42" t="n">
        <v>8.8072127916</v>
      </c>
      <c r="Q62" s="43" t="n">
        <f aca="false">IFERROR(O62/P62-1,"")</f>
        <v>0.2549253678918</v>
      </c>
      <c r="R62" s="45" t="n">
        <f aca="false">IF(AND(H62&gt;0,I62&gt;0),1,0)</f>
        <v>1</v>
      </c>
      <c r="S62" s="43" t="n">
        <f aca="false">IF(R62=1,MIN(MAX(J62,-50%),50%),"")</f>
        <v>0.139715424094899</v>
      </c>
      <c r="T62" s="43" t="n">
        <f aca="false">IF(S62="","",D62*S62)</f>
        <v>0.00161930176525988</v>
      </c>
      <c r="U62" s="46" t="s">
        <v>263</v>
      </c>
    </row>
    <row r="63" customFormat="false" ht="15" hidden="false" customHeight="false" outlineLevel="0" collapsed="false">
      <c r="A63" s="40" t="s">
        <v>264</v>
      </c>
      <c r="B63" s="40" t="s">
        <v>265</v>
      </c>
      <c r="C63" s="40" t="s">
        <v>22</v>
      </c>
      <c r="D63" s="41" t="n">
        <v>0.0116</v>
      </c>
      <c r="E63" s="42" t="n">
        <v>61.1856952785</v>
      </c>
      <c r="F63" s="42" t="n">
        <v>59.6526619601</v>
      </c>
      <c r="G63" s="43" t="n">
        <f aca="false">IFERROR(E63/F63-1,"")</f>
        <v>0.0256993278761877</v>
      </c>
      <c r="H63" s="42" t="n">
        <v>7.2340011418</v>
      </c>
      <c r="I63" s="42" t="n">
        <v>8.7610095427</v>
      </c>
      <c r="J63" s="43" t="n">
        <f aca="false">IFERROR(H63/I63-1,"")</f>
        <v>-0.174295940833937</v>
      </c>
      <c r="K63" s="44" t="n">
        <f aca="false">H63-I63</f>
        <v>-1.5270084009</v>
      </c>
      <c r="L63" s="42" t="n">
        <v>7.164335554</v>
      </c>
      <c r="M63" s="42" t="n">
        <v>8.6837988381</v>
      </c>
      <c r="N63" s="43" t="n">
        <f aca="false">IFERROR(L63/M63-1,"")</f>
        <v>-0.174976794422435</v>
      </c>
      <c r="O63" s="42" t="n">
        <v>13.6743164583</v>
      </c>
      <c r="P63" s="42" t="n">
        <v>6.5680374046</v>
      </c>
      <c r="Q63" s="43" t="n">
        <f aca="false">IFERROR(O63/P63-1,"")</f>
        <v>1.08194862726011</v>
      </c>
      <c r="R63" s="45" t="n">
        <f aca="false">IF(AND(H63&gt;0,I63&gt;0),1,0)</f>
        <v>1</v>
      </c>
      <c r="S63" s="43" t="n">
        <f aca="false">IF(R63=1,MIN(MAX(J63,-50%),50%),"")</f>
        <v>-0.174295940833937</v>
      </c>
      <c r="T63" s="43" t="n">
        <f aca="false">IF(S63="","",D63*S63)</f>
        <v>-0.00202183291367367</v>
      </c>
      <c r="U63" s="46" t="s">
        <v>266</v>
      </c>
    </row>
    <row r="64" customFormat="false" ht="15" hidden="false" customHeight="false" outlineLevel="0" collapsed="false">
      <c r="A64" s="40" t="s">
        <v>267</v>
      </c>
      <c r="B64" s="40" t="s">
        <v>268</v>
      </c>
      <c r="C64" s="40" t="s">
        <v>95</v>
      </c>
      <c r="D64" s="41" t="n">
        <v>0.00891</v>
      </c>
      <c r="E64" s="42" t="n">
        <v>395.97345874</v>
      </c>
      <c r="F64" s="42" t="n">
        <v>372.85644818</v>
      </c>
      <c r="G64" s="43" t="n">
        <f aca="false">IFERROR(E64/F64-1,"")</f>
        <v>0.061999760692995</v>
      </c>
      <c r="H64" s="42" t="n">
        <v>42.54959778</v>
      </c>
      <c r="I64" s="42" t="n">
        <v>41.14932015</v>
      </c>
      <c r="J64" s="43" t="n">
        <f aca="false">IFERROR(H64/I64-1,"")</f>
        <v>0.0340291801880475</v>
      </c>
      <c r="K64" s="44" t="n">
        <f aca="false">H64-I64</f>
        <v>1.40027763</v>
      </c>
      <c r="L64" s="42" t="n">
        <v>42.42818601</v>
      </c>
      <c r="M64" s="42" t="n">
        <v>40.99311721</v>
      </c>
      <c r="N64" s="43" t="n">
        <f aca="false">IFERROR(L64/M64-1,"")</f>
        <v>0.0350075548694775</v>
      </c>
      <c r="O64" s="42" t="n">
        <v>71.91863601</v>
      </c>
      <c r="P64" s="42" t="n">
        <v>-5.78297017</v>
      </c>
      <c r="Q64" s="43" t="n">
        <f aca="false">IFERROR(O64/P64-1,"")</f>
        <v>-13.4362799557723</v>
      </c>
      <c r="R64" s="45" t="n">
        <f aca="false">IF(AND(H64&gt;0,I64&gt;0),1,0)</f>
        <v>1</v>
      </c>
      <c r="S64" s="43" t="n">
        <f aca="false">IF(R64=1,MIN(MAX(J64,-50%),50%),"")</f>
        <v>0.0340291801880475</v>
      </c>
      <c r="T64" s="43" t="n">
        <f aca="false">IF(S64="","",D64*S64)</f>
        <v>0.000303199995475503</v>
      </c>
      <c r="U64" s="46" t="s">
        <v>269</v>
      </c>
    </row>
    <row r="65" customFormat="false" ht="15" hidden="false" customHeight="false" outlineLevel="0" collapsed="false">
      <c r="A65" s="40" t="s">
        <v>270</v>
      </c>
      <c r="B65" s="40" t="s">
        <v>271</v>
      </c>
      <c r="C65" s="40" t="s">
        <v>21</v>
      </c>
      <c r="D65" s="41" t="n">
        <v>0.01016</v>
      </c>
      <c r="E65" s="42" t="n">
        <v>315.95756</v>
      </c>
      <c r="F65" s="42" t="n">
        <v>284.80211</v>
      </c>
      <c r="G65" s="43" t="n">
        <f aca="false">IFERROR(E65/F65-1,"")</f>
        <v>0.109393325772762</v>
      </c>
      <c r="H65" s="42" t="n">
        <v>136.50199</v>
      </c>
      <c r="I65" s="42" t="n">
        <v>126.19215</v>
      </c>
      <c r="J65" s="43" t="n">
        <f aca="false">IFERROR(H65/I65-1,"")</f>
        <v>0.0816995351929577</v>
      </c>
      <c r="K65" s="44" t="n">
        <f aca="false">H65-I65</f>
        <v>10.30984</v>
      </c>
      <c r="L65" s="42" t="n">
        <v>136.46168</v>
      </c>
      <c r="M65" s="42" t="n">
        <v>125.2062</v>
      </c>
      <c r="N65" s="43" t="n">
        <f aca="false">IFERROR(L65/M65-1,"")</f>
        <v>0.0898955483035187</v>
      </c>
      <c r="O65" s="42" t="n">
        <v>1051.77712</v>
      </c>
      <c r="P65" s="42" t="n">
        <v>1194.96372</v>
      </c>
      <c r="Q65" s="43" t="n">
        <f aca="false">IFERROR(O65/P65-1,"")</f>
        <v>-0.119825060462924</v>
      </c>
      <c r="R65" s="45" t="n">
        <f aca="false">IF(AND(H65&gt;0,I65&gt;0),1,0)</f>
        <v>1</v>
      </c>
      <c r="S65" s="43" t="n">
        <f aca="false">IF(R65=1,MIN(MAX(J65,-50%),50%),"")</f>
        <v>0.0816995351929577</v>
      </c>
      <c r="T65" s="43" t="n">
        <f aca="false">IF(S65="","",D65*S65)</f>
        <v>0.00083006727756045</v>
      </c>
      <c r="U65" s="46" t="s">
        <v>272</v>
      </c>
    </row>
    <row r="66" customFormat="false" ht="15" hidden="false" customHeight="false" outlineLevel="0" collapsed="false">
      <c r="A66" s="40" t="s">
        <v>273</v>
      </c>
      <c r="B66" s="40" t="s">
        <v>274</v>
      </c>
      <c r="C66" s="40" t="s">
        <v>88</v>
      </c>
      <c r="D66" s="41" t="n">
        <v>0.007</v>
      </c>
      <c r="E66" s="42" t="n">
        <v>46.0491260172</v>
      </c>
      <c r="F66" s="42" t="n">
        <v>50.1016295544</v>
      </c>
      <c r="G66" s="43" t="n">
        <f aca="false">IFERROR(E66/F66-1,"")</f>
        <v>-0.0808856632656991</v>
      </c>
      <c r="H66" s="42" t="n">
        <v>6.3834588394</v>
      </c>
      <c r="I66" s="42" t="n">
        <v>6.6994367266</v>
      </c>
      <c r="J66" s="43" t="n">
        <f aca="false">IFERROR(H66/I66-1,"")</f>
        <v>-0.0471648438659649</v>
      </c>
      <c r="K66" s="44" t="n">
        <f aca="false">H66-I66</f>
        <v>-0.3159778872</v>
      </c>
      <c r="L66" s="42" t="n">
        <v>5.7978473567</v>
      </c>
      <c r="M66" s="42" t="n">
        <v>6.0418788821</v>
      </c>
      <c r="N66" s="43" t="n">
        <f aca="false">IFERROR(L66/M66-1,"")</f>
        <v>-0.0403900061821797</v>
      </c>
      <c r="O66" s="42" t="n">
        <v>-5.6785897025</v>
      </c>
      <c r="P66" s="42" t="n">
        <v>1.470657507</v>
      </c>
      <c r="Q66" s="43" t="n">
        <f aca="false">IFERROR(O66/P66-1,"")</f>
        <v>-4.86125911401614</v>
      </c>
      <c r="R66" s="45" t="n">
        <f aca="false">IF(AND(H66&gt;0,I66&gt;0),1,0)</f>
        <v>1</v>
      </c>
      <c r="S66" s="43" t="n">
        <f aca="false">IF(R66=1,MIN(MAX(J66,-50%),50%),"")</f>
        <v>-0.0471648438659649</v>
      </c>
      <c r="T66" s="43" t="n">
        <f aca="false">IF(S66="","",D66*S66)</f>
        <v>-0.000330153907061754</v>
      </c>
      <c r="U66" s="46" t="s">
        <v>275</v>
      </c>
    </row>
    <row r="67" customFormat="false" ht="15" hidden="false" customHeight="false" outlineLevel="0" collapsed="false">
      <c r="A67" s="40" t="s">
        <v>276</v>
      </c>
      <c r="B67" s="40" t="s">
        <v>277</v>
      </c>
      <c r="C67" s="40" t="s">
        <v>21</v>
      </c>
      <c r="D67" s="41" t="n">
        <v>0.01119</v>
      </c>
      <c r="E67" s="42" t="n">
        <v>158.9157</v>
      </c>
      <c r="F67" s="42" t="n">
        <v>147.40741</v>
      </c>
      <c r="G67" s="43" t="n">
        <f aca="false">IFERROR(E67/F67-1,"")</f>
        <v>0.0780713126972381</v>
      </c>
      <c r="H67" s="42" t="n">
        <v>81.67854</v>
      </c>
      <c r="I67" s="42" t="n">
        <v>76.98743</v>
      </c>
      <c r="J67" s="43" t="n">
        <f aca="false">IFERROR(H67/I67-1,"")</f>
        <v>0.0609334536819841</v>
      </c>
      <c r="K67" s="44" t="n">
        <f aca="false">H67-I67</f>
        <v>4.69111</v>
      </c>
      <c r="L67" s="42" t="n">
        <v>81.718</v>
      </c>
      <c r="M67" s="42" t="n">
        <v>76.954</v>
      </c>
      <c r="N67" s="43" t="n">
        <f aca="false">IFERROR(L67/M67-1,"")</f>
        <v>0.0619071133404372</v>
      </c>
      <c r="O67" s="42" t="n">
        <v>335.332</v>
      </c>
      <c r="P67" s="42" t="n">
        <v>34.35229</v>
      </c>
      <c r="Q67" s="43" t="n">
        <f aca="false">IFERROR(O67/P67-1,"")</f>
        <v>8.76156174741189</v>
      </c>
      <c r="R67" s="45" t="n">
        <f aca="false">IF(AND(H67&gt;0,I67&gt;0),1,0)</f>
        <v>1</v>
      </c>
      <c r="S67" s="43" t="n">
        <f aca="false">IF(R67=1,MIN(MAX(J67,-50%),50%),"")</f>
        <v>0.0609334536819841</v>
      </c>
      <c r="T67" s="43" t="n">
        <f aca="false">IF(S67="","",D67*S67)</f>
        <v>0.000681845346701402</v>
      </c>
      <c r="U67" s="46" t="s">
        <v>278</v>
      </c>
    </row>
    <row r="68" customFormat="false" ht="15" hidden="false" customHeight="false" outlineLevel="0" collapsed="false">
      <c r="A68" s="40" t="s">
        <v>279</v>
      </c>
      <c r="B68" s="40" t="s">
        <v>280</v>
      </c>
      <c r="C68" s="40" t="s">
        <v>22</v>
      </c>
      <c r="D68" s="41" t="n">
        <v>0.01135</v>
      </c>
      <c r="E68" s="42" t="n">
        <v>1893.38</v>
      </c>
      <c r="F68" s="42" t="n">
        <v>1754.23</v>
      </c>
      <c r="G68" s="43" t="n">
        <f aca="false">IFERROR(E68/F68-1,"")</f>
        <v>0.0793225517748528</v>
      </c>
      <c r="H68" s="42" t="n">
        <v>287.15</v>
      </c>
      <c r="I68" s="42" t="n">
        <v>275.83</v>
      </c>
      <c r="J68" s="43" t="n">
        <f aca="false">IFERROR(H68/I68-1,"")</f>
        <v>0.0410397708733641</v>
      </c>
      <c r="K68" s="44" t="n">
        <f aca="false">H68-I68</f>
        <v>11.32</v>
      </c>
      <c r="L68" s="42" t="n">
        <v>268.95</v>
      </c>
      <c r="M68" s="42" t="n">
        <v>243.12</v>
      </c>
      <c r="N68" s="43" t="n">
        <f aca="false">IFERROR(L68/M68-1,"")</f>
        <v>0.106243830207305</v>
      </c>
      <c r="O68" s="42" t="n">
        <v>546.64</v>
      </c>
      <c r="P68" s="42" t="n">
        <v>515.45</v>
      </c>
      <c r="Q68" s="43" t="n">
        <f aca="false">IFERROR(O68/P68-1,"")</f>
        <v>0.0605102337763119</v>
      </c>
      <c r="R68" s="45" t="n">
        <f aca="false">IF(AND(H68&gt;0,I68&gt;0),1,0)</f>
        <v>1</v>
      </c>
      <c r="S68" s="43" t="n">
        <f aca="false">IF(R68=1,MIN(MAX(J68,-50%),50%),"")</f>
        <v>0.0410397708733641</v>
      </c>
      <c r="T68" s="43" t="n">
        <f aca="false">IF(S68="","",D68*S68)</f>
        <v>0.000465801399412682</v>
      </c>
      <c r="U68" s="46" t="s">
        <v>281</v>
      </c>
    </row>
    <row r="69" customFormat="false" ht="15" hidden="false" customHeight="false" outlineLevel="0" collapsed="false">
      <c r="A69" s="40" t="s">
        <v>282</v>
      </c>
      <c r="B69" s="40" t="s">
        <v>283</v>
      </c>
      <c r="C69" s="40" t="s">
        <v>88</v>
      </c>
      <c r="D69" s="41" t="n">
        <v>0.00816</v>
      </c>
      <c r="E69" s="42" t="n">
        <v>58.4285798284</v>
      </c>
      <c r="F69" s="42" t="n">
        <v>63.6771676553</v>
      </c>
      <c r="G69" s="43" t="n">
        <f aca="false">IFERROR(E69/F69-1,"")</f>
        <v>-0.0824249573302615</v>
      </c>
      <c r="H69" s="42" t="n">
        <v>9.3250118609</v>
      </c>
      <c r="I69" s="42" t="n">
        <v>10.1630947734</v>
      </c>
      <c r="J69" s="43" t="n">
        <f aca="false">IFERROR(H69/I69-1,"")</f>
        <v>-0.0824633569976662</v>
      </c>
      <c r="K69" s="44" t="n">
        <f aca="false">H69-I69</f>
        <v>-0.838082912499999</v>
      </c>
      <c r="L69" s="42" t="n">
        <v>9.2381818457</v>
      </c>
      <c r="M69" s="42" t="n">
        <v>9.9497380207</v>
      </c>
      <c r="N69" s="43" t="n">
        <f aca="false">IFERROR(L69/M69-1,"")</f>
        <v>-0.071515066378596</v>
      </c>
      <c r="O69" s="42" t="n">
        <v>-7.6508858042</v>
      </c>
      <c r="P69" s="42" t="n">
        <v>-6.0873395451</v>
      </c>
      <c r="Q69" s="43" t="n">
        <f aca="false">IFERROR(O69/P69-1,"")</f>
        <v>0.256852151504934</v>
      </c>
      <c r="R69" s="45" t="n">
        <f aca="false">IF(AND(H69&gt;0,I69&gt;0),1,0)</f>
        <v>1</v>
      </c>
      <c r="S69" s="43" t="n">
        <f aca="false">IF(R69=1,MIN(MAX(J69,-50%),50%),"")</f>
        <v>-0.0824633569976662</v>
      </c>
      <c r="T69" s="43" t="n">
        <f aca="false">IF(S69="","",D69*S69)</f>
        <v>-0.000672900993100956</v>
      </c>
      <c r="U69" s="46" t="s">
        <v>284</v>
      </c>
    </row>
    <row r="70" customFormat="false" ht="15" hidden="false" customHeight="false" outlineLevel="0" collapsed="false">
      <c r="A70" s="40" t="s">
        <v>285</v>
      </c>
      <c r="B70" s="40" t="s">
        <v>286</v>
      </c>
      <c r="C70" s="40" t="s">
        <v>22</v>
      </c>
      <c r="D70" s="41" t="n">
        <v>0.01518</v>
      </c>
      <c r="E70" s="42" t="n">
        <v>48.1070960969</v>
      </c>
      <c r="F70" s="42" t="n">
        <v>43.9501217883</v>
      </c>
      <c r="G70" s="43" t="n">
        <f aca="false">IFERROR(E70/F70-1,"")</f>
        <v>0.0945839087459965</v>
      </c>
      <c r="H70" s="42" t="n">
        <v>7.4458963571</v>
      </c>
      <c r="I70" s="42" t="n">
        <v>4.4817594346</v>
      </c>
      <c r="J70" s="43" t="n">
        <f aca="false">IFERROR(H70/I70-1,"")</f>
        <v>0.661377962327992</v>
      </c>
      <c r="K70" s="44" t="n">
        <f aca="false">H70-I70</f>
        <v>2.9641369225</v>
      </c>
      <c r="L70" s="42" t="n">
        <v>7.4765830338</v>
      </c>
      <c r="M70" s="42" t="n">
        <v>4.495728432</v>
      </c>
      <c r="N70" s="43" t="n">
        <f aca="false">IFERROR(L70/M70-1,"")</f>
        <v>0.66304151749529</v>
      </c>
      <c r="O70" s="42" t="n">
        <v>16.22575411</v>
      </c>
      <c r="P70" s="42" t="n">
        <v>10.5201559081</v>
      </c>
      <c r="Q70" s="43" t="n">
        <f aca="false">IFERROR(O70/P70-1,"")</f>
        <v>0.542349205823744</v>
      </c>
      <c r="R70" s="45" t="n">
        <f aca="false">IF(AND(H70&gt;0,I70&gt;0),1,0)</f>
        <v>1</v>
      </c>
      <c r="S70" s="43" t="n">
        <f aca="false">IF(R70=1,MIN(MAX(J70,-50%),50%),"")</f>
        <v>0.5</v>
      </c>
      <c r="T70" s="43" t="n">
        <f aca="false">IF(S70="","",D70*S70)</f>
        <v>0.00759</v>
      </c>
      <c r="U70" s="46" t="s">
        <v>287</v>
      </c>
    </row>
    <row r="71" customFormat="false" ht="15" hidden="false" customHeight="false" outlineLevel="0" collapsed="false">
      <c r="A71" s="40" t="s">
        <v>288</v>
      </c>
      <c r="B71" s="40" t="s">
        <v>289</v>
      </c>
      <c r="C71" s="40" t="s">
        <v>21</v>
      </c>
      <c r="D71" s="41" t="n">
        <v>0.01002</v>
      </c>
      <c r="E71" s="42" t="n">
        <v>1101.77</v>
      </c>
      <c r="F71" s="42" t="n">
        <v>1104.58</v>
      </c>
      <c r="G71" s="43" t="n">
        <f aca="false">IFERROR(E71/F71-1,"")</f>
        <v>-0.0025439533578373</v>
      </c>
      <c r="H71" s="42" t="n">
        <v>411.31</v>
      </c>
      <c r="I71" s="42" t="n">
        <v>431.41</v>
      </c>
      <c r="J71" s="43" t="n">
        <f aca="false">IFERROR(H71/I71-1,"")</f>
        <v>-0.0465914095639879</v>
      </c>
      <c r="K71" s="44" t="n">
        <f aca="false">H71-I71</f>
        <v>-20.1</v>
      </c>
      <c r="L71" s="42" t="n">
        <v>407.8</v>
      </c>
      <c r="M71" s="42" t="n">
        <v>428.4</v>
      </c>
      <c r="N71" s="43" t="n">
        <f aca="false">IFERROR(L71/M71-1,"")</f>
        <v>-0.0480859010270774</v>
      </c>
      <c r="O71" s="42" t="n">
        <v>-73.09</v>
      </c>
      <c r="P71" s="42" t="n">
        <v>-779.51</v>
      </c>
      <c r="Q71" s="43" t="n">
        <f aca="false">IFERROR(O71/P71-1,"")</f>
        <v>-0.906235968749599</v>
      </c>
      <c r="R71" s="45" t="n">
        <f aca="false">IF(AND(H71&gt;0,I71&gt;0),1,0)</f>
        <v>1</v>
      </c>
      <c r="S71" s="43" t="n">
        <f aca="false">IF(R71=1,MIN(MAX(J71,-50%),50%),"")</f>
        <v>-0.0465914095639879</v>
      </c>
      <c r="T71" s="43" t="n">
        <f aca="false">IF(S71="","",D71*S71)</f>
        <v>-0.000466845923831159</v>
      </c>
      <c r="U71" s="46" t="s">
        <v>290</v>
      </c>
    </row>
    <row r="72" customFormat="false" ht="15" hidden="false" customHeight="false" outlineLevel="0" collapsed="false">
      <c r="A72" s="40" t="s">
        <v>291</v>
      </c>
      <c r="B72" s="40" t="s">
        <v>292</v>
      </c>
      <c r="C72" s="40" t="s">
        <v>55</v>
      </c>
      <c r="D72" s="41" t="n">
        <v>0.01804</v>
      </c>
      <c r="E72" s="42" t="n">
        <v>394.42827672</v>
      </c>
      <c r="F72" s="42" t="n">
        <v>316.19198164</v>
      </c>
      <c r="G72" s="43" t="n">
        <f aca="false">IFERROR(E72/F72-1,"")</f>
        <v>0.247432887684912</v>
      </c>
      <c r="H72" s="42" t="n">
        <v>41.69335166</v>
      </c>
      <c r="I72" s="42" t="n">
        <v>18.69364113</v>
      </c>
      <c r="J72" s="43" t="n">
        <f aca="false">IFERROR(H72/I72-1,"")</f>
        <v>1.23034942042883</v>
      </c>
      <c r="K72" s="44" t="n">
        <f aca="false">H72-I72</f>
        <v>22.99971053</v>
      </c>
      <c r="L72" s="42" t="n">
        <v>42.1094957</v>
      </c>
      <c r="M72" s="42" t="n">
        <v>18.33607095</v>
      </c>
      <c r="N72" s="43" t="n">
        <f aca="false">IFERROR(L72/M72-1,"")</f>
        <v>1.29653865404573</v>
      </c>
      <c r="O72" s="42" t="n">
        <v>83.49299931</v>
      </c>
      <c r="P72" s="42" t="n">
        <v>50.10092508</v>
      </c>
      <c r="Q72" s="43" t="n">
        <f aca="false">IFERROR(O72/P72-1,"")</f>
        <v>0.666496161032562</v>
      </c>
      <c r="R72" s="45" t="n">
        <f aca="false">IF(AND(H72&gt;0,I72&gt;0),1,0)</f>
        <v>1</v>
      </c>
      <c r="S72" s="43" t="n">
        <f aca="false">IF(R72=1,MIN(MAX(J72,-50%),50%),"")</f>
        <v>0.5</v>
      </c>
      <c r="T72" s="43" t="n">
        <f aca="false">IF(S72="","",D72*S72)</f>
        <v>0.00902</v>
      </c>
      <c r="U72" s="46" t="s">
        <v>293</v>
      </c>
    </row>
    <row r="73" customFormat="false" ht="15" hidden="false" customHeight="false" outlineLevel="0" collapsed="false">
      <c r="A73" s="40" t="s">
        <v>294</v>
      </c>
      <c r="B73" s="40" t="s">
        <v>295</v>
      </c>
      <c r="C73" s="40" t="s">
        <v>21</v>
      </c>
      <c r="D73" s="41" t="n">
        <v>0.01007</v>
      </c>
      <c r="E73" s="42" t="n">
        <v>382.48</v>
      </c>
      <c r="F73" s="42" t="n">
        <v>362.18</v>
      </c>
      <c r="G73" s="43" t="n">
        <f aca="false">IFERROR(E73/F73-1,"")</f>
        <v>0.0560494781600309</v>
      </c>
      <c r="H73" s="42" t="n">
        <v>159</v>
      </c>
      <c r="I73" s="42" t="n">
        <v>150.53</v>
      </c>
      <c r="J73" s="43" t="n">
        <f aca="false">IFERROR(H73/I73-1,"")</f>
        <v>0.0562678535840031</v>
      </c>
      <c r="K73" s="44" t="n">
        <f aca="false">H73-I73</f>
        <v>8.47</v>
      </c>
      <c r="L73" s="42" t="n">
        <v>160.39</v>
      </c>
      <c r="M73" s="42" t="n">
        <v>150.51</v>
      </c>
      <c r="N73" s="43" t="n">
        <f aca="false">IFERROR(L73/M73-1,"")</f>
        <v>0.0656434788386153</v>
      </c>
      <c r="O73" s="42" t="n">
        <v>12.14</v>
      </c>
      <c r="P73" s="42" t="n">
        <v>1669.14</v>
      </c>
      <c r="Q73" s="43" t="n">
        <f aca="false">IFERROR(O73/P73-1,"")</f>
        <v>-0.992726793438537</v>
      </c>
      <c r="R73" s="45" t="n">
        <f aca="false">IF(AND(H73&gt;0,I73&gt;0),1,0)</f>
        <v>1</v>
      </c>
      <c r="S73" s="43" t="n">
        <f aca="false">IF(R73=1,MIN(MAX(J73,-50%),50%),"")</f>
        <v>0.0562678535840031</v>
      </c>
      <c r="T73" s="43" t="n">
        <f aca="false">IF(S73="","",D73*S73)</f>
        <v>0.000566617285590911</v>
      </c>
      <c r="U73" s="46" t="s">
        <v>296</v>
      </c>
    </row>
    <row r="74" customFormat="false" ht="15" hidden="false" customHeight="false" outlineLevel="0" collapsed="false">
      <c r="A74" s="40" t="s">
        <v>297</v>
      </c>
      <c r="B74" s="40" t="s">
        <v>298</v>
      </c>
      <c r="C74" s="40" t="s">
        <v>21</v>
      </c>
      <c r="D74" s="41" t="n">
        <v>0.01009</v>
      </c>
      <c r="E74" s="42" t="n">
        <v>32.16435</v>
      </c>
      <c r="F74" s="42" t="n">
        <v>26.89283</v>
      </c>
      <c r="G74" s="43" t="n">
        <f aca="false">IFERROR(E74/F74-1,"")</f>
        <v>0.196019533831136</v>
      </c>
      <c r="H74" s="42" t="n">
        <v>12.42656</v>
      </c>
      <c r="I74" s="42" t="n">
        <v>11.57983</v>
      </c>
      <c r="J74" s="43" t="n">
        <f aca="false">IFERROR(H74/I74-1,"")</f>
        <v>0.0731211079955405</v>
      </c>
      <c r="K74" s="44" t="n">
        <f aca="false">H74-I74</f>
        <v>0.846730000000001</v>
      </c>
      <c r="L74" s="42" t="n">
        <v>11.7478</v>
      </c>
      <c r="M74" s="42" t="n">
        <v>11.51673</v>
      </c>
      <c r="N74" s="43" t="n">
        <f aca="false">IFERROR(L74/M74-1,"")</f>
        <v>0.0200638549310437</v>
      </c>
      <c r="O74" s="42" t="n">
        <v>117.69345</v>
      </c>
      <c r="P74" s="42" t="n">
        <v>-21.4367</v>
      </c>
      <c r="Q74" s="43" t="n">
        <f aca="false">IFERROR(O74/P74-1,"")</f>
        <v>-6.49027835441089</v>
      </c>
      <c r="R74" s="45" t="n">
        <f aca="false">IF(AND(H74&gt;0,I74&gt;0),1,0)</f>
        <v>1</v>
      </c>
      <c r="S74" s="43" t="n">
        <f aca="false">IF(R74=1,MIN(MAX(J74,-50%),50%),"")</f>
        <v>0.0731211079955405</v>
      </c>
      <c r="T74" s="43" t="n">
        <f aca="false">IF(S74="","",D74*S74)</f>
        <v>0.000737791979675004</v>
      </c>
      <c r="U74" s="46" t="s">
        <v>299</v>
      </c>
    </row>
    <row r="75" customFormat="false" ht="15" hidden="false" customHeight="false" outlineLevel="0" collapsed="false">
      <c r="A75" s="40" t="s">
        <v>300</v>
      </c>
      <c r="B75" s="40" t="s">
        <v>301</v>
      </c>
      <c r="C75" s="40" t="s">
        <v>88</v>
      </c>
      <c r="D75" s="41" t="n">
        <v>0.00894</v>
      </c>
      <c r="E75" s="42" t="n">
        <v>128.9056122729</v>
      </c>
      <c r="F75" s="42" t="n">
        <v>126.6027922824</v>
      </c>
      <c r="G75" s="43" t="n">
        <f aca="false">IFERROR(E75/F75-1,"")</f>
        <v>0.0181893301797271</v>
      </c>
      <c r="H75" s="42" t="n">
        <v>16.6682805583</v>
      </c>
      <c r="I75" s="42" t="n">
        <v>19.1991732932</v>
      </c>
      <c r="J75" s="43" t="n">
        <f aca="false">IFERROR(H75/I75-1,"")</f>
        <v>-0.13182300593101</v>
      </c>
      <c r="K75" s="44" t="n">
        <f aca="false">H75-I75</f>
        <v>-2.5308927349</v>
      </c>
      <c r="L75" s="42" t="n">
        <v>16.5486816584</v>
      </c>
      <c r="M75" s="42" t="n">
        <v>18.2748313991</v>
      </c>
      <c r="N75" s="43" t="n">
        <f aca="false">IFERROR(L75/M75-1,"")</f>
        <v>-0.0944550295979755</v>
      </c>
      <c r="O75" s="42" t="n">
        <v>23.47686217</v>
      </c>
      <c r="P75" s="42" t="n">
        <v>25.9393071174</v>
      </c>
      <c r="Q75" s="43" t="n">
        <f aca="false">IFERROR(O75/P75-1,"")</f>
        <v>-0.0949310224924319</v>
      </c>
      <c r="R75" s="45" t="n">
        <f aca="false">IF(AND(H75&gt;0,I75&gt;0),1,0)</f>
        <v>1</v>
      </c>
      <c r="S75" s="43" t="n">
        <f aca="false">IF(R75=1,MIN(MAX(J75,-50%),50%),"")</f>
        <v>-0.13182300593101</v>
      </c>
      <c r="T75" s="43" t="n">
        <f aca="false">IF(S75="","",D75*S75)</f>
        <v>-0.00117849767302323</v>
      </c>
      <c r="U75" s="46" t="s">
        <v>302</v>
      </c>
    </row>
    <row r="76" customFormat="false" ht="15" hidden="false" customHeight="false" outlineLevel="0" collapsed="false">
      <c r="A76" s="40" t="s">
        <v>303</v>
      </c>
      <c r="B76" s="40" t="s">
        <v>304</v>
      </c>
      <c r="C76" s="40" t="s">
        <v>22</v>
      </c>
      <c r="D76" s="41" t="n">
        <v>0.01563</v>
      </c>
      <c r="E76" s="42" t="n">
        <v>788.9451404707</v>
      </c>
      <c r="F76" s="42" t="n">
        <v>779.8269853111</v>
      </c>
      <c r="G76" s="43" t="n">
        <f aca="false">IFERROR(E76/F76-1,"")</f>
        <v>0.0116925360770408</v>
      </c>
      <c r="H76" s="42" t="n">
        <v>112.7242210147</v>
      </c>
      <c r="I76" s="42" t="n">
        <v>76.3845804906</v>
      </c>
      <c r="J76" s="43" t="n">
        <f aca="false">IFERROR(H76/I76-1,"")</f>
        <v>0.47574576296288</v>
      </c>
      <c r="K76" s="44" t="n">
        <f aca="false">H76-I76</f>
        <v>36.3396405241</v>
      </c>
      <c r="L76" s="42" t="n">
        <v>97.363982</v>
      </c>
      <c r="M76" s="42" t="n">
        <v>72.228668</v>
      </c>
      <c r="N76" s="43" t="n">
        <f aca="false">IFERROR(L76/M76-1,"")</f>
        <v>0.34799636620739</v>
      </c>
      <c r="O76" s="42" t="n">
        <v>205.3691736136</v>
      </c>
      <c r="P76" s="42" t="n">
        <v>158.1512964671</v>
      </c>
      <c r="Q76" s="43" t="n">
        <f aca="false">IFERROR(O76/P76-1,"")</f>
        <v>0.298561429474735</v>
      </c>
      <c r="R76" s="45" t="n">
        <f aca="false">IF(AND(H76&gt;0,I76&gt;0),1,0)</f>
        <v>1</v>
      </c>
      <c r="S76" s="43" t="n">
        <f aca="false">IF(R76=1,MIN(MAX(J76,-50%),50%),"")</f>
        <v>0.47574576296288</v>
      </c>
      <c r="T76" s="43" t="n">
        <f aca="false">IF(S76="","",D76*S76)</f>
        <v>0.00743590627510981</v>
      </c>
      <c r="U76" s="46" t="s">
        <v>305</v>
      </c>
    </row>
    <row r="77" customFormat="false" ht="15" hidden="false" customHeight="false" outlineLevel="0" collapsed="false">
      <c r="A77" s="40" t="s">
        <v>306</v>
      </c>
      <c r="B77" s="40" t="s">
        <v>307</v>
      </c>
      <c r="C77" s="40" t="s">
        <v>21</v>
      </c>
      <c r="D77" s="41" t="n">
        <v>0.01077</v>
      </c>
      <c r="E77" s="42" t="n">
        <v>288.42209</v>
      </c>
      <c r="F77" s="42" t="n">
        <v>273.43871</v>
      </c>
      <c r="G77" s="43" t="n">
        <f aca="false">IFERROR(E77/F77-1,"")</f>
        <v>0.0547961186622041</v>
      </c>
      <c r="H77" s="42" t="n">
        <v>132.98558</v>
      </c>
      <c r="I77" s="42" t="n">
        <v>132.30678</v>
      </c>
      <c r="J77" s="43" t="n">
        <f aca="false">IFERROR(H77/I77-1,"")</f>
        <v>0.00513050049286967</v>
      </c>
      <c r="K77" s="44" t="n">
        <f aca="false">H77-I77</f>
        <v>0.678799999999995</v>
      </c>
      <c r="L77" s="42" t="n">
        <v>133.33376</v>
      </c>
      <c r="M77" s="42" t="n">
        <v>132.43805</v>
      </c>
      <c r="N77" s="43" t="n">
        <f aca="false">IFERROR(L77/M77-1,"")</f>
        <v>0.00676323760429876</v>
      </c>
      <c r="O77" s="42" t="n">
        <v>-4.34193</v>
      </c>
      <c r="P77" s="42" t="n">
        <v>-1307.82033</v>
      </c>
      <c r="Q77" s="43" t="n">
        <f aca="false">IFERROR(O77/P77-1,"")</f>
        <v>-0.996680025611775</v>
      </c>
      <c r="R77" s="45" t="n">
        <f aca="false">IF(AND(H77&gt;0,I77&gt;0),1,0)</f>
        <v>1</v>
      </c>
      <c r="S77" s="43" t="n">
        <f aca="false">IF(R77=1,MIN(MAX(J77,-50%),50%),"")</f>
        <v>0.00513050049286967</v>
      </c>
      <c r="T77" s="43" t="n">
        <f aca="false">IF(S77="","",D77*S77)</f>
        <v>5.52554903082064E-005</v>
      </c>
      <c r="U77" s="46" t="s">
        <v>308</v>
      </c>
    </row>
    <row r="78" customFormat="false" ht="15" hidden="false" customHeight="false" outlineLevel="0" collapsed="false">
      <c r="A78" s="40" t="s">
        <v>309</v>
      </c>
      <c r="B78" s="40" t="s">
        <v>310</v>
      </c>
      <c r="C78" s="40" t="s">
        <v>21</v>
      </c>
      <c r="D78" s="41" t="n">
        <v>0.00862</v>
      </c>
      <c r="E78" s="42" t="n">
        <v>4108.71</v>
      </c>
      <c r="F78" s="42" t="n">
        <v>3699.37</v>
      </c>
      <c r="G78" s="43" t="n">
        <f aca="false">IFERROR(E78/F78-1,"")</f>
        <v>0.110651273054601</v>
      </c>
      <c r="H78" s="42" t="n">
        <v>1463.81</v>
      </c>
      <c r="I78" s="42" t="n">
        <v>1395.1</v>
      </c>
      <c r="J78" s="43" t="n">
        <f aca="false">IFERROR(H78/I78-1,"")</f>
        <v>0.0492509497527058</v>
      </c>
      <c r="K78" s="44" t="n">
        <f aca="false">H78-I78</f>
        <v>68.71</v>
      </c>
      <c r="L78" s="42" t="n">
        <v>1464.49</v>
      </c>
      <c r="M78" s="42" t="n">
        <v>1393.85</v>
      </c>
      <c r="N78" s="43" t="n">
        <f aca="false">IFERROR(L78/M78-1,"")</f>
        <v>0.0506797718549343</v>
      </c>
      <c r="O78" s="42" t="n">
        <v>2876.12</v>
      </c>
      <c r="P78" s="42" t="n">
        <v>10058.04</v>
      </c>
      <c r="Q78" s="43" t="n">
        <f aca="false">IFERROR(O78/P78-1,"")</f>
        <v>-0.714047667338766</v>
      </c>
      <c r="R78" s="45" t="n">
        <f aca="false">IF(AND(H78&gt;0,I78&gt;0),1,0)</f>
        <v>1</v>
      </c>
      <c r="S78" s="43" t="n">
        <f aca="false">IF(R78=1,MIN(MAX(J78,-50%),50%),"")</f>
        <v>0.0492509497527058</v>
      </c>
      <c r="T78" s="43" t="n">
        <f aca="false">IF(S78="","",D78*S78)</f>
        <v>0.000424543186868324</v>
      </c>
      <c r="U78" s="46" t="s">
        <v>311</v>
      </c>
    </row>
    <row r="79" customFormat="false" ht="15" hidden="false" customHeight="false" outlineLevel="0" collapsed="false">
      <c r="A79" s="40" t="s">
        <v>312</v>
      </c>
      <c r="B79" s="40" t="s">
        <v>313</v>
      </c>
      <c r="C79" s="40" t="s">
        <v>314</v>
      </c>
      <c r="D79" s="41" t="n">
        <v>0.00791</v>
      </c>
      <c r="E79" s="42" t="n">
        <v>5751.38</v>
      </c>
      <c r="F79" s="42" t="n">
        <v>5000.76</v>
      </c>
      <c r="G79" s="43" t="n">
        <f aca="false">IFERROR(E79/F79-1,"")</f>
        <v>0.150101184619938</v>
      </c>
      <c r="H79" s="42" t="n">
        <v>925.85</v>
      </c>
      <c r="I79" s="42" t="n">
        <v>680.47</v>
      </c>
      <c r="J79" s="43" t="n">
        <f aca="false">IFERROR(H79/I79-1,"")</f>
        <v>0.360603700383559</v>
      </c>
      <c r="K79" s="44" t="n">
        <f aca="false">H79-I79</f>
        <v>245.38</v>
      </c>
      <c r="L79" s="42" t="n">
        <v>877.12</v>
      </c>
      <c r="M79" s="42" t="n">
        <v>735.71</v>
      </c>
      <c r="N79" s="43" t="n">
        <f aca="false">IFERROR(L79/M79-1,"")</f>
        <v>0.192208886653709</v>
      </c>
      <c r="O79" s="42" t="n">
        <v>3680.37</v>
      </c>
      <c r="P79" s="42" t="n">
        <v>3381.85</v>
      </c>
      <c r="Q79" s="43" t="n">
        <f aca="false">IFERROR(O79/P79-1,"")</f>
        <v>0.0882712125020329</v>
      </c>
      <c r="R79" s="45" t="n">
        <f aca="false">IF(AND(H79&gt;0,I79&gt;0),1,0)</f>
        <v>1</v>
      </c>
      <c r="S79" s="43" t="n">
        <f aca="false">IF(R79=1,MIN(MAX(J79,-50%),50%),"")</f>
        <v>0.360603700383559</v>
      </c>
      <c r="T79" s="43" t="n">
        <f aca="false">IF(S79="","",D79*S79)</f>
        <v>0.00285237527003395</v>
      </c>
      <c r="U79" s="46" t="s">
        <v>315</v>
      </c>
    </row>
    <row r="80" customFormat="false" ht="15" hidden="false" customHeight="false" outlineLevel="0" collapsed="false">
      <c r="A80" s="40" t="s">
        <v>316</v>
      </c>
      <c r="B80" s="40" t="s">
        <v>317</v>
      </c>
      <c r="C80" s="40" t="s">
        <v>21</v>
      </c>
      <c r="D80" s="41" t="n">
        <v>0.00983</v>
      </c>
      <c r="E80" s="42" t="n">
        <v>1423.43</v>
      </c>
      <c r="F80" s="42" t="n">
        <v>1333.68</v>
      </c>
      <c r="G80" s="43" t="n">
        <f aca="false">IFERROR(E80/F80-1,"")</f>
        <v>0.0672950032991422</v>
      </c>
      <c r="H80" s="42" t="n">
        <v>478.74</v>
      </c>
      <c r="I80" s="42" t="n">
        <v>460.16</v>
      </c>
      <c r="J80" s="43" t="n">
        <f aca="false">IFERROR(H80/I80-1,"")</f>
        <v>0.0403772600834491</v>
      </c>
      <c r="K80" s="44" t="n">
        <f aca="false">H80-I80</f>
        <v>18.58</v>
      </c>
      <c r="L80" s="42" t="n">
        <v>476</v>
      </c>
      <c r="M80" s="42" t="n">
        <v>459.02</v>
      </c>
      <c r="N80" s="43" t="n">
        <f aca="false">IFERROR(L80/M80-1,"")</f>
        <v>0.0369918522068755</v>
      </c>
      <c r="O80" s="42" t="n">
        <v>949.43</v>
      </c>
      <c r="P80" s="42" t="n">
        <v>534.79</v>
      </c>
      <c r="Q80" s="43" t="n">
        <f aca="false">IFERROR(O80/P80-1,"")</f>
        <v>0.775332373455001</v>
      </c>
      <c r="R80" s="45" t="n">
        <f aca="false">IF(AND(H80&gt;0,I80&gt;0),1,0)</f>
        <v>1</v>
      </c>
      <c r="S80" s="43" t="n">
        <f aca="false">IF(R80=1,MIN(MAX(J80,-50%),50%),"")</f>
        <v>0.0403772600834491</v>
      </c>
      <c r="T80" s="43" t="n">
        <f aca="false">IF(S80="","",D80*S80)</f>
        <v>0.000396908466620305</v>
      </c>
      <c r="U80" s="46" t="s">
        <v>318</v>
      </c>
    </row>
    <row r="81" customFormat="false" ht="15" hidden="false" customHeight="false" outlineLevel="0" collapsed="false">
      <c r="A81" s="40" t="s">
        <v>319</v>
      </c>
      <c r="B81" s="40" t="s">
        <v>320</v>
      </c>
      <c r="C81" s="40" t="s">
        <v>21</v>
      </c>
      <c r="D81" s="41" t="n">
        <v>0.00992</v>
      </c>
      <c r="E81" s="42" t="n">
        <v>4658.59</v>
      </c>
      <c r="F81" s="42" t="n">
        <v>4270.92</v>
      </c>
      <c r="G81" s="43" t="n">
        <f aca="false">IFERROR(E81/F81-1,"")</f>
        <v>0.0907696702349845</v>
      </c>
      <c r="H81" s="42" t="n">
        <v>1736.82</v>
      </c>
      <c r="I81" s="42" t="n">
        <v>1681.03</v>
      </c>
      <c r="J81" s="43" t="n">
        <f aca="false">IFERROR(H81/I81-1,"")</f>
        <v>0.0331879859371933</v>
      </c>
      <c r="K81" s="44" t="n">
        <f aca="false">H81-I81</f>
        <v>55.79</v>
      </c>
      <c r="L81" s="42" t="n">
        <v>1730.82</v>
      </c>
      <c r="M81" s="42" t="n">
        <v>1677.16</v>
      </c>
      <c r="N81" s="43" t="n">
        <f aca="false">IFERROR(L81/M81-1,"")</f>
        <v>0.031994562236161</v>
      </c>
      <c r="O81" s="42" t="n">
        <v>13690.13</v>
      </c>
      <c r="P81" s="42" t="n">
        <v>7863.17</v>
      </c>
      <c r="Q81" s="43" t="n">
        <f aca="false">IFERROR(O81/P81-1,"")</f>
        <v>0.741044642300751</v>
      </c>
      <c r="R81" s="45" t="n">
        <f aca="false">IF(AND(H81&gt;0,I81&gt;0),1,0)</f>
        <v>1</v>
      </c>
      <c r="S81" s="43" t="n">
        <f aca="false">IF(R81=1,MIN(MAX(J81,-50%),50%),"")</f>
        <v>0.0331879859371933</v>
      </c>
      <c r="T81" s="43" t="n">
        <f aca="false">IF(S81="","",D81*S81)</f>
        <v>0.000329224820496958</v>
      </c>
      <c r="U81" s="46" t="s">
        <v>321</v>
      </c>
    </row>
    <row r="82" customFormat="false" ht="15" hidden="false" customHeight="false" outlineLevel="0" collapsed="false">
      <c r="A82" s="40" t="s">
        <v>322</v>
      </c>
      <c r="B82" s="40" t="s">
        <v>323</v>
      </c>
      <c r="C82" s="40" t="s">
        <v>95</v>
      </c>
      <c r="D82" s="41" t="n">
        <v>0.00935</v>
      </c>
      <c r="E82" s="42" t="n">
        <v>464.5226509125</v>
      </c>
      <c r="F82" s="42" t="n">
        <v>505.2250123152</v>
      </c>
      <c r="G82" s="43" t="n">
        <f aca="false">IFERROR(E82/F82-1,"")</f>
        <v>-0.0805628391519669</v>
      </c>
      <c r="H82" s="42" t="n">
        <v>17.2491901693</v>
      </c>
      <c r="I82" s="42" t="n">
        <v>19.469487272</v>
      </c>
      <c r="J82" s="43" t="n">
        <f aca="false">IFERROR(H82/I82-1,"")</f>
        <v>-0.11403983431516</v>
      </c>
      <c r="K82" s="44" t="n">
        <f aca="false">H82-I82</f>
        <v>-2.2202971027</v>
      </c>
      <c r="L82" s="42" t="n">
        <v>16.3991340486</v>
      </c>
      <c r="M82" s="42" t="n">
        <v>13.9772812029</v>
      </c>
      <c r="N82" s="43" t="n">
        <f aca="false">IFERROR(L82/M82-1,"")</f>
        <v>0.173270667631522</v>
      </c>
      <c r="O82" s="42" t="n">
        <v>-8.5812582909</v>
      </c>
      <c r="P82" s="42" t="n">
        <v>1.6772286182</v>
      </c>
      <c r="Q82" s="43" t="n">
        <f aca="false">IFERROR(O82/P82-1,"")</f>
        <v>-6.11633190477598</v>
      </c>
      <c r="R82" s="45" t="n">
        <f aca="false">IF(AND(H82&gt;0,I82&gt;0),1,0)</f>
        <v>1</v>
      </c>
      <c r="S82" s="43" t="n">
        <f aca="false">IF(R82=1,MIN(MAX(J82,-50%),50%),"")</f>
        <v>-0.11403983431516</v>
      </c>
      <c r="T82" s="43" t="n">
        <f aca="false">IF(S82="","",D82*S82)</f>
        <v>-0.00106627245084675</v>
      </c>
      <c r="U82" s="46" t="s">
        <v>324</v>
      </c>
    </row>
    <row r="83" customFormat="false" ht="15" hidden="false" customHeight="false" outlineLevel="0" collapsed="false">
      <c r="A83" s="40" t="s">
        <v>325</v>
      </c>
      <c r="B83" s="40" t="s">
        <v>326</v>
      </c>
      <c r="C83" s="40" t="s">
        <v>21</v>
      </c>
      <c r="D83" s="41" t="n">
        <v>0.0084</v>
      </c>
      <c r="E83" s="42" t="n">
        <v>1924.82</v>
      </c>
      <c r="F83" s="42" t="n">
        <v>1794.46</v>
      </c>
      <c r="G83" s="43" t="n">
        <f aca="false">IFERROR(E83/F83-1,"")</f>
        <v>0.0726458098815241</v>
      </c>
      <c r="H83" s="42" t="n">
        <v>515.03</v>
      </c>
      <c r="I83" s="42" t="n">
        <v>492.28</v>
      </c>
      <c r="J83" s="43" t="n">
        <f aca="false">IFERROR(H83/I83-1,"")</f>
        <v>0.0462135370114569</v>
      </c>
      <c r="K83" s="44" t="n">
        <f aca="false">H83-I83</f>
        <v>22.75</v>
      </c>
      <c r="L83" s="42" t="n">
        <v>493.7</v>
      </c>
      <c r="M83" s="42" t="n">
        <v>493.33</v>
      </c>
      <c r="N83" s="43" t="n">
        <f aca="false">IFERROR(L83/M83-1,"")</f>
        <v>0.000750005067601922</v>
      </c>
      <c r="O83" s="42" t="n">
        <v>3525.14</v>
      </c>
      <c r="P83" s="42" t="n">
        <v>1836.99</v>
      </c>
      <c r="Q83" s="43" t="n">
        <f aca="false">IFERROR(O83/P83-1,"")</f>
        <v>0.918976151203871</v>
      </c>
      <c r="R83" s="45" t="n">
        <f aca="false">IF(AND(H83&gt;0,I83&gt;0),1,0)</f>
        <v>1</v>
      </c>
      <c r="S83" s="43" t="n">
        <f aca="false">IF(R83=1,MIN(MAX(J83,-50%),50%),"")</f>
        <v>0.0462135370114569</v>
      </c>
      <c r="T83" s="43" t="n">
        <f aca="false">IF(S83="","",D83*S83)</f>
        <v>0.000388193710896238</v>
      </c>
      <c r="U83" s="46" t="s">
        <v>327</v>
      </c>
    </row>
    <row r="84" customFormat="false" ht="15" hidden="false" customHeight="false" outlineLevel="0" collapsed="false">
      <c r="A84" s="40" t="s">
        <v>328</v>
      </c>
      <c r="B84" s="40" t="s">
        <v>329</v>
      </c>
      <c r="C84" s="40" t="s">
        <v>22</v>
      </c>
      <c r="D84" s="41" t="n">
        <v>0.01471</v>
      </c>
      <c r="E84" s="42" t="n">
        <v>122.8012889371</v>
      </c>
      <c r="F84" s="42" t="n">
        <v>101.2010607178</v>
      </c>
      <c r="G84" s="43" t="n">
        <f aca="false">IFERROR(E84/F84-1,"")</f>
        <v>0.213438753172088</v>
      </c>
      <c r="H84" s="42" t="n">
        <v>3.1675546063</v>
      </c>
      <c r="I84" s="42" t="n">
        <v>2.5785890932</v>
      </c>
      <c r="J84" s="43" t="n">
        <f aca="false">IFERROR(H84/I84-1,"")</f>
        <v>0.228406113503373</v>
      </c>
      <c r="K84" s="44" t="n">
        <f aca="false">H84-I84</f>
        <v>0.5889655131</v>
      </c>
      <c r="L84" s="42" t="n">
        <v>3.0228288324</v>
      </c>
      <c r="M84" s="42" t="n">
        <v>2.8291008375</v>
      </c>
      <c r="N84" s="43" t="n">
        <f aca="false">IFERROR(L84/M84-1,"")</f>
        <v>0.0684768787072265</v>
      </c>
      <c r="O84" s="42" t="n">
        <v>25.528521865</v>
      </c>
      <c r="P84" s="42" t="n">
        <v>4.0355979283</v>
      </c>
      <c r="Q84" s="43" t="n">
        <f aca="false">IFERROR(O84/P84-1,"")</f>
        <v>5.32583382154573</v>
      </c>
      <c r="R84" s="45" t="n">
        <f aca="false">IF(AND(H84&gt;0,I84&gt;0),1,0)</f>
        <v>1</v>
      </c>
      <c r="S84" s="43" t="n">
        <f aca="false">IF(R84=1,MIN(MAX(J84,-50%),50%),"")</f>
        <v>0.228406113503373</v>
      </c>
      <c r="T84" s="43" t="n">
        <f aca="false">IF(S84="","",D84*S84)</f>
        <v>0.00335985392963462</v>
      </c>
      <c r="U84" s="46" t="s">
        <v>330</v>
      </c>
    </row>
    <row r="85" customFormat="false" ht="15" hidden="false" customHeight="false" outlineLevel="0" collapsed="false">
      <c r="A85" s="40" t="s">
        <v>331</v>
      </c>
      <c r="B85" s="40" t="s">
        <v>332</v>
      </c>
      <c r="C85" s="40" t="s">
        <v>84</v>
      </c>
      <c r="D85" s="41" t="n">
        <v>0.00756</v>
      </c>
      <c r="E85" s="42" t="n">
        <v>9758.37283</v>
      </c>
      <c r="F85" s="42" t="n">
        <v>11084.2176</v>
      </c>
      <c r="G85" s="43" t="n">
        <f aca="false">IFERROR(E85/F85-1,"")</f>
        <v>-0.119615548687893</v>
      </c>
      <c r="H85" s="42" t="n">
        <v>230.00277</v>
      </c>
      <c r="I85" s="42" t="n">
        <v>303.99922</v>
      </c>
      <c r="J85" s="43" t="n">
        <f aca="false">IFERROR(H85/I85-1,"")</f>
        <v>-0.243409999538815</v>
      </c>
      <c r="K85" s="44" t="n">
        <f aca="false">H85-I85</f>
        <v>-73.99645</v>
      </c>
      <c r="L85" s="42" t="n">
        <v>199.22491</v>
      </c>
      <c r="M85" s="42" t="n">
        <v>274.98077</v>
      </c>
      <c r="N85" s="43" t="n">
        <f aca="false">IFERROR(L85/M85-1,"")</f>
        <v>-0.275495119167788</v>
      </c>
      <c r="O85" s="42" t="n">
        <v>-284.61271</v>
      </c>
      <c r="P85" s="42" t="n">
        <v>-828.38016</v>
      </c>
      <c r="Q85" s="43" t="n">
        <f aca="false">IFERROR(O85/P85-1,"")</f>
        <v>-0.656422589840877</v>
      </c>
      <c r="R85" s="45" t="n">
        <f aca="false">IF(AND(H85&gt;0,I85&gt;0),1,0)</f>
        <v>1</v>
      </c>
      <c r="S85" s="43" t="n">
        <f aca="false">IF(R85=1,MIN(MAX(J85,-50%),50%),"")</f>
        <v>-0.243409999538815</v>
      </c>
      <c r="T85" s="43" t="n">
        <f aca="false">IF(S85="","",D85*S85)</f>
        <v>-0.00184017959651344</v>
      </c>
      <c r="U85" s="46" t="s">
        <v>333</v>
      </c>
    </row>
    <row r="86" customFormat="false" ht="15" hidden="false" customHeight="false" outlineLevel="0" collapsed="false">
      <c r="A86" s="40" t="s">
        <v>334</v>
      </c>
      <c r="B86" s="40" t="s">
        <v>335</v>
      </c>
      <c r="C86" s="40" t="s">
        <v>22</v>
      </c>
      <c r="D86" s="41" t="n">
        <v>0.01853</v>
      </c>
      <c r="E86" s="42" t="n">
        <v>150.0961981421</v>
      </c>
      <c r="F86" s="42" t="n">
        <v>140.6923225179</v>
      </c>
      <c r="G86" s="43" t="n">
        <f aca="false">IFERROR(E86/F86-1,"")</f>
        <v>0.0668400055945027</v>
      </c>
      <c r="H86" s="42" t="n">
        <v>17.7788913844</v>
      </c>
      <c r="I86" s="42" t="n">
        <v>13.4839954339</v>
      </c>
      <c r="J86" s="43" t="n">
        <f aca="false">IFERROR(H86/I86-1,"")</f>
        <v>0.318518051385737</v>
      </c>
      <c r="K86" s="44" t="n">
        <f aca="false">H86-I86</f>
        <v>4.2948959505</v>
      </c>
      <c r="L86" s="42" t="n">
        <v>17.1663182131</v>
      </c>
      <c r="M86" s="42" t="n">
        <v>11.4698313452</v>
      </c>
      <c r="N86" s="43" t="n">
        <f aca="false">IFERROR(L86/M86-1,"")</f>
        <v>0.496649575434596</v>
      </c>
      <c r="O86" s="42" t="n">
        <v>4.1473764389</v>
      </c>
      <c r="P86" s="42" t="n">
        <v>-8.608405587</v>
      </c>
      <c r="Q86" s="43" t="n">
        <f aca="false">IFERROR(O86/P86-1,"")</f>
        <v>-1.48178218335381</v>
      </c>
      <c r="R86" s="45" t="n">
        <f aca="false">IF(AND(H86&gt;0,I86&gt;0),1,0)</f>
        <v>1</v>
      </c>
      <c r="S86" s="43" t="n">
        <f aca="false">IF(R86=1,MIN(MAX(J86,-50%),50%),"")</f>
        <v>0.318518051385737</v>
      </c>
      <c r="T86" s="43" t="n">
        <f aca="false">IF(S86="","",D86*S86)</f>
        <v>0.00590213949217771</v>
      </c>
      <c r="U86" s="46" t="s">
        <v>336</v>
      </c>
    </row>
    <row r="87" customFormat="false" ht="15" hidden="false" customHeight="false" outlineLevel="0" collapsed="false">
      <c r="A87" s="40" t="s">
        <v>337</v>
      </c>
      <c r="B87" s="40" t="s">
        <v>338</v>
      </c>
      <c r="C87" s="40" t="s">
        <v>88</v>
      </c>
      <c r="D87" s="41" t="n">
        <v>0.00688</v>
      </c>
      <c r="E87" s="42" t="n">
        <v>187.720867286</v>
      </c>
      <c r="F87" s="42" t="n">
        <v>199.8154141939</v>
      </c>
      <c r="G87" s="43" t="n">
        <f aca="false">IFERROR(E87/F87-1,"")</f>
        <v>-0.0605285981398989</v>
      </c>
      <c r="H87" s="42" t="n">
        <v>16.0338853286</v>
      </c>
      <c r="I87" s="42" t="n">
        <v>25.1517670088</v>
      </c>
      <c r="J87" s="43" t="n">
        <f aca="false">IFERROR(H87/I87-1,"")</f>
        <v>-0.362514557208242</v>
      </c>
      <c r="K87" s="44" t="n">
        <f aca="false">H87-I87</f>
        <v>-9.1178816802</v>
      </c>
      <c r="L87" s="42" t="n">
        <v>12.7115712012</v>
      </c>
      <c r="M87" s="42" t="n">
        <v>21.3515528549</v>
      </c>
      <c r="N87" s="43" t="n">
        <f aca="false">IFERROR(L87/M87-1,"")</f>
        <v>-0.404653549669911</v>
      </c>
      <c r="O87" s="42" t="n">
        <v>20.7409232403</v>
      </c>
      <c r="P87" s="42" t="n">
        <v>12.7041169993</v>
      </c>
      <c r="Q87" s="43" t="n">
        <f aca="false">IFERROR(O87/P87-1,"")</f>
        <v>0.632614312466016</v>
      </c>
      <c r="R87" s="45" t="n">
        <f aca="false">IF(AND(H87&gt;0,I87&gt;0),1,0)</f>
        <v>1</v>
      </c>
      <c r="S87" s="43" t="n">
        <f aca="false">IF(R87=1,MIN(MAX(J87,-50%),50%),"")</f>
        <v>-0.362514557208242</v>
      </c>
      <c r="T87" s="43" t="n">
        <f aca="false">IF(S87="","",D87*S87)</f>
        <v>-0.00249410015359271</v>
      </c>
      <c r="U87" s="46" t="s">
        <v>339</v>
      </c>
    </row>
    <row r="88" customFormat="false" ht="15" hidden="false" customHeight="false" outlineLevel="0" collapsed="false">
      <c r="A88" s="40" t="s">
        <v>340</v>
      </c>
      <c r="B88" s="40" t="s">
        <v>341</v>
      </c>
      <c r="C88" s="40" t="s">
        <v>21</v>
      </c>
      <c r="D88" s="41" t="n">
        <v>0.0089</v>
      </c>
      <c r="E88" s="42" t="n">
        <v>630.68</v>
      </c>
      <c r="F88" s="42" t="n">
        <v>659.18</v>
      </c>
      <c r="G88" s="43" t="n">
        <f aca="false">IFERROR(E88/F88-1,"")</f>
        <v>-0.0432355350587094</v>
      </c>
      <c r="H88" s="42" t="n">
        <v>187.11</v>
      </c>
      <c r="I88" s="42" t="n">
        <v>246.22</v>
      </c>
      <c r="J88" s="43" t="n">
        <f aca="false">IFERROR(H88/I88-1,"")</f>
        <v>-0.240069856226139</v>
      </c>
      <c r="K88" s="44" t="n">
        <f aca="false">H88-I88</f>
        <v>-59.11</v>
      </c>
      <c r="L88" s="42" t="n">
        <v>187.46</v>
      </c>
      <c r="M88" s="42" t="n">
        <v>249.76</v>
      </c>
      <c r="N88" s="43" t="n">
        <f aca="false">IFERROR(L88/M88-1,"")</f>
        <v>-0.249439461883408</v>
      </c>
      <c r="O88" s="42" t="n">
        <v>608.84</v>
      </c>
      <c r="P88" s="42" t="n">
        <v>2122.85</v>
      </c>
      <c r="Q88" s="43" t="n">
        <f aca="false">IFERROR(O88/P88-1,"")</f>
        <v>-0.713196881550746</v>
      </c>
      <c r="R88" s="45" t="n">
        <f aca="false">IF(AND(H88&gt;0,I88&gt;0),1,0)</f>
        <v>1</v>
      </c>
      <c r="S88" s="43" t="n">
        <f aca="false">IF(R88=1,MIN(MAX(J88,-50%),50%),"")</f>
        <v>-0.240069856226139</v>
      </c>
      <c r="T88" s="43" t="n">
        <f aca="false">IF(S88="","",D88*S88)</f>
        <v>-0.00213662172041264</v>
      </c>
      <c r="U88" s="46" t="s">
        <v>342</v>
      </c>
    </row>
    <row r="89" customFormat="false" ht="15" hidden="false" customHeight="false" outlineLevel="0" collapsed="false">
      <c r="A89" s="40" t="s">
        <v>343</v>
      </c>
      <c r="B89" s="40" t="s">
        <v>344</v>
      </c>
      <c r="C89" s="40" t="s">
        <v>21</v>
      </c>
      <c r="D89" s="41" t="n">
        <v>0.00889</v>
      </c>
      <c r="E89" s="42" t="n">
        <v>136.88312</v>
      </c>
      <c r="F89" s="42" t="n">
        <v>134.44151</v>
      </c>
      <c r="G89" s="43" t="n">
        <f aca="false">IFERROR(E89/F89-1,"")</f>
        <v>0.0181611319301604</v>
      </c>
      <c r="H89" s="42" t="n">
        <v>70.73316</v>
      </c>
      <c r="I89" s="42" t="n">
        <v>70.12588</v>
      </c>
      <c r="J89" s="43" t="n">
        <f aca="false">IFERROR(H89/I89-1,"")</f>
        <v>0.00865985567667749</v>
      </c>
      <c r="K89" s="44" t="n">
        <f aca="false">H89-I89</f>
        <v>0.607280000000003</v>
      </c>
      <c r="L89" s="42" t="n">
        <v>70.3198</v>
      </c>
      <c r="M89" s="42" t="n">
        <v>69.93414</v>
      </c>
      <c r="N89" s="43" t="n">
        <f aca="false">IFERROR(L89/M89-1,"")</f>
        <v>0.00551461703825917</v>
      </c>
      <c r="O89" s="42" t="n">
        <v>292.68298</v>
      </c>
      <c r="P89" s="42" t="n">
        <v>68.21766</v>
      </c>
      <c r="Q89" s="43" t="n">
        <f aca="false">IFERROR(O89/P89-1,"")</f>
        <v>3.2904283143104</v>
      </c>
      <c r="R89" s="45" t="n">
        <f aca="false">IF(AND(H89&gt;0,I89&gt;0),1,0)</f>
        <v>1</v>
      </c>
      <c r="S89" s="43" t="n">
        <f aca="false">IF(R89=1,MIN(MAX(J89,-50%),50%),"")</f>
        <v>0.00865985567667749</v>
      </c>
      <c r="T89" s="43" t="n">
        <f aca="false">IF(S89="","",D89*S89)</f>
        <v>7.69861169656629E-005</v>
      </c>
      <c r="U89" s="46" t="s">
        <v>345</v>
      </c>
    </row>
    <row r="90" customFormat="false" ht="15" hidden="false" customHeight="false" outlineLevel="0" collapsed="false">
      <c r="A90" s="40" t="s">
        <v>346</v>
      </c>
      <c r="B90" s="40" t="s">
        <v>347</v>
      </c>
      <c r="C90" s="40" t="s">
        <v>21</v>
      </c>
      <c r="D90" s="41" t="n">
        <v>0.01146</v>
      </c>
      <c r="E90" s="42" t="n">
        <v>127.75948</v>
      </c>
      <c r="F90" s="42" t="n">
        <v>122.69651</v>
      </c>
      <c r="G90" s="43" t="n">
        <f aca="false">IFERROR(E90/F90-1,"")</f>
        <v>0.0412641728766368</v>
      </c>
      <c r="H90" s="42" t="n">
        <v>69.04519</v>
      </c>
      <c r="I90" s="42" t="n">
        <v>66.16567</v>
      </c>
      <c r="J90" s="43" t="n">
        <f aca="false">IFERROR(H90/I90-1,"")</f>
        <v>0.043519849492947</v>
      </c>
      <c r="K90" s="44" t="n">
        <f aca="false">H90-I90</f>
        <v>2.87952</v>
      </c>
      <c r="L90" s="42" t="n">
        <v>68.52332</v>
      </c>
      <c r="M90" s="42" t="n">
        <v>65.94012</v>
      </c>
      <c r="N90" s="43" t="n">
        <f aca="false">IFERROR(L90/M90-1,"")</f>
        <v>0.0391749362906833</v>
      </c>
      <c r="O90" s="42" t="n">
        <v>674.31071</v>
      </c>
      <c r="P90" s="42" t="n">
        <v>491.83294</v>
      </c>
      <c r="Q90" s="43" t="n">
        <f aca="false">IFERROR(O90/P90-1,"")</f>
        <v>0.371015755878409</v>
      </c>
      <c r="R90" s="45" t="n">
        <f aca="false">IF(AND(H90&gt;0,I90&gt;0),1,0)</f>
        <v>1</v>
      </c>
      <c r="S90" s="43" t="n">
        <f aca="false">IF(R90=1,MIN(MAX(J90,-50%),50%),"")</f>
        <v>0.043519849492947</v>
      </c>
      <c r="T90" s="43" t="n">
        <f aca="false">IF(S90="","",D90*S90)</f>
        <v>0.000498737475189172</v>
      </c>
      <c r="U90" s="46" t="s">
        <v>348</v>
      </c>
    </row>
    <row r="91" customFormat="false" ht="15" hidden="false" customHeight="false" outlineLevel="0" collapsed="false">
      <c r="A91" s="40" t="s">
        <v>349</v>
      </c>
      <c r="B91" s="40" t="s">
        <v>350</v>
      </c>
      <c r="C91" s="40" t="s">
        <v>163</v>
      </c>
      <c r="D91" s="41" t="n">
        <v>0.01304</v>
      </c>
      <c r="E91" s="42" t="n">
        <v>15274.91</v>
      </c>
      <c r="F91" s="42" t="n">
        <v>14500.21</v>
      </c>
      <c r="G91" s="43" t="n">
        <f aca="false">IFERROR(E91/F91-1,"")</f>
        <v>0.0534268124392683</v>
      </c>
      <c r="H91" s="42" t="n">
        <v>1039.34</v>
      </c>
      <c r="I91" s="42" t="n">
        <v>851.71</v>
      </c>
      <c r="J91" s="43" t="n">
        <f aca="false">IFERROR(H91/I91-1,"")</f>
        <v>0.22029798875204</v>
      </c>
      <c r="K91" s="44" t="n">
        <f aca="false">H91-I91</f>
        <v>187.63</v>
      </c>
      <c r="L91" s="42" t="n">
        <v>1055.33</v>
      </c>
      <c r="M91" s="42" t="n">
        <v>841.16</v>
      </c>
      <c r="N91" s="43" t="n">
        <f aca="false">IFERROR(L91/M91-1,"")</f>
        <v>0.254612677730753</v>
      </c>
      <c r="O91" s="42" t="n">
        <v>2512.81</v>
      </c>
      <c r="P91" s="42" t="n">
        <v>2272.4</v>
      </c>
      <c r="Q91" s="43" t="n">
        <f aca="false">IFERROR(O91/P91-1,"")</f>
        <v>0.105795634571378</v>
      </c>
      <c r="R91" s="45" t="n">
        <f aca="false">IF(AND(H91&gt;0,I91&gt;0),1,0)</f>
        <v>1</v>
      </c>
      <c r="S91" s="43" t="n">
        <f aca="false">IF(R91=1,MIN(MAX(J91,-50%),50%),"")</f>
        <v>0.22029798875204</v>
      </c>
      <c r="T91" s="43" t="n">
        <f aca="false">IF(S91="","",D91*S91)</f>
        <v>0.0028726857733266</v>
      </c>
      <c r="U91" s="46" t="s">
        <v>351</v>
      </c>
    </row>
    <row r="92" customFormat="false" ht="15" hidden="false" customHeight="false" outlineLevel="0" collapsed="false">
      <c r="A92" s="40" t="s">
        <v>352</v>
      </c>
      <c r="B92" s="40" t="s">
        <v>353</v>
      </c>
      <c r="C92" s="40" t="s">
        <v>21</v>
      </c>
      <c r="D92" s="41" t="n">
        <v>0.01042</v>
      </c>
      <c r="E92" s="42" t="n">
        <v>332.56</v>
      </c>
      <c r="F92" s="42" t="n">
        <v>332.48</v>
      </c>
      <c r="G92" s="43" t="n">
        <f aca="false">IFERROR(E92/F92-1,"")</f>
        <v>0.000240615976900838</v>
      </c>
      <c r="H92" s="42" t="n">
        <v>78.24</v>
      </c>
      <c r="I92" s="42" t="n">
        <v>76.67</v>
      </c>
      <c r="J92" s="43" t="n">
        <f aca="false">IFERROR(H92/I92-1,"")</f>
        <v>0.0204773705491064</v>
      </c>
      <c r="K92" s="44" t="n">
        <f aca="false">H92-I92</f>
        <v>1.56999999999999</v>
      </c>
      <c r="L92" s="42" t="n">
        <v>76.19</v>
      </c>
      <c r="M92" s="42" t="n">
        <v>77.52</v>
      </c>
      <c r="N92" s="43" t="n">
        <f aca="false">IFERROR(L92/M92-1,"")</f>
        <v>-0.017156862745098</v>
      </c>
      <c r="O92" s="42" t="n">
        <v>1223.22</v>
      </c>
      <c r="P92" s="42" t="n">
        <v>-433.42</v>
      </c>
      <c r="Q92" s="43" t="n">
        <f aca="false">IFERROR(O92/P92-1,"")</f>
        <v>-3.8222509344285</v>
      </c>
      <c r="R92" s="45" t="n">
        <f aca="false">IF(AND(H92&gt;0,I92&gt;0),1,0)</f>
        <v>1</v>
      </c>
      <c r="S92" s="43" t="n">
        <f aca="false">IF(R92=1,MIN(MAX(J92,-50%),50%),"")</f>
        <v>0.0204773705491064</v>
      </c>
      <c r="T92" s="43" t="n">
        <f aca="false">IF(S92="","",D92*S92)</f>
        <v>0.000213374201121688</v>
      </c>
      <c r="U92" s="46" t="s">
        <v>354</v>
      </c>
    </row>
    <row r="93" customFormat="false" ht="15" hidden="false" customHeight="false" outlineLevel="0" collapsed="false">
      <c r="A93" s="40" t="s">
        <v>355</v>
      </c>
      <c r="B93" s="40" t="s">
        <v>356</v>
      </c>
      <c r="C93" s="40" t="s">
        <v>95</v>
      </c>
      <c r="D93" s="41" t="n">
        <v>0.03024</v>
      </c>
      <c r="E93" s="42" t="n">
        <v>1119.2174756876</v>
      </c>
      <c r="F93" s="42" t="n">
        <v>1090.993443073</v>
      </c>
      <c r="G93" s="43" t="n">
        <f aca="false">IFERROR(E93/F93-1,"")</f>
        <v>0.025870029553158</v>
      </c>
      <c r="H93" s="42" t="n">
        <v>134.189207774</v>
      </c>
      <c r="I93" s="42" t="n">
        <v>175.36092241</v>
      </c>
      <c r="J93" s="43" t="n">
        <f aca="false">IFERROR(H93/I93-1,"")</f>
        <v>-0.2347827216587</v>
      </c>
      <c r="K93" s="44" t="n">
        <f aca="false">H93-I93</f>
        <v>-41.171714636</v>
      </c>
      <c r="L93" s="42" t="n">
        <v>133.8673544383</v>
      </c>
      <c r="M93" s="42" t="n">
        <v>174.650341714</v>
      </c>
      <c r="N93" s="43" t="n">
        <f aca="false">IFERROR(L93/M93-1,"")</f>
        <v>-0.233512210027533</v>
      </c>
      <c r="O93" s="42" t="n">
        <v>233.3022572657</v>
      </c>
      <c r="P93" s="42" t="n">
        <v>257.7697662999</v>
      </c>
      <c r="Q93" s="43" t="n">
        <f aca="false">IFERROR(O93/P93-1,"")</f>
        <v>-0.0949200109284093</v>
      </c>
      <c r="R93" s="45" t="n">
        <f aca="false">IF(AND(H93&gt;0,I93&gt;0),1,0)</f>
        <v>1</v>
      </c>
      <c r="S93" s="43" t="n">
        <f aca="false">IF(R93=1,MIN(MAX(J93,-50%),50%),"")</f>
        <v>-0.2347827216587</v>
      </c>
      <c r="T93" s="43" t="n">
        <f aca="false">IF(S93="","",D93*S93)</f>
        <v>-0.0070998295029591</v>
      </c>
      <c r="U93" s="46" t="s">
        <v>357</v>
      </c>
    </row>
    <row r="94" customFormat="false" ht="15" hidden="false" customHeight="false" outlineLevel="0" collapsed="false">
      <c r="A94" s="40" t="s">
        <v>358</v>
      </c>
      <c r="B94" s="40" t="s">
        <v>359</v>
      </c>
      <c r="C94" s="40" t="s">
        <v>88</v>
      </c>
      <c r="D94" s="41" t="n">
        <v>0.00825</v>
      </c>
      <c r="E94" s="42" t="n">
        <v>61.0049324279</v>
      </c>
      <c r="F94" s="42" t="n">
        <v>71.130602332</v>
      </c>
      <c r="G94" s="43" t="n">
        <f aca="false">IFERROR(E94/F94-1,"")</f>
        <v>-0.142353214680212</v>
      </c>
      <c r="H94" s="42" t="n">
        <v>10.9233644991</v>
      </c>
      <c r="I94" s="42" t="n">
        <v>15.8585016332</v>
      </c>
      <c r="J94" s="43" t="n">
        <f aca="false">IFERROR(H94/I94-1,"")</f>
        <v>-0.311198198180856</v>
      </c>
      <c r="K94" s="44" t="n">
        <f aca="false">H94-I94</f>
        <v>-4.9351371341</v>
      </c>
      <c r="L94" s="42" t="n">
        <v>10.099693983</v>
      </c>
      <c r="M94" s="42" t="n">
        <v>15.1355116564</v>
      </c>
      <c r="N94" s="43" t="n">
        <f aca="false">IFERROR(L94/M94-1,"")</f>
        <v>-0.332715390646911</v>
      </c>
      <c r="O94" s="42" t="n">
        <v>6.0948717906</v>
      </c>
      <c r="P94" s="42" t="n">
        <v>2.0053569626</v>
      </c>
      <c r="Q94" s="43" t="n">
        <f aca="false">IFERROR(O94/P94-1,"")</f>
        <v>2.03929519994178</v>
      </c>
      <c r="R94" s="45" t="n">
        <f aca="false">IF(AND(H94&gt;0,I94&gt;0),1,0)</f>
        <v>1</v>
      </c>
      <c r="S94" s="43" t="n">
        <f aca="false">IF(R94=1,MIN(MAX(J94,-50%),50%),"")</f>
        <v>-0.311198198180856</v>
      </c>
      <c r="T94" s="43" t="n">
        <f aca="false">IF(S94="","",D94*S94)</f>
        <v>-0.00256738513499206</v>
      </c>
      <c r="U94" s="46" t="s">
        <v>360</v>
      </c>
    </row>
    <row r="95" customFormat="false" ht="15" hidden="false" customHeight="false" outlineLevel="0" collapsed="false">
      <c r="A95" s="40" t="s">
        <v>361</v>
      </c>
      <c r="B95" s="40" t="s">
        <v>362</v>
      </c>
      <c r="C95" s="40" t="s">
        <v>21</v>
      </c>
      <c r="D95" s="41" t="n">
        <v>0.01085</v>
      </c>
      <c r="E95" s="42" t="n">
        <v>4365.29</v>
      </c>
      <c r="F95" s="42" t="n">
        <v>3942.73</v>
      </c>
      <c r="G95" s="43" t="n">
        <f aca="false">IFERROR(E95/F95-1,"")</f>
        <v>0.107174470481113</v>
      </c>
      <c r="H95" s="42" t="n">
        <v>1695.64</v>
      </c>
      <c r="I95" s="42" t="n">
        <v>1620.76</v>
      </c>
      <c r="J95" s="43" t="n">
        <f aca="false">IFERROR(H95/I95-1,"")</f>
        <v>0.0462005478911129</v>
      </c>
      <c r="K95" s="44" t="n">
        <f aca="false">H95-I95</f>
        <v>74.8800000000001</v>
      </c>
      <c r="L95" s="42" t="n">
        <v>1682.69</v>
      </c>
      <c r="M95" s="42" t="n">
        <v>1615.98</v>
      </c>
      <c r="N95" s="43" t="n">
        <f aca="false">IFERROR(L95/M95-1,"")</f>
        <v>0.0412814515031126</v>
      </c>
      <c r="O95" s="42" t="n">
        <v>3506.83</v>
      </c>
      <c r="P95" s="42" t="n">
        <v>12566.14</v>
      </c>
      <c r="Q95" s="43" t="n">
        <f aca="false">IFERROR(O95/P95-1,"")</f>
        <v>-0.720930214051411</v>
      </c>
      <c r="R95" s="45" t="n">
        <f aca="false">IF(AND(H95&gt;0,I95&gt;0),1,0)</f>
        <v>1</v>
      </c>
      <c r="S95" s="43" t="n">
        <f aca="false">IF(R95=1,MIN(MAX(J95,-50%),50%),"")</f>
        <v>0.0462005478911129</v>
      </c>
      <c r="T95" s="43" t="n">
        <f aca="false">IF(S95="","",D95*S95)</f>
        <v>0.000501275944618575</v>
      </c>
      <c r="U95" s="46" t="s">
        <v>363</v>
      </c>
    </row>
    <row r="96" customFormat="false" ht="15" hidden="false" customHeight="false" outlineLevel="0" collapsed="false">
      <c r="A96" s="40" t="s">
        <v>364</v>
      </c>
      <c r="B96" s="40" t="s">
        <v>365</v>
      </c>
      <c r="C96" s="40" t="s">
        <v>21</v>
      </c>
      <c r="D96" s="41" t="n">
        <v>0.01011</v>
      </c>
      <c r="E96" s="42" t="n">
        <v>84.85803</v>
      </c>
      <c r="F96" s="42" t="n">
        <v>76.59407</v>
      </c>
      <c r="G96" s="43" t="n">
        <f aca="false">IFERROR(E96/F96-1,"")</f>
        <v>0.107892947848313</v>
      </c>
      <c r="H96" s="42" t="n">
        <v>35.17564</v>
      </c>
      <c r="I96" s="42" t="n">
        <v>31.89503</v>
      </c>
      <c r="J96" s="43" t="n">
        <f aca="false">IFERROR(H96/I96-1,"")</f>
        <v>0.102856463844053</v>
      </c>
      <c r="K96" s="44" t="n">
        <f aca="false">H96-I96</f>
        <v>3.28061</v>
      </c>
      <c r="L96" s="42" t="n">
        <v>34.9019</v>
      </c>
      <c r="M96" s="42" t="n">
        <v>31.74744</v>
      </c>
      <c r="N96" s="43" t="n">
        <f aca="false">IFERROR(L96/M96-1,"")</f>
        <v>0.0993610823423872</v>
      </c>
      <c r="O96" s="42" t="n">
        <v>504.85521</v>
      </c>
      <c r="P96" s="42" t="n">
        <v>400.93519</v>
      </c>
      <c r="Q96" s="43" t="n">
        <f aca="false">IFERROR(O96/P96-1,"")</f>
        <v>0.259194060765781</v>
      </c>
      <c r="R96" s="45" t="n">
        <f aca="false">IF(AND(H96&gt;0,I96&gt;0),1,0)</f>
        <v>1</v>
      </c>
      <c r="S96" s="43" t="n">
        <f aca="false">IF(R96=1,MIN(MAX(J96,-50%),50%),"")</f>
        <v>0.102856463844053</v>
      </c>
      <c r="T96" s="43" t="n">
        <f aca="false">IF(S96="","",D96*S96)</f>
        <v>0.00103987884946338</v>
      </c>
      <c r="U96" s="46" t="s">
        <v>366</v>
      </c>
    </row>
    <row r="97" customFormat="false" ht="15" hidden="false" customHeight="false" outlineLevel="0" collapsed="false">
      <c r="A97" s="40" t="s">
        <v>367</v>
      </c>
      <c r="B97" s="40" t="s">
        <v>368</v>
      </c>
      <c r="C97" s="40" t="s">
        <v>21</v>
      </c>
      <c r="D97" s="41" t="n">
        <v>0.01014</v>
      </c>
      <c r="E97" s="42" t="n">
        <v>3569.03</v>
      </c>
      <c r="F97" s="42" t="n">
        <v>3290.03</v>
      </c>
      <c r="G97" s="43" t="n">
        <f aca="false">IFERROR(E97/F97-1,"")</f>
        <v>0.0848016583435409</v>
      </c>
      <c r="H97" s="42" t="n">
        <v>1235.94</v>
      </c>
      <c r="I97" s="42" t="n">
        <v>1175.91</v>
      </c>
      <c r="J97" s="43" t="n">
        <f aca="false">IFERROR(H97/I97-1,"")</f>
        <v>0.0510498252417277</v>
      </c>
      <c r="K97" s="44" t="n">
        <f aca="false">H97-I97</f>
        <v>60.03</v>
      </c>
      <c r="L97" s="42" t="n">
        <v>1234.79</v>
      </c>
      <c r="M97" s="42" t="n">
        <v>1176.15</v>
      </c>
      <c r="N97" s="43" t="n">
        <f aca="false">IFERROR(L97/M97-1,"")</f>
        <v>0.0498575861922372</v>
      </c>
      <c r="O97" s="42" t="n">
        <v>5158</v>
      </c>
      <c r="P97" s="42" t="n">
        <v>336.39</v>
      </c>
      <c r="Q97" s="43" t="n">
        <f aca="false">IFERROR(O97/P97-1,"")</f>
        <v>14.3333927881328</v>
      </c>
      <c r="R97" s="45" t="n">
        <f aca="false">IF(AND(H97&gt;0,I97&gt;0),1,0)</f>
        <v>1</v>
      </c>
      <c r="S97" s="43" t="n">
        <f aca="false">IF(R97=1,MIN(MAX(J97,-50%),50%),"")</f>
        <v>0.0510498252417277</v>
      </c>
      <c r="T97" s="43" t="n">
        <f aca="false">IF(S97="","",D97*S97)</f>
        <v>0.000517645227951119</v>
      </c>
      <c r="U97" s="46" t="s">
        <v>369</v>
      </c>
    </row>
    <row r="98" customFormat="false" ht="15" hidden="false" customHeight="false" outlineLevel="0" collapsed="false">
      <c r="A98" s="40" t="s">
        <v>370</v>
      </c>
      <c r="B98" s="40" t="s">
        <v>371</v>
      </c>
      <c r="C98" s="40" t="s">
        <v>21</v>
      </c>
      <c r="D98" s="41" t="n">
        <v>0.00897</v>
      </c>
      <c r="E98" s="42" t="n">
        <v>72.07186</v>
      </c>
      <c r="F98" s="42" t="n">
        <v>65.00773</v>
      </c>
      <c r="G98" s="43" t="n">
        <f aca="false">IFERROR(E98/F98-1,"")</f>
        <v>0.108666000181825</v>
      </c>
      <c r="H98" s="42" t="n">
        <v>23.60268</v>
      </c>
      <c r="I98" s="42" t="n">
        <v>24.74388</v>
      </c>
      <c r="J98" s="43" t="n">
        <f aca="false">IFERROR(H98/I98-1,"")</f>
        <v>-0.0461204952497345</v>
      </c>
      <c r="K98" s="44" t="n">
        <f aca="false">H98-I98</f>
        <v>-1.1412</v>
      </c>
      <c r="L98" s="42" t="n">
        <v>23.7432</v>
      </c>
      <c r="M98" s="42" t="n">
        <v>24.70027</v>
      </c>
      <c r="N98" s="43" t="n">
        <f aca="false">IFERROR(L98/M98-1,"")</f>
        <v>-0.0387473497253268</v>
      </c>
      <c r="O98" s="42" t="n">
        <v>284.21159</v>
      </c>
      <c r="P98" s="42" t="n">
        <v>191.02267</v>
      </c>
      <c r="Q98" s="43" t="n">
        <f aca="false">IFERROR(O98/P98-1,"")</f>
        <v>0.487842202184694</v>
      </c>
      <c r="R98" s="45" t="n">
        <f aca="false">IF(AND(H98&gt;0,I98&gt;0),1,0)</f>
        <v>1</v>
      </c>
      <c r="S98" s="43" t="n">
        <f aca="false">IF(R98=1,MIN(MAX(J98,-50%),50%),"")</f>
        <v>-0.0461204952497345</v>
      </c>
      <c r="T98" s="43" t="n">
        <f aca="false">IF(S98="","",D98*S98)</f>
        <v>-0.000413700842390118</v>
      </c>
      <c r="U98" s="46" t="s">
        <v>372</v>
      </c>
    </row>
    <row r="99" customFormat="false" ht="15" hidden="false" customHeight="false" outlineLevel="0" collapsed="false">
      <c r="A99" s="40" t="s">
        <v>373</v>
      </c>
      <c r="B99" s="40" t="s">
        <v>374</v>
      </c>
      <c r="C99" s="40" t="s">
        <v>21</v>
      </c>
      <c r="D99" s="41" t="n">
        <v>0.00975</v>
      </c>
      <c r="E99" s="42" t="n">
        <v>1094.08</v>
      </c>
      <c r="F99" s="42" t="n">
        <v>1061.69</v>
      </c>
      <c r="G99" s="43" t="n">
        <f aca="false">IFERROR(E99/F99-1,"")</f>
        <v>0.0305079637182226</v>
      </c>
      <c r="H99" s="42" t="n">
        <v>376.02</v>
      </c>
      <c r="I99" s="42" t="n">
        <v>364.78</v>
      </c>
      <c r="J99" s="43" t="n">
        <f aca="false">IFERROR(H99/I99-1,"")</f>
        <v>0.0308130928230714</v>
      </c>
      <c r="K99" s="44" t="n">
        <f aca="false">H99-I99</f>
        <v>11.24</v>
      </c>
      <c r="L99" s="42" t="n">
        <v>361.35</v>
      </c>
      <c r="M99" s="42" t="n">
        <v>363.35</v>
      </c>
      <c r="N99" s="43" t="n">
        <f aca="false">IFERROR(L99/M99-1,"")</f>
        <v>-0.00550433466354749</v>
      </c>
      <c r="O99" s="42" t="n">
        <v>2309.88</v>
      </c>
      <c r="P99" s="42" t="n">
        <v>286.51</v>
      </c>
      <c r="Q99" s="43" t="n">
        <f aca="false">IFERROR(O99/P99-1,"")</f>
        <v>7.06212697637081</v>
      </c>
      <c r="R99" s="45" t="n">
        <f aca="false">IF(AND(H99&gt;0,I99&gt;0),1,0)</f>
        <v>1</v>
      </c>
      <c r="S99" s="43" t="n">
        <f aca="false">IF(R99=1,MIN(MAX(J99,-50%),50%),"")</f>
        <v>0.0308130928230714</v>
      </c>
      <c r="T99" s="43" t="n">
        <f aca="false">IF(S99="","",D99*S99)</f>
        <v>0.000300427655024947</v>
      </c>
      <c r="U99" s="46" t="s">
        <v>375</v>
      </c>
    </row>
    <row r="100" customFormat="false" ht="15" hidden="false" customHeight="false" outlineLevel="0" collapsed="false">
      <c r="A100" s="40" t="s">
        <v>376</v>
      </c>
      <c r="B100" s="40" t="s">
        <v>377</v>
      </c>
      <c r="C100" s="40" t="s">
        <v>95</v>
      </c>
      <c r="D100" s="41" t="n">
        <v>0.01973</v>
      </c>
      <c r="E100" s="42" t="n">
        <v>54.5712598732</v>
      </c>
      <c r="F100" s="42" t="n">
        <v>53.3752932848</v>
      </c>
      <c r="G100" s="43" t="n">
        <f aca="false">IFERROR(E100/F100-1,"")</f>
        <v>0.0224067450462249</v>
      </c>
      <c r="H100" s="42" t="n">
        <v>10.8281899062</v>
      </c>
      <c r="I100" s="42" t="n">
        <v>10.7154826244</v>
      </c>
      <c r="J100" s="43" t="n">
        <f aca="false">IFERROR(H100/I100-1,"")</f>
        <v>0.0105181712994762</v>
      </c>
      <c r="K100" s="44" t="n">
        <f aca="false">H100-I100</f>
        <v>0.112707281800001</v>
      </c>
      <c r="L100" s="42" t="n">
        <v>9.8403498088</v>
      </c>
      <c r="M100" s="42" t="n">
        <v>8.2381732756</v>
      </c>
      <c r="N100" s="43" t="n">
        <f aca="false">IFERROR(L100/M100-1,"")</f>
        <v>0.194482014349633</v>
      </c>
      <c r="O100" s="42" t="n">
        <v>17.5089347541</v>
      </c>
      <c r="P100" s="42" t="n">
        <v>12.7959174468</v>
      </c>
      <c r="Q100" s="43" t="n">
        <f aca="false">IFERROR(O100/P100-1,"")</f>
        <v>0.368321953224122</v>
      </c>
      <c r="R100" s="45" t="n">
        <f aca="false">IF(AND(H100&gt;0,I100&gt;0),1,0)</f>
        <v>1</v>
      </c>
      <c r="S100" s="43" t="n">
        <f aca="false">IF(R100=1,MIN(MAX(J100,-50%),50%),"")</f>
        <v>0.0105181712994762</v>
      </c>
      <c r="T100" s="43" t="n">
        <f aca="false">IF(S100="","",D100*S100)</f>
        <v>0.000207523519738665</v>
      </c>
      <c r="U100" s="46" t="s">
        <v>378</v>
      </c>
    </row>
    <row r="101" customFormat="false" ht="15" hidden="false" customHeight="false" outlineLevel="0" collapsed="false">
      <c r="A101" s="40" t="s">
        <v>379</v>
      </c>
      <c r="B101" s="40" t="s">
        <v>380</v>
      </c>
      <c r="C101" s="40" t="s">
        <v>88</v>
      </c>
      <c r="D101" s="41" t="n">
        <v>0.00467</v>
      </c>
      <c r="E101" s="42" t="n">
        <v>6.3850649566</v>
      </c>
      <c r="F101" s="42" t="n">
        <v>7.0273903347</v>
      </c>
      <c r="G101" s="43" t="n">
        <f aca="false">IFERROR(E101/F101-1,"")</f>
        <v>-0.0914031165919889</v>
      </c>
      <c r="H101" s="42" t="n">
        <v>1.2266241607</v>
      </c>
      <c r="I101" s="42" t="n">
        <v>1.2362665592</v>
      </c>
      <c r="J101" s="43" t="n">
        <f aca="false">IFERROR(H101/I101-1,"")</f>
        <v>-0.00779961119893091</v>
      </c>
      <c r="K101" s="44" t="n">
        <f aca="false">H101-I101</f>
        <v>-0.00964239850000004</v>
      </c>
      <c r="L101" s="42" t="n">
        <v>1.1364628857</v>
      </c>
      <c r="M101" s="42" t="n">
        <v>1.1445839112</v>
      </c>
      <c r="N101" s="43" t="n">
        <f aca="false">IFERROR(L101/M101-1,"")</f>
        <v>-0.00709517705127072</v>
      </c>
      <c r="O101" s="42" t="n">
        <v>-0.223916914</v>
      </c>
      <c r="P101" s="42" t="n">
        <v>-0.7219138218</v>
      </c>
      <c r="Q101" s="43" t="n">
        <f aca="false">IFERROR(O101/P101-1,"")</f>
        <v>-0.689828747922167</v>
      </c>
      <c r="R101" s="45" t="n">
        <f aca="false">IF(AND(H101&gt;0,I101&gt;0),1,0)</f>
        <v>1</v>
      </c>
      <c r="S101" s="43" t="n">
        <f aca="false">IF(R101=1,MIN(MAX(J101,-50%),50%),"")</f>
        <v>-0.00779961119893091</v>
      </c>
      <c r="T101" s="43" t="n">
        <f aca="false">IF(S101="","",D101*S101)</f>
        <v>-3.64241842990074E-005</v>
      </c>
      <c r="U101" s="46" t="s">
        <v>381</v>
      </c>
    </row>
    <row r="102" customFormat="false" ht="15" hidden="false" customHeight="false" outlineLevel="0" collapsed="false">
      <c r="A102" s="40" t="s">
        <v>382</v>
      </c>
      <c r="B102" s="40" t="s">
        <v>383</v>
      </c>
      <c r="C102" s="40" t="s">
        <v>95</v>
      </c>
      <c r="D102" s="41" t="n">
        <v>0.00455</v>
      </c>
      <c r="E102" s="42" t="n">
        <v>50.7825253208</v>
      </c>
      <c r="F102" s="42" t="n">
        <v>43.0430086929</v>
      </c>
      <c r="G102" s="43" t="n">
        <f aca="false">IFERROR(E102/F102-1,"")</f>
        <v>0.179808913524594</v>
      </c>
      <c r="H102" s="42" t="n">
        <v>1.7394276251</v>
      </c>
      <c r="I102" s="42" t="n">
        <v>1.4168206889</v>
      </c>
      <c r="J102" s="43" t="n">
        <f aca="false">IFERROR(H102/I102-1,"")</f>
        <v>0.22769778753758</v>
      </c>
      <c r="K102" s="44" t="n">
        <f aca="false">H102-I102</f>
        <v>0.3226069362</v>
      </c>
      <c r="L102" s="42" t="n">
        <v>1.3999335074</v>
      </c>
      <c r="M102" s="42" t="n">
        <v>1.3266573994</v>
      </c>
      <c r="N102" s="43" t="n">
        <f aca="false">IFERROR(L102/M102-1,"")</f>
        <v>0.0552336330639247</v>
      </c>
      <c r="O102" s="42" t="n">
        <v>-0.200153782</v>
      </c>
      <c r="P102" s="42" t="n">
        <v>3.1949968772</v>
      </c>
      <c r="Q102" s="43" t="n">
        <f aca="false">IFERROR(O102/P102-1,"")</f>
        <v>-1.0626460023884</v>
      </c>
      <c r="R102" s="45" t="n">
        <f aca="false">IF(AND(H102&gt;0,I102&gt;0),1,0)</f>
        <v>1</v>
      </c>
      <c r="S102" s="43" t="n">
        <f aca="false">IF(R102=1,MIN(MAX(J102,-50%),50%),"")</f>
        <v>0.22769778753758</v>
      </c>
      <c r="T102" s="43" t="n">
        <f aca="false">IF(S102="","",D102*S102)</f>
        <v>0.00103602493329599</v>
      </c>
      <c r="U102" s="46" t="s">
        <v>384</v>
      </c>
    </row>
    <row r="103" customFormat="false" ht="15" hidden="false" customHeight="false" outlineLevel="0" collapsed="false">
      <c r="A103" s="47" t="s">
        <v>385</v>
      </c>
      <c r="B103" s="47" t="s">
        <v>386</v>
      </c>
      <c r="C103" s="47" t="s">
        <v>88</v>
      </c>
      <c r="D103" s="48" t="n">
        <v>0.00422</v>
      </c>
      <c r="E103" s="49" t="n">
        <v>35.5331781649</v>
      </c>
      <c r="F103" s="49" t="n">
        <v>31.688393902</v>
      </c>
      <c r="G103" s="50" t="n">
        <f aca="false">IFERROR(E103/F103-1,"")</f>
        <v>0.121330991870097</v>
      </c>
      <c r="H103" s="49" t="n">
        <v>4.0558141553</v>
      </c>
      <c r="I103" s="49" t="n">
        <v>3.2122719431</v>
      </c>
      <c r="J103" s="50" t="n">
        <f aca="false">IFERROR(H103/I103-1,"")</f>
        <v>0.262599875459467</v>
      </c>
      <c r="K103" s="51" t="n">
        <f aca="false">H103-I103</f>
        <v>0.8435422122</v>
      </c>
      <c r="L103" s="49" t="n">
        <v>3.9551998912</v>
      </c>
      <c r="M103" s="49" t="n">
        <v>3.175479046</v>
      </c>
      <c r="N103" s="50" t="n">
        <f aca="false">IFERROR(L103/M103-1,"")</f>
        <v>0.245544320685151</v>
      </c>
      <c r="O103" s="49" t="n">
        <v>5.1229508129</v>
      </c>
      <c r="P103" s="49" t="n">
        <v>-6.3166048473</v>
      </c>
      <c r="Q103" s="50" t="n">
        <f aca="false">IFERROR(O103/P103-1,"")</f>
        <v>-1.81102917417571</v>
      </c>
      <c r="R103" s="52" t="n">
        <f aca="false">IF(AND(H103&gt;0,I103&gt;0),1,0)</f>
        <v>1</v>
      </c>
      <c r="S103" s="50" t="n">
        <f aca="false">IF(R103=1,MIN(MAX(J103,-50%),50%),"")</f>
        <v>0.262599875459467</v>
      </c>
      <c r="T103" s="50" t="n">
        <f aca="false">IF(S103="","",D103*S103)</f>
        <v>0.00110817147443895</v>
      </c>
      <c r="U103" s="53" t="s">
        <v>387</v>
      </c>
    </row>
  </sheetData>
  <mergeCells count="2">
    <mergeCell ref="A1:U1"/>
    <mergeCell ref="A2:U2"/>
  </mergeCells>
  <conditionalFormatting sqref="G4:G10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4:J10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22.2"/>
    <col collapsed="false" customWidth="true" hidden="false" outlineLevel="0" max="6" min="2" style="0" width="13.12"/>
    <col collapsed="false" customWidth="true" hidden="false" outlineLevel="0" max="7" min="7" style="0" width="36.33"/>
  </cols>
  <sheetData>
    <row r="1" customFormat="false" ht="30" hidden="false" customHeight="true" outlineLevel="0" collapsed="false">
      <c r="A1" s="54" t="s">
        <v>388</v>
      </c>
      <c r="B1" s="54"/>
      <c r="C1" s="54"/>
      <c r="D1" s="54"/>
      <c r="E1" s="54"/>
      <c r="F1" s="54"/>
      <c r="G1" s="54"/>
    </row>
    <row r="2" customFormat="false" ht="15" hidden="false" customHeight="false" outlineLevel="0" collapsed="false">
      <c r="A2" s="55"/>
      <c r="B2" s="55"/>
      <c r="C2" s="55"/>
      <c r="D2" s="55"/>
      <c r="E2" s="55"/>
      <c r="F2" s="55"/>
      <c r="G2" s="55"/>
    </row>
    <row r="3" customFormat="false" ht="15" hidden="false" customHeight="false" outlineLevel="0" collapsed="false">
      <c r="A3" s="56" t="s">
        <v>389</v>
      </c>
      <c r="B3" s="57" t="s">
        <v>390</v>
      </c>
      <c r="C3" s="57" t="s">
        <v>391</v>
      </c>
      <c r="D3" s="57" t="s">
        <v>392</v>
      </c>
      <c r="E3" s="57" t="s">
        <v>393</v>
      </c>
      <c r="F3" s="57" t="s">
        <v>394</v>
      </c>
      <c r="G3" s="58" t="s">
        <v>395</v>
      </c>
    </row>
    <row r="4" customFormat="false" ht="15" hidden="false" customHeight="false" outlineLevel="0" collapsed="false">
      <c r="A4" s="59" t="s">
        <v>396</v>
      </c>
      <c r="B4" s="59" t="n">
        <f aca="false">COUNTA('100只成分明细'!$A$4:$A$103)</f>
        <v>100</v>
      </c>
      <c r="C4" s="59" t="n">
        <v>100</v>
      </c>
      <c r="D4" s="59" t="n">
        <f aca="false">B4-C4</f>
        <v>0</v>
      </c>
      <c r="E4" s="59" t="n">
        <v>0</v>
      </c>
      <c r="F4" s="59" t="str">
        <f aca="false">IF(ABS(D4)&lt;=E4,"OK","检查")</f>
        <v>OK</v>
      </c>
      <c r="G4" s="59" t="s">
        <v>397</v>
      </c>
    </row>
    <row r="5" customFormat="false" ht="15" hidden="false" customHeight="false" outlineLevel="0" collapsed="false">
      <c r="A5" s="60" t="s">
        <v>398</v>
      </c>
      <c r="B5" s="61" t="n">
        <f aca="false">SUM('100只成分明细'!$D$4:$D$103)</f>
        <v>1.00004</v>
      </c>
      <c r="C5" s="61" t="n">
        <v>1</v>
      </c>
      <c r="D5" s="61" t="n">
        <f aca="false">B5-C5</f>
        <v>4.00000000002621E-005</v>
      </c>
      <c r="E5" s="61" t="n">
        <v>0.001</v>
      </c>
      <c r="F5" s="60" t="str">
        <f aca="false">IF(ABS(D5)&lt;=E5,"OK","检查")</f>
        <v>OK</v>
      </c>
      <c r="G5" s="60" t="s">
        <v>399</v>
      </c>
    </row>
    <row r="6" customFormat="false" ht="15" hidden="false" customHeight="false" outlineLevel="0" collapsed="false">
      <c r="A6" s="60" t="s">
        <v>400</v>
      </c>
      <c r="B6" s="60" t="n">
        <f aca="false">COUNTBLANK('100只成分明细'!$H$4:$H$103)</f>
        <v>0</v>
      </c>
      <c r="C6" s="60" t="n">
        <v>0</v>
      </c>
      <c r="D6" s="60" t="n">
        <f aca="false">B6-C6</f>
        <v>0</v>
      </c>
      <c r="E6" s="60" t="n">
        <v>0</v>
      </c>
      <c r="F6" s="60" t="str">
        <f aca="false">IF(ABS(D6)&lt;=E6,"OK","检查")</f>
        <v>OK</v>
      </c>
      <c r="G6" s="60" t="s">
        <v>401</v>
      </c>
    </row>
    <row r="7" customFormat="false" ht="15" hidden="false" customHeight="false" outlineLevel="0" collapsed="false">
      <c r="A7" s="62" t="s">
        <v>402</v>
      </c>
      <c r="B7" s="62" t="n">
        <f aca="false">COUNTIF('100只成分明细'!$K$4:$K$103,"&gt;0")</f>
        <v>58</v>
      </c>
      <c r="C7" s="62" t="n">
        <v>58</v>
      </c>
      <c r="D7" s="62" t="n">
        <f aca="false">B7-C7</f>
        <v>0</v>
      </c>
      <c r="E7" s="62" t="n">
        <v>0</v>
      </c>
      <c r="F7" s="62" t="str">
        <f aca="false">IF(ABS(D7)&lt;=E7,"OK","检查")</f>
        <v>OK</v>
      </c>
      <c r="G7" s="62" t="s">
        <v>403</v>
      </c>
    </row>
    <row r="8" customFormat="false" ht="15" hidden="false" customHeight="false" outlineLevel="0" collapsed="false">
      <c r="A8" s="55"/>
      <c r="B8" s="55"/>
      <c r="C8" s="55"/>
      <c r="D8" s="55"/>
      <c r="E8" s="55"/>
      <c r="F8" s="55"/>
      <c r="G8" s="55"/>
    </row>
    <row r="9" customFormat="false" ht="22" hidden="false" customHeight="true" outlineLevel="0" collapsed="false">
      <c r="A9" s="63" t="s">
        <v>404</v>
      </c>
      <c r="B9" s="63" t="s">
        <v>404</v>
      </c>
      <c r="C9" s="63" t="s">
        <v>404</v>
      </c>
      <c r="D9" s="63" t="s">
        <v>404</v>
      </c>
      <c r="E9" s="63" t="s">
        <v>404</v>
      </c>
      <c r="F9" s="63" t="s">
        <v>404</v>
      </c>
      <c r="G9" s="63" t="s">
        <v>404</v>
      </c>
    </row>
    <row r="10" customFormat="false" ht="15" hidden="false" customHeight="false" outlineLevel="0" collapsed="false">
      <c r="A10" s="15" t="s">
        <v>389</v>
      </c>
      <c r="B10" s="16" t="s">
        <v>390</v>
      </c>
      <c r="C10" s="16" t="s">
        <v>391</v>
      </c>
      <c r="D10" s="16" t="s">
        <v>392</v>
      </c>
      <c r="E10" s="16" t="s">
        <v>393</v>
      </c>
      <c r="F10" s="16" t="s">
        <v>394</v>
      </c>
      <c r="G10" s="17" t="s">
        <v>395</v>
      </c>
    </row>
    <row r="11" customFormat="false" ht="15" hidden="false" customHeight="false" outlineLevel="0" collapsed="false">
      <c r="A11" s="55" t="s">
        <v>405</v>
      </c>
      <c r="B11" s="55" t="n">
        <f aca="false">COUNTA('10.13行情明细'!$A$4:$A$103)</f>
        <v>100</v>
      </c>
      <c r="C11" s="55" t="n">
        <v>100</v>
      </c>
      <c r="D11" s="55" t="n">
        <f aca="false">B11-C11</f>
        <v>0</v>
      </c>
      <c r="E11" s="55" t="n">
        <v>0</v>
      </c>
      <c r="F11" s="55" t="str">
        <f aca="false">IF(ABS(D11)&lt;=E11,"OK","检查")</f>
        <v>OK</v>
      </c>
      <c r="G11" s="55" t="s">
        <v>397</v>
      </c>
    </row>
    <row r="12" customFormat="false" ht="15" hidden="false" customHeight="false" outlineLevel="0" collapsed="false">
      <c r="A12" s="55" t="s">
        <v>406</v>
      </c>
      <c r="B12" s="64" t="n">
        <f aca="false">SUM('10.13行情明细'!$E$4:$E$103)</f>
        <v>1.00004</v>
      </c>
      <c r="C12" s="64" t="n">
        <v>1</v>
      </c>
      <c r="D12" s="64" t="n">
        <f aca="false">B12-C12</f>
        <v>4.00000000002621E-005</v>
      </c>
      <c r="E12" s="64" t="n">
        <v>0.001</v>
      </c>
      <c r="F12" s="55" t="str">
        <f aca="false">IF(ABS(D12)&lt;=E12,"OK","检查")</f>
        <v>OK</v>
      </c>
      <c r="G12" s="55" t="s">
        <v>399</v>
      </c>
    </row>
    <row r="13" customFormat="false" ht="15" hidden="false" customHeight="false" outlineLevel="0" collapsed="false">
      <c r="A13" s="55" t="s">
        <v>407</v>
      </c>
      <c r="B13" s="55" t="n">
        <f aca="false">COUNTBLANK('10.13行情明细'!$H$4:$H$103)</f>
        <v>0</v>
      </c>
      <c r="C13" s="55" t="n">
        <v>0</v>
      </c>
      <c r="D13" s="55" t="n">
        <f aca="false">B13-C13</f>
        <v>0</v>
      </c>
      <c r="E13" s="55" t="n">
        <v>0</v>
      </c>
      <c r="F13" s="55" t="str">
        <f aca="false">IF(ABS(D13)&lt;=E13,"OK","检查")</f>
        <v>OK</v>
      </c>
      <c r="G13" s="55" t="s">
        <v>408</v>
      </c>
    </row>
    <row r="14" customFormat="false" ht="15" hidden="false" customHeight="false" outlineLevel="0" collapsed="false">
      <c r="A14" s="55" t="s">
        <v>409</v>
      </c>
      <c r="B14" s="64" t="n">
        <f aca="false">SUM(结论!$C$23:$C$36)</f>
        <v>1.00004</v>
      </c>
      <c r="C14" s="64" t="n">
        <v>1</v>
      </c>
      <c r="D14" s="64" t="n">
        <f aca="false">B14-C14</f>
        <v>3.9999999999818E-005</v>
      </c>
      <c r="E14" s="64" t="n">
        <v>0.001</v>
      </c>
      <c r="F14" s="55" t="str">
        <f aca="false">IF(ABS(D14)&lt;=E14,"OK","检查")</f>
        <v>OK</v>
      </c>
      <c r="G14" s="55" t="s">
        <v>410</v>
      </c>
    </row>
    <row r="15" customFormat="false" ht="15" hidden="false" customHeight="false" outlineLevel="0" collapsed="false">
      <c r="A15" s="55" t="s">
        <v>411</v>
      </c>
      <c r="B15" s="55" t="n">
        <f aca="false">IF(AND(结论!$E$5&gt;=MIN(结论!$B$10:$B$12),结论!$E$5&lt;=MAX(结论!$B$10:$B$12)),1,0)</f>
        <v>1</v>
      </c>
      <c r="C15" s="55" t="n">
        <v>1</v>
      </c>
      <c r="D15" s="55" t="n">
        <f aca="false">B15-C15</f>
        <v>0</v>
      </c>
      <c r="E15" s="55" t="n">
        <v>0</v>
      </c>
      <c r="F15" s="55" t="str">
        <f aca="false">IF(ABS(D15)&lt;=E15,"OK","检查")</f>
        <v>OK</v>
      </c>
      <c r="G15" s="55" t="s">
        <v>412</v>
      </c>
    </row>
    <row r="16" customFormat="false" ht="15" hidden="false" customHeight="false" outlineLevel="0" collapsed="false">
      <c r="A16" s="55"/>
      <c r="B16" s="55"/>
      <c r="C16" s="55"/>
      <c r="D16" s="55"/>
      <c r="E16" s="55"/>
      <c r="F16" s="55"/>
      <c r="G16" s="55"/>
    </row>
    <row r="17" customFormat="false" ht="15" hidden="false" customHeight="false" outlineLevel="0" collapsed="false">
      <c r="A17" s="55"/>
      <c r="B17" s="55"/>
      <c r="C17" s="55"/>
      <c r="D17" s="55"/>
      <c r="E17" s="55"/>
      <c r="F17" s="55"/>
      <c r="G17" s="55"/>
    </row>
    <row r="18" customFormat="false" ht="15" hidden="false" customHeight="false" outlineLevel="0" collapsed="false">
      <c r="A18" s="55"/>
      <c r="B18" s="55"/>
      <c r="C18" s="55"/>
      <c r="D18" s="55"/>
      <c r="E18" s="55"/>
      <c r="F18" s="55"/>
      <c r="G18" s="55"/>
    </row>
  </sheetData>
  <mergeCells count="2">
    <mergeCell ref="A1:G1"/>
    <mergeCell ref="A9:G9"/>
  </mergeCells>
  <conditionalFormatting sqref="F4:F7">
    <cfRule type="containsText" priority="2" operator="containsText" aboveAverage="0" equalAverage="0" bottom="0" percent="0" rank="0" text="OK" dxfId="3">
      <formula>NOT(ISERROR(SEARCH("OK",F4)))</formula>
    </cfRule>
    <cfRule type="containsText" priority="3" operator="containsText" aboveAverage="0" equalAverage="0" bottom="0" percent="0" rank="0" text="检查" dxfId="4">
      <formula>NOT(ISERROR(SEARCH("检查",F4)))</formula>
    </cfRule>
  </conditionalFormatting>
  <conditionalFormatting sqref="F11:F15">
    <cfRule type="containsText" priority="4" operator="containsText" aboveAverage="0" equalAverage="0" bottom="0" percent="0" rank="0" text="检查" dxfId="5">
      <formula>NOT(ISERROR(SEARCH("检查",F11)))</formula>
    </cfRule>
    <cfRule type="containsText" priority="5" operator="containsText" aboveAverage="0" equalAverage="0" bottom="0" percent="0" rank="0" text="OK" dxfId="6">
      <formula>NOT(ISERROR(SEARCH("OK",F11)))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10.09"/>
    <col collapsed="false" customWidth="true" hidden="false" outlineLevel="0" max="2" min="2" style="0" width="22.2"/>
    <col collapsed="false" customWidth="true" hidden="false" outlineLevel="0" max="3" min="3" style="0" width="18.16"/>
    <col collapsed="false" customWidth="true" hidden="false" outlineLevel="0" max="4" min="4" style="0" width="28.25"/>
    <col collapsed="false" customWidth="true" hidden="false" outlineLevel="0" max="5" min="5" style="0" width="70.63"/>
    <col collapsed="false" customWidth="true" hidden="false" outlineLevel="0" max="6" min="6" style="0" width="42.38"/>
  </cols>
  <sheetData>
    <row r="1" customFormat="false" ht="30" hidden="false" customHeight="true" outlineLevel="0" collapsed="false">
      <c r="A1" s="54" t="s">
        <v>413</v>
      </c>
      <c r="B1" s="54"/>
      <c r="C1" s="54"/>
      <c r="D1" s="54"/>
      <c r="E1" s="54"/>
      <c r="F1" s="54"/>
    </row>
    <row r="2" customFormat="false" ht="15" hidden="false" customHeight="false" outlineLevel="0" collapsed="false">
      <c r="A2" s="55"/>
      <c r="B2" s="55"/>
      <c r="C2" s="55"/>
      <c r="D2" s="55"/>
      <c r="E2" s="55"/>
      <c r="F2" s="55"/>
    </row>
    <row r="3" customFormat="false" ht="15" hidden="false" customHeight="false" outlineLevel="0" collapsed="false">
      <c r="A3" s="56" t="s">
        <v>414</v>
      </c>
      <c r="B3" s="57" t="s">
        <v>415</v>
      </c>
      <c r="C3" s="57" t="s">
        <v>416</v>
      </c>
      <c r="D3" s="57" t="s">
        <v>417</v>
      </c>
      <c r="E3" s="57" t="s">
        <v>418</v>
      </c>
      <c r="F3" s="58" t="s">
        <v>419</v>
      </c>
    </row>
    <row r="4" customFormat="false" ht="26.85" hidden="false" customHeight="false" outlineLevel="0" collapsed="false">
      <c r="A4" s="65" t="s">
        <v>420</v>
      </c>
      <c r="B4" s="65" t="s">
        <v>421</v>
      </c>
      <c r="C4" s="65" t="s">
        <v>422</v>
      </c>
      <c r="D4" s="65" t="s">
        <v>423</v>
      </c>
      <c r="E4" s="65" t="s">
        <v>424</v>
      </c>
      <c r="F4" s="65" t="s">
        <v>425</v>
      </c>
    </row>
    <row r="5" customFormat="false" ht="15" hidden="false" customHeight="false" outlineLevel="0" collapsed="false">
      <c r="A5" s="66" t="s">
        <v>426</v>
      </c>
      <c r="B5" s="66" t="s">
        <v>427</v>
      </c>
      <c r="C5" s="66" t="s">
        <v>428</v>
      </c>
      <c r="D5" s="66" t="s">
        <v>429</v>
      </c>
      <c r="E5" s="66" t="s">
        <v>430</v>
      </c>
      <c r="F5" s="66" t="s">
        <v>431</v>
      </c>
    </row>
    <row r="6" customFormat="false" ht="15" hidden="false" customHeight="false" outlineLevel="0" collapsed="false">
      <c r="A6" s="66" t="s">
        <v>432</v>
      </c>
      <c r="B6" s="66" t="s">
        <v>433</v>
      </c>
      <c r="C6" s="66" t="s">
        <v>434</v>
      </c>
      <c r="D6" s="66" t="s">
        <v>435</v>
      </c>
      <c r="E6" s="66" t="s">
        <v>436</v>
      </c>
      <c r="F6" s="66" t="s">
        <v>437</v>
      </c>
    </row>
    <row r="7" customFormat="false" ht="26.85" hidden="false" customHeight="false" outlineLevel="0" collapsed="false">
      <c r="A7" s="66" t="s">
        <v>438</v>
      </c>
      <c r="B7" s="66" t="s">
        <v>439</v>
      </c>
      <c r="C7" s="66" t="s">
        <v>440</v>
      </c>
      <c r="D7" s="66" t="s">
        <v>441</v>
      </c>
      <c r="E7" s="66" t="s">
        <v>442</v>
      </c>
      <c r="F7" s="66" t="s">
        <v>443</v>
      </c>
    </row>
    <row r="8" customFormat="false" ht="15" hidden="false" customHeight="false" outlineLevel="0" collapsed="false">
      <c r="A8" s="67" t="s">
        <v>444</v>
      </c>
      <c r="B8" s="67" t="s">
        <v>445</v>
      </c>
      <c r="C8" s="67" t="s">
        <v>446</v>
      </c>
      <c r="D8" s="67" t="s">
        <v>447</v>
      </c>
      <c r="E8" s="67" t="s">
        <v>448</v>
      </c>
      <c r="F8" s="67" t="s">
        <v>449</v>
      </c>
    </row>
    <row r="9" customFormat="false" ht="15" hidden="false" customHeight="false" outlineLevel="0" collapsed="false">
      <c r="A9" s="55"/>
      <c r="B9" s="55"/>
      <c r="C9" s="55"/>
      <c r="D9" s="55"/>
      <c r="E9" s="55"/>
      <c r="F9" s="55"/>
    </row>
    <row r="10" customFormat="false" ht="46" hidden="false" customHeight="true" outlineLevel="0" collapsed="false">
      <c r="A10" s="68" t="s">
        <v>450</v>
      </c>
      <c r="B10" s="68"/>
      <c r="C10" s="68"/>
      <c r="D10" s="68"/>
      <c r="E10" s="68"/>
      <c r="F10" s="68"/>
    </row>
    <row r="11" customFormat="false" ht="15" hidden="false" customHeight="false" outlineLevel="0" collapsed="false">
      <c r="A11" s="55"/>
      <c r="B11" s="55"/>
      <c r="C11" s="55"/>
      <c r="D11" s="55"/>
      <c r="E11" s="55"/>
      <c r="F11" s="55"/>
    </row>
    <row r="12" customFormat="false" ht="22" hidden="false" customHeight="true" outlineLevel="0" collapsed="false">
      <c r="A12" s="63" t="s">
        <v>451</v>
      </c>
      <c r="B12" s="63" t="s">
        <v>451</v>
      </c>
      <c r="C12" s="63" t="s">
        <v>451</v>
      </c>
      <c r="D12" s="63" t="s">
        <v>451</v>
      </c>
      <c r="E12" s="63" t="s">
        <v>451</v>
      </c>
      <c r="F12" s="63" t="s">
        <v>451</v>
      </c>
    </row>
    <row r="13" customFormat="false" ht="32" hidden="false" customHeight="true" outlineLevel="0" collapsed="false">
      <c r="A13" s="69" t="s">
        <v>452</v>
      </c>
      <c r="B13" s="69" t="s">
        <v>453</v>
      </c>
      <c r="C13" s="69" t="s">
        <v>454</v>
      </c>
      <c r="D13" s="69" t="s">
        <v>455</v>
      </c>
      <c r="E13" s="70" t="s">
        <v>456</v>
      </c>
      <c r="F13" s="69" t="s">
        <v>457</v>
      </c>
    </row>
    <row r="14" customFormat="false" ht="32" hidden="false" customHeight="true" outlineLevel="0" collapsed="false">
      <c r="A14" s="69" t="s">
        <v>458</v>
      </c>
      <c r="B14" s="69" t="s">
        <v>459</v>
      </c>
      <c r="C14" s="69" t="s">
        <v>460</v>
      </c>
      <c r="D14" s="69" t="s">
        <v>461</v>
      </c>
      <c r="E14" s="70" t="s">
        <v>462</v>
      </c>
      <c r="F14" s="69" t="s">
        <v>463</v>
      </c>
    </row>
    <row r="15" customFormat="false" ht="32" hidden="false" customHeight="true" outlineLevel="0" collapsed="false">
      <c r="A15" s="69" t="s">
        <v>464</v>
      </c>
      <c r="B15" s="69" t="s">
        <v>465</v>
      </c>
      <c r="C15" s="69" t="s">
        <v>466</v>
      </c>
      <c r="D15" s="69" t="s">
        <v>467</v>
      </c>
      <c r="E15" s="70" t="s">
        <v>468</v>
      </c>
      <c r="F15" s="69" t="s">
        <v>469</v>
      </c>
    </row>
    <row r="16" customFormat="false" ht="32" hidden="false" customHeight="true" outlineLevel="0" collapsed="false">
      <c r="A16" s="69" t="s">
        <v>470</v>
      </c>
      <c r="B16" s="69" t="s">
        <v>471</v>
      </c>
      <c r="C16" s="69" t="s">
        <v>446</v>
      </c>
      <c r="D16" s="69" t="s">
        <v>472</v>
      </c>
      <c r="E16" s="70" t="s">
        <v>473</v>
      </c>
      <c r="F16" s="69" t="s">
        <v>474</v>
      </c>
    </row>
    <row r="17" customFormat="false" ht="32" hidden="false" customHeight="true" outlineLevel="0" collapsed="false">
      <c r="A17" s="69" t="s">
        <v>475</v>
      </c>
      <c r="B17" s="69" t="s">
        <v>476</v>
      </c>
      <c r="C17" s="69" t="s">
        <v>477</v>
      </c>
      <c r="D17" s="69" t="s">
        <v>472</v>
      </c>
      <c r="E17" s="70" t="s">
        <v>478</v>
      </c>
      <c r="F17" s="69" t="s">
        <v>479</v>
      </c>
    </row>
    <row r="18" customFormat="false" ht="15" hidden="false" customHeight="false" outlineLevel="0" collapsed="false">
      <c r="A18" s="55"/>
      <c r="B18" s="55"/>
      <c r="C18" s="55"/>
      <c r="D18" s="55"/>
      <c r="E18" s="55"/>
      <c r="F18" s="55"/>
    </row>
    <row r="19" customFormat="false" ht="46" hidden="false" customHeight="true" outlineLevel="0" collapsed="false">
      <c r="A19" s="71" t="s">
        <v>480</v>
      </c>
      <c r="B19" s="71" t="s">
        <v>480</v>
      </c>
      <c r="C19" s="71" t="s">
        <v>480</v>
      </c>
      <c r="D19" s="71" t="s">
        <v>480</v>
      </c>
      <c r="E19" s="71" t="s">
        <v>480</v>
      </c>
      <c r="F19" s="71" t="s">
        <v>480</v>
      </c>
    </row>
    <row r="20" customFormat="false" ht="46" hidden="false" customHeight="true" outlineLevel="0" collapsed="false">
      <c r="A20" s="71" t="s">
        <v>480</v>
      </c>
      <c r="B20" s="71" t="s">
        <v>480</v>
      </c>
      <c r="C20" s="71" t="s">
        <v>480</v>
      </c>
      <c r="D20" s="71" t="s">
        <v>480</v>
      </c>
      <c r="E20" s="71" t="s">
        <v>480</v>
      </c>
      <c r="F20" s="71" t="s">
        <v>480</v>
      </c>
    </row>
    <row r="21" customFormat="false" ht="15" hidden="false" customHeight="false" outlineLevel="0" collapsed="false">
      <c r="A21" s="55"/>
      <c r="B21" s="55"/>
      <c r="C21" s="55"/>
      <c r="D21" s="55"/>
      <c r="E21" s="55"/>
      <c r="F21" s="55"/>
    </row>
    <row r="22" customFormat="false" ht="15" hidden="false" customHeight="false" outlineLevel="0" collapsed="false">
      <c r="A22" s="55"/>
      <c r="B22" s="55"/>
      <c r="C22" s="55"/>
      <c r="D22" s="55"/>
      <c r="E22" s="55"/>
      <c r="F22" s="55"/>
    </row>
  </sheetData>
  <mergeCells count="4">
    <mergeCell ref="A1:F1"/>
    <mergeCell ref="A10:F10"/>
    <mergeCell ref="A12:F12"/>
    <mergeCell ref="A19:F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AI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1:1048576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2" min="10" style="0" width="10"/>
    <col collapsed="false" customWidth="true" hidden="false" outlineLevel="0" max="13" min="13" style="0" width="11"/>
    <col collapsed="false" customWidth="true" hidden="false" outlineLevel="0" max="15" min="14" style="0" width="10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20" min="19" style="0" width="11"/>
    <col collapsed="false" customWidth="true" hidden="false" outlineLevel="0" max="22" min="21" style="0" width="10"/>
    <col collapsed="false" customWidth="true" hidden="false" outlineLevel="0" max="23" min="23" style="0" width="9"/>
    <col collapsed="false" customWidth="true" hidden="false" outlineLevel="0" max="24" min="24" style="0" width="11"/>
    <col collapsed="false" customWidth="true" hidden="false" outlineLevel="0" max="27" min="25" style="0" width="10"/>
    <col collapsed="false" customWidth="true" hidden="false" outlineLevel="0" max="28" min="28" style="0" width="8"/>
    <col collapsed="false" customWidth="true" hidden="false" outlineLevel="0" max="29" min="29" style="0" width="10"/>
    <col collapsed="false" customWidth="true" hidden="false" outlineLevel="0" max="30" min="30" style="0" width="8"/>
    <col collapsed="false" customWidth="true" hidden="false" outlineLevel="0" max="31" min="31" style="0" width="10"/>
    <col collapsed="false" customWidth="true" hidden="false" outlineLevel="0" max="32" min="32" style="0" width="8"/>
    <col collapsed="false" customWidth="true" hidden="false" outlineLevel="0" max="34" min="33" style="0" width="12"/>
    <col collapsed="false" customWidth="true" hidden="false" outlineLevel="0" max="35" min="35" style="0" width="10"/>
  </cols>
  <sheetData>
    <row r="1" customFormat="false" ht="30" hidden="false" customHeight="true" outlineLevel="0" collapsed="false">
      <c r="A1" s="72" t="s">
        <v>481</v>
      </c>
      <c r="B1" s="72" t="s">
        <v>481</v>
      </c>
      <c r="C1" s="72" t="s">
        <v>481</v>
      </c>
      <c r="D1" s="72" t="s">
        <v>481</v>
      </c>
      <c r="E1" s="72" t="s">
        <v>481</v>
      </c>
      <c r="F1" s="72" t="s">
        <v>481</v>
      </c>
      <c r="G1" s="72" t="s">
        <v>481</v>
      </c>
      <c r="H1" s="72" t="s">
        <v>481</v>
      </c>
      <c r="I1" s="72" t="s">
        <v>481</v>
      </c>
      <c r="J1" s="72" t="s">
        <v>481</v>
      </c>
      <c r="K1" s="72" t="s">
        <v>481</v>
      </c>
      <c r="L1" s="72" t="s">
        <v>481</v>
      </c>
      <c r="M1" s="72" t="s">
        <v>481</v>
      </c>
      <c r="N1" s="72" t="s">
        <v>481</v>
      </c>
      <c r="O1" s="72" t="s">
        <v>481</v>
      </c>
      <c r="P1" s="72" t="s">
        <v>481</v>
      </c>
      <c r="Q1" s="72" t="s">
        <v>481</v>
      </c>
      <c r="R1" s="72" t="s">
        <v>481</v>
      </c>
      <c r="S1" s="72" t="s">
        <v>481</v>
      </c>
      <c r="T1" s="72" t="s">
        <v>481</v>
      </c>
      <c r="U1" s="72" t="s">
        <v>481</v>
      </c>
      <c r="V1" s="72" t="s">
        <v>481</v>
      </c>
      <c r="W1" s="72" t="s">
        <v>481</v>
      </c>
      <c r="X1" s="72" t="s">
        <v>481</v>
      </c>
      <c r="Y1" s="72" t="s">
        <v>481</v>
      </c>
      <c r="Z1" s="72" t="s">
        <v>481</v>
      </c>
      <c r="AA1" s="72" t="s">
        <v>481</v>
      </c>
      <c r="AB1" s="72" t="s">
        <v>481</v>
      </c>
      <c r="AC1" s="72" t="s">
        <v>481</v>
      </c>
      <c r="AD1" s="72" t="s">
        <v>481</v>
      </c>
      <c r="AE1" s="72" t="s">
        <v>481</v>
      </c>
      <c r="AF1" s="72" t="s">
        <v>481</v>
      </c>
      <c r="AG1" s="72" t="s">
        <v>481</v>
      </c>
      <c r="AH1" s="72" t="s">
        <v>481</v>
      </c>
      <c r="AI1" s="72" t="s">
        <v>481</v>
      </c>
    </row>
    <row r="2" customFormat="false" ht="13.4" hidden="false" customHeight="false" outlineLevel="0" collapsed="false">
      <c r="A2" s="73" t="s">
        <v>482</v>
      </c>
      <c r="B2" s="73" t="s">
        <v>482</v>
      </c>
      <c r="C2" s="73" t="s">
        <v>482</v>
      </c>
      <c r="D2" s="73" t="s">
        <v>482</v>
      </c>
      <c r="E2" s="73" t="s">
        <v>482</v>
      </c>
      <c r="F2" s="73" t="s">
        <v>482</v>
      </c>
      <c r="G2" s="73" t="s">
        <v>482</v>
      </c>
      <c r="H2" s="73" t="s">
        <v>482</v>
      </c>
      <c r="I2" s="73" t="s">
        <v>482</v>
      </c>
      <c r="J2" s="73" t="s">
        <v>482</v>
      </c>
      <c r="K2" s="73" t="s">
        <v>482</v>
      </c>
      <c r="L2" s="73" t="s">
        <v>482</v>
      </c>
      <c r="M2" s="73" t="s">
        <v>482</v>
      </c>
      <c r="N2" s="73" t="s">
        <v>482</v>
      </c>
      <c r="O2" s="73" t="s">
        <v>482</v>
      </c>
      <c r="P2" s="73" t="s">
        <v>482</v>
      </c>
      <c r="Q2" s="73" t="s">
        <v>482</v>
      </c>
      <c r="R2" s="73" t="s">
        <v>482</v>
      </c>
      <c r="S2" s="73" t="s">
        <v>482</v>
      </c>
      <c r="T2" s="73" t="s">
        <v>482</v>
      </c>
      <c r="U2" s="73" t="s">
        <v>482</v>
      </c>
      <c r="V2" s="73" t="s">
        <v>482</v>
      </c>
      <c r="W2" s="73" t="s">
        <v>482</v>
      </c>
      <c r="X2" s="73" t="s">
        <v>482</v>
      </c>
      <c r="Y2" s="73" t="s">
        <v>482</v>
      </c>
      <c r="Z2" s="73" t="s">
        <v>482</v>
      </c>
      <c r="AA2" s="73" t="s">
        <v>482</v>
      </c>
      <c r="AB2" s="73" t="s">
        <v>482</v>
      </c>
      <c r="AC2" s="73" t="s">
        <v>482</v>
      </c>
      <c r="AD2" s="73" t="s">
        <v>482</v>
      </c>
      <c r="AE2" s="73" t="s">
        <v>482</v>
      </c>
      <c r="AF2" s="73" t="s">
        <v>482</v>
      </c>
      <c r="AG2" s="73" t="s">
        <v>482</v>
      </c>
      <c r="AH2" s="73" t="s">
        <v>482</v>
      </c>
      <c r="AI2" s="73" t="s">
        <v>482</v>
      </c>
    </row>
    <row r="3" customFormat="false" ht="38" hidden="false" customHeight="true" outlineLevel="0" collapsed="false">
      <c r="A3" s="15" t="s">
        <v>61</v>
      </c>
      <c r="B3" s="16" t="s">
        <v>62</v>
      </c>
      <c r="C3" s="16" t="s">
        <v>483</v>
      </c>
      <c r="D3" s="16" t="s">
        <v>484</v>
      </c>
      <c r="E3" s="16" t="s">
        <v>64</v>
      </c>
      <c r="F3" s="16" t="s">
        <v>485</v>
      </c>
      <c r="G3" s="16" t="s">
        <v>486</v>
      </c>
      <c r="H3" s="16" t="s">
        <v>487</v>
      </c>
      <c r="I3" s="16" t="s">
        <v>30</v>
      </c>
      <c r="J3" s="16" t="s">
        <v>488</v>
      </c>
      <c r="K3" s="16" t="s">
        <v>489</v>
      </c>
      <c r="L3" s="16" t="s">
        <v>490</v>
      </c>
      <c r="M3" s="16" t="s">
        <v>491</v>
      </c>
      <c r="N3" s="16" t="s">
        <v>5</v>
      </c>
      <c r="O3" s="16" t="s">
        <v>492</v>
      </c>
      <c r="P3" s="16" t="s">
        <v>493</v>
      </c>
      <c r="Q3" s="16" t="s">
        <v>32</v>
      </c>
      <c r="R3" s="16" t="s">
        <v>33</v>
      </c>
      <c r="S3" s="16" t="s">
        <v>494</v>
      </c>
      <c r="T3" s="16" t="s">
        <v>495</v>
      </c>
      <c r="U3" s="16" t="s">
        <v>71</v>
      </c>
      <c r="V3" s="16" t="s">
        <v>496</v>
      </c>
      <c r="W3" s="16" t="s">
        <v>497</v>
      </c>
      <c r="X3" s="16" t="s">
        <v>498</v>
      </c>
      <c r="Y3" s="16" t="s">
        <v>36</v>
      </c>
      <c r="Z3" s="16" t="s">
        <v>499</v>
      </c>
      <c r="AA3" s="16" t="s">
        <v>500</v>
      </c>
      <c r="AB3" s="16" t="s">
        <v>501</v>
      </c>
      <c r="AC3" s="16" t="s">
        <v>502</v>
      </c>
      <c r="AD3" s="16" t="s">
        <v>503</v>
      </c>
      <c r="AE3" s="16" t="s">
        <v>504</v>
      </c>
      <c r="AF3" s="16" t="s">
        <v>505</v>
      </c>
      <c r="AG3" s="16" t="s">
        <v>506</v>
      </c>
      <c r="AH3" s="16" t="s">
        <v>507</v>
      </c>
      <c r="AI3" s="17" t="s">
        <v>508</v>
      </c>
    </row>
    <row r="4" customFormat="false" ht="18" hidden="false" customHeight="true" outlineLevel="0" collapsed="false">
      <c r="A4" s="74" t="str">
        <f aca="false">'100只成分明细'!A4</f>
        <v>000090</v>
      </c>
      <c r="B4" s="74" t="str">
        <f aca="false">'100只成分明细'!B4</f>
        <v>天健集团</v>
      </c>
      <c r="C4" s="75" t="s">
        <v>52</v>
      </c>
      <c r="D4" s="74" t="str">
        <f aca="false">'100只成分明细'!C4</f>
        <v>建筑</v>
      </c>
      <c r="E4" s="76" t="n">
        <f aca="false">'100只成分明细'!D4</f>
        <v>0.00421</v>
      </c>
      <c r="F4" s="75" t="s">
        <v>509</v>
      </c>
      <c r="G4" s="77" t="n">
        <v>3.49</v>
      </c>
      <c r="H4" s="77" t="n">
        <v>3.6</v>
      </c>
      <c r="I4" s="78" t="n">
        <f aca="false">IF(OR(G4="",H4=""),"",H4/G4-1)</f>
        <v>0.0315186246418338</v>
      </c>
      <c r="J4" s="77" t="n">
        <v>3.64</v>
      </c>
      <c r="K4" s="79" t="n">
        <f aca="false">IF(OR(J4="",H4=""),"",H4/J4-1)</f>
        <v>-0.010989010989011</v>
      </c>
      <c r="L4" s="77" t="n">
        <v>3.33</v>
      </c>
      <c r="M4" s="80" t="n">
        <v>46281</v>
      </c>
      <c r="N4" s="79" t="n">
        <f aca="false">IF(OR(L4="",H4=""),"",H4/L4-1)</f>
        <v>0.0810810810810811</v>
      </c>
      <c r="O4" s="77" t="n">
        <v>3.71</v>
      </c>
      <c r="P4" s="80" t="n">
        <v>46286</v>
      </c>
      <c r="Q4" s="78" t="n">
        <f aca="false">IF(OR(O4="",H4=""),"",H4/O4-1)</f>
        <v>-0.0296495956873315</v>
      </c>
      <c r="R4" s="81" t="n">
        <f aca="false">'100只成分明细'!G4</f>
        <v>0.0521716358948698</v>
      </c>
      <c r="S4" s="82" t="n">
        <f aca="false">'100只成分明细'!H4</f>
        <v>-3.3289641801</v>
      </c>
      <c r="T4" s="82" t="n">
        <f aca="false">'100只成分明细'!I4</f>
        <v>0.4142367474</v>
      </c>
      <c r="U4" s="83" t="n">
        <f aca="false">S4-T4</f>
        <v>-3.7432009275</v>
      </c>
      <c r="V4" s="78" t="n">
        <f aca="false">IF(T4=0,"",S4/T4-1)</f>
        <v>-9.03638064704445</v>
      </c>
      <c r="W4" s="55" t="n">
        <f aca="false">IF(U4&gt;0,1,0)</f>
        <v>0</v>
      </c>
      <c r="X4" s="84" t="n">
        <v>0.036</v>
      </c>
      <c r="Y4" s="79" t="n">
        <f aca="false">IF(OR(X4="",H4=""),"",X4/H4)</f>
        <v>0.01</v>
      </c>
      <c r="Z4" s="75" t="n">
        <v>3</v>
      </c>
      <c r="AA4" s="77" t="n">
        <v>-44.58</v>
      </c>
      <c r="AB4" s="77" t="n">
        <v>0.61</v>
      </c>
      <c r="AC4" s="85" t="str">
        <f aca="false">IF(AND(AA4&gt;0,AA4&lt;100),MIN(AA4,50),"")</f>
        <v/>
      </c>
      <c r="AD4" s="55" t="n">
        <f aca="false">IF(AC4="",0,1)</f>
        <v>0</v>
      </c>
      <c r="AE4" s="85" t="n">
        <f aca="false">IF(AND(AB4&gt;0,AB4&lt;10),MIN(AB4,5),"")</f>
        <v>0.61</v>
      </c>
      <c r="AF4" s="55" t="n">
        <f aca="false">IF(AE4="",0,1)</f>
        <v>1</v>
      </c>
      <c r="AG4" s="82" t="n">
        <f aca="false">'100只成分明细'!O4</f>
        <v>-1.0316958193</v>
      </c>
      <c r="AH4" s="82" t="n">
        <f aca="false">'100只成分明细'!P4</f>
        <v>-9.7974394076</v>
      </c>
      <c r="AI4" s="55" t="n">
        <f aca="false">IF(AG4&gt;AH4,1,0)</f>
        <v>1</v>
      </c>
    </row>
    <row r="5" customFormat="false" ht="18" hidden="false" customHeight="true" outlineLevel="0" collapsed="false">
      <c r="A5" s="74" t="str">
        <f aca="false">'100只成分明细'!A5</f>
        <v>000157</v>
      </c>
      <c r="B5" s="74" t="str">
        <f aca="false">'100只成分明细'!B5</f>
        <v>中联重科</v>
      </c>
      <c r="C5" s="75" t="s">
        <v>56</v>
      </c>
      <c r="D5" s="74" t="str">
        <f aca="false">'100只成分明细'!C5</f>
        <v>其他</v>
      </c>
      <c r="E5" s="76" t="n">
        <f aca="false">'100只成分明细'!D5</f>
        <v>0.007</v>
      </c>
      <c r="F5" s="75" t="s">
        <v>510</v>
      </c>
      <c r="G5" s="77" t="n">
        <v>6.69</v>
      </c>
      <c r="H5" s="77" t="n">
        <v>6.03</v>
      </c>
      <c r="I5" s="78" t="n">
        <f aca="false">IF(OR(G5="",H5=""),"",H5/G5-1)</f>
        <v>-0.0986547085201794</v>
      </c>
      <c r="J5" s="77" t="n">
        <v>5.97</v>
      </c>
      <c r="K5" s="79" t="n">
        <f aca="false">IF(OR(J5="",H5=""),"",H5/J5-1)</f>
        <v>0.0100502512562815</v>
      </c>
      <c r="L5" s="77" t="n">
        <v>5.83</v>
      </c>
      <c r="M5" s="80" t="n">
        <v>46294</v>
      </c>
      <c r="N5" s="79" t="n">
        <f aca="false">IF(OR(L5="",H5=""),"",H5/L5-1)</f>
        <v>0.0343053173241852</v>
      </c>
      <c r="O5" s="77" t="n">
        <v>6.82</v>
      </c>
      <c r="P5" s="80" t="n">
        <v>46265</v>
      </c>
      <c r="Q5" s="78" t="n">
        <f aca="false">IF(OR(O5="",H5=""),"",H5/O5-1)</f>
        <v>-0.1158357771261</v>
      </c>
      <c r="R5" s="81" t="n">
        <f aca="false">'100只成分明细'!G5</f>
        <v>0.0917494521045008</v>
      </c>
      <c r="S5" s="82" t="n">
        <f aca="false">'100只成分明细'!H5</f>
        <v>21.0218913077</v>
      </c>
      <c r="T5" s="82" t="n">
        <f aca="false">'100只成分明细'!I5</f>
        <v>27.647786029</v>
      </c>
      <c r="U5" s="83" t="n">
        <f aca="false">S5-T5</f>
        <v>-6.6258947213</v>
      </c>
      <c r="V5" s="78" t="n">
        <f aca="false">IF(T5=0,"",S5/T5-1)</f>
        <v>-0.239653718180184</v>
      </c>
      <c r="W5" s="55" t="n">
        <f aca="false">IF(U5&gt;0,1,0)</f>
        <v>0</v>
      </c>
      <c r="X5" s="84" t="n">
        <v>0.4</v>
      </c>
      <c r="Y5" s="79" t="n">
        <f aca="false">IF(OR(X5="",H5=""),"",X5/H5)</f>
        <v>0.066334991708126</v>
      </c>
      <c r="Z5" s="75" t="n">
        <v>3</v>
      </c>
      <c r="AA5" s="77" t="n">
        <v>12.43</v>
      </c>
      <c r="AB5" s="77" t="n">
        <v>0.91</v>
      </c>
      <c r="AC5" s="85" t="n">
        <f aca="false">IF(AND(AA5&gt;0,AA5&lt;100),MIN(AA5,50),"")</f>
        <v>12.43</v>
      </c>
      <c r="AD5" s="55" t="n">
        <f aca="false">IF(AC5="",0,1)</f>
        <v>1</v>
      </c>
      <c r="AE5" s="85" t="n">
        <f aca="false">IF(AND(AB5&gt;0,AB5&lt;10),MIN(AB5,5),"")</f>
        <v>0.91</v>
      </c>
      <c r="AF5" s="55" t="n">
        <f aca="false">IF(AE5="",0,1)</f>
        <v>1</v>
      </c>
      <c r="AG5" s="82" t="n">
        <f aca="false">'100只成分明细'!O5</f>
        <v>24.1953703276</v>
      </c>
      <c r="AH5" s="82" t="n">
        <f aca="false">'100只成分明细'!P5</f>
        <v>17.5178027634</v>
      </c>
      <c r="AI5" s="55" t="n">
        <f aca="false">IF(AG5&gt;AH5,1,0)</f>
        <v>1</v>
      </c>
    </row>
    <row r="6" customFormat="false" ht="18" hidden="false" customHeight="true" outlineLevel="0" collapsed="false">
      <c r="A6" s="74" t="str">
        <f aca="false">'100只成分明细'!A6</f>
        <v>000408</v>
      </c>
      <c r="B6" s="74" t="str">
        <f aca="false">'100只成分明细'!B6</f>
        <v>藏格矿业</v>
      </c>
      <c r="C6" s="75" t="s">
        <v>55</v>
      </c>
      <c r="D6" s="74" t="str">
        <f aca="false">'100只成分明细'!C6</f>
        <v>有色矿业</v>
      </c>
      <c r="E6" s="76" t="n">
        <f aca="false">'100只成分明细'!D6</f>
        <v>0.01246</v>
      </c>
      <c r="F6" s="75" t="s">
        <v>511</v>
      </c>
      <c r="G6" s="77" t="n">
        <v>77.39</v>
      </c>
      <c r="H6" s="77" t="n">
        <v>71.52</v>
      </c>
      <c r="I6" s="78" t="n">
        <f aca="false">IF(OR(G6="",H6=""),"",H6/G6-1)</f>
        <v>-0.0758495929706681</v>
      </c>
      <c r="J6" s="77" t="n">
        <v>70.66</v>
      </c>
      <c r="K6" s="79" t="n">
        <f aca="false">IF(OR(J6="",H6=""),"",H6/J6-1)</f>
        <v>0.0121709595244834</v>
      </c>
      <c r="L6" s="77" t="n">
        <v>69.05</v>
      </c>
      <c r="M6" s="80" t="n">
        <v>46294</v>
      </c>
      <c r="N6" s="79" t="n">
        <f aca="false">IF(OR(L6="",H6=""),"",H6/L6-1)</f>
        <v>0.0357711803041274</v>
      </c>
      <c r="O6" s="77" t="n">
        <v>79.22</v>
      </c>
      <c r="P6" s="80" t="n">
        <v>46266</v>
      </c>
      <c r="Q6" s="78" t="n">
        <f aca="false">IF(OR(O6="",H6=""),"",H6/O6-1)</f>
        <v>-0.0971976773542035</v>
      </c>
      <c r="R6" s="81" t="n">
        <f aca="false">'100只成分明细'!G6</f>
        <v>0.230454935618991</v>
      </c>
      <c r="S6" s="82" t="n">
        <f aca="false">'100只成分明细'!H6</f>
        <v>36.3808137005</v>
      </c>
      <c r="T6" s="82" t="n">
        <f aca="false">'100只成分明细'!I6</f>
        <v>18.0020523331</v>
      </c>
      <c r="U6" s="83" t="n">
        <f aca="false">S6-T6</f>
        <v>18.3787613674</v>
      </c>
      <c r="V6" s="78" t="n">
        <f aca="false">IF(T6=0,"",S6/T6-1)</f>
        <v>1.0209258937442</v>
      </c>
      <c r="W6" s="55" t="n">
        <f aca="false">IF(U6&gt;0,1,0)</f>
        <v>1</v>
      </c>
      <c r="X6" s="84" t="n">
        <v>2.5</v>
      </c>
      <c r="Y6" s="79" t="n">
        <f aca="false">IF(OR(X6="",H6=""),"",X6/H6)</f>
        <v>0.0349552572706935</v>
      </c>
      <c r="Z6" s="75" t="n">
        <v>2</v>
      </c>
      <c r="AA6" s="77" t="n">
        <v>19.72</v>
      </c>
      <c r="AB6" s="77" t="n">
        <v>7.18</v>
      </c>
      <c r="AC6" s="85" t="n">
        <f aca="false">IF(AND(AA6&gt;0,AA6&lt;100),MIN(AA6,50),"")</f>
        <v>19.72</v>
      </c>
      <c r="AD6" s="55" t="n">
        <f aca="false">IF(AC6="",0,1)</f>
        <v>1</v>
      </c>
      <c r="AE6" s="85" t="n">
        <f aca="false">IF(AND(AB6&gt;0,AB6&lt;10),MIN(AB6,5),"")</f>
        <v>5</v>
      </c>
      <c r="AF6" s="55" t="n">
        <f aca="false">IF(AE6="",0,1)</f>
        <v>1</v>
      </c>
      <c r="AG6" s="82" t="n">
        <f aca="false">'100只成分明细'!O6</f>
        <v>9.841579151</v>
      </c>
      <c r="AH6" s="82" t="n">
        <f aca="false">'100只成分明细'!P6</f>
        <v>8.3407623224</v>
      </c>
      <c r="AI6" s="55" t="n">
        <f aca="false">IF(AG6&gt;AH6,1,0)</f>
        <v>1</v>
      </c>
    </row>
    <row r="7" customFormat="false" ht="18" hidden="false" customHeight="true" outlineLevel="0" collapsed="false">
      <c r="A7" s="74" t="str">
        <f aca="false">'100只成分明细'!A7</f>
        <v>000429</v>
      </c>
      <c r="B7" s="74" t="str">
        <f aca="false">'100只成分明细'!B7</f>
        <v>粤高速A</v>
      </c>
      <c r="C7" s="75" t="s">
        <v>48</v>
      </c>
      <c r="D7" s="74" t="str">
        <f aca="false">'100只成分明细'!C7</f>
        <v>交通运输</v>
      </c>
      <c r="E7" s="76" t="n">
        <f aca="false">'100只成分明细'!D7</f>
        <v>0.01043</v>
      </c>
      <c r="F7" s="75" t="s">
        <v>512</v>
      </c>
      <c r="G7" s="77" t="n">
        <v>13.23</v>
      </c>
      <c r="H7" s="77" t="n">
        <v>13.43</v>
      </c>
      <c r="I7" s="78" t="n">
        <f aca="false">IF(OR(G7="",H7=""),"",H7/G7-1)</f>
        <v>0.0151171579743008</v>
      </c>
      <c r="J7" s="77" t="n">
        <v>12.46</v>
      </c>
      <c r="K7" s="79" t="n">
        <f aca="false">IF(OR(J7="",H7=""),"",H7/J7-1)</f>
        <v>0.0778491171749598</v>
      </c>
      <c r="L7" s="77" t="n">
        <v>12.23</v>
      </c>
      <c r="M7" s="80" t="n">
        <v>46294</v>
      </c>
      <c r="N7" s="79" t="n">
        <f aca="false">IF(OR(L7="",H7=""),"",H7/L7-1)</f>
        <v>0.0981193785772689</v>
      </c>
      <c r="O7" s="77" t="n">
        <v>13.53</v>
      </c>
      <c r="P7" s="80" t="n">
        <v>46308</v>
      </c>
      <c r="Q7" s="78" t="n">
        <f aca="false">IF(OR(O7="",H7=""),"",H7/O7-1)</f>
        <v>-0.00739098300073904</v>
      </c>
      <c r="R7" s="81" t="n">
        <f aca="false">'100只成分明细'!G7</f>
        <v>0.000467540724750526</v>
      </c>
      <c r="S7" s="82" t="n">
        <f aca="false">'100只成分明细'!H7</f>
        <v>8.5012925686</v>
      </c>
      <c r="T7" s="82" t="n">
        <f aca="false">'100只成分明细'!I7</f>
        <v>10.5715285414</v>
      </c>
      <c r="U7" s="83" t="n">
        <f aca="false">S7-T7</f>
        <v>-2.0702359728</v>
      </c>
      <c r="V7" s="78" t="n">
        <f aca="false">IF(T7=0,"",S7/T7-1)</f>
        <v>-0.195831280660368</v>
      </c>
      <c r="W7" s="55" t="n">
        <f aca="false">IF(U7&gt;0,1,0)</f>
        <v>0</v>
      </c>
      <c r="X7" s="84" t="n">
        <v>0.604</v>
      </c>
      <c r="Y7" s="79" t="n">
        <f aca="false">IF(OR(X7="",H7=""),"",X7/H7)</f>
        <v>0.0449739389426657</v>
      </c>
      <c r="Z7" s="75" t="n">
        <v>3</v>
      </c>
      <c r="AA7" s="77" t="n">
        <v>17.61</v>
      </c>
      <c r="AB7" s="77" t="n">
        <v>2.65</v>
      </c>
      <c r="AC7" s="85" t="n">
        <f aca="false">IF(AND(AA7&gt;0,AA7&lt;100),MIN(AA7,50),"")</f>
        <v>17.61</v>
      </c>
      <c r="AD7" s="55" t="n">
        <f aca="false">IF(AC7="",0,1)</f>
        <v>1</v>
      </c>
      <c r="AE7" s="85" t="n">
        <f aca="false">IF(AND(AB7&gt;0,AB7&lt;10),MIN(AB7,5),"")</f>
        <v>2.65</v>
      </c>
      <c r="AF7" s="55" t="n">
        <f aca="false">IF(AE7="",0,1)</f>
        <v>1</v>
      </c>
      <c r="AG7" s="82" t="n">
        <f aca="false">'100只成分明细'!O7</f>
        <v>17.0857622487</v>
      </c>
      <c r="AH7" s="82" t="n">
        <f aca="false">'100只成分明细'!P7</f>
        <v>18.9766678255</v>
      </c>
      <c r="AI7" s="55" t="n">
        <f aca="false">IF(AG7&gt;AH7,1,0)</f>
        <v>0</v>
      </c>
    </row>
    <row r="8" customFormat="false" ht="18" hidden="false" customHeight="true" outlineLevel="0" collapsed="false">
      <c r="A8" s="74" t="str">
        <f aca="false">'100只成分明细'!A8</f>
        <v>000651</v>
      </c>
      <c r="B8" s="74" t="str">
        <f aca="false">'100只成分明细'!B8</f>
        <v>格力电器</v>
      </c>
      <c r="C8" s="75" t="s">
        <v>50</v>
      </c>
      <c r="D8" s="74" t="str">
        <f aca="false">'100只成分明细'!C8</f>
        <v>其他</v>
      </c>
      <c r="E8" s="76" t="n">
        <f aca="false">'100只成分明细'!D8</f>
        <v>0.01143</v>
      </c>
      <c r="F8" s="75" t="s">
        <v>513</v>
      </c>
      <c r="G8" s="77" t="n">
        <v>38.95</v>
      </c>
      <c r="H8" s="77" t="n">
        <v>39.77</v>
      </c>
      <c r="I8" s="78" t="n">
        <f aca="false">IF(OR(G8="",H8=""),"",H8/G8-1)</f>
        <v>0.0210526315789474</v>
      </c>
      <c r="J8" s="77" t="n">
        <v>38.28</v>
      </c>
      <c r="K8" s="79" t="n">
        <f aca="false">IF(OR(J8="",H8=""),"",H8/J8-1)</f>
        <v>0.0389237199582029</v>
      </c>
      <c r="L8" s="77" t="n">
        <v>37.81</v>
      </c>
      <c r="M8" s="80" t="n">
        <v>46287</v>
      </c>
      <c r="N8" s="79" t="n">
        <f aca="false">IF(OR(L8="",H8=""),"",H8/L8-1)</f>
        <v>0.0518381380587147</v>
      </c>
      <c r="O8" s="77" t="n">
        <v>40</v>
      </c>
      <c r="P8" s="80" t="n">
        <v>46308</v>
      </c>
      <c r="Q8" s="78" t="n">
        <f aca="false">IF(OR(O8="",H8=""),"",H8/O8-1)</f>
        <v>-0.00574999999999992</v>
      </c>
      <c r="R8" s="81" t="n">
        <f aca="false">'100只成分明细'!G8</f>
        <v>-0.0814021497035279</v>
      </c>
      <c r="S8" s="82" t="n">
        <f aca="false">'100只成分明细'!H8</f>
        <v>132.7759088257</v>
      </c>
      <c r="T8" s="82" t="n">
        <f aca="false">'100只成分明细'!I8</f>
        <v>144.1240711384</v>
      </c>
      <c r="U8" s="83" t="n">
        <f aca="false">S8-T8</f>
        <v>-11.3481623127</v>
      </c>
      <c r="V8" s="78" t="n">
        <f aca="false">IF(T8=0,"",S8/T8-1)</f>
        <v>-0.0787388409379761</v>
      </c>
      <c r="W8" s="55" t="n">
        <f aca="false">IF(U8&gt;0,1,0)</f>
        <v>0</v>
      </c>
      <c r="X8" s="84" t="n">
        <v>3</v>
      </c>
      <c r="Y8" s="79" t="n">
        <f aca="false">IF(OR(X8="",H8=""),"",X8/H8)</f>
        <v>0.0754337440281619</v>
      </c>
      <c r="Z8" s="75" t="n">
        <v>3</v>
      </c>
      <c r="AA8" s="77" t="n">
        <v>7.99</v>
      </c>
      <c r="AB8" s="77" t="n">
        <v>1.62</v>
      </c>
      <c r="AC8" s="85" t="n">
        <f aca="false">IF(AND(AA8&gt;0,AA8&lt;100),MIN(AA8,50),"")</f>
        <v>7.99</v>
      </c>
      <c r="AD8" s="55" t="n">
        <f aca="false">IF(AC8="",0,1)</f>
        <v>1</v>
      </c>
      <c r="AE8" s="85" t="n">
        <f aca="false">IF(AND(AB8&gt;0,AB8&lt;10),MIN(AB8,5),"")</f>
        <v>1.62</v>
      </c>
      <c r="AF8" s="55" t="n">
        <f aca="false">IF(AE8="",0,1)</f>
        <v>1</v>
      </c>
      <c r="AG8" s="82" t="n">
        <f aca="false">'100只成分明细'!O8</f>
        <v>188.0883239246</v>
      </c>
      <c r="AH8" s="82" t="n">
        <f aca="false">'100只成分明细'!P8</f>
        <v>283.285621872</v>
      </c>
      <c r="AI8" s="55" t="n">
        <f aca="false">IF(AG8&gt;AH8,1,0)</f>
        <v>0</v>
      </c>
    </row>
    <row r="9" customFormat="false" ht="18" hidden="false" customHeight="true" outlineLevel="0" collapsed="false">
      <c r="A9" s="74" t="str">
        <f aca="false">'100只成分明细'!A9</f>
        <v>000672</v>
      </c>
      <c r="B9" s="74" t="str">
        <f aca="false">'100只成分明细'!B9</f>
        <v>上峰材料</v>
      </c>
      <c r="C9" s="75" t="s">
        <v>54</v>
      </c>
      <c r="D9" s="74" t="str">
        <f aca="false">'100只成分明细'!C9</f>
        <v>水泥建材</v>
      </c>
      <c r="E9" s="76" t="n">
        <f aca="false">'100只成分明细'!D9</f>
        <v>0.01145</v>
      </c>
      <c r="F9" s="75" t="s">
        <v>514</v>
      </c>
      <c r="G9" s="77" t="n">
        <v>14.43</v>
      </c>
      <c r="H9" s="77" t="n">
        <v>14.38</v>
      </c>
      <c r="I9" s="78" t="n">
        <f aca="false">IF(OR(G9="",H9=""),"",H9/G9-1)</f>
        <v>-0.00346500346500345</v>
      </c>
      <c r="J9" s="77" t="n">
        <v>14.84</v>
      </c>
      <c r="K9" s="79" t="n">
        <f aca="false">IF(OR(J9="",H9=""),"",H9/J9-1)</f>
        <v>-0.0309973045822102</v>
      </c>
      <c r="L9" s="77" t="n">
        <v>14.06</v>
      </c>
      <c r="M9" s="80" t="n">
        <v>46308</v>
      </c>
      <c r="N9" s="79" t="n">
        <f aca="false">IF(OR(L9="",H9=""),"",H9/L9-1)</f>
        <v>0.0227596017069702</v>
      </c>
      <c r="O9" s="77" t="n">
        <v>16.03</v>
      </c>
      <c r="P9" s="80" t="n">
        <v>46289</v>
      </c>
      <c r="Q9" s="78" t="n">
        <f aca="false">IF(OR(O9="",H9=""),"",H9/O9-1)</f>
        <v>-0.102932002495321</v>
      </c>
      <c r="R9" s="81" t="n">
        <f aca="false">'100只成分明细'!G9</f>
        <v>-0.190912624288772</v>
      </c>
      <c r="S9" s="82" t="n">
        <f aca="false">'100只成分明细'!H9</f>
        <v>13.640648053</v>
      </c>
      <c r="T9" s="82" t="n">
        <f aca="false">'100只成分明细'!I9</f>
        <v>2.4686948079</v>
      </c>
      <c r="U9" s="83" t="n">
        <f aca="false">S9-T9</f>
        <v>11.1719532451</v>
      </c>
      <c r="V9" s="78" t="n">
        <f aca="false">IF(T9=0,"",S9/T9-1)</f>
        <v>4.52544932218796</v>
      </c>
      <c r="W9" s="55" t="n">
        <f aca="false">IF(U9&gt;0,1,0)</f>
        <v>1</v>
      </c>
      <c r="X9" s="84" t="n">
        <v>0.637</v>
      </c>
      <c r="Y9" s="79" t="n">
        <f aca="false">IF(OR(X9="",H9=""),"",X9/H9)</f>
        <v>0.044297635605007</v>
      </c>
      <c r="Z9" s="75" t="n">
        <v>3</v>
      </c>
      <c r="AA9" s="77" t="n">
        <v>7.94</v>
      </c>
      <c r="AB9" s="77" t="n">
        <v>1.42</v>
      </c>
      <c r="AC9" s="85" t="n">
        <f aca="false">IF(AND(AA9&gt;0,AA9&lt;100),MIN(AA9,50),"")</f>
        <v>7.94</v>
      </c>
      <c r="AD9" s="55" t="n">
        <f aca="false">IF(AC9="",0,1)</f>
        <v>1</v>
      </c>
      <c r="AE9" s="85" t="n">
        <f aca="false">IF(AND(AB9&gt;0,AB9&lt;10),MIN(AB9,5),"")</f>
        <v>1.42</v>
      </c>
      <c r="AF9" s="55" t="n">
        <f aca="false">IF(AE9="",0,1)</f>
        <v>1</v>
      </c>
      <c r="AG9" s="82" t="n">
        <f aca="false">'100只成分明细'!O9</f>
        <v>3.1147396771</v>
      </c>
      <c r="AH9" s="82" t="n">
        <f aca="false">'100只成分明细'!P9</f>
        <v>4.7554006753</v>
      </c>
      <c r="AI9" s="55" t="n">
        <f aca="false">IF(AG9&gt;AH9,1,0)</f>
        <v>0</v>
      </c>
    </row>
    <row r="10" customFormat="false" ht="18" hidden="false" customHeight="true" outlineLevel="0" collapsed="false">
      <c r="A10" s="74" t="str">
        <f aca="false">'100只成分明细'!A10</f>
        <v>000895</v>
      </c>
      <c r="B10" s="74" t="str">
        <f aca="false">'100只成分明细'!B10</f>
        <v>双汇发展</v>
      </c>
      <c r="C10" s="75" t="s">
        <v>50</v>
      </c>
      <c r="D10" s="74" t="str">
        <f aca="false">'100只成分明细'!C10</f>
        <v>其他</v>
      </c>
      <c r="E10" s="76" t="n">
        <f aca="false">'100只成分明细'!D10</f>
        <v>0.01017</v>
      </c>
      <c r="F10" s="75" t="s">
        <v>515</v>
      </c>
      <c r="G10" s="77" t="n">
        <v>24.06</v>
      </c>
      <c r="H10" s="77" t="n">
        <v>23.56</v>
      </c>
      <c r="I10" s="78" t="n">
        <f aca="false">IF(OR(G10="",H10=""),"",H10/G10-1)</f>
        <v>-0.0207813798836243</v>
      </c>
      <c r="J10" s="77" t="n">
        <v>23.66</v>
      </c>
      <c r="K10" s="79" t="n">
        <f aca="false">IF(OR(J10="",H10=""),"",H10/J10-1)</f>
        <v>-0.0042265426880812</v>
      </c>
      <c r="L10" s="77" t="n">
        <v>23.08</v>
      </c>
      <c r="M10" s="80" t="n">
        <v>46286</v>
      </c>
      <c r="N10" s="79" t="n">
        <f aca="false">IF(OR(L10="",H10=""),"",H10/L10-1)</f>
        <v>0.0207972270363952</v>
      </c>
      <c r="O10" s="77" t="n">
        <v>24.5</v>
      </c>
      <c r="P10" s="80" t="n">
        <v>46265</v>
      </c>
      <c r="Q10" s="78" t="n">
        <f aca="false">IF(OR(O10="",H10=""),"",H10/O10-1)</f>
        <v>-0.0383673469387755</v>
      </c>
      <c r="R10" s="81" t="n">
        <f aca="false">'100只成分明细'!G10</f>
        <v>-0.0111826177831686</v>
      </c>
      <c r="S10" s="82" t="n">
        <f aca="false">'100只成分明细'!H10</f>
        <v>23.0558962418</v>
      </c>
      <c r="T10" s="82" t="n">
        <f aca="false">'100只成分明细'!I10</f>
        <v>23.2316230394</v>
      </c>
      <c r="U10" s="83" t="n">
        <f aca="false">S10-T10</f>
        <v>-0.175726797599999</v>
      </c>
      <c r="V10" s="78" t="n">
        <f aca="false">IF(T10=0,"",S10/T10-1)</f>
        <v>-0.00756412056540234</v>
      </c>
      <c r="W10" s="55" t="n">
        <f aca="false">IF(U10&gt;0,1,0)</f>
        <v>0</v>
      </c>
      <c r="X10" s="84" t="n">
        <v>0.8</v>
      </c>
      <c r="Y10" s="79" t="n">
        <f aca="false">IF(OR(X10="",H10=""),"",X10/H10)</f>
        <v>0.033955857385399</v>
      </c>
      <c r="Z10" s="75" t="n">
        <v>3</v>
      </c>
      <c r="AA10" s="77" t="n">
        <v>16.05</v>
      </c>
      <c r="AB10" s="77" t="n">
        <v>3.91</v>
      </c>
      <c r="AC10" s="85" t="n">
        <f aca="false">IF(AND(AA10&gt;0,AA10&lt;100),MIN(AA10,50),"")</f>
        <v>16.05</v>
      </c>
      <c r="AD10" s="55" t="n">
        <f aca="false">IF(AC10="",0,1)</f>
        <v>1</v>
      </c>
      <c r="AE10" s="85" t="n">
        <f aca="false">IF(AND(AB10&gt;0,AB10&lt;10),MIN(AB10,5),"")</f>
        <v>3.91</v>
      </c>
      <c r="AF10" s="55" t="n">
        <f aca="false">IF(AE10="",0,1)</f>
        <v>1</v>
      </c>
      <c r="AG10" s="82" t="n">
        <f aca="false">'100只成分明细'!O10</f>
        <v>16.1693600015</v>
      </c>
      <c r="AH10" s="82" t="n">
        <f aca="false">'100只成分明细'!P10</f>
        <v>29.1420468454</v>
      </c>
      <c r="AI10" s="55" t="n">
        <f aca="false">IF(AG10&gt;AH10,1,0)</f>
        <v>0</v>
      </c>
    </row>
    <row r="11" customFormat="false" ht="18" hidden="false" customHeight="true" outlineLevel="0" collapsed="false">
      <c r="A11" s="74" t="str">
        <f aca="false">'100只成分明细'!A11</f>
        <v>000933</v>
      </c>
      <c r="B11" s="74" t="str">
        <f aca="false">'100只成分明细'!B11</f>
        <v>神火股份</v>
      </c>
      <c r="C11" s="75" t="s">
        <v>55</v>
      </c>
      <c r="D11" s="74" t="str">
        <f aca="false">'100只成分明细'!C11</f>
        <v>有色矿业</v>
      </c>
      <c r="E11" s="76" t="n">
        <f aca="false">'100只成分明细'!D11</f>
        <v>0.00853</v>
      </c>
      <c r="F11" s="75" t="s">
        <v>516</v>
      </c>
      <c r="G11" s="77" t="n">
        <v>27.48</v>
      </c>
      <c r="H11" s="77" t="n">
        <v>26.6</v>
      </c>
      <c r="I11" s="78" t="n">
        <f aca="false">IF(OR(G11="",H11=""),"",H11/G11-1)</f>
        <v>-0.0320232896652111</v>
      </c>
      <c r="J11" s="77" t="n">
        <v>26.22</v>
      </c>
      <c r="K11" s="79" t="n">
        <f aca="false">IF(OR(J11="",H11=""),"",H11/J11-1)</f>
        <v>0.0144927536231885</v>
      </c>
      <c r="L11" s="77" t="n">
        <v>24.9</v>
      </c>
      <c r="M11" s="80" t="n">
        <v>46294</v>
      </c>
      <c r="N11" s="79" t="n">
        <f aca="false">IF(OR(L11="",H11=""),"",H11/L11-1)</f>
        <v>0.0682730923694781</v>
      </c>
      <c r="O11" s="77" t="n">
        <v>29.06</v>
      </c>
      <c r="P11" s="80" t="n">
        <v>46275</v>
      </c>
      <c r="Q11" s="78" t="n">
        <f aca="false">IF(OR(O11="",H11=""),"",H11/O11-1)</f>
        <v>-0.0846524432209221</v>
      </c>
      <c r="R11" s="81" t="n">
        <f aca="false">'100只成分明细'!G11</f>
        <v>0.21354421350557</v>
      </c>
      <c r="S11" s="82" t="n">
        <f aca="false">'100只成分明细'!H11</f>
        <v>47.813773054</v>
      </c>
      <c r="T11" s="82" t="n">
        <f aca="false">'100只成分明细'!I11</f>
        <v>19.0445683389</v>
      </c>
      <c r="U11" s="83" t="n">
        <f aca="false">S11-T11</f>
        <v>28.7692047151</v>
      </c>
      <c r="V11" s="78" t="n">
        <f aca="false">IF(T11=0,"",S11/T11-1)</f>
        <v>1.51062519260868</v>
      </c>
      <c r="W11" s="55" t="n">
        <f aca="false">IF(U11&gt;0,1,0)</f>
        <v>1</v>
      </c>
      <c r="X11" s="84" t="n">
        <v>0.8</v>
      </c>
      <c r="Y11" s="79" t="n">
        <f aca="false">IF(OR(X11="",H11=""),"",X11/H11)</f>
        <v>0.0300751879699248</v>
      </c>
      <c r="Z11" s="75" t="n">
        <v>3</v>
      </c>
      <c r="AA11" s="77" t="n">
        <v>8.69</v>
      </c>
      <c r="AB11" s="77" t="n">
        <v>2.16</v>
      </c>
      <c r="AC11" s="85" t="n">
        <f aca="false">IF(AND(AA11&gt;0,AA11&lt;100),MIN(AA11,50),"")</f>
        <v>8.69</v>
      </c>
      <c r="AD11" s="55" t="n">
        <f aca="false">IF(AC11="",0,1)</f>
        <v>1</v>
      </c>
      <c r="AE11" s="85" t="n">
        <f aca="false">IF(AND(AB11&gt;0,AB11&lt;10),MIN(AB11,5),"")</f>
        <v>2.16</v>
      </c>
      <c r="AF11" s="55" t="n">
        <f aca="false">IF(AE11="",0,1)</f>
        <v>1</v>
      </c>
      <c r="AG11" s="82" t="n">
        <f aca="false">'100只成分明细'!O11</f>
        <v>72.0045611433</v>
      </c>
      <c r="AH11" s="82" t="n">
        <f aca="false">'100只成分明细'!P11</f>
        <v>44.3683361521</v>
      </c>
      <c r="AI11" s="55" t="n">
        <f aca="false">IF(AG11&gt;AH11,1,0)</f>
        <v>1</v>
      </c>
    </row>
    <row r="12" customFormat="false" ht="18" hidden="false" customHeight="true" outlineLevel="0" collapsed="false">
      <c r="A12" s="74" t="str">
        <f aca="false">'100只成分明细'!A12</f>
        <v>000983</v>
      </c>
      <c r="B12" s="74" t="str">
        <f aca="false">'100只成分明细'!B12</f>
        <v>山西焦煤</v>
      </c>
      <c r="C12" s="75" t="s">
        <v>22</v>
      </c>
      <c r="D12" s="74" t="str">
        <f aca="false">'100只成分明细'!C12</f>
        <v>煤炭</v>
      </c>
      <c r="E12" s="76" t="n">
        <f aca="false">'100只成分明细'!D12</f>
        <v>0.01391</v>
      </c>
      <c r="F12" s="75" t="s">
        <v>517</v>
      </c>
      <c r="G12" s="77" t="n">
        <v>7.42</v>
      </c>
      <c r="H12" s="77" t="n">
        <v>6.46</v>
      </c>
      <c r="I12" s="78" t="n">
        <f aca="false">IF(OR(G12="",H12=""),"",H12/G12-1)</f>
        <v>-0.129380053908356</v>
      </c>
      <c r="J12" s="77" t="n">
        <v>6.48</v>
      </c>
      <c r="K12" s="79" t="n">
        <f aca="false">IF(OR(J12="",H12=""),"",H12/J12-1)</f>
        <v>-0.00308641975308654</v>
      </c>
      <c r="L12" s="77" t="n">
        <v>6.28</v>
      </c>
      <c r="M12" s="80" t="n">
        <v>46294</v>
      </c>
      <c r="N12" s="79" t="n">
        <f aca="false">IF(OR(L12="",H12=""),"",H12/L12-1)</f>
        <v>0.0286624203821655</v>
      </c>
      <c r="O12" s="77" t="n">
        <v>7.6</v>
      </c>
      <c r="P12" s="80" t="n">
        <v>46265</v>
      </c>
      <c r="Q12" s="78" t="n">
        <f aca="false">IF(OR(O12="",H12=""),"",H12/O12-1)</f>
        <v>-0.15</v>
      </c>
      <c r="R12" s="81" t="n">
        <f aca="false">'100只成分明细'!G12</f>
        <v>-0.00139723519690427</v>
      </c>
      <c r="S12" s="82" t="n">
        <f aca="false">'100只成分明细'!H12</f>
        <v>12.3696953466</v>
      </c>
      <c r="T12" s="82" t="n">
        <f aca="false">'100只成分明细'!I12</f>
        <v>10.1369573107</v>
      </c>
      <c r="U12" s="83" t="n">
        <f aca="false">S12-T12</f>
        <v>2.2327380359</v>
      </c>
      <c r="V12" s="78" t="n">
        <f aca="false">IF(T12=0,"",S12/T12-1)</f>
        <v>0.220257219939483</v>
      </c>
      <c r="W12" s="55" t="n">
        <f aca="false">IF(U12&gt;0,1,0)</f>
        <v>1</v>
      </c>
      <c r="X12" s="84" t="n">
        <v>0.126</v>
      </c>
      <c r="Y12" s="79" t="n">
        <f aca="false">IF(OR(X12="",H12=""),"",X12/H12)</f>
        <v>0.0195046439628483</v>
      </c>
      <c r="Z12" s="75" t="n">
        <v>3</v>
      </c>
      <c r="AA12" s="77" t="n">
        <v>25.75</v>
      </c>
      <c r="AB12" s="77" t="n">
        <v>0.99</v>
      </c>
      <c r="AC12" s="85" t="n">
        <f aca="false">IF(AND(AA12&gt;0,AA12&lt;100),MIN(AA12,50),"")</f>
        <v>25.75</v>
      </c>
      <c r="AD12" s="55" t="n">
        <f aca="false">IF(AC12="",0,1)</f>
        <v>1</v>
      </c>
      <c r="AE12" s="85" t="n">
        <f aca="false">IF(AND(AB12&gt;0,AB12&lt;10),MIN(AB12,5),"")</f>
        <v>0.99</v>
      </c>
      <c r="AF12" s="55" t="n">
        <f aca="false">IF(AE12="",0,1)</f>
        <v>1</v>
      </c>
      <c r="AG12" s="82" t="n">
        <f aca="false">'100只成分明细'!O12</f>
        <v>16.0134163525</v>
      </c>
      <c r="AH12" s="82" t="n">
        <f aca="false">'100只成分明细'!P12</f>
        <v>33.2728685761</v>
      </c>
      <c r="AI12" s="55" t="n">
        <f aca="false">IF(AG12&gt;AH12,1,0)</f>
        <v>0</v>
      </c>
    </row>
    <row r="13" customFormat="false" ht="18" hidden="false" customHeight="true" outlineLevel="0" collapsed="false">
      <c r="A13" s="74" t="str">
        <f aca="false">'100只成分明细'!A13</f>
        <v>002043</v>
      </c>
      <c r="B13" s="74" t="str">
        <f aca="false">'100只成分明细'!B13</f>
        <v>兔宝宝</v>
      </c>
      <c r="C13" s="75" t="s">
        <v>54</v>
      </c>
      <c r="D13" s="74" t="str">
        <f aca="false">'100只成分明细'!C13</f>
        <v>水泥建材</v>
      </c>
      <c r="E13" s="76" t="n">
        <f aca="false">'100只成分明细'!D13</f>
        <v>0.00922</v>
      </c>
      <c r="F13" s="75" t="s">
        <v>518</v>
      </c>
      <c r="G13" s="77" t="n">
        <v>12.54</v>
      </c>
      <c r="H13" s="77" t="n">
        <v>12.22</v>
      </c>
      <c r="I13" s="78" t="n">
        <f aca="false">IF(OR(G13="",H13=""),"",H13/G13-1)</f>
        <v>-0.0255183413078148</v>
      </c>
      <c r="J13" s="77" t="n">
        <v>12.02</v>
      </c>
      <c r="K13" s="79" t="n">
        <f aca="false">IF(OR(J13="",H13=""),"",H13/J13-1)</f>
        <v>0.0166389351081531</v>
      </c>
      <c r="L13" s="77" t="n">
        <v>10.58</v>
      </c>
      <c r="M13" s="80" t="n">
        <v>46281</v>
      </c>
      <c r="N13" s="79" t="n">
        <f aca="false">IF(OR(L13="",H13=""),"",H13/L13-1)</f>
        <v>0.155009451795841</v>
      </c>
      <c r="O13" s="77" t="n">
        <v>13.4</v>
      </c>
      <c r="P13" s="80" t="n">
        <v>46265</v>
      </c>
      <c r="Q13" s="78" t="n">
        <f aca="false">IF(OR(O13="",H13=""),"",H13/O13-1)</f>
        <v>-0.0880597014925373</v>
      </c>
      <c r="R13" s="81" t="n">
        <f aca="false">'100只成分明细'!G13</f>
        <v>0.174030579409988</v>
      </c>
      <c r="S13" s="82" t="n">
        <f aca="false">'100只成分明细'!H13</f>
        <v>2.4730882393</v>
      </c>
      <c r="T13" s="82" t="n">
        <f aca="false">'100只成分明细'!I13</f>
        <v>2.6784711136</v>
      </c>
      <c r="U13" s="83" t="n">
        <f aca="false">S13-T13</f>
        <v>-0.2053828743</v>
      </c>
      <c r="V13" s="78" t="n">
        <f aca="false">IF(T13=0,"",S13/T13-1)</f>
        <v>-0.0766791447767212</v>
      </c>
      <c r="W13" s="55" t="n">
        <f aca="false">IF(U13&gt;0,1,0)</f>
        <v>0</v>
      </c>
      <c r="X13" s="84" t="n">
        <v>0.432</v>
      </c>
      <c r="Y13" s="79" t="n">
        <f aca="false">IF(OR(X13="",H13=""),"",X13/H13)</f>
        <v>0.0353518821603928</v>
      </c>
      <c r="Z13" s="75" t="n">
        <v>3</v>
      </c>
      <c r="AA13" s="77" t="n">
        <v>14.87</v>
      </c>
      <c r="AB13" s="77" t="n">
        <v>3.18</v>
      </c>
      <c r="AC13" s="85" t="n">
        <f aca="false">IF(AND(AA13&gt;0,AA13&lt;100),MIN(AA13,50),"")</f>
        <v>14.87</v>
      </c>
      <c r="AD13" s="55" t="n">
        <f aca="false">IF(AC13="",0,1)</f>
        <v>1</v>
      </c>
      <c r="AE13" s="85" t="n">
        <f aca="false">IF(AND(AB13&gt;0,AB13&lt;10),MIN(AB13,5),"")</f>
        <v>3.18</v>
      </c>
      <c r="AF13" s="55" t="n">
        <f aca="false">IF(AE13="",0,1)</f>
        <v>1</v>
      </c>
      <c r="AG13" s="82" t="n">
        <f aca="false">'100只成分明细'!O13</f>
        <v>2.1296852996</v>
      </c>
      <c r="AH13" s="82" t="n">
        <f aca="false">'100只成分明细'!P13</f>
        <v>1.0737049349</v>
      </c>
      <c r="AI13" s="55" t="n">
        <f aca="false">IF(AG13&gt;AH13,1,0)</f>
        <v>1</v>
      </c>
    </row>
    <row r="14" customFormat="false" ht="18" hidden="false" customHeight="true" outlineLevel="0" collapsed="false">
      <c r="A14" s="74" t="str">
        <f aca="false">'100只成分明细'!A14</f>
        <v>002154</v>
      </c>
      <c r="B14" s="74" t="str">
        <f aca="false">'100只成分明细'!B14</f>
        <v>报喜鸟</v>
      </c>
      <c r="C14" s="75" t="s">
        <v>50</v>
      </c>
      <c r="D14" s="74" t="str">
        <f aca="false">'100只成分明细'!C14</f>
        <v>其他</v>
      </c>
      <c r="E14" s="76" t="n">
        <f aca="false">'100只成分明细'!D14</f>
        <v>0.00477</v>
      </c>
      <c r="F14" s="75" t="s">
        <v>519</v>
      </c>
      <c r="G14" s="77" t="n">
        <v>4.08</v>
      </c>
      <c r="H14" s="77" t="n">
        <v>3.8</v>
      </c>
      <c r="I14" s="78" t="n">
        <f aca="false">IF(OR(G14="",H14=""),"",H14/G14-1)</f>
        <v>-0.0686274509803923</v>
      </c>
      <c r="J14" s="77" t="n">
        <v>3.85</v>
      </c>
      <c r="K14" s="79" t="n">
        <f aca="false">IF(OR(J14="",H14=""),"",H14/J14-1)</f>
        <v>-0.0129870129870131</v>
      </c>
      <c r="L14" s="77" t="n">
        <v>3.74</v>
      </c>
      <c r="M14" s="80" t="n">
        <v>46308</v>
      </c>
      <c r="N14" s="79" t="n">
        <f aca="false">IF(OR(L14="",H14=""),"",H14/L14-1)</f>
        <v>0.0160427807486629</v>
      </c>
      <c r="O14" s="77" t="n">
        <v>4.19</v>
      </c>
      <c r="P14" s="80" t="n">
        <v>46269</v>
      </c>
      <c r="Q14" s="78" t="n">
        <f aca="false">IF(OR(O14="",H14=""),"",H14/O14-1)</f>
        <v>-0.0930787589498808</v>
      </c>
      <c r="R14" s="81" t="n">
        <f aca="false">'100只成分明细'!G14</f>
        <v>0.0996152780393664</v>
      </c>
      <c r="S14" s="82" t="n">
        <f aca="false">'100只成分明细'!H14</f>
        <v>2.9134168064</v>
      </c>
      <c r="T14" s="82" t="n">
        <f aca="false">'100只成分明细'!I14</f>
        <v>1.9723262942</v>
      </c>
      <c r="U14" s="83" t="n">
        <f aca="false">S14-T14</f>
        <v>0.9410905122</v>
      </c>
      <c r="V14" s="78" t="n">
        <f aca="false">IF(T14=0,"",S14/T14-1)</f>
        <v>0.477147475530522</v>
      </c>
      <c r="W14" s="55" t="n">
        <f aca="false">IF(U14&gt;0,1,0)</f>
        <v>1</v>
      </c>
      <c r="X14" s="84" t="n">
        <v>0.17</v>
      </c>
      <c r="Y14" s="79" t="n">
        <f aca="false">IF(OR(X14="",H14=""),"",X14/H14)</f>
        <v>0.0447368421052632</v>
      </c>
      <c r="Z14" s="75" t="n">
        <v>3</v>
      </c>
      <c r="AA14" s="77" t="n">
        <v>12.72</v>
      </c>
      <c r="AB14" s="77" t="n">
        <v>1.18</v>
      </c>
      <c r="AC14" s="85" t="n">
        <f aca="false">IF(AND(AA14&gt;0,AA14&lt;100),MIN(AA14,50),"")</f>
        <v>12.72</v>
      </c>
      <c r="AD14" s="55" t="n">
        <f aca="false">IF(AC14="",0,1)</f>
        <v>1</v>
      </c>
      <c r="AE14" s="85" t="n">
        <f aca="false">IF(AND(AB14&gt;0,AB14&lt;10),MIN(AB14,5),"")</f>
        <v>1.18</v>
      </c>
      <c r="AF14" s="55" t="n">
        <f aca="false">IF(AE14="",0,1)</f>
        <v>1</v>
      </c>
      <c r="AG14" s="82" t="n">
        <f aca="false">'100只成分明细'!O14</f>
        <v>3.0611350809</v>
      </c>
      <c r="AH14" s="82" t="n">
        <f aca="false">'100只成分明细'!P14</f>
        <v>0.9464980233</v>
      </c>
      <c r="AI14" s="55" t="n">
        <f aca="false">IF(AG14&gt;AH14,1,0)</f>
        <v>1</v>
      </c>
    </row>
    <row r="15" customFormat="false" ht="18" hidden="false" customHeight="true" outlineLevel="0" collapsed="false">
      <c r="A15" s="74" t="str">
        <f aca="false">'100只成分明细'!A15</f>
        <v>002233</v>
      </c>
      <c r="B15" s="74" t="str">
        <f aca="false">'100只成分明细'!B15</f>
        <v>塔牌集团</v>
      </c>
      <c r="C15" s="75" t="s">
        <v>54</v>
      </c>
      <c r="D15" s="74" t="str">
        <f aca="false">'100只成分明细'!C15</f>
        <v>水泥建材</v>
      </c>
      <c r="E15" s="76" t="n">
        <f aca="false">'100只成分明细'!D15</f>
        <v>0.00653</v>
      </c>
      <c r="F15" s="75" t="s">
        <v>514</v>
      </c>
      <c r="G15" s="77" t="n">
        <v>7.12</v>
      </c>
      <c r="H15" s="77" t="n">
        <v>7.06</v>
      </c>
      <c r="I15" s="78" t="n">
        <f aca="false">IF(OR(G15="",H15=""),"",H15/G15-1)</f>
        <v>-0.00842696629213491</v>
      </c>
      <c r="J15" s="77" t="n">
        <v>6.86</v>
      </c>
      <c r="K15" s="79" t="n">
        <f aca="false">IF(OR(J15="",H15=""),"",H15/J15-1)</f>
        <v>0.0291545189504372</v>
      </c>
      <c r="L15" s="77" t="n">
        <v>6.61</v>
      </c>
      <c r="M15" s="80" t="n">
        <v>46293</v>
      </c>
      <c r="N15" s="79" t="n">
        <f aca="false">IF(OR(L15="",H15=""),"",H15/L15-1)</f>
        <v>0.0680786686838124</v>
      </c>
      <c r="O15" s="77" t="n">
        <v>7.33</v>
      </c>
      <c r="P15" s="80" t="n">
        <v>46304</v>
      </c>
      <c r="Q15" s="78" t="n">
        <f aca="false">IF(OR(O15="",H15=""),"",H15/O15-1)</f>
        <v>-0.0368349249658937</v>
      </c>
      <c r="R15" s="81" t="n">
        <f aca="false">'100只成分明细'!G15</f>
        <v>-0.152998638565043</v>
      </c>
      <c r="S15" s="82" t="n">
        <f aca="false">'100只成分明细'!H15</f>
        <v>2.1945047804</v>
      </c>
      <c r="T15" s="82" t="n">
        <f aca="false">'100只成分明细'!I15</f>
        <v>4.3539687841</v>
      </c>
      <c r="U15" s="83" t="n">
        <f aca="false">S15-T15</f>
        <v>-2.1594640037</v>
      </c>
      <c r="V15" s="78" t="n">
        <f aca="false">IF(T15=0,"",S15/T15-1)</f>
        <v>-0.495975995874389</v>
      </c>
      <c r="W15" s="55" t="n">
        <f aca="false">IF(U15&gt;0,1,0)</f>
        <v>0</v>
      </c>
      <c r="X15" s="84" t="n">
        <v>0.61</v>
      </c>
      <c r="Y15" s="79" t="n">
        <f aca="false">IF(OR(X15="",H15=""),"",X15/H15)</f>
        <v>0.0864022662889518</v>
      </c>
      <c r="Z15" s="75" t="n">
        <v>3</v>
      </c>
      <c r="AA15" s="77" t="n">
        <v>19.83</v>
      </c>
      <c r="AB15" s="77" t="n">
        <v>0.72</v>
      </c>
      <c r="AC15" s="85" t="n">
        <f aca="false">IF(AND(AA15&gt;0,AA15&lt;100),MIN(AA15,50),"")</f>
        <v>19.83</v>
      </c>
      <c r="AD15" s="55" t="n">
        <f aca="false">IF(AC15="",0,1)</f>
        <v>1</v>
      </c>
      <c r="AE15" s="85" t="n">
        <f aca="false">IF(AND(AB15&gt;0,AB15&lt;10),MIN(AB15,5),"")</f>
        <v>0.72</v>
      </c>
      <c r="AF15" s="55" t="n">
        <f aca="false">IF(AE15="",0,1)</f>
        <v>1</v>
      </c>
      <c r="AG15" s="82" t="n">
        <f aca="false">'100只成分明细'!O15</f>
        <v>1.7094921128</v>
      </c>
      <c r="AH15" s="82" t="n">
        <f aca="false">'100只成分明细'!P15</f>
        <v>1.3498505357</v>
      </c>
      <c r="AI15" s="55" t="n">
        <f aca="false">IF(AG15&gt;AH15,1,0)</f>
        <v>1</v>
      </c>
    </row>
    <row r="16" customFormat="false" ht="18" hidden="false" customHeight="true" outlineLevel="0" collapsed="false">
      <c r="A16" s="74" t="str">
        <f aca="false">'100只成分明细'!A16</f>
        <v>002267</v>
      </c>
      <c r="B16" s="74" t="str">
        <f aca="false">'100只成分明细'!B16</f>
        <v>陕天然气</v>
      </c>
      <c r="C16" s="75" t="s">
        <v>53</v>
      </c>
      <c r="D16" s="74" t="str">
        <f aca="false">'100只成分明细'!C16</f>
        <v>其他</v>
      </c>
      <c r="E16" s="76" t="n">
        <f aca="false">'100只成分明细'!D16</f>
        <v>0.00459</v>
      </c>
      <c r="F16" s="75" t="s">
        <v>520</v>
      </c>
      <c r="G16" s="77" t="n">
        <v>7.3</v>
      </c>
      <c r="H16" s="77" t="n">
        <v>7.18</v>
      </c>
      <c r="I16" s="78" t="n">
        <f aca="false">IF(OR(G16="",H16=""),"",H16/G16-1)</f>
        <v>-0.0164383561643836</v>
      </c>
      <c r="J16" s="77" t="n">
        <v>7.21</v>
      </c>
      <c r="K16" s="79" t="n">
        <f aca="false">IF(OR(J16="",H16=""),"",H16/J16-1)</f>
        <v>-0.00416088765603329</v>
      </c>
      <c r="L16" s="77" t="n">
        <v>7.03</v>
      </c>
      <c r="M16" s="80" t="n">
        <v>46265</v>
      </c>
      <c r="N16" s="79" t="n">
        <f aca="false">IF(OR(L16="",H16=""),"",H16/L16-1)</f>
        <v>0.0213371266002844</v>
      </c>
      <c r="O16" s="77" t="n">
        <v>7.73</v>
      </c>
      <c r="P16" s="80" t="n">
        <v>46274</v>
      </c>
      <c r="Q16" s="78" t="n">
        <f aca="false">IF(OR(O16="",H16=""),"",H16/O16-1)</f>
        <v>-0.0711513583441139</v>
      </c>
      <c r="R16" s="81" t="n">
        <f aca="false">'100只成分明细'!G16</f>
        <v>-0.0827317278945143</v>
      </c>
      <c r="S16" s="82" t="n">
        <f aca="false">'100只成分明细'!H16</f>
        <v>4.0409244386</v>
      </c>
      <c r="T16" s="82" t="n">
        <f aca="false">'100只成分明细'!I16</f>
        <v>5.0930715497</v>
      </c>
      <c r="U16" s="83" t="n">
        <f aca="false">S16-T16</f>
        <v>-1.0521471111</v>
      </c>
      <c r="V16" s="78" t="n">
        <f aca="false">IF(T16=0,"",S16/T16-1)</f>
        <v>-0.206584003549288</v>
      </c>
      <c r="W16" s="55" t="n">
        <f aca="false">IF(U16&gt;0,1,0)</f>
        <v>0</v>
      </c>
      <c r="X16" s="84" t="n">
        <v>0.2</v>
      </c>
      <c r="Y16" s="79" t="n">
        <f aca="false">IF(OR(X16="",H16=""),"",X16/H16)</f>
        <v>0.0278551532033426</v>
      </c>
      <c r="Z16" s="75" t="n">
        <v>3</v>
      </c>
      <c r="AA16" s="77" t="n">
        <v>16.68</v>
      </c>
      <c r="AB16" s="77" t="n">
        <v>1.16</v>
      </c>
      <c r="AC16" s="85" t="n">
        <f aca="false">IF(AND(AA16&gt;0,AA16&lt;100),MIN(AA16,50),"")</f>
        <v>16.68</v>
      </c>
      <c r="AD16" s="55" t="n">
        <f aca="false">IF(AC16="",0,1)</f>
        <v>1</v>
      </c>
      <c r="AE16" s="85" t="n">
        <f aca="false">IF(AND(AB16&gt;0,AB16&lt;10),MIN(AB16,5),"")</f>
        <v>1.16</v>
      </c>
      <c r="AF16" s="55" t="n">
        <f aca="false">IF(AE16="",0,1)</f>
        <v>1</v>
      </c>
      <c r="AG16" s="82" t="n">
        <f aca="false">'100只成分明细'!O16</f>
        <v>2.8166847064</v>
      </c>
      <c r="AH16" s="82" t="n">
        <f aca="false">'100只成分明细'!P16</f>
        <v>5.2690223883</v>
      </c>
      <c r="AI16" s="55" t="n">
        <f aca="false">IF(AG16&gt;AH16,1,0)</f>
        <v>0</v>
      </c>
    </row>
    <row r="17" customFormat="false" ht="18" hidden="false" customHeight="true" outlineLevel="0" collapsed="false">
      <c r="A17" s="74" t="str">
        <f aca="false">'100只成分明细'!A17</f>
        <v>002416</v>
      </c>
      <c r="B17" s="74" t="str">
        <f aca="false">'100只成分明细'!B17</f>
        <v>爱施德</v>
      </c>
      <c r="C17" s="75" t="s">
        <v>50</v>
      </c>
      <c r="D17" s="74" t="str">
        <f aca="false">'100只成分明细'!C17</f>
        <v>其他</v>
      </c>
      <c r="E17" s="76" t="n">
        <f aca="false">'100只成分明细'!D17</f>
        <v>0.00691</v>
      </c>
      <c r="F17" s="75" t="s">
        <v>521</v>
      </c>
      <c r="G17" s="77" t="n">
        <v>9.49</v>
      </c>
      <c r="H17" s="77" t="n">
        <v>9.29</v>
      </c>
      <c r="I17" s="78" t="n">
        <f aca="false">IF(OR(G17="",H17=""),"",H17/G17-1)</f>
        <v>-0.0210748155953636</v>
      </c>
      <c r="J17" s="77" t="n">
        <v>8.98</v>
      </c>
      <c r="K17" s="79" t="n">
        <f aca="false">IF(OR(J17="",H17=""),"",H17/J17-1)</f>
        <v>0.0345211581291758</v>
      </c>
      <c r="L17" s="77" t="n">
        <v>8.75</v>
      </c>
      <c r="M17" s="80" t="n">
        <v>46294</v>
      </c>
      <c r="N17" s="79" t="n">
        <f aca="false">IF(OR(L17="",H17=""),"",H17/L17-1)</f>
        <v>0.0617142857142856</v>
      </c>
      <c r="O17" s="77" t="n">
        <v>10.01</v>
      </c>
      <c r="P17" s="80" t="n">
        <v>46267</v>
      </c>
      <c r="Q17" s="78" t="n">
        <f aca="false">IF(OR(O17="",H17=""),"",H17/O17-1)</f>
        <v>-0.0719280719280721</v>
      </c>
      <c r="R17" s="81" t="n">
        <f aca="false">'100只成分明细'!G17</f>
        <v>0.212226513626548</v>
      </c>
      <c r="S17" s="82" t="n">
        <f aca="false">'100只成分明细'!H17</f>
        <v>0.4646248628</v>
      </c>
      <c r="T17" s="82" t="n">
        <f aca="false">'100只成分明细'!I17</f>
        <v>2.2155793126</v>
      </c>
      <c r="U17" s="83" t="n">
        <f aca="false">S17-T17</f>
        <v>-1.7509544498</v>
      </c>
      <c r="V17" s="78" t="n">
        <f aca="false">IF(T17=0,"",S17/T17-1)</f>
        <v>-0.790291929448123</v>
      </c>
      <c r="W17" s="55" t="n">
        <f aca="false">IF(U17&gt;0,1,0)</f>
        <v>0</v>
      </c>
      <c r="X17" s="84" t="n">
        <v>0.5</v>
      </c>
      <c r="Y17" s="79" t="n">
        <f aca="false">IF(OR(X17="",H17=""),"",X17/H17)</f>
        <v>0.0538213132400431</v>
      </c>
      <c r="Z17" s="75" t="n">
        <v>3</v>
      </c>
      <c r="AA17" s="77" t="n">
        <v>57.77</v>
      </c>
      <c r="AB17" s="77" t="n">
        <v>2.18</v>
      </c>
      <c r="AC17" s="85" t="n">
        <f aca="false">IF(AND(AA17&gt;0,AA17&lt;100),MIN(AA17,50),"")</f>
        <v>50</v>
      </c>
      <c r="AD17" s="55" t="n">
        <f aca="false">IF(AC17="",0,1)</f>
        <v>1</v>
      </c>
      <c r="AE17" s="85" t="n">
        <f aca="false">IF(AND(AB17&gt;0,AB17&lt;10),MIN(AB17,5),"")</f>
        <v>2.18</v>
      </c>
      <c r="AF17" s="55" t="n">
        <f aca="false">IF(AE17="",0,1)</f>
        <v>1</v>
      </c>
      <c r="AG17" s="82" t="n">
        <f aca="false">'100只成分明细'!O17</f>
        <v>-18.4983344511</v>
      </c>
      <c r="AH17" s="82" t="n">
        <f aca="false">'100只成分明细'!P17</f>
        <v>18.1926320661</v>
      </c>
      <c r="AI17" s="55" t="n">
        <f aca="false">IF(AG17&gt;AH17,1,0)</f>
        <v>0</v>
      </c>
    </row>
    <row r="18" customFormat="false" ht="18" hidden="false" customHeight="true" outlineLevel="0" collapsed="false">
      <c r="A18" s="74" t="str">
        <f aca="false">'100只成分明细'!A18</f>
        <v>002540</v>
      </c>
      <c r="B18" s="74" t="str">
        <f aca="false">'100只成分明细'!B18</f>
        <v>亚太科技</v>
      </c>
      <c r="C18" s="75" t="s">
        <v>55</v>
      </c>
      <c r="D18" s="74" t="str">
        <f aca="false">'100只成分明细'!C18</f>
        <v>有色矿业</v>
      </c>
      <c r="E18" s="76" t="n">
        <f aca="false">'100只成分明细'!D18</f>
        <v>0.00333</v>
      </c>
      <c r="F18" s="75" t="s">
        <v>516</v>
      </c>
      <c r="G18" s="77" t="n">
        <v>5.19</v>
      </c>
      <c r="H18" s="77" t="n">
        <v>5.02</v>
      </c>
      <c r="I18" s="78" t="n">
        <f aca="false">IF(OR(G18="",H18=""),"",H18/G18-1)</f>
        <v>-0.0327552986512526</v>
      </c>
      <c r="J18" s="77" t="n">
        <v>4.95</v>
      </c>
      <c r="K18" s="79" t="n">
        <f aca="false">IF(OR(J18="",H18=""),"",H18/J18-1)</f>
        <v>0.014141414141414</v>
      </c>
      <c r="L18" s="77" t="n">
        <v>4.84</v>
      </c>
      <c r="M18" s="80" t="n">
        <v>46293</v>
      </c>
      <c r="N18" s="79" t="n">
        <f aca="false">IF(OR(L18="",H18=""),"",H18/L18-1)</f>
        <v>0.0371900826446281</v>
      </c>
      <c r="O18" s="77" t="n">
        <v>5.43</v>
      </c>
      <c r="P18" s="80" t="n">
        <v>46274</v>
      </c>
      <c r="Q18" s="78" t="n">
        <f aca="false">IF(OR(O18="",H18=""),"",H18/O18-1)</f>
        <v>-0.0755064456721916</v>
      </c>
      <c r="R18" s="81" t="n">
        <f aca="false">'100只成分明细'!G18</f>
        <v>0.250073193049812</v>
      </c>
      <c r="S18" s="82" t="n">
        <f aca="false">'100只成分明细'!H18</f>
        <v>0.801436087</v>
      </c>
      <c r="T18" s="82" t="n">
        <f aca="false">'100只成分明细'!I18</f>
        <v>2.0802421335</v>
      </c>
      <c r="U18" s="83" t="n">
        <f aca="false">S18-T18</f>
        <v>-1.2788060465</v>
      </c>
      <c r="V18" s="78" t="n">
        <f aca="false">IF(T18=0,"",S18/T18-1)</f>
        <v>-0.614739037300631</v>
      </c>
      <c r="W18" s="55" t="n">
        <f aca="false">IF(U18&gt;0,1,0)</f>
        <v>0</v>
      </c>
      <c r="X18" s="84" t="n">
        <v>0.12</v>
      </c>
      <c r="Y18" s="79" t="n">
        <f aca="false">IF(OR(X18="",H18=""),"",X18/H18)</f>
        <v>0.0239043824701195</v>
      </c>
      <c r="Z18" s="75" t="n">
        <v>3</v>
      </c>
      <c r="AA18" s="77" t="n">
        <v>21.03</v>
      </c>
      <c r="AB18" s="77" t="n">
        <v>1.14</v>
      </c>
      <c r="AC18" s="85" t="n">
        <f aca="false">IF(AND(AA18&gt;0,AA18&lt;100),MIN(AA18,50),"")</f>
        <v>21.03</v>
      </c>
      <c r="AD18" s="55" t="n">
        <f aca="false">IF(AC18="",0,1)</f>
        <v>1</v>
      </c>
      <c r="AE18" s="85" t="n">
        <f aca="false">IF(AND(AB18&gt;0,AB18&lt;10),MIN(AB18,5),"")</f>
        <v>1.14</v>
      </c>
      <c r="AF18" s="55" t="n">
        <f aca="false">IF(AE18="",0,1)</f>
        <v>1</v>
      </c>
      <c r="AG18" s="82" t="n">
        <f aca="false">'100只成分明细'!O18</f>
        <v>-0.4302558344</v>
      </c>
      <c r="AH18" s="82" t="n">
        <f aca="false">'100只成分明细'!P18</f>
        <v>-0.2423677278</v>
      </c>
      <c r="AI18" s="55" t="n">
        <f aca="false">IF(AG18&gt;AH18,1,0)</f>
        <v>0</v>
      </c>
    </row>
    <row r="19" customFormat="false" ht="18" hidden="false" customHeight="true" outlineLevel="0" collapsed="false">
      <c r="A19" s="74" t="str">
        <f aca="false">'100只成分明细'!A19</f>
        <v>002563</v>
      </c>
      <c r="B19" s="74" t="str">
        <f aca="false">'100只成分明细'!B19</f>
        <v>森马服饰</v>
      </c>
      <c r="C19" s="75" t="s">
        <v>50</v>
      </c>
      <c r="D19" s="74" t="str">
        <f aca="false">'100只成分明细'!C19</f>
        <v>其他</v>
      </c>
      <c r="E19" s="76" t="n">
        <f aca="false">'100只成分明细'!D19</f>
        <v>0.00938</v>
      </c>
      <c r="F19" s="75" t="s">
        <v>519</v>
      </c>
      <c r="G19" s="77" t="n">
        <v>5.75</v>
      </c>
      <c r="H19" s="77" t="n">
        <v>5.54</v>
      </c>
      <c r="I19" s="78" t="n">
        <f aca="false">IF(OR(G19="",H19=""),"",H19/G19-1)</f>
        <v>-0.0365217391304348</v>
      </c>
      <c r="J19" s="77" t="n">
        <v>5.45</v>
      </c>
      <c r="K19" s="79" t="n">
        <f aca="false">IF(OR(J19="",H19=""),"",H19/J19-1)</f>
        <v>0.0165137614678899</v>
      </c>
      <c r="L19" s="77" t="n">
        <v>5.34</v>
      </c>
      <c r="M19" s="80" t="n">
        <v>46294</v>
      </c>
      <c r="N19" s="79" t="n">
        <f aca="false">IF(OR(L19="",H19=""),"",H19/L19-1)</f>
        <v>0.0374531835205993</v>
      </c>
      <c r="O19" s="77" t="n">
        <v>5.94</v>
      </c>
      <c r="P19" s="80" t="n">
        <v>46269</v>
      </c>
      <c r="Q19" s="78" t="n">
        <f aca="false">IF(OR(O19="",H19=""),"",H19/O19-1)</f>
        <v>-0.0673400673400674</v>
      </c>
      <c r="R19" s="81" t="n">
        <f aca="false">'100只成分明细'!G19</f>
        <v>0.0932472703621605</v>
      </c>
      <c r="S19" s="82" t="n">
        <f aca="false">'100只成分明细'!H19</f>
        <v>4.792874148</v>
      </c>
      <c r="T19" s="82" t="n">
        <f aca="false">'100只成分明细'!I19</f>
        <v>3.2505055278</v>
      </c>
      <c r="U19" s="83" t="n">
        <f aca="false">S19-T19</f>
        <v>1.5423686202</v>
      </c>
      <c r="V19" s="78" t="n">
        <f aca="false">IF(T19=0,"",S19/T19-1)</f>
        <v>0.47450115282342</v>
      </c>
      <c r="W19" s="55" t="n">
        <f aca="false">IF(U19&gt;0,1,0)</f>
        <v>1</v>
      </c>
      <c r="X19" s="84" t="n">
        <v>0.45</v>
      </c>
      <c r="Y19" s="79" t="n">
        <f aca="false">IF(OR(X19="",H19=""),"",X19/H19)</f>
        <v>0.0812274368231047</v>
      </c>
      <c r="Z19" s="75" t="n">
        <v>3</v>
      </c>
      <c r="AA19" s="77" t="n">
        <v>14.26</v>
      </c>
      <c r="AB19" s="77" t="n">
        <v>1.35</v>
      </c>
      <c r="AC19" s="85" t="n">
        <f aca="false">IF(AND(AA19&gt;0,AA19&lt;100),MIN(AA19,50),"")</f>
        <v>14.26</v>
      </c>
      <c r="AD19" s="55" t="n">
        <f aca="false">IF(AC19="",0,1)</f>
        <v>1</v>
      </c>
      <c r="AE19" s="85" t="n">
        <f aca="false">IF(AND(AB19&gt;0,AB19&lt;10),MIN(AB19,5),"")</f>
        <v>1.35</v>
      </c>
      <c r="AF19" s="55" t="n">
        <f aca="false">IF(AE19="",0,1)</f>
        <v>1</v>
      </c>
      <c r="AG19" s="82" t="n">
        <f aca="false">'100只成分明细'!O19</f>
        <v>2.6854677694</v>
      </c>
      <c r="AH19" s="82" t="n">
        <f aca="false">'100只成分明细'!P19</f>
        <v>-2.7716538414</v>
      </c>
      <c r="AI19" s="55" t="n">
        <f aca="false">IF(AG19&gt;AH19,1,0)</f>
        <v>1</v>
      </c>
    </row>
    <row r="20" customFormat="false" ht="18" hidden="false" customHeight="true" outlineLevel="0" collapsed="false">
      <c r="A20" s="74" t="str">
        <f aca="false">'100只成分明细'!A20</f>
        <v>002572</v>
      </c>
      <c r="B20" s="74" t="str">
        <f aca="false">'100只成分明细'!B20</f>
        <v>索菲亚</v>
      </c>
      <c r="C20" s="75" t="s">
        <v>54</v>
      </c>
      <c r="D20" s="74" t="str">
        <f aca="false">'100只成分明细'!C20</f>
        <v>其他</v>
      </c>
      <c r="E20" s="76" t="n">
        <f aca="false">'100只成分明细'!D20</f>
        <v>0.00609</v>
      </c>
      <c r="F20" s="75" t="s">
        <v>522</v>
      </c>
      <c r="G20" s="77" t="n">
        <v>7.9</v>
      </c>
      <c r="H20" s="77" t="n">
        <v>7.56</v>
      </c>
      <c r="I20" s="78" t="n">
        <f aca="false">IF(OR(G20="",H20=""),"",H20/G20-1)</f>
        <v>-0.0430379746835444</v>
      </c>
      <c r="J20" s="77" t="n">
        <v>7.72</v>
      </c>
      <c r="K20" s="79" t="n">
        <f aca="false">IF(OR(J20="",H20=""),"",H20/J20-1)</f>
        <v>-0.0207253886010363</v>
      </c>
      <c r="L20" s="77" t="n">
        <v>7.26</v>
      </c>
      <c r="M20" s="80" t="n">
        <v>46282</v>
      </c>
      <c r="N20" s="79" t="n">
        <f aca="false">IF(OR(L20="",H20=""),"",H20/L20-1)</f>
        <v>0.0413223140495869</v>
      </c>
      <c r="O20" s="77" t="n">
        <v>8.33</v>
      </c>
      <c r="P20" s="80" t="n">
        <v>46265</v>
      </c>
      <c r="Q20" s="78" t="n">
        <f aca="false">IF(OR(O20="",H20=""),"",H20/O20-1)</f>
        <v>-0.092436974789916</v>
      </c>
      <c r="R20" s="81" t="n">
        <f aca="false">'100只成分明细'!G20</f>
        <v>-0.258017122448095</v>
      </c>
      <c r="S20" s="82" t="n">
        <f aca="false">'100只成分明细'!H20</f>
        <v>0.6191737536</v>
      </c>
      <c r="T20" s="82" t="n">
        <f aca="false">'100只成分明细'!I20</f>
        <v>3.1937996708</v>
      </c>
      <c r="U20" s="83" t="n">
        <f aca="false">S20-T20</f>
        <v>-2.5746259172</v>
      </c>
      <c r="V20" s="78" t="n">
        <f aca="false">IF(T20=0,"",S20/T20-1)</f>
        <v>-0.806132563898441</v>
      </c>
      <c r="W20" s="55" t="n">
        <f aca="false">IF(U20&gt;0,1,0)</f>
        <v>0</v>
      </c>
      <c r="X20" s="84" t="n">
        <v>0.8</v>
      </c>
      <c r="Y20" s="79" t="n">
        <f aca="false">IF(OR(X20="",H20=""),"",X20/H20)</f>
        <v>0.105820105820106</v>
      </c>
      <c r="Z20" s="75" t="n">
        <v>3</v>
      </c>
      <c r="AA20" s="77" t="n">
        <v>11.31</v>
      </c>
      <c r="AB20" s="77" t="n">
        <v>1.09</v>
      </c>
      <c r="AC20" s="85" t="n">
        <f aca="false">IF(AND(AA20&gt;0,AA20&lt;100),MIN(AA20,50),"")</f>
        <v>11.31</v>
      </c>
      <c r="AD20" s="55" t="n">
        <f aca="false">IF(AC20="",0,1)</f>
        <v>1</v>
      </c>
      <c r="AE20" s="85" t="n">
        <f aca="false">IF(AND(AB20&gt;0,AB20&lt;10),MIN(AB20,5),"")</f>
        <v>1.09</v>
      </c>
      <c r="AF20" s="55" t="n">
        <f aca="false">IF(AE20="",0,1)</f>
        <v>1</v>
      </c>
      <c r="AG20" s="82" t="n">
        <f aca="false">'100只成分明细'!O20</f>
        <v>0.4927468991</v>
      </c>
      <c r="AH20" s="82" t="n">
        <f aca="false">'100只成分明细'!P20</f>
        <v>-1.0506919333</v>
      </c>
      <c r="AI20" s="55" t="n">
        <f aca="false">IF(AG20&gt;AH20,1,0)</f>
        <v>1</v>
      </c>
    </row>
    <row r="21" customFormat="false" ht="18" hidden="false" customHeight="true" outlineLevel="0" collapsed="false">
      <c r="A21" s="74" t="str">
        <f aca="false">'100只成分明细'!A21</f>
        <v>002601</v>
      </c>
      <c r="B21" s="74" t="str">
        <f aca="false">'100只成分明细'!B21</f>
        <v>龙佰集团</v>
      </c>
      <c r="C21" s="75" t="s">
        <v>57</v>
      </c>
      <c r="D21" s="74" t="str">
        <f aca="false">'100只成分明细'!C21</f>
        <v>其他</v>
      </c>
      <c r="E21" s="76" t="n">
        <f aca="false">'100只成分明细'!D21</f>
        <v>0.00881</v>
      </c>
      <c r="F21" s="75" t="s">
        <v>523</v>
      </c>
      <c r="G21" s="77" t="n">
        <v>16.21</v>
      </c>
      <c r="H21" s="77" t="n">
        <v>14.41</v>
      </c>
      <c r="I21" s="78" t="n">
        <f aca="false">IF(OR(G21="",H21=""),"",H21/G21-1)</f>
        <v>-0.111042566317088</v>
      </c>
      <c r="J21" s="77" t="n">
        <v>14.71</v>
      </c>
      <c r="K21" s="79" t="n">
        <f aca="false">IF(OR(J21="",H21=""),"",H21/J21-1)</f>
        <v>-0.0203942895989123</v>
      </c>
      <c r="L21" s="77" t="n">
        <v>14.28</v>
      </c>
      <c r="M21" s="80" t="n">
        <v>46308</v>
      </c>
      <c r="N21" s="79" t="n">
        <f aca="false">IF(OR(L21="",H21=""),"",H21/L21-1)</f>
        <v>0.0091036414565826</v>
      </c>
      <c r="O21" s="77" t="n">
        <v>16.58</v>
      </c>
      <c r="P21" s="80" t="n">
        <v>46265</v>
      </c>
      <c r="Q21" s="78" t="n">
        <f aca="false">IF(OR(O21="",H21=""),"",H21/O21-1)</f>
        <v>-0.130880579010856</v>
      </c>
      <c r="R21" s="81" t="n">
        <f aca="false">'100只成分明细'!G21</f>
        <v>0.0809794214371455</v>
      </c>
      <c r="S21" s="82" t="n">
        <f aca="false">'100只成分明细'!H21</f>
        <v>8.4383064432</v>
      </c>
      <c r="T21" s="82" t="n">
        <f aca="false">'100只成分明细'!I21</f>
        <v>13.8525812722</v>
      </c>
      <c r="U21" s="83" t="n">
        <f aca="false">S21-T21</f>
        <v>-5.414274829</v>
      </c>
      <c r="V21" s="78" t="n">
        <f aca="false">IF(T21=0,"",S21/T21-1)</f>
        <v>-0.390849526352581</v>
      </c>
      <c r="W21" s="55" t="n">
        <f aca="false">IF(U21&gt;0,1,0)</f>
        <v>0</v>
      </c>
      <c r="X21" s="84" t="n">
        <v>0.1</v>
      </c>
      <c r="Y21" s="79" t="n">
        <f aca="false">IF(OR(X21="",H21=""),"",X21/H21)</f>
        <v>0.00693962526023595</v>
      </c>
      <c r="Z21" s="75" t="n">
        <v>0</v>
      </c>
      <c r="AA21" s="77" t="n">
        <v>48.86</v>
      </c>
      <c r="AB21" s="77" t="n">
        <v>1.51</v>
      </c>
      <c r="AC21" s="85" t="n">
        <f aca="false">IF(AND(AA21&gt;0,AA21&lt;100),MIN(AA21,50),"")</f>
        <v>48.86</v>
      </c>
      <c r="AD21" s="55" t="n">
        <f aca="false">IF(AC21="",0,1)</f>
        <v>1</v>
      </c>
      <c r="AE21" s="85" t="n">
        <f aca="false">IF(AND(AB21&gt;0,AB21&lt;10),MIN(AB21,5),"")</f>
        <v>1.51</v>
      </c>
      <c r="AF21" s="55" t="n">
        <f aca="false">IF(AE21="",0,1)</f>
        <v>1</v>
      </c>
      <c r="AG21" s="82" t="n">
        <f aca="false">'100只成分明细'!O21</f>
        <v>18.4968540912</v>
      </c>
      <c r="AH21" s="82" t="n">
        <f aca="false">'100只成分明细'!P21</f>
        <v>15.1950778211</v>
      </c>
      <c r="AI21" s="55" t="n">
        <f aca="false">IF(AG21&gt;AH21,1,0)</f>
        <v>1</v>
      </c>
    </row>
    <row r="22" customFormat="false" ht="18" hidden="false" customHeight="true" outlineLevel="0" collapsed="false">
      <c r="A22" s="74" t="str">
        <f aca="false">'100只成分明细'!A22</f>
        <v>002737</v>
      </c>
      <c r="B22" s="74" t="str">
        <f aca="false">'100只成分明细'!B22</f>
        <v>葵花药业</v>
      </c>
      <c r="C22" s="75" t="s">
        <v>47</v>
      </c>
      <c r="D22" s="74" t="str">
        <f aca="false">'100只成分明细'!C22</f>
        <v>其他</v>
      </c>
      <c r="E22" s="76" t="n">
        <f aca="false">'100只成分明细'!D22</f>
        <v>0.00452</v>
      </c>
      <c r="F22" s="75" t="s">
        <v>524</v>
      </c>
      <c r="G22" s="77" t="n">
        <v>11.89</v>
      </c>
      <c r="H22" s="77" t="n">
        <v>11.37</v>
      </c>
      <c r="I22" s="78" t="n">
        <f aca="false">IF(OR(G22="",H22=""),"",H22/G22-1)</f>
        <v>-0.0437342304457529</v>
      </c>
      <c r="J22" s="77" t="n">
        <v>11.4</v>
      </c>
      <c r="K22" s="79" t="n">
        <f aca="false">IF(OR(J22="",H22=""),"",H22/J22-1)</f>
        <v>-0.00263157894736854</v>
      </c>
      <c r="L22" s="77" t="n">
        <v>11.16</v>
      </c>
      <c r="M22" s="80" t="n">
        <v>46281</v>
      </c>
      <c r="N22" s="79" t="n">
        <f aca="false">IF(OR(L22="",H22=""),"",H22/L22-1)</f>
        <v>0.0188172043010753</v>
      </c>
      <c r="O22" s="77" t="n">
        <v>12.83</v>
      </c>
      <c r="P22" s="80" t="n">
        <v>46265</v>
      </c>
      <c r="Q22" s="78" t="n">
        <f aca="false">IF(OR(O22="",H22=""),"",H22/O22-1)</f>
        <v>-0.113795791114575</v>
      </c>
      <c r="R22" s="81" t="n">
        <f aca="false">'100只成分明细'!G22</f>
        <v>0.143353133058056</v>
      </c>
      <c r="S22" s="82" t="n">
        <f aca="false">'100只成分明细'!H22</f>
        <v>0.794694571</v>
      </c>
      <c r="T22" s="82" t="n">
        <f aca="false">'100只成分明细'!I22</f>
        <v>0.8130990541</v>
      </c>
      <c r="U22" s="83" t="n">
        <f aca="false">S22-T22</f>
        <v>-0.0184044831000001</v>
      </c>
      <c r="V22" s="78" t="n">
        <f aca="false">IF(T22=0,"",S22/T22-1)</f>
        <v>-0.0226349827947735</v>
      </c>
      <c r="W22" s="55" t="n">
        <f aca="false">IF(U22&gt;0,1,0)</f>
        <v>0</v>
      </c>
      <c r="X22" s="84" t="n">
        <v>0.2</v>
      </c>
      <c r="Y22" s="79" t="n">
        <f aca="false">IF(OR(X22="",H22=""),"",X22/H22)</f>
        <v>0.0175901495162709</v>
      </c>
      <c r="Z22" s="75" t="n">
        <v>3</v>
      </c>
      <c r="AA22" s="77" t="n">
        <v>-25.57</v>
      </c>
      <c r="AB22" s="77" t="n">
        <v>1.69</v>
      </c>
      <c r="AC22" s="85" t="str">
        <f aca="false">IF(AND(AA22&gt;0,AA22&lt;100),MIN(AA22,50),"")</f>
        <v/>
      </c>
      <c r="AD22" s="55" t="n">
        <f aca="false">IF(AC22="",0,1)</f>
        <v>0</v>
      </c>
      <c r="AE22" s="85" t="n">
        <f aca="false">IF(AND(AB22&gt;0,AB22&lt;10),MIN(AB22,5),"")</f>
        <v>1.69</v>
      </c>
      <c r="AF22" s="55" t="n">
        <f aca="false">IF(AE22="",0,1)</f>
        <v>1</v>
      </c>
      <c r="AG22" s="82" t="n">
        <f aca="false">'100只成分明细'!O22</f>
        <v>0.2554797031</v>
      </c>
      <c r="AH22" s="82" t="n">
        <f aca="false">'100只成分明细'!P22</f>
        <v>3.4962238442</v>
      </c>
      <c r="AI22" s="55" t="n">
        <f aca="false">IF(AG22&gt;AH22,1,0)</f>
        <v>0</v>
      </c>
    </row>
    <row r="23" customFormat="false" ht="18" hidden="false" customHeight="true" outlineLevel="0" collapsed="false">
      <c r="A23" s="74" t="str">
        <f aca="false">'100只成分明细'!A23</f>
        <v>002756</v>
      </c>
      <c r="B23" s="74" t="str">
        <f aca="false">'100只成分明细'!B23</f>
        <v>永兴材料</v>
      </c>
      <c r="C23" s="75" t="s">
        <v>55</v>
      </c>
      <c r="D23" s="74" t="str">
        <f aca="false">'100只成分明细'!C23</f>
        <v>有色矿业</v>
      </c>
      <c r="E23" s="76" t="n">
        <f aca="false">'100只成分明细'!D23</f>
        <v>0.00895</v>
      </c>
      <c r="F23" s="75" t="s">
        <v>525</v>
      </c>
      <c r="G23" s="77" t="n">
        <v>46.21</v>
      </c>
      <c r="H23" s="77" t="n">
        <v>37.19</v>
      </c>
      <c r="I23" s="78" t="n">
        <f aca="false">IF(OR(G23="",H23=""),"",H23/G23-1)</f>
        <v>-0.195195845055183</v>
      </c>
      <c r="J23" s="77" t="n">
        <v>38.99</v>
      </c>
      <c r="K23" s="79" t="n">
        <f aca="false">IF(OR(J23="",H23=""),"",H23/J23-1)</f>
        <v>-0.0461656835085921</v>
      </c>
      <c r="L23" s="77" t="n">
        <v>36.57</v>
      </c>
      <c r="M23" s="80" t="n">
        <v>46308</v>
      </c>
      <c r="N23" s="79" t="n">
        <f aca="false">IF(OR(L23="",H23=""),"",H23/L23-1)</f>
        <v>0.0169537872573147</v>
      </c>
      <c r="O23" s="77" t="n">
        <v>46.68</v>
      </c>
      <c r="P23" s="80" t="n">
        <v>46266</v>
      </c>
      <c r="Q23" s="78" t="n">
        <f aca="false">IF(OR(O23="",H23=""),"",H23/O23-1)</f>
        <v>-0.203299057412168</v>
      </c>
      <c r="R23" s="81" t="n">
        <f aca="false">'100只成分明细'!G23</f>
        <v>0.376205515613453</v>
      </c>
      <c r="S23" s="82" t="n">
        <f aca="false">'100只成分明细'!H23</f>
        <v>9.5888336624</v>
      </c>
      <c r="T23" s="82" t="n">
        <f aca="false">'100只成分明细'!I23</f>
        <v>4.0080795236</v>
      </c>
      <c r="U23" s="83" t="n">
        <f aca="false">S23-T23</f>
        <v>5.5807541388</v>
      </c>
      <c r="V23" s="78" t="n">
        <f aca="false">IF(T23=0,"",S23/T23-1)</f>
        <v>1.39237610080836</v>
      </c>
      <c r="W23" s="55" t="n">
        <f aca="false">IF(U23&gt;0,1,0)</f>
        <v>1</v>
      </c>
      <c r="X23" s="84" t="n">
        <v>0.7</v>
      </c>
      <c r="Y23" s="79" t="n">
        <f aca="false">IF(OR(X23="",H23=""),"",X23/H23)</f>
        <v>0.0188222640494757</v>
      </c>
      <c r="Z23" s="75" t="n">
        <v>3</v>
      </c>
      <c r="AA23" s="77" t="n">
        <v>16.44</v>
      </c>
      <c r="AB23" s="77" t="n">
        <v>1.49</v>
      </c>
      <c r="AC23" s="85" t="n">
        <f aca="false">IF(AND(AA23&gt;0,AA23&lt;100),MIN(AA23,50),"")</f>
        <v>16.44</v>
      </c>
      <c r="AD23" s="55" t="n">
        <f aca="false">IF(AC23="",0,1)</f>
        <v>1</v>
      </c>
      <c r="AE23" s="85" t="n">
        <f aca="false">IF(AND(AB23&gt;0,AB23&lt;10),MIN(AB23,5),"")</f>
        <v>1.49</v>
      </c>
      <c r="AF23" s="55" t="n">
        <f aca="false">IF(AE23="",0,1)</f>
        <v>1</v>
      </c>
      <c r="AG23" s="82" t="n">
        <f aca="false">'100只成分明细'!O23</f>
        <v>10.8491159157</v>
      </c>
      <c r="AH23" s="82" t="n">
        <f aca="false">'100只成分明细'!P23</f>
        <v>2.4090761661</v>
      </c>
      <c r="AI23" s="55" t="n">
        <f aca="false">IF(AG23&gt;AH23,1,0)</f>
        <v>1</v>
      </c>
    </row>
    <row r="24" customFormat="false" ht="18" hidden="false" customHeight="true" outlineLevel="0" collapsed="false">
      <c r="A24" s="74" t="str">
        <f aca="false">'100只成分明细'!A24</f>
        <v>002867</v>
      </c>
      <c r="B24" s="74" t="str">
        <f aca="false">'100只成分明细'!B24</f>
        <v>周大生</v>
      </c>
      <c r="C24" s="75" t="s">
        <v>50</v>
      </c>
      <c r="D24" s="74" t="str">
        <f aca="false">'100只成分明细'!C24</f>
        <v>其他</v>
      </c>
      <c r="E24" s="76" t="n">
        <f aca="false">'100只成分明细'!D24</f>
        <v>0.01082</v>
      </c>
      <c r="F24" s="75" t="s">
        <v>526</v>
      </c>
      <c r="G24" s="77" t="n">
        <v>10.84</v>
      </c>
      <c r="H24" s="77" t="n">
        <v>10.25</v>
      </c>
      <c r="I24" s="78" t="n">
        <f aca="false">IF(OR(G24="",H24=""),"",H24/G24-1)</f>
        <v>-0.0544280442804428</v>
      </c>
      <c r="J24" s="77" t="n">
        <v>10.14</v>
      </c>
      <c r="K24" s="79" t="n">
        <f aca="false">IF(OR(J24="",H24=""),"",H24/J24-1)</f>
        <v>0.0108481262327416</v>
      </c>
      <c r="L24" s="77" t="n">
        <v>10.01</v>
      </c>
      <c r="M24" s="80" t="n">
        <v>46293</v>
      </c>
      <c r="N24" s="79" t="n">
        <f aca="false">IF(OR(L24="",H24=""),"",H24/L24-1)</f>
        <v>0.0239760239760241</v>
      </c>
      <c r="O24" s="77" t="n">
        <v>11.2</v>
      </c>
      <c r="P24" s="80" t="n">
        <v>46265</v>
      </c>
      <c r="Q24" s="78" t="n">
        <f aca="false">IF(OR(O24="",H24=""),"",H24/O24-1)</f>
        <v>-0.0848214285714285</v>
      </c>
      <c r="R24" s="81" t="n">
        <f aca="false">'100只成分明细'!G24</f>
        <v>-0.207949478625501</v>
      </c>
      <c r="S24" s="82" t="n">
        <f aca="false">'100只成分明细'!H24</f>
        <v>4.4989125987</v>
      </c>
      <c r="T24" s="82" t="n">
        <f aca="false">'100只成分明细'!I24</f>
        <v>5.9381465647</v>
      </c>
      <c r="U24" s="83" t="n">
        <f aca="false">S24-T24</f>
        <v>-1.439233966</v>
      </c>
      <c r="V24" s="78" t="n">
        <f aca="false">IF(T24=0,"",S24/T24-1)</f>
        <v>-0.242370906530953</v>
      </c>
      <c r="W24" s="55" t="n">
        <f aca="false">IF(U24&gt;0,1,0)</f>
        <v>0</v>
      </c>
      <c r="X24" s="84" t="n">
        <v>0.9</v>
      </c>
      <c r="Y24" s="79" t="n">
        <f aca="false">IF(OR(X24="",H24=""),"",X24/H24)</f>
        <v>0.0878048780487805</v>
      </c>
      <c r="Z24" s="75" t="n">
        <v>3</v>
      </c>
      <c r="AA24" s="77" t="n">
        <v>11.6</v>
      </c>
      <c r="AB24" s="77" t="n">
        <v>1.79</v>
      </c>
      <c r="AC24" s="85" t="n">
        <f aca="false">IF(AND(AA24&gt;0,AA24&lt;100),MIN(AA24,50),"")</f>
        <v>11.6</v>
      </c>
      <c r="AD24" s="55" t="n">
        <f aca="false">IF(AC24="",0,1)</f>
        <v>1</v>
      </c>
      <c r="AE24" s="85" t="n">
        <f aca="false">IF(AND(AB24&gt;0,AB24&lt;10),MIN(AB24,5),"")</f>
        <v>1.79</v>
      </c>
      <c r="AF24" s="55" t="n">
        <f aca="false">IF(AE24="",0,1)</f>
        <v>1</v>
      </c>
      <c r="AG24" s="82" t="n">
        <f aca="false">'100只成分明细'!O24</f>
        <v>2.0365923176</v>
      </c>
      <c r="AH24" s="82" t="n">
        <f aca="false">'100只成分明细'!P24</f>
        <v>4.0322564924</v>
      </c>
      <c r="AI24" s="55" t="n">
        <f aca="false">IF(AG24&gt;AH24,1,0)</f>
        <v>0</v>
      </c>
    </row>
    <row r="25" customFormat="false" ht="18" hidden="false" customHeight="true" outlineLevel="0" collapsed="false">
      <c r="A25" s="74" t="str">
        <f aca="false">'100只成分明细'!A25</f>
        <v>301109</v>
      </c>
      <c r="B25" s="74" t="str">
        <f aca="false">'100只成分明细'!B25</f>
        <v>军信股份</v>
      </c>
      <c r="C25" s="75" t="s">
        <v>53</v>
      </c>
      <c r="D25" s="74" t="str">
        <f aca="false">'100只成分明细'!C25</f>
        <v>其他</v>
      </c>
      <c r="E25" s="76" t="n">
        <f aca="false">'100只成分明细'!D25</f>
        <v>0.00938</v>
      </c>
      <c r="F25" s="75" t="s">
        <v>527</v>
      </c>
      <c r="G25" s="77" t="n">
        <v>13.03</v>
      </c>
      <c r="H25" s="77" t="n">
        <v>13.27</v>
      </c>
      <c r="I25" s="78" t="n">
        <f aca="false">IF(OR(G25="",H25=""),"",H25/G25-1)</f>
        <v>0.0184190330007674</v>
      </c>
      <c r="J25" s="77" t="n">
        <v>12.92</v>
      </c>
      <c r="K25" s="79" t="n">
        <f aca="false">IF(OR(J25="",H25=""),"",H25/J25-1)</f>
        <v>0.0270897832817336</v>
      </c>
      <c r="L25" s="77" t="n">
        <v>12.47</v>
      </c>
      <c r="M25" s="80" t="n">
        <v>46293</v>
      </c>
      <c r="N25" s="79" t="n">
        <f aca="false">IF(OR(L25="",H25=""),"",H25/L25-1)</f>
        <v>0.0641539695268645</v>
      </c>
      <c r="O25" s="77" t="n">
        <v>13.59</v>
      </c>
      <c r="P25" s="80" t="n">
        <v>46307</v>
      </c>
      <c r="Q25" s="78" t="n">
        <f aca="false">IF(OR(O25="",H25=""),"",H25/O25-1)</f>
        <v>-0.0235467255334805</v>
      </c>
      <c r="R25" s="81" t="n">
        <f aca="false">'100只成分明细'!G25</f>
        <v>0.0545151085415316</v>
      </c>
      <c r="S25" s="82" t="n">
        <f aca="false">'100只成分明细'!H25</f>
        <v>4.2771325376</v>
      </c>
      <c r="T25" s="82" t="n">
        <f aca="false">'100只成分明细'!I25</f>
        <v>4.0014294205</v>
      </c>
      <c r="U25" s="83" t="n">
        <f aca="false">S25-T25</f>
        <v>0.2757031171</v>
      </c>
      <c r="V25" s="78" t="n">
        <f aca="false">IF(T25=0,"",S25/T25-1)</f>
        <v>0.0689011570933942</v>
      </c>
      <c r="W25" s="55" t="n">
        <f aca="false">IF(U25&gt;0,1,0)</f>
        <v>1</v>
      </c>
      <c r="X25" s="84" t="n">
        <v>0.653</v>
      </c>
      <c r="Y25" s="79" t="n">
        <f aca="false">IF(OR(X25="",H25=""),"",X25/H25)</f>
        <v>0.0492087415222306</v>
      </c>
      <c r="Z25" s="75" t="n">
        <v>3</v>
      </c>
      <c r="AA25" s="77" t="n">
        <v>14.07</v>
      </c>
      <c r="AB25" s="77" t="n">
        <v>1.41</v>
      </c>
      <c r="AC25" s="85" t="n">
        <f aca="false">IF(AND(AA25&gt;0,AA25&lt;100),MIN(AA25,50),"")</f>
        <v>14.07</v>
      </c>
      <c r="AD25" s="55" t="n">
        <f aca="false">IF(AC25="",0,1)</f>
        <v>1</v>
      </c>
      <c r="AE25" s="85" t="n">
        <f aca="false">IF(AND(AB25&gt;0,AB25&lt;10),MIN(AB25,5),"")</f>
        <v>1.41</v>
      </c>
      <c r="AF25" s="55" t="n">
        <f aca="false">IF(AE25="",0,1)</f>
        <v>1</v>
      </c>
      <c r="AG25" s="82" t="n">
        <f aca="false">'100只成分明细'!O25</f>
        <v>6.2765978374</v>
      </c>
      <c r="AH25" s="82" t="n">
        <f aca="false">'100只成分明细'!P25</f>
        <v>7.2364340508</v>
      </c>
      <c r="AI25" s="55" t="n">
        <f aca="false">IF(AG25&gt;AH25,1,0)</f>
        <v>0</v>
      </c>
    </row>
    <row r="26" customFormat="false" ht="18" hidden="false" customHeight="true" outlineLevel="0" collapsed="false">
      <c r="A26" s="74" t="str">
        <f aca="false">'100只成分明细'!A26</f>
        <v>600012</v>
      </c>
      <c r="B26" s="74" t="str">
        <f aca="false">'100只成分明细'!B26</f>
        <v>皖通高速</v>
      </c>
      <c r="C26" s="75" t="s">
        <v>48</v>
      </c>
      <c r="D26" s="74" t="str">
        <f aca="false">'100只成分明细'!C26</f>
        <v>交通运输</v>
      </c>
      <c r="E26" s="76" t="n">
        <f aca="false">'100只成分明细'!D26</f>
        <v>0.00981</v>
      </c>
      <c r="F26" s="75" t="s">
        <v>512</v>
      </c>
      <c r="G26" s="77" t="n">
        <v>16.69</v>
      </c>
      <c r="H26" s="77" t="n">
        <v>16.81</v>
      </c>
      <c r="I26" s="78" t="n">
        <f aca="false">IF(OR(G26="",H26=""),"",H26/G26-1)</f>
        <v>0.00718993409227076</v>
      </c>
      <c r="J26" s="77" t="n">
        <v>15.58</v>
      </c>
      <c r="K26" s="79" t="n">
        <f aca="false">IF(OR(J26="",H26=""),"",H26/J26-1)</f>
        <v>0.0789473684210527</v>
      </c>
      <c r="L26" s="77" t="n">
        <v>15.2</v>
      </c>
      <c r="M26" s="80" t="n">
        <v>46287</v>
      </c>
      <c r="N26" s="79" t="n">
        <f aca="false">IF(OR(L26="",H26=""),"",H26/L26-1)</f>
        <v>0.105921052631579</v>
      </c>
      <c r="O26" s="77" t="n">
        <v>17.05</v>
      </c>
      <c r="P26" s="80" t="n">
        <v>46267</v>
      </c>
      <c r="Q26" s="78" t="n">
        <f aca="false">IF(OR(O26="",H26=""),"",H26/O26-1)</f>
        <v>-0.0140762463343109</v>
      </c>
      <c r="R26" s="81" t="n">
        <f aca="false">'100只成分明细'!G26</f>
        <v>-0.137520685334669</v>
      </c>
      <c r="S26" s="82" t="n">
        <f aca="false">'100只成分明细'!H26</f>
        <v>10.0740660194</v>
      </c>
      <c r="T26" s="82" t="n">
        <f aca="false">'100只成分明细'!I26</f>
        <v>9.6047500859</v>
      </c>
      <c r="U26" s="83" t="n">
        <f aca="false">S26-T26</f>
        <v>0.469315933500001</v>
      </c>
      <c r="V26" s="78" t="n">
        <f aca="false">IF(T26=0,"",S26/T26-1)</f>
        <v>0.0488628990137878</v>
      </c>
      <c r="W26" s="55" t="n">
        <f aca="false">IF(U26&gt;0,1,0)</f>
        <v>1</v>
      </c>
      <c r="X26" s="84" t="n">
        <v>0.66</v>
      </c>
      <c r="Y26" s="79" t="n">
        <f aca="false">IF(OR(X26="",H26=""),"",X26/H26)</f>
        <v>0.0392623438429506</v>
      </c>
      <c r="Z26" s="75" t="n">
        <v>3</v>
      </c>
      <c r="AA26" s="77" t="n">
        <v>14.93</v>
      </c>
      <c r="AB26" s="77" t="n">
        <v>2.28</v>
      </c>
      <c r="AC26" s="85" t="n">
        <f aca="false">IF(AND(AA26&gt;0,AA26&lt;100),MIN(AA26,50),"")</f>
        <v>14.93</v>
      </c>
      <c r="AD26" s="55" t="n">
        <f aca="false">IF(AC26="",0,1)</f>
        <v>1</v>
      </c>
      <c r="AE26" s="85" t="n">
        <f aca="false">IF(AND(AB26&gt;0,AB26&lt;10),MIN(AB26,5),"")</f>
        <v>2.28</v>
      </c>
      <c r="AF26" s="55" t="n">
        <f aca="false">IF(AE26="",0,1)</f>
        <v>1</v>
      </c>
      <c r="AG26" s="82" t="n">
        <f aca="false">'100只成分明细'!O26</f>
        <v>17.2173792335</v>
      </c>
      <c r="AH26" s="82" t="n">
        <f aca="false">'100只成分明细'!P26</f>
        <v>15.2948054692</v>
      </c>
      <c r="AI26" s="55" t="n">
        <f aca="false">IF(AG26&gt;AH26,1,0)</f>
        <v>1</v>
      </c>
    </row>
    <row r="27" customFormat="false" ht="18" hidden="false" customHeight="true" outlineLevel="0" collapsed="false">
      <c r="A27" s="74" t="str">
        <f aca="false">'100只成分明细'!A27</f>
        <v>600015</v>
      </c>
      <c r="B27" s="74" t="str">
        <f aca="false">'100只成分明细'!B27</f>
        <v>华夏银行</v>
      </c>
      <c r="C27" s="75" t="s">
        <v>21</v>
      </c>
      <c r="D27" s="74" t="str">
        <f aca="false">'100只成分明细'!C27</f>
        <v>银行</v>
      </c>
      <c r="E27" s="76" t="n">
        <f aca="false">'100只成分明细'!D27</f>
        <v>0.01104</v>
      </c>
      <c r="F27" s="75" t="s">
        <v>528</v>
      </c>
      <c r="G27" s="77" t="n">
        <v>6.23</v>
      </c>
      <c r="H27" s="77" t="n">
        <v>6.38</v>
      </c>
      <c r="I27" s="78" t="n">
        <f aca="false">IF(OR(G27="",H27=""),"",H27/G27-1)</f>
        <v>0.0240770465489566</v>
      </c>
      <c r="J27" s="77" t="n">
        <v>6.27</v>
      </c>
      <c r="K27" s="79" t="n">
        <f aca="false">IF(OR(J27="",H27=""),"",H27/J27-1)</f>
        <v>0.0175438596491229</v>
      </c>
      <c r="L27" s="77" t="n">
        <v>6.12</v>
      </c>
      <c r="M27" s="80" t="n">
        <v>46265</v>
      </c>
      <c r="N27" s="79" t="n">
        <f aca="false">IF(OR(L27="",H27=""),"",H27/L27-1)</f>
        <v>0.042483660130719</v>
      </c>
      <c r="O27" s="77" t="n">
        <v>6.45</v>
      </c>
      <c r="P27" s="80" t="n">
        <v>46275</v>
      </c>
      <c r="Q27" s="78" t="n">
        <f aca="false">IF(OR(O27="",H27=""),"",H27/O27-1)</f>
        <v>-0.0108527131782946</v>
      </c>
      <c r="R27" s="81" t="n">
        <f aca="false">'100只成分明细'!G27</f>
        <v>0.127103378586178</v>
      </c>
      <c r="S27" s="82" t="n">
        <f aca="false">'100只成分明细'!H27</f>
        <v>93.65</v>
      </c>
      <c r="T27" s="82" t="n">
        <f aca="false">'100只成分明细'!I27</f>
        <v>114.7</v>
      </c>
      <c r="U27" s="83" t="n">
        <f aca="false">S27-T27</f>
        <v>-21.05</v>
      </c>
      <c r="V27" s="78" t="n">
        <f aca="false">IF(T27=0,"",S27/T27-1)</f>
        <v>-0.183522231909329</v>
      </c>
      <c r="W27" s="55" t="n">
        <f aca="false">IF(U27&gt;0,1,0)</f>
        <v>0</v>
      </c>
      <c r="X27" s="84" t="n">
        <v>0.42</v>
      </c>
      <c r="Y27" s="79" t="n">
        <f aca="false">IF(OR(X27="",H27=""),"",X27/H27)</f>
        <v>0.0658307210031348</v>
      </c>
      <c r="Z27" s="75" t="n">
        <v>3</v>
      </c>
      <c r="AA27" s="77" t="n">
        <v>4.05</v>
      </c>
      <c r="AB27" s="77" t="n">
        <v>0.32</v>
      </c>
      <c r="AC27" s="85" t="n">
        <f aca="false">IF(AND(AA27&gt;0,AA27&lt;100),MIN(AA27,50),"")</f>
        <v>4.05</v>
      </c>
      <c r="AD27" s="55" t="n">
        <f aca="false">IF(AC27="",0,1)</f>
        <v>1</v>
      </c>
      <c r="AE27" s="85" t="n">
        <f aca="false">IF(AND(AB27&gt;0,AB27&lt;10),MIN(AB27,5),"")</f>
        <v>0.32</v>
      </c>
      <c r="AF27" s="55" t="n">
        <f aca="false">IF(AE27="",0,1)</f>
        <v>1</v>
      </c>
      <c r="AG27" s="82" t="n">
        <f aca="false">'100只成分明细'!O27</f>
        <v>991.48</v>
      </c>
      <c r="AH27" s="82" t="n">
        <f aca="false">'100只成分明细'!P27</f>
        <v>1318.78</v>
      </c>
      <c r="AI27" s="55" t="n">
        <f aca="false">IF(AG27&gt;AH27,1,0)</f>
        <v>0</v>
      </c>
    </row>
    <row r="28" customFormat="false" ht="18" hidden="false" customHeight="true" outlineLevel="0" collapsed="false">
      <c r="A28" s="74" t="str">
        <f aca="false">'100只成分明细'!A28</f>
        <v>600016</v>
      </c>
      <c r="B28" s="74" t="str">
        <f aca="false">'100只成分明细'!B28</f>
        <v>民生银行</v>
      </c>
      <c r="C28" s="75" t="s">
        <v>21</v>
      </c>
      <c r="D28" s="74" t="str">
        <f aca="false">'100只成分明细'!C28</f>
        <v>银行</v>
      </c>
      <c r="E28" s="76" t="n">
        <f aca="false">'100只成分明细'!D28</f>
        <v>0.00862</v>
      </c>
      <c r="F28" s="75" t="s">
        <v>528</v>
      </c>
      <c r="G28" s="77" t="n">
        <v>3.41</v>
      </c>
      <c r="H28" s="77" t="n">
        <v>3.54</v>
      </c>
      <c r="I28" s="78" t="n">
        <f aca="false">IF(OR(G28="",H28=""),"",H28/G28-1)</f>
        <v>0.0381231671554252</v>
      </c>
      <c r="J28" s="77" t="n">
        <v>3.51</v>
      </c>
      <c r="K28" s="79" t="n">
        <f aca="false">IF(OR(J28="",H28=""),"",H28/J28-1)</f>
        <v>0.00854700854700852</v>
      </c>
      <c r="L28" s="77" t="n">
        <v>3.3</v>
      </c>
      <c r="M28" s="80" t="n">
        <v>46265</v>
      </c>
      <c r="N28" s="79" t="n">
        <f aca="false">IF(OR(L28="",H28=""),"",H28/L28-1)</f>
        <v>0.0727272727272728</v>
      </c>
      <c r="O28" s="77" t="n">
        <v>3.63</v>
      </c>
      <c r="P28" s="80" t="n">
        <v>46280</v>
      </c>
      <c r="Q28" s="78" t="n">
        <f aca="false">IF(OR(O28="",H28=""),"",H28/O28-1)</f>
        <v>-0.024793388429752</v>
      </c>
      <c r="R28" s="81" t="n">
        <f aca="false">'100只成分明细'!G28</f>
        <v>0.038433908045977</v>
      </c>
      <c r="S28" s="82" t="n">
        <f aca="false">'100只成分明细'!H28</f>
        <v>195.37</v>
      </c>
      <c r="T28" s="82" t="n">
        <f aca="false">'100只成分明细'!I28</f>
        <v>213.8</v>
      </c>
      <c r="U28" s="83" t="n">
        <f aca="false">S28-T28</f>
        <v>-18.43</v>
      </c>
      <c r="V28" s="78" t="n">
        <f aca="false">IF(T28=0,"",S28/T28-1)</f>
        <v>-0.0862020579981291</v>
      </c>
      <c r="W28" s="55" t="n">
        <f aca="false">IF(U28&gt;0,1,0)</f>
        <v>0</v>
      </c>
      <c r="X28" s="84" t="n">
        <v>0.171</v>
      </c>
      <c r="Y28" s="79" t="n">
        <f aca="false">IF(OR(X28="",H28=""),"",X28/H28)</f>
        <v>0.0483050847457627</v>
      </c>
      <c r="Z28" s="75" t="n">
        <v>3</v>
      </c>
      <c r="AA28" s="77" t="n">
        <v>5.4</v>
      </c>
      <c r="AB28" s="77" t="n">
        <v>0.27</v>
      </c>
      <c r="AC28" s="85" t="n">
        <f aca="false">IF(AND(AA28&gt;0,AA28&lt;100),MIN(AA28,50),"")</f>
        <v>5.4</v>
      </c>
      <c r="AD28" s="55" t="n">
        <f aca="false">IF(AC28="",0,1)</f>
        <v>1</v>
      </c>
      <c r="AE28" s="85" t="n">
        <f aca="false">IF(AND(AB28&gt;0,AB28&lt;10),MIN(AB28,5),"")</f>
        <v>0.27</v>
      </c>
      <c r="AF28" s="55" t="n">
        <f aca="false">IF(AE28="",0,1)</f>
        <v>1</v>
      </c>
      <c r="AG28" s="82" t="n">
        <f aca="false">'100只成分明细'!O28</f>
        <v>1841.68</v>
      </c>
      <c r="AH28" s="82" t="n">
        <f aca="false">'100只成分明细'!P28</f>
        <v>-2190.43</v>
      </c>
      <c r="AI28" s="55" t="n">
        <f aca="false">IF(AG28&gt;AH28,1,0)</f>
        <v>1</v>
      </c>
    </row>
    <row r="29" customFormat="false" ht="18" hidden="false" customHeight="true" outlineLevel="0" collapsed="false">
      <c r="A29" s="74" t="str">
        <f aca="false">'100只成分明细'!A29</f>
        <v>600028</v>
      </c>
      <c r="B29" s="74" t="str">
        <f aca="false">'100只成分明细'!B29</f>
        <v>中国石化</v>
      </c>
      <c r="C29" s="75" t="s">
        <v>46</v>
      </c>
      <c r="D29" s="74" t="str">
        <f aca="false">'100只成分明细'!C29</f>
        <v>油气</v>
      </c>
      <c r="E29" s="76" t="n">
        <f aca="false">'100只成分明细'!D29</f>
        <v>0.00888</v>
      </c>
      <c r="F29" s="75" t="s">
        <v>529</v>
      </c>
      <c r="G29" s="77" t="n">
        <v>5.36</v>
      </c>
      <c r="H29" s="77" t="n">
        <v>5.47</v>
      </c>
      <c r="I29" s="78" t="n">
        <f aca="false">IF(OR(G29="",H29=""),"",H29/G29-1)</f>
        <v>0.0205223880597014</v>
      </c>
      <c r="J29" s="77" t="n">
        <v>5.28</v>
      </c>
      <c r="K29" s="79" t="n">
        <f aca="false">IF(OR(J29="",H29=""),"",H29/J29-1)</f>
        <v>0.0359848484848484</v>
      </c>
      <c r="L29" s="77" t="n">
        <v>4.99</v>
      </c>
      <c r="M29" s="80" t="n">
        <v>46282</v>
      </c>
      <c r="N29" s="79" t="n">
        <f aca="false">IF(OR(L29="",H29=""),"",H29/L29-1)</f>
        <v>0.096192384769539</v>
      </c>
      <c r="O29" s="77" t="n">
        <v>5.55</v>
      </c>
      <c r="P29" s="80" t="n">
        <v>46274</v>
      </c>
      <c r="Q29" s="78" t="n">
        <f aca="false">IF(OR(O29="",H29=""),"",H29/O29-1)</f>
        <v>-0.0144144144144144</v>
      </c>
      <c r="R29" s="81" t="n">
        <f aca="false">'100只成分明细'!G29</f>
        <v>0.0195230552172667</v>
      </c>
      <c r="S29" s="82" t="n">
        <f aca="false">'100只成分明细'!H29</f>
        <v>256.27</v>
      </c>
      <c r="T29" s="82" t="n">
        <f aca="false">'100只成分明细'!I29</f>
        <v>214.83</v>
      </c>
      <c r="U29" s="83" t="n">
        <f aca="false">S29-T29</f>
        <v>41.44</v>
      </c>
      <c r="V29" s="78" t="n">
        <f aca="false">IF(T29=0,"",S29/T29-1)</f>
        <v>0.192896709025741</v>
      </c>
      <c r="W29" s="55" t="n">
        <f aca="false">IF(U29&gt;0,1,0)</f>
        <v>1</v>
      </c>
      <c r="X29" s="84" t="n">
        <v>0.217</v>
      </c>
      <c r="Y29" s="79" t="n">
        <f aca="false">IF(OR(X29="",H29=""),"",X29/H29)</f>
        <v>0.0396709323583181</v>
      </c>
      <c r="Z29" s="75" t="n">
        <v>3</v>
      </c>
      <c r="AA29" s="77" t="n">
        <v>18.37</v>
      </c>
      <c r="AB29" s="77" t="n">
        <v>0.79</v>
      </c>
      <c r="AC29" s="85" t="n">
        <f aca="false">IF(AND(AA29&gt;0,AA29&lt;100),MIN(AA29,50),"")</f>
        <v>18.37</v>
      </c>
      <c r="AD29" s="55" t="n">
        <f aca="false">IF(AC29="",0,1)</f>
        <v>1</v>
      </c>
      <c r="AE29" s="85" t="n">
        <f aca="false">IF(AND(AB29&gt;0,AB29&lt;10),MIN(AB29,5),"")</f>
        <v>0.79</v>
      </c>
      <c r="AF29" s="55" t="n">
        <f aca="false">IF(AE29="",0,1)</f>
        <v>1</v>
      </c>
      <c r="AG29" s="82" t="n">
        <f aca="false">'100只成分明细'!O29</f>
        <v>624.99</v>
      </c>
      <c r="AH29" s="82" t="n">
        <f aca="false">'100只成分明细'!P29</f>
        <v>610.16</v>
      </c>
      <c r="AI29" s="55" t="n">
        <f aca="false">IF(AG29&gt;AH29,1,0)</f>
        <v>1</v>
      </c>
    </row>
    <row r="30" customFormat="false" ht="18" hidden="false" customHeight="true" outlineLevel="0" collapsed="false">
      <c r="A30" s="74" t="str">
        <f aca="false">'100只成分明细'!A30</f>
        <v>600036</v>
      </c>
      <c r="B30" s="74" t="str">
        <f aca="false">'100只成分明细'!B30</f>
        <v>招商银行</v>
      </c>
      <c r="C30" s="75" t="s">
        <v>21</v>
      </c>
      <c r="D30" s="74" t="str">
        <f aca="false">'100只成分明细'!C30</f>
        <v>银行</v>
      </c>
      <c r="E30" s="76" t="n">
        <f aca="false">'100只成分明细'!D30</f>
        <v>0.00871</v>
      </c>
      <c r="F30" s="75" t="s">
        <v>528</v>
      </c>
      <c r="G30" s="77" t="n">
        <v>40.12</v>
      </c>
      <c r="H30" s="77" t="n">
        <v>42.81</v>
      </c>
      <c r="I30" s="78" t="n">
        <f aca="false">IF(OR(G30="",H30=""),"",H30/G30-1)</f>
        <v>0.0670488534396811</v>
      </c>
      <c r="J30" s="77" t="n">
        <v>41.26</v>
      </c>
      <c r="K30" s="79" t="n">
        <f aca="false">IF(OR(J30="",H30=""),"",H30/J30-1)</f>
        <v>0.0375666505089676</v>
      </c>
      <c r="L30" s="77" t="n">
        <v>39.5</v>
      </c>
      <c r="M30" s="80" t="n">
        <v>46265</v>
      </c>
      <c r="N30" s="79" t="n">
        <f aca="false">IF(OR(L30="",H30=""),"",H30/L30-1)</f>
        <v>0.0837974683544305</v>
      </c>
      <c r="O30" s="77" t="n">
        <v>42.94</v>
      </c>
      <c r="P30" s="80" t="n">
        <v>46308</v>
      </c>
      <c r="Q30" s="78" t="n">
        <f aca="false">IF(OR(O30="",H30=""),"",H30/O30-1)</f>
        <v>-0.00302748020493704</v>
      </c>
      <c r="R30" s="81" t="n">
        <f aca="false">'100只成分明细'!G30</f>
        <v>0.0483146926792533</v>
      </c>
      <c r="S30" s="82" t="n">
        <f aca="false">'100只成分明细'!H30</f>
        <v>764.45</v>
      </c>
      <c r="T30" s="82" t="n">
        <f aca="false">'100只成分明细'!I30</f>
        <v>749.3</v>
      </c>
      <c r="U30" s="83" t="n">
        <f aca="false">S30-T30</f>
        <v>15.1500000000001</v>
      </c>
      <c r="V30" s="78" t="n">
        <f aca="false">IF(T30=0,"",S30/T30-1)</f>
        <v>0.0202188709462166</v>
      </c>
      <c r="W30" s="55" t="n">
        <f aca="false">IF(U30&gt;0,1,0)</f>
        <v>1</v>
      </c>
      <c r="X30" s="84" t="n">
        <v>2.016</v>
      </c>
      <c r="Y30" s="79" t="n">
        <f aca="false">IF(OR(X30="",H30=""),"",X30/H30)</f>
        <v>0.0470918009810792</v>
      </c>
      <c r="Z30" s="75" t="n">
        <v>3</v>
      </c>
      <c r="AA30" s="77" t="n">
        <v>7.12</v>
      </c>
      <c r="AB30" s="77" t="n">
        <v>0.94</v>
      </c>
      <c r="AC30" s="85" t="n">
        <f aca="false">IF(AND(AA30&gt;0,AA30&lt;100),MIN(AA30,50),"")</f>
        <v>7.12</v>
      </c>
      <c r="AD30" s="55" t="n">
        <f aca="false">IF(AC30="",0,1)</f>
        <v>1</v>
      </c>
      <c r="AE30" s="85" t="n">
        <f aca="false">IF(AND(AB30&gt;0,AB30&lt;10),MIN(AB30,5),"")</f>
        <v>0.94</v>
      </c>
      <c r="AF30" s="55" t="n">
        <f aca="false">IF(AE30="",0,1)</f>
        <v>1</v>
      </c>
      <c r="AG30" s="82" t="n">
        <f aca="false">'100只成分明细'!O30</f>
        <v>3046.11</v>
      </c>
      <c r="AH30" s="82" t="n">
        <f aca="false">'100只成分明细'!P30</f>
        <v>1344.61</v>
      </c>
      <c r="AI30" s="55" t="n">
        <f aca="false">IF(AG30&gt;AH30,1,0)</f>
        <v>1</v>
      </c>
    </row>
    <row r="31" customFormat="false" ht="18" hidden="false" customHeight="true" outlineLevel="0" collapsed="false">
      <c r="A31" s="74" t="str">
        <f aca="false">'100只成分明细'!A31</f>
        <v>600039</v>
      </c>
      <c r="B31" s="74" t="str">
        <f aca="false">'100只成分明细'!B31</f>
        <v>四川路桥</v>
      </c>
      <c r="C31" s="75" t="s">
        <v>52</v>
      </c>
      <c r="D31" s="74" t="str">
        <f aca="false">'100只成分明细'!C31</f>
        <v>建筑</v>
      </c>
      <c r="E31" s="76" t="n">
        <f aca="false">'100只成分明细'!D31</f>
        <v>0.01117</v>
      </c>
      <c r="F31" s="75" t="s">
        <v>530</v>
      </c>
      <c r="G31" s="77" t="n">
        <v>9.06</v>
      </c>
      <c r="H31" s="77" t="n">
        <v>9.11</v>
      </c>
      <c r="I31" s="78" t="n">
        <f aca="false">IF(OR(G31="",H31=""),"",H31/G31-1)</f>
        <v>0.00551876379690941</v>
      </c>
      <c r="J31" s="77" t="n">
        <v>8.73</v>
      </c>
      <c r="K31" s="79" t="n">
        <f aca="false">IF(OR(J31="",H31=""),"",H31/J31-1)</f>
        <v>0.0435280641466207</v>
      </c>
      <c r="L31" s="77" t="n">
        <v>8.53</v>
      </c>
      <c r="M31" s="80" t="n">
        <v>46293</v>
      </c>
      <c r="N31" s="79" t="n">
        <f aca="false">IF(OR(L31="",H31=""),"",H31/L31-1)</f>
        <v>0.0679953106682298</v>
      </c>
      <c r="O31" s="77" t="n">
        <v>9.66</v>
      </c>
      <c r="P31" s="80" t="n">
        <v>46266</v>
      </c>
      <c r="Q31" s="78" t="n">
        <f aca="false">IF(OR(O31="",H31=""),"",H31/O31-1)</f>
        <v>-0.0569358178053832</v>
      </c>
      <c r="R31" s="81" t="n">
        <f aca="false">'100只成分明细'!G31</f>
        <v>0.0761686116792635</v>
      </c>
      <c r="S31" s="82" t="n">
        <f aca="false">'100只成分明细'!H31</f>
        <v>30.9074397606</v>
      </c>
      <c r="T31" s="82" t="n">
        <f aca="false">'100只成分明细'!I31</f>
        <v>27.7954672585</v>
      </c>
      <c r="U31" s="83" t="n">
        <f aca="false">S31-T31</f>
        <v>3.1119725021</v>
      </c>
      <c r="V31" s="78" t="n">
        <f aca="false">IF(T31=0,"",S31/T31-1)</f>
        <v>0.111959711745747</v>
      </c>
      <c r="W31" s="55" t="n">
        <f aca="false">IF(U31&gt;0,1,0)</f>
        <v>1</v>
      </c>
      <c r="X31" s="84" t="n">
        <v>0.492</v>
      </c>
      <c r="Y31" s="79" t="n">
        <f aca="false">IF(OR(X31="",H31=""),"",X31/H31)</f>
        <v>0.054006586169045</v>
      </c>
      <c r="Z31" s="75" t="n">
        <v>3</v>
      </c>
      <c r="AA31" s="77" t="n">
        <v>10.41</v>
      </c>
      <c r="AB31" s="77" t="n">
        <v>1.58</v>
      </c>
      <c r="AC31" s="85" t="n">
        <f aca="false">IF(AND(AA31&gt;0,AA31&lt;100),MIN(AA31,50),"")</f>
        <v>10.41</v>
      </c>
      <c r="AD31" s="55" t="n">
        <f aca="false">IF(AC31="",0,1)</f>
        <v>1</v>
      </c>
      <c r="AE31" s="85" t="n">
        <f aca="false">IF(AND(AB31&gt;0,AB31&lt;10),MIN(AB31,5),"")</f>
        <v>1.58</v>
      </c>
      <c r="AF31" s="55" t="n">
        <f aca="false">IF(AE31="",0,1)</f>
        <v>1</v>
      </c>
      <c r="AG31" s="82" t="n">
        <f aca="false">'100只成分明细'!O31</f>
        <v>-48.0317382109</v>
      </c>
      <c r="AH31" s="82" t="n">
        <f aca="false">'100只成分明细'!P31</f>
        <v>-42.8367420454</v>
      </c>
      <c r="AI31" s="55" t="n">
        <f aca="false">IF(AG31&gt;AH31,1,0)</f>
        <v>0</v>
      </c>
    </row>
    <row r="32" customFormat="false" ht="18" hidden="false" customHeight="true" outlineLevel="0" collapsed="false">
      <c r="A32" s="74" t="str">
        <f aca="false">'100只成分明细'!A32</f>
        <v>600057</v>
      </c>
      <c r="B32" s="74" t="str">
        <f aca="false">'100只成分明细'!B32</f>
        <v>厦门象屿</v>
      </c>
      <c r="C32" s="75" t="s">
        <v>48</v>
      </c>
      <c r="D32" s="74" t="str">
        <f aca="false">'100只成分明细'!C32</f>
        <v>其他</v>
      </c>
      <c r="E32" s="76" t="n">
        <f aca="false">'100只成分明细'!D32</f>
        <v>0.00662</v>
      </c>
      <c r="F32" s="75" t="s">
        <v>531</v>
      </c>
      <c r="G32" s="77" t="n">
        <v>6.52</v>
      </c>
      <c r="H32" s="77" t="n">
        <v>6.19</v>
      </c>
      <c r="I32" s="78" t="n">
        <f aca="false">IF(OR(G32="",H32=""),"",H32/G32-1)</f>
        <v>-0.0506134969325153</v>
      </c>
      <c r="J32" s="77" t="n">
        <v>6.11</v>
      </c>
      <c r="K32" s="79" t="n">
        <f aca="false">IF(OR(J32="",H32=""),"",H32/J32-1)</f>
        <v>0.0130932896890343</v>
      </c>
      <c r="L32" s="77" t="n">
        <v>5.84</v>
      </c>
      <c r="M32" s="80" t="n">
        <v>46282</v>
      </c>
      <c r="N32" s="79" t="n">
        <f aca="false">IF(OR(L32="",H32=""),"",H32/L32-1)</f>
        <v>0.0599315068493151</v>
      </c>
      <c r="O32" s="77" t="n">
        <v>6.67</v>
      </c>
      <c r="P32" s="80" t="n">
        <v>46266</v>
      </c>
      <c r="Q32" s="78" t="n">
        <f aca="false">IF(OR(O32="",H32=""),"",H32/O32-1)</f>
        <v>-0.0719640179910044</v>
      </c>
      <c r="R32" s="81" t="n">
        <f aca="false">'100只成分明细'!G32</f>
        <v>0.0249913981637719</v>
      </c>
      <c r="S32" s="82" t="n">
        <f aca="false">'100只成分明细'!H32</f>
        <v>10.6599767572</v>
      </c>
      <c r="T32" s="82" t="n">
        <f aca="false">'100只成分明细'!I32</f>
        <v>10.3211525068</v>
      </c>
      <c r="U32" s="83" t="n">
        <f aca="false">S32-T32</f>
        <v>0.3388242504</v>
      </c>
      <c r="V32" s="78" t="n">
        <f aca="false">IF(T32=0,"",S32/T32-1)</f>
        <v>0.0328281410604843</v>
      </c>
      <c r="W32" s="55" t="n">
        <f aca="false">IF(U32&gt;0,1,0)</f>
        <v>1</v>
      </c>
      <c r="X32" s="84" t="n">
        <v>0.22</v>
      </c>
      <c r="Y32" s="79" t="n">
        <f aca="false">IF(OR(X32="",H32=""),"",X32/H32)</f>
        <v>0.0355411954765751</v>
      </c>
      <c r="Z32" s="75" t="n">
        <v>3</v>
      </c>
      <c r="AA32" s="77" t="n">
        <v>13.24</v>
      </c>
      <c r="AB32" s="77" t="n">
        <v>1.15</v>
      </c>
      <c r="AC32" s="85" t="n">
        <f aca="false">IF(AND(AA32&gt;0,AA32&lt;100),MIN(AA32,50),"")</f>
        <v>13.24</v>
      </c>
      <c r="AD32" s="55" t="n">
        <f aca="false">IF(AC32="",0,1)</f>
        <v>1</v>
      </c>
      <c r="AE32" s="85" t="n">
        <f aca="false">IF(AND(AB32&gt;0,AB32&lt;10),MIN(AB32,5),"")</f>
        <v>1.15</v>
      </c>
      <c r="AF32" s="55" t="n">
        <f aca="false">IF(AE32="",0,1)</f>
        <v>1</v>
      </c>
      <c r="AG32" s="82" t="n">
        <f aca="false">'100只成分明细'!O32</f>
        <v>-138.6610796863</v>
      </c>
      <c r="AH32" s="82" t="n">
        <f aca="false">'100只成分明细'!P32</f>
        <v>-29.8579284985</v>
      </c>
      <c r="AI32" s="55" t="n">
        <f aca="false">IF(AG32&gt;AH32,1,0)</f>
        <v>0</v>
      </c>
    </row>
    <row r="33" customFormat="false" ht="18" hidden="false" customHeight="true" outlineLevel="0" collapsed="false">
      <c r="A33" s="74" t="str">
        <f aca="false">'100只成分明细'!A33</f>
        <v>600064</v>
      </c>
      <c r="B33" s="74" t="str">
        <f aca="false">'100只成分明细'!B33</f>
        <v>南京高科</v>
      </c>
      <c r="C33" s="75" t="s">
        <v>52</v>
      </c>
      <c r="D33" s="74" t="str">
        <f aca="false">'100只成分明细'!C33</f>
        <v>其他</v>
      </c>
      <c r="E33" s="76" t="n">
        <f aca="false">'100只成分明细'!D33</f>
        <v>0.00814</v>
      </c>
      <c r="F33" s="75" t="s">
        <v>509</v>
      </c>
      <c r="G33" s="77" t="n">
        <v>7.66</v>
      </c>
      <c r="H33" s="77" t="n">
        <v>7.95</v>
      </c>
      <c r="I33" s="78" t="n">
        <f aca="false">IF(OR(G33="",H33=""),"",H33/G33-1)</f>
        <v>0.0378590078328982</v>
      </c>
      <c r="J33" s="77" t="n">
        <v>8.04</v>
      </c>
      <c r="K33" s="79" t="n">
        <f aca="false">IF(OR(J33="",H33=""),"",H33/J33-1)</f>
        <v>-0.0111940298507461</v>
      </c>
      <c r="L33" s="77" t="n">
        <v>7.56</v>
      </c>
      <c r="M33" s="80" t="n">
        <v>46267</v>
      </c>
      <c r="N33" s="79" t="n">
        <f aca="false">IF(OR(L33="",H33=""),"",H33/L33-1)</f>
        <v>0.0515873015873016</v>
      </c>
      <c r="O33" s="77" t="n">
        <v>8.18</v>
      </c>
      <c r="P33" s="80" t="n">
        <v>46295</v>
      </c>
      <c r="Q33" s="78" t="n">
        <f aca="false">IF(OR(O33="",H33=""),"",H33/O33-1)</f>
        <v>-0.0281173594132029</v>
      </c>
      <c r="R33" s="81" t="n">
        <f aca="false">'100只成分明细'!G33</f>
        <v>-0.281519676624962</v>
      </c>
      <c r="S33" s="82" t="n">
        <f aca="false">'100只成分明细'!H33</f>
        <v>12.5575641658</v>
      </c>
      <c r="T33" s="82" t="n">
        <f aca="false">'100只成分明细'!I33</f>
        <v>13.8101151987</v>
      </c>
      <c r="U33" s="83" t="n">
        <f aca="false">S33-T33</f>
        <v>-1.2525510329</v>
      </c>
      <c r="V33" s="78" t="n">
        <f aca="false">IF(T33=0,"",S33/T33-1)</f>
        <v>-0.0906980872265213</v>
      </c>
      <c r="W33" s="55" t="n">
        <f aca="false">IF(U33&gt;0,1,0)</f>
        <v>0</v>
      </c>
      <c r="X33" s="84" t="n">
        <v>0.32</v>
      </c>
      <c r="Y33" s="79" t="n">
        <f aca="false">IF(OR(X33="",H33=""),"",X33/H33)</f>
        <v>0.040251572327044</v>
      </c>
      <c r="Z33" s="75" t="n">
        <v>3</v>
      </c>
      <c r="AA33" s="77" t="n">
        <v>8.07</v>
      </c>
      <c r="AB33" s="77" t="n">
        <v>0.69</v>
      </c>
      <c r="AC33" s="85" t="n">
        <f aca="false">IF(AND(AA33&gt;0,AA33&lt;100),MIN(AA33,50),"")</f>
        <v>8.07</v>
      </c>
      <c r="AD33" s="55" t="n">
        <f aca="false">IF(AC33="",0,1)</f>
        <v>1</v>
      </c>
      <c r="AE33" s="85" t="n">
        <f aca="false">IF(AND(AB33&gt;0,AB33&lt;10),MIN(AB33,5),"")</f>
        <v>0.69</v>
      </c>
      <c r="AF33" s="55" t="n">
        <f aca="false">IF(AE33="",0,1)</f>
        <v>1</v>
      </c>
      <c r="AG33" s="82" t="n">
        <f aca="false">'100只成分明细'!O33</f>
        <v>9.137639924</v>
      </c>
      <c r="AH33" s="82" t="n">
        <f aca="false">'100只成分明细'!P33</f>
        <v>5.4514006303</v>
      </c>
      <c r="AI33" s="55" t="n">
        <f aca="false">IF(AG33&gt;AH33,1,0)</f>
        <v>1</v>
      </c>
    </row>
    <row r="34" customFormat="false" ht="18" hidden="false" customHeight="true" outlineLevel="0" collapsed="false">
      <c r="A34" s="74" t="str">
        <f aca="false">'100只成分明细'!A34</f>
        <v>600096</v>
      </c>
      <c r="B34" s="74" t="str">
        <f aca="false">'100只成分明细'!B34</f>
        <v>云天化</v>
      </c>
      <c r="C34" s="75" t="s">
        <v>57</v>
      </c>
      <c r="D34" s="74" t="str">
        <f aca="false">'100只成分明细'!C34</f>
        <v>其他</v>
      </c>
      <c r="E34" s="76" t="n">
        <f aca="false">'100只成分明细'!D34</f>
        <v>0.00926</v>
      </c>
      <c r="F34" s="75" t="s">
        <v>511</v>
      </c>
      <c r="G34" s="77" t="n">
        <v>31.24</v>
      </c>
      <c r="H34" s="77" t="n">
        <v>27.32</v>
      </c>
      <c r="I34" s="78" t="n">
        <f aca="false">IF(OR(G34="",H34=""),"",H34/G34-1)</f>
        <v>-0.125480153649168</v>
      </c>
      <c r="J34" s="77" t="n">
        <v>27.86</v>
      </c>
      <c r="K34" s="79" t="n">
        <f aca="false">IF(OR(J34="",H34=""),"",H34/J34-1)</f>
        <v>-0.0193826274228284</v>
      </c>
      <c r="L34" s="77" t="n">
        <v>26.94</v>
      </c>
      <c r="M34" s="80" t="n">
        <v>46308</v>
      </c>
      <c r="N34" s="79" t="n">
        <f aca="false">IF(OR(L34="",H34=""),"",H34/L34-1)</f>
        <v>0.0141054194506309</v>
      </c>
      <c r="O34" s="77" t="n">
        <v>32.06</v>
      </c>
      <c r="P34" s="80" t="n">
        <v>46266</v>
      </c>
      <c r="Q34" s="78" t="n">
        <f aca="false">IF(OR(O34="",H34=""),"",H34/O34-1)</f>
        <v>-0.147847785402371</v>
      </c>
      <c r="R34" s="81" t="n">
        <f aca="false">'100只成分明细'!G34</f>
        <v>-0.0891904844016138</v>
      </c>
      <c r="S34" s="82" t="n">
        <f aca="false">'100只成分明细'!H34</f>
        <v>29.3444040774</v>
      </c>
      <c r="T34" s="82" t="n">
        <f aca="false">'100只成分明细'!I34</f>
        <v>27.6474740132</v>
      </c>
      <c r="U34" s="83" t="n">
        <f aca="false">S34-T34</f>
        <v>1.6969300642</v>
      </c>
      <c r="V34" s="78" t="n">
        <f aca="false">IF(T34=0,"",S34/T34-1)</f>
        <v>0.0613773997360416</v>
      </c>
      <c r="W34" s="55" t="n">
        <f aca="false">IF(U34&gt;0,1,0)</f>
        <v>1</v>
      </c>
      <c r="X34" s="84" t="n">
        <v>1.4</v>
      </c>
      <c r="Y34" s="79" t="n">
        <f aca="false">IF(OR(X34="",H34=""),"",X34/H34)</f>
        <v>0.0512445095168375</v>
      </c>
      <c r="Z34" s="75" t="n">
        <v>3</v>
      </c>
      <c r="AA34" s="77" t="n">
        <v>9.35</v>
      </c>
      <c r="AB34" s="77" t="n">
        <v>1.99</v>
      </c>
      <c r="AC34" s="85" t="n">
        <f aca="false">IF(AND(AA34&gt;0,AA34&lt;100),MIN(AA34,50),"")</f>
        <v>9.35</v>
      </c>
      <c r="AD34" s="55" t="n">
        <f aca="false">IF(AC34="",0,1)</f>
        <v>1</v>
      </c>
      <c r="AE34" s="85" t="n">
        <f aca="false">IF(AND(AB34&gt;0,AB34&lt;10),MIN(AB34,5),"")</f>
        <v>1.99</v>
      </c>
      <c r="AF34" s="55" t="n">
        <f aca="false">IF(AE34="",0,1)</f>
        <v>1</v>
      </c>
      <c r="AG34" s="82" t="n">
        <f aca="false">'100只成分明细'!O34</f>
        <v>29.4453529287</v>
      </c>
      <c r="AH34" s="82" t="n">
        <f aca="false">'100只成分明细'!P34</f>
        <v>42.1628290383</v>
      </c>
      <c r="AI34" s="55" t="n">
        <f aca="false">IF(AG34&gt;AH34,1,0)</f>
        <v>0</v>
      </c>
    </row>
    <row r="35" customFormat="false" ht="18" hidden="false" customHeight="true" outlineLevel="0" collapsed="false">
      <c r="A35" s="74" t="str">
        <f aca="false">'100只成分明细'!A35</f>
        <v>600123</v>
      </c>
      <c r="B35" s="74" t="str">
        <f aca="false">'100只成分明细'!B35</f>
        <v>兰花科创</v>
      </c>
      <c r="C35" s="75" t="s">
        <v>22</v>
      </c>
      <c r="D35" s="74" t="str">
        <f aca="false">'100只成分明细'!C35</f>
        <v>煤炭</v>
      </c>
      <c r="E35" s="76" t="n">
        <f aca="false">'100只成分明细'!D35</f>
        <v>0.00541</v>
      </c>
      <c r="F35" s="75" t="s">
        <v>517</v>
      </c>
      <c r="G35" s="77" t="n">
        <v>7.39</v>
      </c>
      <c r="H35" s="77" t="n">
        <v>6.91</v>
      </c>
      <c r="I35" s="78" t="n">
        <f aca="false">IF(OR(G35="",H35=""),"",H35/G35-1)</f>
        <v>-0.0649526387009471</v>
      </c>
      <c r="J35" s="77" t="n">
        <v>6.86</v>
      </c>
      <c r="K35" s="79" t="n">
        <f aca="false">IF(OR(J35="",H35=""),"",H35/J35-1)</f>
        <v>0.00728862973760935</v>
      </c>
      <c r="L35" s="77" t="n">
        <v>6.71</v>
      </c>
      <c r="M35" s="80" t="n">
        <v>46294</v>
      </c>
      <c r="N35" s="79" t="n">
        <f aca="false">IF(OR(L35="",H35=""),"",H35/L35-1)</f>
        <v>0.0298062593144561</v>
      </c>
      <c r="O35" s="77" t="n">
        <v>7.55</v>
      </c>
      <c r="P35" s="80" t="n">
        <v>46266</v>
      </c>
      <c r="Q35" s="78" t="n">
        <f aca="false">IF(OR(O35="",H35=""),"",H35/O35-1)</f>
        <v>-0.0847682119205298</v>
      </c>
      <c r="R35" s="81" t="n">
        <f aca="false">'100只成分明细'!G35</f>
        <v>0.183220666654189</v>
      </c>
      <c r="S35" s="82" t="n">
        <f aca="false">'100只成分明细'!H35</f>
        <v>0.8311038203</v>
      </c>
      <c r="T35" s="82" t="n">
        <f aca="false">'100只成分明细'!I35</f>
        <v>0.5747783265</v>
      </c>
      <c r="U35" s="83" t="n">
        <f aca="false">S35-T35</f>
        <v>0.2563254938</v>
      </c>
      <c r="V35" s="78" t="n">
        <f aca="false">IF(T35=0,"",S35/T35-1)</f>
        <v>0.445955391813125</v>
      </c>
      <c r="W35" s="55" t="n">
        <f aca="false">IF(U35&gt;0,1,0)</f>
        <v>1</v>
      </c>
      <c r="X35" s="84" t="n">
        <v>0</v>
      </c>
      <c r="Y35" s="79" t="n">
        <f aca="false">IF(OR(X35="",H35=""),"",X35/H35)</f>
        <v>0</v>
      </c>
      <c r="Z35" s="75" t="n">
        <v>1</v>
      </c>
      <c r="AA35" s="77" t="n">
        <v>-19.79</v>
      </c>
      <c r="AB35" s="77" t="n">
        <v>0.67</v>
      </c>
      <c r="AC35" s="85" t="str">
        <f aca="false">IF(AND(AA35&gt;0,AA35&lt;100),MIN(AA35,50),"")</f>
        <v/>
      </c>
      <c r="AD35" s="55" t="n">
        <f aca="false">IF(AC35="",0,1)</f>
        <v>0</v>
      </c>
      <c r="AE35" s="85" t="n">
        <f aca="false">IF(AND(AB35&gt;0,AB35&lt;10),MIN(AB35,5),"")</f>
        <v>0.67</v>
      </c>
      <c r="AF35" s="55" t="n">
        <f aca="false">IF(AE35="",0,1)</f>
        <v>1</v>
      </c>
      <c r="AG35" s="82" t="n">
        <f aca="false">'100只成分明细'!O35</f>
        <v>2.8106117779</v>
      </c>
      <c r="AH35" s="82" t="n">
        <f aca="false">'100只成分明细'!P35</f>
        <v>-4.6021281335</v>
      </c>
      <c r="AI35" s="55" t="n">
        <f aca="false">IF(AG35&gt;AH35,1,0)</f>
        <v>1</v>
      </c>
    </row>
    <row r="36" customFormat="false" ht="18" hidden="false" customHeight="true" outlineLevel="0" collapsed="false">
      <c r="A36" s="74" t="str">
        <f aca="false">'100只成分明细'!A36</f>
        <v>600153</v>
      </c>
      <c r="B36" s="74" t="str">
        <f aca="false">'100只成分明细'!B36</f>
        <v>建发股份</v>
      </c>
      <c r="C36" s="75" t="s">
        <v>48</v>
      </c>
      <c r="D36" s="74" t="str">
        <f aca="false">'100只成分明细'!C36</f>
        <v>其他</v>
      </c>
      <c r="E36" s="76" t="n">
        <f aca="false">'100只成分明细'!D36</f>
        <v>0.01155</v>
      </c>
      <c r="F36" s="75" t="s">
        <v>531</v>
      </c>
      <c r="G36" s="77" t="n">
        <v>8.24</v>
      </c>
      <c r="H36" s="77" t="n">
        <v>9.02</v>
      </c>
      <c r="I36" s="78" t="n">
        <f aca="false">IF(OR(G36="",H36=""),"",H36/G36-1)</f>
        <v>0.0946601941747571</v>
      </c>
      <c r="J36" s="77" t="n">
        <v>8.82</v>
      </c>
      <c r="K36" s="79" t="n">
        <f aca="false">IF(OR(J36="",H36=""),"",H36/J36-1)</f>
        <v>0.0226757369614512</v>
      </c>
      <c r="L36" s="77" t="n">
        <v>7.92</v>
      </c>
      <c r="M36" s="80" t="n">
        <v>46266</v>
      </c>
      <c r="N36" s="79" t="n">
        <f aca="false">IF(OR(L36="",H36=""),"",H36/L36-1)</f>
        <v>0.138888888888889</v>
      </c>
      <c r="O36" s="77" t="n">
        <v>9.17</v>
      </c>
      <c r="P36" s="80" t="n">
        <v>46308</v>
      </c>
      <c r="Q36" s="78" t="n">
        <f aca="false">IF(OR(O36="",H36=""),"",H36/O36-1)</f>
        <v>-0.0163576881134133</v>
      </c>
      <c r="R36" s="81" t="n">
        <f aca="false">'100只成分明细'!G36</f>
        <v>-0.0365864019529042</v>
      </c>
      <c r="S36" s="82" t="n">
        <f aca="false">'100只成分明细'!H36</f>
        <v>9.8890956137</v>
      </c>
      <c r="T36" s="82" t="n">
        <f aca="false">'100只成分明细'!I36</f>
        <v>8.407460104</v>
      </c>
      <c r="U36" s="83" t="n">
        <f aca="false">S36-T36</f>
        <v>1.4816355097</v>
      </c>
      <c r="V36" s="78" t="n">
        <f aca="false">IF(T36=0,"",S36/T36-1)</f>
        <v>0.176228669701934</v>
      </c>
      <c r="W36" s="55" t="n">
        <f aca="false">IF(U36&gt;0,1,0)</f>
        <v>1</v>
      </c>
      <c r="X36" s="84" t="n">
        <v>0.7</v>
      </c>
      <c r="Y36" s="79" t="n">
        <f aca="false">IF(OR(X36="",H36=""),"",X36/H36)</f>
        <v>0.0776053215077605</v>
      </c>
      <c r="Z36" s="75" t="n">
        <v>3</v>
      </c>
      <c r="AA36" s="77" t="n">
        <v>-2.45</v>
      </c>
      <c r="AB36" s="77" t="n">
        <v>0.63</v>
      </c>
      <c r="AC36" s="85" t="str">
        <f aca="false">IF(AND(AA36&gt;0,AA36&lt;100),MIN(AA36,50),"")</f>
        <v/>
      </c>
      <c r="AD36" s="55" t="n">
        <f aca="false">IF(AC36="",0,1)</f>
        <v>0</v>
      </c>
      <c r="AE36" s="85" t="n">
        <f aca="false">IF(AND(AB36&gt;0,AB36&lt;10),MIN(AB36,5),"")</f>
        <v>0.63</v>
      </c>
      <c r="AF36" s="55" t="n">
        <f aca="false">IF(AE36="",0,1)</f>
        <v>1</v>
      </c>
      <c r="AG36" s="82" t="n">
        <f aca="false">'100只成分明细'!O36</f>
        <v>66.4083608877</v>
      </c>
      <c r="AH36" s="82" t="n">
        <f aca="false">'100只成分明细'!P36</f>
        <v>178.6910017487</v>
      </c>
      <c r="AI36" s="55" t="n">
        <f aca="false">IF(AG36&gt;AH36,1,0)</f>
        <v>0</v>
      </c>
    </row>
    <row r="37" customFormat="false" ht="18" hidden="false" customHeight="true" outlineLevel="0" collapsed="false">
      <c r="A37" s="74" t="str">
        <f aca="false">'100只成分明细'!A37</f>
        <v>600177</v>
      </c>
      <c r="B37" s="74" t="str">
        <f aca="false">'100只成分明细'!B37</f>
        <v>雅戈尔</v>
      </c>
      <c r="C37" s="75" t="s">
        <v>50</v>
      </c>
      <c r="D37" s="74" t="str">
        <f aca="false">'100只成分明细'!C37</f>
        <v>其他</v>
      </c>
      <c r="E37" s="76" t="n">
        <f aca="false">'100只成分明细'!D37</f>
        <v>0.01313</v>
      </c>
      <c r="F37" s="75" t="s">
        <v>519</v>
      </c>
      <c r="G37" s="77" t="n">
        <v>7.82</v>
      </c>
      <c r="H37" s="77" t="n">
        <v>8.58</v>
      </c>
      <c r="I37" s="78" t="n">
        <f aca="false">IF(OR(G37="",H37=""),"",H37/G37-1)</f>
        <v>0.0971867007672633</v>
      </c>
      <c r="J37" s="77" t="n">
        <v>8.38</v>
      </c>
      <c r="K37" s="79" t="n">
        <f aca="false">IF(OR(J37="",H37=""),"",H37/J37-1)</f>
        <v>0.0238663484486872</v>
      </c>
      <c r="L37" s="77" t="n">
        <v>7.71</v>
      </c>
      <c r="M37" s="80" t="n">
        <v>46265</v>
      </c>
      <c r="N37" s="79" t="n">
        <f aca="false">IF(OR(L37="",H37=""),"",H37/L37-1)</f>
        <v>0.11284046692607</v>
      </c>
      <c r="O37" s="77" t="n">
        <v>8.61</v>
      </c>
      <c r="P37" s="80" t="n">
        <v>46308</v>
      </c>
      <c r="Q37" s="78" t="n">
        <f aca="false">IF(OR(O37="",H37=""),"",H37/O37-1)</f>
        <v>-0.00348432055749126</v>
      </c>
      <c r="R37" s="81" t="n">
        <f aca="false">'100只成分明细'!G37</f>
        <v>0.00732605978304535</v>
      </c>
      <c r="S37" s="82" t="n">
        <f aca="false">'100只成分明细'!H37</f>
        <v>21.2307245268</v>
      </c>
      <c r="T37" s="82" t="n">
        <f aca="false">'100只成分明细'!I37</f>
        <v>17.1509062375</v>
      </c>
      <c r="U37" s="83" t="n">
        <f aca="false">S37-T37</f>
        <v>4.0798182893</v>
      </c>
      <c r="V37" s="78" t="n">
        <f aca="false">IF(T37=0,"",S37/T37-1)</f>
        <v>0.237877709364394</v>
      </c>
      <c r="W37" s="55" t="n">
        <f aca="false">IF(U37&gt;0,1,0)</f>
        <v>1</v>
      </c>
      <c r="X37" s="84" t="n">
        <v>0.56</v>
      </c>
      <c r="Y37" s="79" t="n">
        <f aca="false">IF(OR(X37="",H37=""),"",X37/H37)</f>
        <v>0.0652680652680653</v>
      </c>
      <c r="Z37" s="75" t="n">
        <v>3</v>
      </c>
      <c r="AA37" s="77" t="n">
        <v>13.89</v>
      </c>
      <c r="AB37" s="77" t="n">
        <v>0.96</v>
      </c>
      <c r="AC37" s="85" t="n">
        <f aca="false">IF(AND(AA37&gt;0,AA37&lt;100),MIN(AA37,50),"")</f>
        <v>13.89</v>
      </c>
      <c r="AD37" s="55" t="n">
        <f aca="false">IF(AC37="",0,1)</f>
        <v>1</v>
      </c>
      <c r="AE37" s="85" t="n">
        <f aca="false">IF(AND(AB37&gt;0,AB37&lt;10),MIN(AB37,5),"")</f>
        <v>0.96</v>
      </c>
      <c r="AF37" s="55" t="n">
        <f aca="false">IF(AE37="",0,1)</f>
        <v>1</v>
      </c>
      <c r="AG37" s="82" t="n">
        <f aca="false">'100只成分明细'!O37</f>
        <v>5.9918622121</v>
      </c>
      <c r="AH37" s="82" t="n">
        <f aca="false">'100只成分明细'!P37</f>
        <v>5.9382814918</v>
      </c>
      <c r="AI37" s="55" t="n">
        <f aca="false">IF(AG37&gt;AH37,1,0)</f>
        <v>1</v>
      </c>
    </row>
    <row r="38" customFormat="false" ht="18" hidden="false" customHeight="true" outlineLevel="0" collapsed="false">
      <c r="A38" s="74" t="str">
        <f aca="false">'100只成分明细'!A38</f>
        <v>600188</v>
      </c>
      <c r="B38" s="74" t="str">
        <f aca="false">'100只成分明细'!B38</f>
        <v>兖矿能源</v>
      </c>
      <c r="C38" s="75" t="s">
        <v>22</v>
      </c>
      <c r="D38" s="74" t="str">
        <f aca="false">'100只成分明细'!C38</f>
        <v>煤炭</v>
      </c>
      <c r="E38" s="76" t="n">
        <f aca="false">'100只成分明细'!D38</f>
        <v>0.01984</v>
      </c>
      <c r="F38" s="75" t="s">
        <v>517</v>
      </c>
      <c r="G38" s="77" t="n">
        <v>23.42</v>
      </c>
      <c r="H38" s="77" t="n">
        <v>19.63</v>
      </c>
      <c r="I38" s="78" t="n">
        <f aca="false">IF(OR(G38="",H38=""),"",H38/G38-1)</f>
        <v>-0.161827497865073</v>
      </c>
      <c r="J38" s="77" t="n">
        <v>19.44</v>
      </c>
      <c r="K38" s="79" t="n">
        <f aca="false">IF(OR(J38="",H38=""),"",H38/J38-1)</f>
        <v>0.00977366255144019</v>
      </c>
      <c r="L38" s="77" t="n">
        <v>18.88</v>
      </c>
      <c r="M38" s="80" t="n">
        <v>46294</v>
      </c>
      <c r="N38" s="79" t="n">
        <f aca="false">IF(OR(L38="",H38=""),"",H38/L38-1)</f>
        <v>0.0397245762711864</v>
      </c>
      <c r="O38" s="77" t="n">
        <v>23.61</v>
      </c>
      <c r="P38" s="80" t="n">
        <v>46266</v>
      </c>
      <c r="Q38" s="78" t="n">
        <f aca="false">IF(OR(O38="",H38=""),"",H38/O38-1)</f>
        <v>-0.16857263871241</v>
      </c>
      <c r="R38" s="81" t="n">
        <f aca="false">'100只成分明细'!G38</f>
        <v>0.130051222511912</v>
      </c>
      <c r="S38" s="82" t="n">
        <f aca="false">'100只成分明细'!H38</f>
        <v>71.49644</v>
      </c>
      <c r="T38" s="82" t="n">
        <f aca="false">'100只成分明细'!I38</f>
        <v>48.39084</v>
      </c>
      <c r="U38" s="83" t="n">
        <f aca="false">S38-T38</f>
        <v>23.1056</v>
      </c>
      <c r="V38" s="78" t="n">
        <f aca="false">IF(T38=0,"",S38/T38-1)</f>
        <v>0.477478795573708</v>
      </c>
      <c r="W38" s="55" t="n">
        <f aca="false">IF(U38&gt;0,1,0)</f>
        <v>1</v>
      </c>
      <c r="X38" s="84" t="n">
        <v>0.52</v>
      </c>
      <c r="Y38" s="79" t="n">
        <f aca="false">IF(OR(X38="",H38=""),"",X38/H38)</f>
        <v>0.0264900662251656</v>
      </c>
      <c r="Z38" s="75" t="n">
        <v>3</v>
      </c>
      <c r="AA38" s="77" t="n">
        <v>18.43</v>
      </c>
      <c r="AB38" s="77" t="n">
        <v>2.6</v>
      </c>
      <c r="AC38" s="85" t="n">
        <f aca="false">IF(AND(AA38&gt;0,AA38&lt;100),MIN(AA38,50),"")</f>
        <v>18.43</v>
      </c>
      <c r="AD38" s="55" t="n">
        <f aca="false">IF(AC38="",0,1)</f>
        <v>1</v>
      </c>
      <c r="AE38" s="85" t="n">
        <f aca="false">IF(AND(AB38&gt;0,AB38&lt;10),MIN(AB38,5),"")</f>
        <v>2.6</v>
      </c>
      <c r="AF38" s="55" t="n">
        <f aca="false">IF(AE38="",0,1)</f>
        <v>1</v>
      </c>
      <c r="AG38" s="82" t="n">
        <f aca="false">'100只成分明细'!O38</f>
        <v>138.35582</v>
      </c>
      <c r="AH38" s="82" t="n">
        <f aca="false">'100只成分明细'!P38</f>
        <v>140.00704</v>
      </c>
      <c r="AI38" s="55" t="n">
        <f aca="false">IF(AG38&gt;AH38,1,0)</f>
        <v>0</v>
      </c>
    </row>
    <row r="39" customFormat="false" ht="18" hidden="false" customHeight="true" outlineLevel="0" collapsed="false">
      <c r="A39" s="74" t="str">
        <f aca="false">'100只成分明细'!A39</f>
        <v>600256</v>
      </c>
      <c r="B39" s="74" t="str">
        <f aca="false">'100只成分明细'!B39</f>
        <v>广汇能源</v>
      </c>
      <c r="C39" s="75" t="s">
        <v>22</v>
      </c>
      <c r="D39" s="74" t="str">
        <f aca="false">'100只成分明细'!C39</f>
        <v>油气</v>
      </c>
      <c r="E39" s="76" t="n">
        <f aca="false">'100只成分明细'!D39</f>
        <v>0.01884</v>
      </c>
      <c r="F39" s="75" t="s">
        <v>517</v>
      </c>
      <c r="G39" s="77" t="n">
        <v>6.76</v>
      </c>
      <c r="H39" s="77" t="n">
        <v>7.3</v>
      </c>
      <c r="I39" s="78" t="n">
        <f aca="false">IF(OR(G39="",H39=""),"",H39/G39-1)</f>
        <v>0.0798816568047338</v>
      </c>
      <c r="J39" s="77" t="n">
        <v>6.67</v>
      </c>
      <c r="K39" s="79" t="n">
        <f aca="false">IF(OR(J39="",H39=""),"",H39/J39-1)</f>
        <v>0.0944527736131935</v>
      </c>
      <c r="L39" s="77" t="n">
        <v>6.49</v>
      </c>
      <c r="M39" s="80" t="n">
        <v>46265</v>
      </c>
      <c r="N39" s="79" t="n">
        <f aca="false">IF(OR(L39="",H39=""),"",H39/L39-1)</f>
        <v>0.124807395993837</v>
      </c>
      <c r="O39" s="77" t="n">
        <v>7.53</v>
      </c>
      <c r="P39" s="80" t="n">
        <v>46275</v>
      </c>
      <c r="Q39" s="78" t="n">
        <f aca="false">IF(OR(O39="",H39=""),"",H39/O39-1)</f>
        <v>-0.0305444887118195</v>
      </c>
      <c r="R39" s="81" t="n">
        <f aca="false">'100只成分明细'!G39</f>
        <v>-0.0956740396436904</v>
      </c>
      <c r="S39" s="82" t="n">
        <f aca="false">'100只成分明细'!H39</f>
        <v>12.782199292</v>
      </c>
      <c r="T39" s="82" t="n">
        <f aca="false">'100只成分明细'!I39</f>
        <v>8.5325191899</v>
      </c>
      <c r="U39" s="83" t="n">
        <f aca="false">S39-T39</f>
        <v>4.2496801021</v>
      </c>
      <c r="V39" s="78" t="n">
        <f aca="false">IF(T39=0,"",S39/T39-1)</f>
        <v>0.498056905295962</v>
      </c>
      <c r="W39" s="55" t="n">
        <f aca="false">IF(U39&gt;0,1,0)</f>
        <v>1</v>
      </c>
      <c r="X39" s="84" t="n">
        <v>0.063</v>
      </c>
      <c r="Y39" s="79" t="n">
        <f aca="false">IF(OR(X39="",H39=""),"",X39/H39)</f>
        <v>0.00863013698630137</v>
      </c>
      <c r="Z39" s="75" t="n">
        <v>3</v>
      </c>
      <c r="AA39" s="77" t="n">
        <v>26.36</v>
      </c>
      <c r="AB39" s="77" t="n">
        <v>1.87</v>
      </c>
      <c r="AC39" s="85" t="n">
        <f aca="false">IF(AND(AA39&gt;0,AA39&lt;100),MIN(AA39,50),"")</f>
        <v>26.36</v>
      </c>
      <c r="AD39" s="55" t="n">
        <f aca="false">IF(AC39="",0,1)</f>
        <v>1</v>
      </c>
      <c r="AE39" s="85" t="n">
        <f aca="false">IF(AND(AB39&gt;0,AB39&lt;10),MIN(AB39,5),"")</f>
        <v>1.87</v>
      </c>
      <c r="AF39" s="55" t="n">
        <f aca="false">IF(AE39="",0,1)</f>
        <v>1</v>
      </c>
      <c r="AG39" s="82" t="n">
        <f aca="false">'100只成分明细'!O39</f>
        <v>28.1437148536</v>
      </c>
      <c r="AH39" s="82" t="n">
        <f aca="false">'100只成分明细'!P39</f>
        <v>28.2315933358</v>
      </c>
      <c r="AI39" s="55" t="n">
        <f aca="false">IF(AG39&gt;AH39,1,0)</f>
        <v>0</v>
      </c>
    </row>
    <row r="40" customFormat="false" ht="18" hidden="false" customHeight="true" outlineLevel="0" collapsed="false">
      <c r="A40" s="74" t="str">
        <f aca="false">'100只成分明细'!A40</f>
        <v>600273</v>
      </c>
      <c r="B40" s="74" t="str">
        <f aca="false">'100只成分明细'!B40</f>
        <v>嘉化能源</v>
      </c>
      <c r="C40" s="75" t="s">
        <v>57</v>
      </c>
      <c r="D40" s="74" t="str">
        <f aca="false">'100只成分明细'!C40</f>
        <v>其他</v>
      </c>
      <c r="E40" s="76" t="n">
        <f aca="false">'100只成分明细'!D40</f>
        <v>0.00756</v>
      </c>
      <c r="F40" s="75" t="s">
        <v>532</v>
      </c>
      <c r="G40" s="77" t="n">
        <v>6.75</v>
      </c>
      <c r="H40" s="77" t="n">
        <v>6.3</v>
      </c>
      <c r="I40" s="78" t="n">
        <f aca="false">IF(OR(G40="",H40=""),"",H40/G40-1)</f>
        <v>-0.0666666666666667</v>
      </c>
      <c r="J40" s="77" t="n">
        <v>6.2</v>
      </c>
      <c r="K40" s="79" t="n">
        <f aca="false">IF(OR(J40="",H40=""),"",H40/J40-1)</f>
        <v>0.0161290322580645</v>
      </c>
      <c r="L40" s="77" t="n">
        <v>6.08</v>
      </c>
      <c r="M40" s="80" t="n">
        <v>46293</v>
      </c>
      <c r="N40" s="79" t="n">
        <f aca="false">IF(OR(L40="",H40=""),"",H40/L40-1)</f>
        <v>0.0361842105263157</v>
      </c>
      <c r="O40" s="77" t="n">
        <v>6.89</v>
      </c>
      <c r="P40" s="80" t="n">
        <v>46266</v>
      </c>
      <c r="Q40" s="78" t="n">
        <f aca="false">IF(OR(O40="",H40=""),"",H40/O40-1)</f>
        <v>-0.0856313497822931</v>
      </c>
      <c r="R40" s="81" t="n">
        <f aca="false">'100只成分明细'!G40</f>
        <v>0.00596242303769068</v>
      </c>
      <c r="S40" s="82" t="n">
        <f aca="false">'100只成分明细'!H40</f>
        <v>2.1887234432</v>
      </c>
      <c r="T40" s="82" t="n">
        <f aca="false">'100只成分明细'!I40</f>
        <v>5.8059281578</v>
      </c>
      <c r="U40" s="83" t="n">
        <f aca="false">S40-T40</f>
        <v>-3.6172047146</v>
      </c>
      <c r="V40" s="78" t="n">
        <f aca="false">IF(T40=0,"",S40/T40-1)</f>
        <v>-0.623019199736471</v>
      </c>
      <c r="W40" s="55" t="n">
        <f aca="false">IF(U40&gt;0,1,0)</f>
        <v>0</v>
      </c>
      <c r="X40" s="84" t="n">
        <v>0.33</v>
      </c>
      <c r="Y40" s="79" t="n">
        <f aca="false">IF(OR(X40="",H40=""),"",X40/H40)</f>
        <v>0.0523809523809524</v>
      </c>
      <c r="Z40" s="75" t="n">
        <v>3</v>
      </c>
      <c r="AA40" s="77" t="n">
        <v>13.2</v>
      </c>
      <c r="AB40" s="77" t="n">
        <v>0.84</v>
      </c>
      <c r="AC40" s="85" t="n">
        <f aca="false">IF(AND(AA40&gt;0,AA40&lt;100),MIN(AA40,50),"")</f>
        <v>13.2</v>
      </c>
      <c r="AD40" s="55" t="n">
        <f aca="false">IF(AC40="",0,1)</f>
        <v>1</v>
      </c>
      <c r="AE40" s="85" t="n">
        <f aca="false">IF(AND(AB40&gt;0,AB40&lt;10),MIN(AB40,5),"")</f>
        <v>0.84</v>
      </c>
      <c r="AF40" s="55" t="n">
        <f aca="false">IF(AE40="",0,1)</f>
        <v>1</v>
      </c>
      <c r="AG40" s="82" t="n">
        <f aca="false">'100只成分明细'!O40</f>
        <v>-0.4366724102</v>
      </c>
      <c r="AH40" s="82" t="n">
        <f aca="false">'100只成分明细'!P40</f>
        <v>3.0264342998</v>
      </c>
      <c r="AI40" s="55" t="n">
        <f aca="false">IF(AG40&gt;AH40,1,0)</f>
        <v>0</v>
      </c>
    </row>
    <row r="41" customFormat="false" ht="18" hidden="false" customHeight="true" outlineLevel="0" collapsed="false">
      <c r="A41" s="74" t="str">
        <f aca="false">'100只成分明细'!A41</f>
        <v>600282</v>
      </c>
      <c r="B41" s="74" t="str">
        <f aca="false">'100只成分明细'!B41</f>
        <v>南钢股份</v>
      </c>
      <c r="C41" s="75" t="s">
        <v>49</v>
      </c>
      <c r="D41" s="74" t="str">
        <f aca="false">'100只成分明细'!C41</f>
        <v>其他</v>
      </c>
      <c r="E41" s="76" t="n">
        <f aca="false">'100只成分明细'!D41</f>
        <v>0.00967</v>
      </c>
      <c r="F41" s="75" t="s">
        <v>533</v>
      </c>
      <c r="G41" s="77" t="n">
        <v>4.59</v>
      </c>
      <c r="H41" s="77" t="n">
        <v>4.62</v>
      </c>
      <c r="I41" s="78" t="n">
        <f aca="false">IF(OR(G41="",H41=""),"",H41/G41-1)</f>
        <v>0.00653594771241828</v>
      </c>
      <c r="J41" s="77" t="n">
        <v>4.54</v>
      </c>
      <c r="K41" s="79" t="n">
        <f aca="false">IF(OR(J41="",H41=""),"",H41/J41-1)</f>
        <v>0.0176211453744493</v>
      </c>
      <c r="L41" s="77" t="n">
        <v>4.33</v>
      </c>
      <c r="M41" s="80" t="n">
        <v>46293</v>
      </c>
      <c r="N41" s="79" t="n">
        <f aca="false">IF(OR(L41="",H41=""),"",H41/L41-1)</f>
        <v>0.0669745958429562</v>
      </c>
      <c r="O41" s="77" t="n">
        <v>4.74</v>
      </c>
      <c r="P41" s="80" t="n">
        <v>46275</v>
      </c>
      <c r="Q41" s="78" t="n">
        <f aca="false">IF(OR(O41="",H41=""),"",H41/O41-1)</f>
        <v>-0.0253164556962026</v>
      </c>
      <c r="R41" s="81" t="n">
        <f aca="false">'100只成分明细'!G41</f>
        <v>0.0755421420667071</v>
      </c>
      <c r="S41" s="82" t="n">
        <f aca="false">'100只成分明细'!H41</f>
        <v>13.2209209377</v>
      </c>
      <c r="T41" s="82" t="n">
        <f aca="false">'100只成分明细'!I41</f>
        <v>14.630863697</v>
      </c>
      <c r="U41" s="83" t="n">
        <f aca="false">S41-T41</f>
        <v>-1.4099427593</v>
      </c>
      <c r="V41" s="78" t="n">
        <f aca="false">IF(T41=0,"",S41/T41-1)</f>
        <v>-0.0963677051812808</v>
      </c>
      <c r="W41" s="55" t="n">
        <f aca="false">IF(U41&gt;0,1,0)</f>
        <v>0</v>
      </c>
      <c r="X41" s="84" t="n">
        <v>0.2444</v>
      </c>
      <c r="Y41" s="79" t="n">
        <f aca="false">IF(OR(X41="",H41=""),"",X41/H41)</f>
        <v>0.0529004329004329</v>
      </c>
      <c r="Z41" s="75" t="n">
        <v>3</v>
      </c>
      <c r="AA41" s="77" t="n">
        <v>10.45</v>
      </c>
      <c r="AB41" s="77" t="n">
        <v>1.05</v>
      </c>
      <c r="AC41" s="85" t="n">
        <f aca="false">IF(AND(AA41&gt;0,AA41&lt;100),MIN(AA41,50),"")</f>
        <v>10.45</v>
      </c>
      <c r="AD41" s="55" t="n">
        <f aca="false">IF(AC41="",0,1)</f>
        <v>1</v>
      </c>
      <c r="AE41" s="85" t="n">
        <f aca="false">IF(AND(AB41&gt;0,AB41&lt;10),MIN(AB41,5),"")</f>
        <v>1.05</v>
      </c>
      <c r="AF41" s="55" t="n">
        <f aca="false">IF(AE41="",0,1)</f>
        <v>1</v>
      </c>
      <c r="AG41" s="82" t="n">
        <f aca="false">'100只成分明细'!O41</f>
        <v>15.4306473329</v>
      </c>
      <c r="AH41" s="82" t="n">
        <f aca="false">'100只成分明细'!P41</f>
        <v>22.6504526479</v>
      </c>
      <c r="AI41" s="55" t="n">
        <f aca="false">IF(AG41&gt;AH41,1,0)</f>
        <v>0</v>
      </c>
    </row>
    <row r="42" customFormat="false" ht="18" hidden="false" customHeight="true" outlineLevel="0" collapsed="false">
      <c r="A42" s="74" t="str">
        <f aca="false">'100只成分明细'!A42</f>
        <v>600295</v>
      </c>
      <c r="B42" s="74" t="str">
        <f aca="false">'100只成分明细'!B42</f>
        <v>鄂尔多斯</v>
      </c>
      <c r="C42" s="75" t="s">
        <v>49</v>
      </c>
      <c r="D42" s="74" t="str">
        <f aca="false">'100只成分明细'!C42</f>
        <v>其他</v>
      </c>
      <c r="E42" s="76" t="n">
        <f aca="false">'100只成分明细'!D42</f>
        <v>0.01464</v>
      </c>
      <c r="F42" s="75" t="s">
        <v>534</v>
      </c>
      <c r="G42" s="77" t="n">
        <v>13.91</v>
      </c>
      <c r="H42" s="77" t="n">
        <v>13.8</v>
      </c>
      <c r="I42" s="78" t="n">
        <f aca="false">IF(OR(G42="",H42=""),"",H42/G42-1)</f>
        <v>-0.00790797987059666</v>
      </c>
      <c r="J42" s="77" t="n">
        <v>13.06</v>
      </c>
      <c r="K42" s="79" t="n">
        <f aca="false">IF(OR(J42="",H42=""),"",H42/J42-1)</f>
        <v>0.0566615620214395</v>
      </c>
      <c r="L42" s="77" t="n">
        <v>12.62</v>
      </c>
      <c r="M42" s="80" t="n">
        <v>46294</v>
      </c>
      <c r="N42" s="79" t="n">
        <f aca="false">IF(OR(L42="",H42=""),"",H42/L42-1)</f>
        <v>0.0935023771790811</v>
      </c>
      <c r="O42" s="77" t="n">
        <v>14.88</v>
      </c>
      <c r="P42" s="80" t="n">
        <v>46269</v>
      </c>
      <c r="Q42" s="78" t="n">
        <f aca="false">IF(OR(O42="",H42=""),"",H42/O42-1)</f>
        <v>-0.0725806451612904</v>
      </c>
      <c r="R42" s="81" t="n">
        <f aca="false">'100只成分明细'!G42</f>
        <v>0.0588203244333254</v>
      </c>
      <c r="S42" s="82" t="n">
        <f aca="false">'100只成分明细'!H42</f>
        <v>14.1571009209</v>
      </c>
      <c r="T42" s="82" t="n">
        <f aca="false">'100只成分明细'!I42</f>
        <v>9.8866953325</v>
      </c>
      <c r="U42" s="83" t="n">
        <f aca="false">S42-T42</f>
        <v>4.2704055884</v>
      </c>
      <c r="V42" s="78" t="n">
        <f aca="false">IF(T42=0,"",S42/T42-1)</f>
        <v>0.431934579228119</v>
      </c>
      <c r="W42" s="55" t="n">
        <f aca="false">IF(U42&gt;0,1,0)</f>
        <v>1</v>
      </c>
      <c r="X42" s="84" t="n">
        <v>0.7</v>
      </c>
      <c r="Y42" s="79" t="n">
        <f aca="false">IF(OR(X42="",H42=""),"",X42/H42)</f>
        <v>0.0507246376811594</v>
      </c>
      <c r="Z42" s="75" t="n">
        <v>3</v>
      </c>
      <c r="AA42" s="77" t="n">
        <v>13.84</v>
      </c>
      <c r="AB42" s="77" t="n">
        <v>1.8</v>
      </c>
      <c r="AC42" s="85" t="n">
        <f aca="false">IF(AND(AA42&gt;0,AA42&lt;100),MIN(AA42,50),"")</f>
        <v>13.84</v>
      </c>
      <c r="AD42" s="55" t="n">
        <f aca="false">IF(AC42="",0,1)</f>
        <v>1</v>
      </c>
      <c r="AE42" s="85" t="n">
        <f aca="false">IF(AND(AB42&gt;0,AB42&lt;10),MIN(AB42,5),"")</f>
        <v>1.8</v>
      </c>
      <c r="AF42" s="55" t="n">
        <f aca="false">IF(AE42="",0,1)</f>
        <v>1</v>
      </c>
      <c r="AG42" s="82" t="n">
        <f aca="false">'100只成分明细'!O42</f>
        <v>18.7463080559</v>
      </c>
      <c r="AH42" s="82" t="n">
        <f aca="false">'100只成分明细'!P42</f>
        <v>10.3384669514</v>
      </c>
      <c r="AI42" s="55" t="n">
        <f aca="false">IF(AG42&gt;AH42,1,0)</f>
        <v>1</v>
      </c>
    </row>
    <row r="43" customFormat="false" ht="18" hidden="false" customHeight="true" outlineLevel="0" collapsed="false">
      <c r="A43" s="74" t="str">
        <f aca="false">'100只成分明细'!A43</f>
        <v>600348</v>
      </c>
      <c r="B43" s="74" t="str">
        <f aca="false">'100只成分明细'!B43</f>
        <v>华阳股份</v>
      </c>
      <c r="C43" s="75" t="s">
        <v>22</v>
      </c>
      <c r="D43" s="74" t="str">
        <f aca="false">'100只成分明细'!C43</f>
        <v>煤炭</v>
      </c>
      <c r="E43" s="76" t="n">
        <f aca="false">'100只成分明细'!D43</f>
        <v>0.0124</v>
      </c>
      <c r="F43" s="75" t="s">
        <v>517</v>
      </c>
      <c r="G43" s="77" t="n">
        <v>9.39</v>
      </c>
      <c r="H43" s="77" t="n">
        <v>8.89</v>
      </c>
      <c r="I43" s="78" t="n">
        <f aca="false">IF(OR(G43="",H43=""),"",H43/G43-1)</f>
        <v>-0.053248136315229</v>
      </c>
      <c r="J43" s="77" t="n">
        <v>8.88</v>
      </c>
      <c r="K43" s="79" t="n">
        <f aca="false">IF(OR(J43="",H43=""),"",H43/J43-1)</f>
        <v>0.00112612612612617</v>
      </c>
      <c r="L43" s="77" t="n">
        <v>8.6</v>
      </c>
      <c r="M43" s="80" t="n">
        <v>46294</v>
      </c>
      <c r="N43" s="79" t="n">
        <f aca="false">IF(OR(L43="",H43=""),"",H43/L43-1)</f>
        <v>0.0337209302325583</v>
      </c>
      <c r="O43" s="77" t="n">
        <v>9.58</v>
      </c>
      <c r="P43" s="80" t="n">
        <v>46274</v>
      </c>
      <c r="Q43" s="78" t="n">
        <f aca="false">IF(OR(O43="",H43=""),"",H43/O43-1)</f>
        <v>-0.0720250521920668</v>
      </c>
      <c r="R43" s="81" t="n">
        <f aca="false">'100只成分明细'!G43</f>
        <v>-0.117317139379803</v>
      </c>
      <c r="S43" s="82" t="n">
        <f aca="false">'100只成分明细'!H43</f>
        <v>10.6152874417</v>
      </c>
      <c r="T43" s="82" t="n">
        <f aca="false">'100只成分明细'!I43</f>
        <v>7.826363313</v>
      </c>
      <c r="U43" s="83" t="n">
        <f aca="false">S43-T43</f>
        <v>2.7889241287</v>
      </c>
      <c r="V43" s="78" t="n">
        <f aca="false">IF(T43=0,"",S43/T43-1)</f>
        <v>0.356349944049678</v>
      </c>
      <c r="W43" s="55" t="n">
        <f aca="false">IF(U43&gt;0,1,0)</f>
        <v>1</v>
      </c>
      <c r="X43" s="84" t="n">
        <v>0.237</v>
      </c>
      <c r="Y43" s="79" t="n">
        <f aca="false">IF(OR(X43="",H43=""),"",X43/H43)</f>
        <v>0.0266591676040495</v>
      </c>
      <c r="Z43" s="75" t="n">
        <v>3</v>
      </c>
      <c r="AA43" s="77" t="n">
        <v>16.18</v>
      </c>
      <c r="AB43" s="77" t="n">
        <v>1.16</v>
      </c>
      <c r="AC43" s="85" t="n">
        <f aca="false">IF(AND(AA43&gt;0,AA43&lt;100),MIN(AA43,50),"")</f>
        <v>16.18</v>
      </c>
      <c r="AD43" s="55" t="n">
        <f aca="false">IF(AC43="",0,1)</f>
        <v>1</v>
      </c>
      <c r="AE43" s="85" t="n">
        <f aca="false">IF(AND(AB43&gt;0,AB43&lt;10),MIN(AB43,5),"")</f>
        <v>1.16</v>
      </c>
      <c r="AF43" s="55" t="n">
        <f aca="false">IF(AE43="",0,1)</f>
        <v>1</v>
      </c>
      <c r="AG43" s="82" t="n">
        <f aca="false">'100只成分明细'!O43</f>
        <v>6.9903378762</v>
      </c>
      <c r="AH43" s="82" t="n">
        <f aca="false">'100只成分明细'!P43</f>
        <v>0.5181726707</v>
      </c>
      <c r="AI43" s="55" t="n">
        <f aca="false">IF(AG43&gt;AH43,1,0)</f>
        <v>1</v>
      </c>
    </row>
    <row r="44" customFormat="false" ht="18" hidden="false" customHeight="true" outlineLevel="0" collapsed="false">
      <c r="A44" s="74" t="str">
        <f aca="false">'100只成分明细'!A44</f>
        <v>600350</v>
      </c>
      <c r="B44" s="74" t="str">
        <f aca="false">'100只成分明细'!B44</f>
        <v>山东高速</v>
      </c>
      <c r="C44" s="75" t="s">
        <v>48</v>
      </c>
      <c r="D44" s="74" t="str">
        <f aca="false">'100只成分明细'!C44</f>
        <v>交通运输</v>
      </c>
      <c r="E44" s="76" t="n">
        <f aca="false">'100只成分明细'!D44</f>
        <v>0.01162</v>
      </c>
      <c r="F44" s="75" t="s">
        <v>512</v>
      </c>
      <c r="G44" s="77" t="n">
        <v>10.3</v>
      </c>
      <c r="H44" s="77" t="n">
        <v>10.84</v>
      </c>
      <c r="I44" s="78" t="n">
        <f aca="false">IF(OR(G44="",H44=""),"",H44/G44-1)</f>
        <v>0.0524271844660194</v>
      </c>
      <c r="J44" s="77" t="n">
        <v>10.16</v>
      </c>
      <c r="K44" s="79" t="n">
        <f aca="false">IF(OR(J44="",H44=""),"",H44/J44-1)</f>
        <v>0.0669291338582676</v>
      </c>
      <c r="L44" s="77" t="n">
        <v>9.83</v>
      </c>
      <c r="M44" s="80" t="n">
        <v>46286</v>
      </c>
      <c r="N44" s="79" t="n">
        <f aca="false">IF(OR(L44="",H44=""),"",H44/L44-1)</f>
        <v>0.102746693794507</v>
      </c>
      <c r="O44" s="77" t="n">
        <v>10.98</v>
      </c>
      <c r="P44" s="80" t="n">
        <v>46308</v>
      </c>
      <c r="Q44" s="78" t="n">
        <f aca="false">IF(OR(O44="",H44=""),"",H44/O44-1)</f>
        <v>-0.0127504553734062</v>
      </c>
      <c r="R44" s="81" t="n">
        <f aca="false">'100只成分明细'!G44</f>
        <v>0.0209624549979601</v>
      </c>
      <c r="S44" s="82" t="n">
        <f aca="false">'100只成分明细'!H44</f>
        <v>15.7753318817</v>
      </c>
      <c r="T44" s="82" t="n">
        <f aca="false">'100只成分明细'!I44</f>
        <v>16.9586982399</v>
      </c>
      <c r="U44" s="83" t="n">
        <f aca="false">S44-T44</f>
        <v>-1.1833663582</v>
      </c>
      <c r="V44" s="78" t="n">
        <f aca="false">IF(T44=0,"",S44/T44-1)</f>
        <v>-0.0697793156915667</v>
      </c>
      <c r="W44" s="55" t="n">
        <f aca="false">IF(U44&gt;0,1,0)</f>
        <v>0</v>
      </c>
      <c r="X44" s="84" t="n">
        <v>0.42</v>
      </c>
      <c r="Y44" s="79" t="n">
        <f aca="false">IF(OR(X44="",H44=""),"",X44/H44)</f>
        <v>0.0387453874538745</v>
      </c>
      <c r="Z44" s="75" t="n">
        <v>3</v>
      </c>
      <c r="AA44" s="77" t="n">
        <v>16.98</v>
      </c>
      <c r="AB44" s="77" t="n">
        <v>1.79</v>
      </c>
      <c r="AC44" s="85" t="n">
        <f aca="false">IF(AND(AA44&gt;0,AA44&lt;100),MIN(AA44,50),"")</f>
        <v>16.98</v>
      </c>
      <c r="AD44" s="55" t="n">
        <f aca="false">IF(AC44="",0,1)</f>
        <v>1</v>
      </c>
      <c r="AE44" s="85" t="n">
        <f aca="false">IF(AND(AB44&gt;0,AB44&lt;10),MIN(AB44,5),"")</f>
        <v>1.79</v>
      </c>
      <c r="AF44" s="55" t="n">
        <f aca="false">IF(AE44="",0,1)</f>
        <v>1</v>
      </c>
      <c r="AG44" s="82" t="n">
        <f aca="false">'100只成分明细'!O44</f>
        <v>35.5322984408</v>
      </c>
      <c r="AH44" s="82" t="n">
        <f aca="false">'100只成分明细'!P44</f>
        <v>35.9594627658</v>
      </c>
      <c r="AI44" s="55" t="n">
        <f aca="false">IF(AG44&gt;AH44,1,0)</f>
        <v>0</v>
      </c>
    </row>
    <row r="45" customFormat="false" ht="18" hidden="false" customHeight="true" outlineLevel="0" collapsed="false">
      <c r="A45" s="74" t="str">
        <f aca="false">'100只成分明细'!A45</f>
        <v>600373</v>
      </c>
      <c r="B45" s="74" t="str">
        <f aca="false">'100只成分明细'!B45</f>
        <v>中文传媒</v>
      </c>
      <c r="C45" s="75" t="s">
        <v>47</v>
      </c>
      <c r="D45" s="74" t="str">
        <f aca="false">'100只成分明细'!C45</f>
        <v>其他</v>
      </c>
      <c r="E45" s="76" t="n">
        <f aca="false">'100只成分明细'!D45</f>
        <v>0.0068</v>
      </c>
      <c r="F45" s="75" t="s">
        <v>535</v>
      </c>
      <c r="G45" s="77" t="n">
        <v>7.28</v>
      </c>
      <c r="H45" s="77" t="n">
        <v>7.97</v>
      </c>
      <c r="I45" s="78" t="n">
        <f aca="false">IF(OR(G45="",H45=""),"",H45/G45-1)</f>
        <v>0.0947802197802197</v>
      </c>
      <c r="J45" s="77" t="n">
        <v>7.51</v>
      </c>
      <c r="K45" s="79" t="n">
        <f aca="false">IF(OR(J45="",H45=""),"",H45/J45-1)</f>
        <v>0.0612516644474035</v>
      </c>
      <c r="L45" s="77" t="n">
        <v>7.22</v>
      </c>
      <c r="M45" s="80" t="n">
        <v>46266</v>
      </c>
      <c r="N45" s="79" t="n">
        <f aca="false">IF(OR(L45="",H45=""),"",H45/L45-1)</f>
        <v>0.10387811634349</v>
      </c>
      <c r="O45" s="77" t="n">
        <v>8.06</v>
      </c>
      <c r="P45" s="80" t="n">
        <v>46307</v>
      </c>
      <c r="Q45" s="78" t="n">
        <f aca="false">IF(OR(O45="",H45=""),"",H45/O45-1)</f>
        <v>-0.011166253101737</v>
      </c>
      <c r="R45" s="81" t="n">
        <f aca="false">'100只成分明细'!G45</f>
        <v>-0.123894569765613</v>
      </c>
      <c r="S45" s="82" t="n">
        <f aca="false">'100只成分明细'!H45</f>
        <v>2.8857587177</v>
      </c>
      <c r="T45" s="82" t="n">
        <f aca="false">'100只成分明细'!I45</f>
        <v>2.9061837645</v>
      </c>
      <c r="U45" s="83" t="n">
        <f aca="false">S45-T45</f>
        <v>-0.0204250468000002</v>
      </c>
      <c r="V45" s="78" t="n">
        <f aca="false">IF(T45=0,"",S45/T45-1)</f>
        <v>-0.00702813326861806</v>
      </c>
      <c r="W45" s="55" t="n">
        <f aca="false">IF(U45&gt;0,1,0)</f>
        <v>0</v>
      </c>
      <c r="X45" s="84" t="n">
        <v>0.2</v>
      </c>
      <c r="Y45" s="79" t="n">
        <f aca="false">IF(OR(X45="",H45=""),"",X45/H45)</f>
        <v>0.0250941028858218</v>
      </c>
      <c r="Z45" s="75" t="n">
        <v>3</v>
      </c>
      <c r="AA45" s="77" t="n">
        <v>38.67</v>
      </c>
      <c r="AB45" s="77" t="n">
        <v>0.6</v>
      </c>
      <c r="AC45" s="85" t="n">
        <f aca="false">IF(AND(AA45&gt;0,AA45&lt;100),MIN(AA45,50),"")</f>
        <v>38.67</v>
      </c>
      <c r="AD45" s="55" t="n">
        <f aca="false">IF(AC45="",0,1)</f>
        <v>1</v>
      </c>
      <c r="AE45" s="85" t="n">
        <f aca="false">IF(AND(AB45&gt;0,AB45&lt;10),MIN(AB45,5),"")</f>
        <v>0.6</v>
      </c>
      <c r="AF45" s="55" t="n">
        <f aca="false">IF(AE45="",0,1)</f>
        <v>1</v>
      </c>
      <c r="AG45" s="82" t="n">
        <f aca="false">'100只成分明细'!O45</f>
        <v>-5.3981922269</v>
      </c>
      <c r="AH45" s="82" t="n">
        <f aca="false">'100只成分明细'!P45</f>
        <v>-8.0101114351</v>
      </c>
      <c r="AI45" s="55" t="n">
        <f aca="false">IF(AG45&gt;AH45,1,0)</f>
        <v>1</v>
      </c>
    </row>
    <row r="46" customFormat="false" ht="18" hidden="false" customHeight="true" outlineLevel="0" collapsed="false">
      <c r="A46" s="74" t="str">
        <f aca="false">'100只成分明细'!A46</f>
        <v>600398</v>
      </c>
      <c r="B46" s="74" t="str">
        <f aca="false">'100只成分明细'!B46</f>
        <v>海澜之家</v>
      </c>
      <c r="C46" s="75" t="s">
        <v>50</v>
      </c>
      <c r="D46" s="74" t="str">
        <f aca="false">'100只成分明细'!C46</f>
        <v>其他</v>
      </c>
      <c r="E46" s="76" t="n">
        <f aca="false">'100只成分明细'!D46</f>
        <v>0.01214</v>
      </c>
      <c r="F46" s="75" t="s">
        <v>519</v>
      </c>
      <c r="G46" s="77" t="n">
        <v>5.95</v>
      </c>
      <c r="H46" s="77" t="n">
        <v>6.2</v>
      </c>
      <c r="I46" s="78" t="n">
        <f aca="false">IF(OR(G46="",H46=""),"",H46/G46-1)</f>
        <v>0.0420168067226892</v>
      </c>
      <c r="J46" s="77" t="n">
        <v>5.65</v>
      </c>
      <c r="K46" s="79" t="n">
        <f aca="false">IF(OR(J46="",H46=""),"",H46/J46-1)</f>
        <v>0.0973451327433628</v>
      </c>
      <c r="L46" s="77" t="n">
        <v>5.6</v>
      </c>
      <c r="M46" s="80" t="n">
        <v>46294</v>
      </c>
      <c r="N46" s="79" t="n">
        <f aca="false">IF(OR(L46="",H46=""),"",H46/L46-1)</f>
        <v>0.107142857142857</v>
      </c>
      <c r="O46" s="77" t="n">
        <v>6.28</v>
      </c>
      <c r="P46" s="80" t="n">
        <v>46308</v>
      </c>
      <c r="Q46" s="78" t="n">
        <f aca="false">IF(OR(O46="",H46=""),"",H46/O46-1)</f>
        <v>-0.0127388535031847</v>
      </c>
      <c r="R46" s="81" t="n">
        <f aca="false">'100只成分明细'!G46</f>
        <v>0.0738110350489842</v>
      </c>
      <c r="S46" s="82" t="n">
        <f aca="false">'100只成分明细'!H46</f>
        <v>14.87862698</v>
      </c>
      <c r="T46" s="82" t="n">
        <f aca="false">'100只成分明细'!I46</f>
        <v>15.8042150467</v>
      </c>
      <c r="U46" s="83" t="n">
        <f aca="false">S46-T46</f>
        <v>-0.9255880667</v>
      </c>
      <c r="V46" s="78" t="n">
        <f aca="false">IF(T46=0,"",S46/T46-1)</f>
        <v>-0.0585658992847776</v>
      </c>
      <c r="W46" s="55" t="n">
        <f aca="false">IF(U46&gt;0,1,0)</f>
        <v>0</v>
      </c>
      <c r="X46" s="84" t="n">
        <v>0.41</v>
      </c>
      <c r="Y46" s="79" t="n">
        <f aca="false">IF(OR(X46="",H46=""),"",X46/H46)</f>
        <v>0.0661290322580645</v>
      </c>
      <c r="Z46" s="75" t="n">
        <v>3</v>
      </c>
      <c r="AA46" s="77" t="n">
        <v>14.36</v>
      </c>
      <c r="AB46" s="77" t="n">
        <v>1.8</v>
      </c>
      <c r="AC46" s="85" t="n">
        <f aca="false">IF(AND(AA46&gt;0,AA46&lt;100),MIN(AA46,50),"")</f>
        <v>14.36</v>
      </c>
      <c r="AD46" s="55" t="n">
        <f aca="false">IF(AC46="",0,1)</f>
        <v>1</v>
      </c>
      <c r="AE46" s="85" t="n">
        <f aca="false">IF(AND(AB46&gt;0,AB46&lt;10),MIN(AB46,5),"")</f>
        <v>1.8</v>
      </c>
      <c r="AF46" s="55" t="n">
        <f aca="false">IF(AE46="",0,1)</f>
        <v>1</v>
      </c>
      <c r="AG46" s="82" t="n">
        <f aca="false">'100只成分明细'!O46</f>
        <v>26.5670219286</v>
      </c>
      <c r="AH46" s="82" t="n">
        <f aca="false">'100只成分明细'!P46</f>
        <v>27.1750352415</v>
      </c>
      <c r="AI46" s="55" t="n">
        <f aca="false">IF(AG46&gt;AH46,1,0)</f>
        <v>0</v>
      </c>
    </row>
    <row r="47" customFormat="false" ht="18" hidden="false" customHeight="true" outlineLevel="0" collapsed="false">
      <c r="A47" s="74" t="str">
        <f aca="false">'100只成分明细'!A47</f>
        <v>600461</v>
      </c>
      <c r="B47" s="74" t="str">
        <f aca="false">'100只成分明细'!B47</f>
        <v>洪城环境</v>
      </c>
      <c r="C47" s="75" t="s">
        <v>53</v>
      </c>
      <c r="D47" s="74" t="str">
        <f aca="false">'100只成分明细'!C47</f>
        <v>其他</v>
      </c>
      <c r="E47" s="76" t="n">
        <f aca="false">'100只成分明细'!D47</f>
        <v>0.00852</v>
      </c>
      <c r="F47" s="75" t="s">
        <v>527</v>
      </c>
      <c r="G47" s="77" t="n">
        <v>8.88</v>
      </c>
      <c r="H47" s="77" t="n">
        <v>9.06</v>
      </c>
      <c r="I47" s="78" t="n">
        <f aca="false">IF(OR(G47="",H47=""),"",H47/G47-1)</f>
        <v>0.0202702702702702</v>
      </c>
      <c r="J47" s="77" t="n">
        <v>8.81</v>
      </c>
      <c r="K47" s="79" t="n">
        <f aca="false">IF(OR(J47="",H47=""),"",H47/J47-1)</f>
        <v>0.0283768444948922</v>
      </c>
      <c r="L47" s="77" t="n">
        <v>8.62</v>
      </c>
      <c r="M47" s="80" t="n">
        <v>46293</v>
      </c>
      <c r="N47" s="79" t="n">
        <f aca="false">IF(OR(L47="",H47=""),"",H47/L47-1)</f>
        <v>0.0510440835266823</v>
      </c>
      <c r="O47" s="77" t="n">
        <v>9.18</v>
      </c>
      <c r="P47" s="80" t="n">
        <v>46280</v>
      </c>
      <c r="Q47" s="78" t="n">
        <f aca="false">IF(OR(O47="",H47=""),"",H47/O47-1)</f>
        <v>-0.0130718954248366</v>
      </c>
      <c r="R47" s="81" t="n">
        <f aca="false">'100只成分明细'!G47</f>
        <v>-0.077721800567648</v>
      </c>
      <c r="S47" s="82" t="n">
        <f aca="false">'100只成分明细'!H47</f>
        <v>5.8142228166</v>
      </c>
      <c r="T47" s="82" t="n">
        <f aca="false">'100只成分明细'!I47</f>
        <v>6.0868236492</v>
      </c>
      <c r="U47" s="83" t="n">
        <f aca="false">S47-T47</f>
        <v>-0.2726008326</v>
      </c>
      <c r="V47" s="78" t="n">
        <f aca="false">IF(T47=0,"",S47/T47-1)</f>
        <v>-0.0447854001217578</v>
      </c>
      <c r="W47" s="55" t="n">
        <f aca="false">IF(U47&gt;0,1,0)</f>
        <v>0</v>
      </c>
      <c r="X47" s="84" t="n">
        <v>0.467</v>
      </c>
      <c r="Y47" s="79" t="n">
        <f aca="false">IF(OR(X47="",H47=""),"",X47/H47)</f>
        <v>0.0515452538631347</v>
      </c>
      <c r="Z47" s="75" t="n">
        <v>3</v>
      </c>
      <c r="AA47" s="77" t="n">
        <v>10.29</v>
      </c>
      <c r="AB47" s="77" t="n">
        <v>1.18</v>
      </c>
      <c r="AC47" s="85" t="n">
        <f aca="false">IF(AND(AA47&gt;0,AA47&lt;100),MIN(AA47,50),"")</f>
        <v>10.29</v>
      </c>
      <c r="AD47" s="55" t="n">
        <f aca="false">IF(AC47="",0,1)</f>
        <v>1</v>
      </c>
      <c r="AE47" s="85" t="n">
        <f aca="false">IF(AND(AB47&gt;0,AB47&lt;10),MIN(AB47,5),"")</f>
        <v>1.18</v>
      </c>
      <c r="AF47" s="55" t="n">
        <f aca="false">IF(AE47="",0,1)</f>
        <v>1</v>
      </c>
      <c r="AG47" s="82" t="n">
        <f aca="false">'100只成分明细'!O47</f>
        <v>5.6936141757</v>
      </c>
      <c r="AH47" s="82" t="n">
        <f aca="false">'100只成分明细'!P47</f>
        <v>3.4478361832</v>
      </c>
      <c r="AI47" s="55" t="n">
        <f aca="false">IF(AG47&gt;AH47,1,0)</f>
        <v>1</v>
      </c>
    </row>
    <row r="48" customFormat="false" ht="18" hidden="false" customHeight="true" outlineLevel="0" collapsed="false">
      <c r="A48" s="74" t="str">
        <f aca="false">'100只成分明细'!A48</f>
        <v>600502</v>
      </c>
      <c r="B48" s="74" t="str">
        <f aca="false">'100只成分明细'!B48</f>
        <v>安徽建工</v>
      </c>
      <c r="C48" s="75" t="s">
        <v>52</v>
      </c>
      <c r="D48" s="74" t="str">
        <f aca="false">'100只成分明细'!C48</f>
        <v>建筑</v>
      </c>
      <c r="E48" s="76" t="n">
        <f aca="false">'100只成分明细'!D48</f>
        <v>0.00488</v>
      </c>
      <c r="F48" s="75" t="s">
        <v>530</v>
      </c>
      <c r="G48" s="77" t="n">
        <v>4.46</v>
      </c>
      <c r="H48" s="77" t="n">
        <v>4.4</v>
      </c>
      <c r="I48" s="78" t="n">
        <f aca="false">IF(OR(G48="",H48=""),"",H48/G48-1)</f>
        <v>-0.0134529147982062</v>
      </c>
      <c r="J48" s="77" t="n">
        <v>4.23</v>
      </c>
      <c r="K48" s="79" t="n">
        <f aca="false">IF(OR(J48="",H48=""),"",H48/J48-1)</f>
        <v>0.0401891252955082</v>
      </c>
      <c r="L48" s="77" t="n">
        <v>4.08</v>
      </c>
      <c r="M48" s="80" t="n">
        <v>46286</v>
      </c>
      <c r="N48" s="79" t="n">
        <f aca="false">IF(OR(L48="",H48=""),"",H48/L48-1)</f>
        <v>0.0784313725490198</v>
      </c>
      <c r="O48" s="77" t="n">
        <v>4.63</v>
      </c>
      <c r="P48" s="80" t="n">
        <v>46265</v>
      </c>
      <c r="Q48" s="78" t="n">
        <f aca="false">IF(OR(O48="",H48=""),"",H48/O48-1)</f>
        <v>-0.0496760259179264</v>
      </c>
      <c r="R48" s="81" t="n">
        <f aca="false">'100只成分明细'!G48</f>
        <v>0.0166564795345034</v>
      </c>
      <c r="S48" s="82" t="n">
        <f aca="false">'100只成分明细'!H48</f>
        <v>5.6438966399</v>
      </c>
      <c r="T48" s="82" t="n">
        <f aca="false">'100只成分明细'!I48</f>
        <v>5.528761078</v>
      </c>
      <c r="U48" s="83" t="n">
        <f aca="false">S48-T48</f>
        <v>0.115135561900001</v>
      </c>
      <c r="V48" s="78" t="n">
        <f aca="false">IF(T48=0,"",S48/T48-1)</f>
        <v>0.0208248394668649</v>
      </c>
      <c r="W48" s="55" t="n">
        <f aca="false">IF(U48&gt;0,1,0)</f>
        <v>1</v>
      </c>
      <c r="X48" s="84" t="n">
        <v>0.27</v>
      </c>
      <c r="Y48" s="79" t="n">
        <f aca="false">IF(OR(X48="",H48=""),"",X48/H48)</f>
        <v>0.0613636363636364</v>
      </c>
      <c r="Z48" s="75" t="n">
        <v>3</v>
      </c>
      <c r="AA48" s="77" t="n">
        <v>4.91</v>
      </c>
      <c r="AB48" s="77" t="n">
        <v>0.63</v>
      </c>
      <c r="AC48" s="85" t="n">
        <f aca="false">IF(AND(AA48&gt;0,AA48&lt;100),MIN(AA48,50),"")</f>
        <v>4.91</v>
      </c>
      <c r="AD48" s="55" t="n">
        <f aca="false">IF(AC48="",0,1)</f>
        <v>1</v>
      </c>
      <c r="AE48" s="85" t="n">
        <f aca="false">IF(AND(AB48&gt;0,AB48&lt;10),MIN(AB48,5),"")</f>
        <v>0.63</v>
      </c>
      <c r="AF48" s="55" t="n">
        <f aca="false">IF(AE48="",0,1)</f>
        <v>1</v>
      </c>
      <c r="AG48" s="82" t="n">
        <f aca="false">'100只成分明细'!O48</f>
        <v>-45.0907137228</v>
      </c>
      <c r="AH48" s="82" t="n">
        <f aca="false">'100只成分明细'!P48</f>
        <v>-27.9746833004</v>
      </c>
      <c r="AI48" s="55" t="n">
        <f aca="false">IF(AG48&gt;AH48,1,0)</f>
        <v>0</v>
      </c>
    </row>
    <row r="49" customFormat="false" ht="18" hidden="false" customHeight="true" outlineLevel="0" collapsed="false">
      <c r="A49" s="74" t="str">
        <f aca="false">'100只成分明细'!A49</f>
        <v>600546</v>
      </c>
      <c r="B49" s="74" t="str">
        <f aca="false">'100只成分明细'!B49</f>
        <v>山煤国际</v>
      </c>
      <c r="C49" s="75" t="s">
        <v>22</v>
      </c>
      <c r="D49" s="74" t="str">
        <f aca="false">'100只成分明细'!C49</f>
        <v>煤炭</v>
      </c>
      <c r="E49" s="76" t="n">
        <f aca="false">'100只成分明细'!D49</f>
        <v>0.01813</v>
      </c>
      <c r="F49" s="75" t="s">
        <v>517</v>
      </c>
      <c r="G49" s="77" t="n">
        <v>14.26</v>
      </c>
      <c r="H49" s="77" t="n">
        <v>13.62</v>
      </c>
      <c r="I49" s="78" t="n">
        <f aca="false">IF(OR(G49="",H49=""),"",H49/G49-1)</f>
        <v>-0.0448807854137447</v>
      </c>
      <c r="J49" s="77" t="n">
        <v>13.12</v>
      </c>
      <c r="K49" s="79" t="n">
        <f aca="false">IF(OR(J49="",H49=""),"",H49/J49-1)</f>
        <v>0.038109756097561</v>
      </c>
      <c r="L49" s="77" t="n">
        <v>12.75</v>
      </c>
      <c r="M49" s="80" t="n">
        <v>46294</v>
      </c>
      <c r="N49" s="79" t="n">
        <f aca="false">IF(OR(L49="",H49=""),"",H49/L49-1)</f>
        <v>0.068235294117647</v>
      </c>
      <c r="O49" s="77" t="n">
        <v>14.54</v>
      </c>
      <c r="P49" s="80" t="n">
        <v>46266</v>
      </c>
      <c r="Q49" s="78" t="n">
        <f aca="false">IF(OR(O49="",H49=""),"",H49/O49-1)</f>
        <v>-0.063273727647868</v>
      </c>
      <c r="R49" s="81" t="n">
        <f aca="false">'100只成分明细'!G49</f>
        <v>0.216251906061923</v>
      </c>
      <c r="S49" s="82" t="n">
        <f aca="false">'100只成分明细'!H49</f>
        <v>10.0950849507</v>
      </c>
      <c r="T49" s="82" t="n">
        <f aca="false">'100只成分明细'!I49</f>
        <v>6.549758502</v>
      </c>
      <c r="U49" s="83" t="n">
        <f aca="false">S49-T49</f>
        <v>3.5453264487</v>
      </c>
      <c r="V49" s="78" t="n">
        <f aca="false">IF(T49=0,"",S49/T49-1)</f>
        <v>0.541291170906136</v>
      </c>
      <c r="W49" s="55" t="n">
        <f aca="false">IF(U49&gt;0,1,0)</f>
        <v>1</v>
      </c>
      <c r="X49" s="84" t="n">
        <v>0.355</v>
      </c>
      <c r="Y49" s="79" t="n">
        <f aca="false">IF(OR(X49="",H49=""),"",X49/H49)</f>
        <v>0.026064610866373</v>
      </c>
      <c r="Z49" s="75" t="n">
        <v>3</v>
      </c>
      <c r="AA49" s="77" t="n">
        <v>17.75</v>
      </c>
      <c r="AB49" s="77" t="n">
        <v>1.56</v>
      </c>
      <c r="AC49" s="85" t="n">
        <f aca="false">IF(AND(AA49&gt;0,AA49&lt;100),MIN(AA49,50),"")</f>
        <v>17.75</v>
      </c>
      <c r="AD49" s="55" t="n">
        <f aca="false">IF(AC49="",0,1)</f>
        <v>1</v>
      </c>
      <c r="AE49" s="85" t="n">
        <f aca="false">IF(AND(AB49&gt;0,AB49&lt;10),MIN(AB49,5),"")</f>
        <v>1.56</v>
      </c>
      <c r="AF49" s="55" t="n">
        <f aca="false">IF(AE49="",0,1)</f>
        <v>1</v>
      </c>
      <c r="AG49" s="82" t="n">
        <f aca="false">'100只成分明细'!O49</f>
        <v>25.6053576421</v>
      </c>
      <c r="AH49" s="82" t="n">
        <f aca="false">'100只成分明细'!P49</f>
        <v>-4.6928384006</v>
      </c>
      <c r="AI49" s="55" t="n">
        <f aca="false">IF(AG49&gt;AH49,1,0)</f>
        <v>1</v>
      </c>
    </row>
    <row r="50" customFormat="false" ht="18" hidden="false" customHeight="true" outlineLevel="0" collapsed="false">
      <c r="A50" s="74" t="str">
        <f aca="false">'100只成分明细'!A50</f>
        <v>600585</v>
      </c>
      <c r="B50" s="74" t="str">
        <f aca="false">'100只成分明细'!B50</f>
        <v>海螺水泥</v>
      </c>
      <c r="C50" s="75" t="s">
        <v>54</v>
      </c>
      <c r="D50" s="74" t="str">
        <f aca="false">'100只成分明细'!C50</f>
        <v>水泥建材</v>
      </c>
      <c r="E50" s="76" t="n">
        <f aca="false">'100只成分明细'!D50</f>
        <v>0.00611</v>
      </c>
      <c r="F50" s="75" t="s">
        <v>514</v>
      </c>
      <c r="G50" s="77" t="n">
        <v>17.52</v>
      </c>
      <c r="H50" s="77" t="n">
        <v>17.33</v>
      </c>
      <c r="I50" s="78" t="n">
        <f aca="false">IF(OR(G50="",H50=""),"",H50/G50-1)</f>
        <v>-0.0108447488584476</v>
      </c>
      <c r="J50" s="77" t="n">
        <v>17.51</v>
      </c>
      <c r="K50" s="79" t="n">
        <f aca="false">IF(OR(J50="",H50=""),"",H50/J50-1)</f>
        <v>-0.0102798400913765</v>
      </c>
      <c r="L50" s="77" t="n">
        <v>16.56</v>
      </c>
      <c r="M50" s="80" t="n">
        <v>46293</v>
      </c>
      <c r="N50" s="79" t="n">
        <f aca="false">IF(OR(L50="",H50=""),"",H50/L50-1)</f>
        <v>0.0464975845410627</v>
      </c>
      <c r="O50" s="77" t="n">
        <v>18.29</v>
      </c>
      <c r="P50" s="80" t="n">
        <v>46265</v>
      </c>
      <c r="Q50" s="78" t="n">
        <f aca="false">IF(OR(O50="",H50=""),"",H50/O50-1)</f>
        <v>-0.0524876981957354</v>
      </c>
      <c r="R50" s="81" t="n">
        <f aca="false">'100只成分明细'!G50</f>
        <v>-0.108837531830282</v>
      </c>
      <c r="S50" s="82" t="n">
        <f aca="false">'100只成分明细'!H50</f>
        <v>25.26711692</v>
      </c>
      <c r="T50" s="82" t="n">
        <f aca="false">'100只成分明细'!I50</f>
        <v>44.14319671</v>
      </c>
      <c r="U50" s="83" t="n">
        <f aca="false">S50-T50</f>
        <v>-18.87607979</v>
      </c>
      <c r="V50" s="78" t="n">
        <f aca="false">IF(T50=0,"",S50/T50-1)</f>
        <v>-0.427610168651966</v>
      </c>
      <c r="W50" s="55" t="n">
        <f aca="false">IF(U50&gt;0,1,0)</f>
        <v>0</v>
      </c>
      <c r="X50" s="84" t="n">
        <v>0.74</v>
      </c>
      <c r="Y50" s="79" t="n">
        <f aca="false">IF(OR(X50="",H50=""),"",X50/H50)</f>
        <v>0.0427005193306405</v>
      </c>
      <c r="Z50" s="75" t="n">
        <v>3</v>
      </c>
      <c r="AA50" s="77" t="n">
        <v>14.69</v>
      </c>
      <c r="AB50" s="77" t="n">
        <v>0.48</v>
      </c>
      <c r="AC50" s="85" t="n">
        <f aca="false">IF(AND(AA50&gt;0,AA50&lt;100),MIN(AA50,50),"")</f>
        <v>14.69</v>
      </c>
      <c r="AD50" s="55" t="n">
        <f aca="false">IF(AC50="",0,1)</f>
        <v>1</v>
      </c>
      <c r="AE50" s="85" t="n">
        <f aca="false">IF(AND(AB50&gt;0,AB50&lt;10),MIN(AB50,5),"")</f>
        <v>0.48</v>
      </c>
      <c r="AF50" s="55" t="n">
        <f aca="false">IF(AE50="",0,1)</f>
        <v>1</v>
      </c>
      <c r="AG50" s="82" t="n">
        <f aca="false">'100只成分明细'!O50</f>
        <v>45.15900235</v>
      </c>
      <c r="AH50" s="82" t="n">
        <f aca="false">'100只成分明细'!P50</f>
        <v>83.37280763</v>
      </c>
      <c r="AI50" s="55" t="n">
        <f aca="false">IF(AG50&gt;AH50,1,0)</f>
        <v>0</v>
      </c>
    </row>
    <row r="51" customFormat="false" ht="18" hidden="false" customHeight="true" outlineLevel="0" collapsed="false">
      <c r="A51" s="74" t="str">
        <f aca="false">'100只成分明细'!A51</f>
        <v>600729</v>
      </c>
      <c r="B51" s="74" t="str">
        <f aca="false">'100只成分明细'!B51</f>
        <v>重百集团</v>
      </c>
      <c r="C51" s="75" t="s">
        <v>50</v>
      </c>
      <c r="D51" s="74" t="str">
        <f aca="false">'100只成分明细'!C51</f>
        <v>其他</v>
      </c>
      <c r="E51" s="76" t="n">
        <f aca="false">'100只成分明细'!D51</f>
        <v>0.00599</v>
      </c>
      <c r="F51" s="75" t="s">
        <v>536</v>
      </c>
      <c r="G51" s="77" t="n">
        <v>19.22</v>
      </c>
      <c r="H51" s="77" t="n">
        <v>18.85</v>
      </c>
      <c r="I51" s="78" t="n">
        <f aca="false">IF(OR(G51="",H51=""),"",H51/G51-1)</f>
        <v>-0.0192507804370446</v>
      </c>
      <c r="J51" s="77" t="n">
        <v>18.44</v>
      </c>
      <c r="K51" s="79" t="n">
        <f aca="false">IF(OR(J51="",H51=""),"",H51/J51-1)</f>
        <v>0.0222342733188721</v>
      </c>
      <c r="L51" s="77" t="n">
        <v>18.02</v>
      </c>
      <c r="M51" s="80" t="n">
        <v>46293</v>
      </c>
      <c r="N51" s="79" t="n">
        <f aca="false">IF(OR(L51="",H51=""),"",H51/L51-1)</f>
        <v>0.0460599334073253</v>
      </c>
      <c r="O51" s="77" t="n">
        <v>20.09</v>
      </c>
      <c r="P51" s="80" t="n">
        <v>46273</v>
      </c>
      <c r="Q51" s="78" t="n">
        <f aca="false">IF(OR(O51="",H51=""),"",H51/O51-1)</f>
        <v>-0.0617222498755599</v>
      </c>
      <c r="R51" s="81" t="n">
        <f aca="false">'100只成分明细'!G51</f>
        <v>-0.0565232636020462</v>
      </c>
      <c r="S51" s="82" t="n">
        <f aca="false">'100只成分明细'!H51</f>
        <v>4.4627814116</v>
      </c>
      <c r="T51" s="82" t="n">
        <f aca="false">'100只成分明细'!I51</f>
        <v>7.7381478836</v>
      </c>
      <c r="U51" s="83" t="n">
        <f aca="false">S51-T51</f>
        <v>-3.275366472</v>
      </c>
      <c r="V51" s="78" t="n">
        <f aca="false">IF(T51=0,"",S51/T51-1)</f>
        <v>-0.423275248970327</v>
      </c>
      <c r="W51" s="55" t="n">
        <f aca="false">IF(U51&gt;0,1,0)</f>
        <v>0</v>
      </c>
      <c r="X51" s="84" t="n">
        <v>0.9499</v>
      </c>
      <c r="Y51" s="79" t="n">
        <f aca="false">IF(OR(X51="",H51=""),"",X51/H51)</f>
        <v>0.0503925729442971</v>
      </c>
      <c r="Z51" s="75" t="n">
        <v>3</v>
      </c>
      <c r="AA51" s="77" t="n">
        <v>11.56</v>
      </c>
      <c r="AB51" s="77" t="n">
        <v>1.04</v>
      </c>
      <c r="AC51" s="85" t="n">
        <f aca="false">IF(AND(AA51&gt;0,AA51&lt;100),MIN(AA51,50),"")</f>
        <v>11.56</v>
      </c>
      <c r="AD51" s="55" t="n">
        <f aca="false">IF(AC51="",0,1)</f>
        <v>1</v>
      </c>
      <c r="AE51" s="85" t="n">
        <f aca="false">IF(AND(AB51&gt;0,AB51&lt;10),MIN(AB51,5),"")</f>
        <v>1.04</v>
      </c>
      <c r="AF51" s="55" t="n">
        <f aca="false">IF(AE51="",0,1)</f>
        <v>1</v>
      </c>
      <c r="AG51" s="82" t="n">
        <f aca="false">'100只成分明细'!O51</f>
        <v>13.7275905535</v>
      </c>
      <c r="AH51" s="82" t="n">
        <f aca="false">'100只成分明细'!P51</f>
        <v>8.440580936</v>
      </c>
      <c r="AI51" s="55" t="n">
        <f aca="false">IF(AG51&gt;AH51,1,0)</f>
        <v>1</v>
      </c>
    </row>
    <row r="52" customFormat="false" ht="18" hidden="false" customHeight="true" outlineLevel="0" collapsed="false">
      <c r="A52" s="74" t="str">
        <f aca="false">'100只成分明细'!A52</f>
        <v>600737</v>
      </c>
      <c r="B52" s="74" t="str">
        <f aca="false">'100只成分明细'!B52</f>
        <v>中粮糖业</v>
      </c>
      <c r="C52" s="75" t="s">
        <v>50</v>
      </c>
      <c r="D52" s="74" t="str">
        <f aca="false">'100只成分明细'!C52</f>
        <v>其他</v>
      </c>
      <c r="E52" s="76" t="n">
        <f aca="false">'100只成分明细'!D52</f>
        <v>0.00807</v>
      </c>
      <c r="F52" s="75" t="s">
        <v>537</v>
      </c>
      <c r="G52" s="77" t="n">
        <v>15.04</v>
      </c>
      <c r="H52" s="77" t="n">
        <v>15.9</v>
      </c>
      <c r="I52" s="78" t="n">
        <f aca="false">IF(OR(G52="",H52=""),"",H52/G52-1)</f>
        <v>0.0571808510638299</v>
      </c>
      <c r="J52" s="77" t="n">
        <v>14.66</v>
      </c>
      <c r="K52" s="79" t="n">
        <f aca="false">IF(OR(J52="",H52=""),"",H52/J52-1)</f>
        <v>0.0845839017735335</v>
      </c>
      <c r="L52" s="77" t="n">
        <v>13.59</v>
      </c>
      <c r="M52" s="80" t="n">
        <v>46294</v>
      </c>
      <c r="N52" s="79" t="n">
        <f aca="false">IF(OR(L52="",H52=""),"",H52/L52-1)</f>
        <v>0.169977924944812</v>
      </c>
      <c r="O52" s="77" t="n">
        <v>19.89</v>
      </c>
      <c r="P52" s="80" t="n">
        <v>46274</v>
      </c>
      <c r="Q52" s="78" t="n">
        <f aca="false">IF(OR(O52="",H52=""),"",H52/O52-1)</f>
        <v>-0.200603318250377</v>
      </c>
      <c r="R52" s="81" t="n">
        <f aca="false">'100只成分明细'!G52</f>
        <v>-0.211640166231252</v>
      </c>
      <c r="S52" s="82" t="n">
        <f aca="false">'100只成分明细'!H52</f>
        <v>6.0834306977</v>
      </c>
      <c r="T52" s="82" t="n">
        <f aca="false">'100只成分明细'!I52</f>
        <v>4.4485963976</v>
      </c>
      <c r="U52" s="83" t="n">
        <f aca="false">S52-T52</f>
        <v>1.6348343001</v>
      </c>
      <c r="V52" s="78" t="n">
        <f aca="false">IF(T52=0,"",S52/T52-1)</f>
        <v>0.367494408119826</v>
      </c>
      <c r="W52" s="55" t="n">
        <f aca="false">IF(U52&gt;0,1,0)</f>
        <v>1</v>
      </c>
      <c r="X52" s="84" t="n">
        <v>0.34</v>
      </c>
      <c r="Y52" s="79" t="n">
        <f aca="false">IF(OR(X52="",H52=""),"",X52/H52)</f>
        <v>0.0213836477987421</v>
      </c>
      <c r="Z52" s="75" t="n">
        <v>3</v>
      </c>
      <c r="AA52" s="77" t="n">
        <v>30.51</v>
      </c>
      <c r="AB52" s="77" t="n">
        <v>3.04</v>
      </c>
      <c r="AC52" s="85" t="n">
        <f aca="false">IF(AND(AA52&gt;0,AA52&lt;100),MIN(AA52,50),"")</f>
        <v>30.51</v>
      </c>
      <c r="AD52" s="55" t="n">
        <f aca="false">IF(AC52="",0,1)</f>
        <v>1</v>
      </c>
      <c r="AE52" s="85" t="n">
        <f aca="false">IF(AND(AB52&gt;0,AB52&lt;10),MIN(AB52,5),"")</f>
        <v>3.04</v>
      </c>
      <c r="AF52" s="55" t="n">
        <f aca="false">IF(AE52="",0,1)</f>
        <v>1</v>
      </c>
      <c r="AG52" s="82" t="n">
        <f aca="false">'100只成分明细'!O52</f>
        <v>11.9839033194</v>
      </c>
      <c r="AH52" s="82" t="n">
        <f aca="false">'100只成分明细'!P52</f>
        <v>10.2768743592</v>
      </c>
      <c r="AI52" s="55" t="n">
        <f aca="false">IF(AG52&gt;AH52,1,0)</f>
        <v>1</v>
      </c>
    </row>
    <row r="53" customFormat="false" ht="18" hidden="false" customHeight="true" outlineLevel="0" collapsed="false">
      <c r="A53" s="74" t="str">
        <f aca="false">'100只成分明细'!A53</f>
        <v>600741</v>
      </c>
      <c r="B53" s="74" t="str">
        <f aca="false">'100只成分明细'!B53</f>
        <v>华域汽车</v>
      </c>
      <c r="C53" s="75" t="s">
        <v>56</v>
      </c>
      <c r="D53" s="74" t="str">
        <f aca="false">'100只成分明细'!C53</f>
        <v>其他</v>
      </c>
      <c r="E53" s="76" t="n">
        <f aca="false">'100只成分明细'!D53</f>
        <v>0.00708</v>
      </c>
      <c r="F53" s="75" t="s">
        <v>538</v>
      </c>
      <c r="G53" s="77" t="n">
        <v>15.45</v>
      </c>
      <c r="H53" s="77" t="n">
        <v>15.55</v>
      </c>
      <c r="I53" s="78" t="n">
        <f aca="false">IF(OR(G53="",H53=""),"",H53/G53-1)</f>
        <v>0.00647249190938526</v>
      </c>
      <c r="J53" s="77" t="n">
        <v>15.38</v>
      </c>
      <c r="K53" s="79" t="n">
        <f aca="false">IF(OR(J53="",H53=""),"",H53/J53-1)</f>
        <v>0.0110533159947985</v>
      </c>
      <c r="L53" s="77" t="n">
        <v>14.68</v>
      </c>
      <c r="M53" s="80" t="n">
        <v>46289</v>
      </c>
      <c r="N53" s="79" t="n">
        <f aca="false">IF(OR(L53="",H53=""),"",H53/L53-1)</f>
        <v>0.0592643051771118</v>
      </c>
      <c r="O53" s="77" t="n">
        <v>15.81</v>
      </c>
      <c r="P53" s="80" t="n">
        <v>46266</v>
      </c>
      <c r="Q53" s="78" t="n">
        <f aca="false">IF(OR(O53="",H53=""),"",H53/O53-1)</f>
        <v>-0.0164452877925364</v>
      </c>
      <c r="R53" s="81" t="n">
        <f aca="false">'100只成分明细'!G53</f>
        <v>-0.0143131321486659</v>
      </c>
      <c r="S53" s="82" t="n">
        <f aca="false">'100只成分明细'!H53</f>
        <v>26.4659100698</v>
      </c>
      <c r="T53" s="82" t="n">
        <f aca="false">'100只成分明细'!I53</f>
        <v>28.9793449335</v>
      </c>
      <c r="U53" s="83" t="n">
        <f aca="false">S53-T53</f>
        <v>-2.5134348637</v>
      </c>
      <c r="V53" s="78" t="n">
        <f aca="false">IF(T53=0,"",S53/T53-1)</f>
        <v>-0.0867319419906721</v>
      </c>
      <c r="W53" s="55" t="n">
        <f aca="false">IF(U53&gt;0,1,0)</f>
        <v>0</v>
      </c>
      <c r="X53" s="84" t="n">
        <v>1</v>
      </c>
      <c r="Y53" s="79" t="n">
        <f aca="false">IF(OR(X53="",H53=""),"",X53/H53)</f>
        <v>0.0643086816720257</v>
      </c>
      <c r="Z53" s="75" t="n">
        <v>3</v>
      </c>
      <c r="AA53" s="77" t="n">
        <v>7.05</v>
      </c>
      <c r="AB53" s="77" t="n">
        <v>0.77</v>
      </c>
      <c r="AC53" s="85" t="n">
        <f aca="false">IF(AND(AA53&gt;0,AA53&lt;100),MIN(AA53,50),"")</f>
        <v>7.05</v>
      </c>
      <c r="AD53" s="55" t="n">
        <f aca="false">IF(AC53="",0,1)</f>
        <v>1</v>
      </c>
      <c r="AE53" s="85" t="n">
        <f aca="false">IF(AND(AB53&gt;0,AB53&lt;10),MIN(AB53,5),"")</f>
        <v>0.77</v>
      </c>
      <c r="AF53" s="55" t="n">
        <f aca="false">IF(AE53="",0,1)</f>
        <v>1</v>
      </c>
      <c r="AG53" s="82" t="n">
        <f aca="false">'100只成分明细'!O53</f>
        <v>79.6828403738</v>
      </c>
      <c r="AH53" s="82" t="n">
        <f aca="false">'100只成分明细'!P53</f>
        <v>68.2869459266</v>
      </c>
      <c r="AI53" s="55" t="n">
        <f aca="false">IF(AG53&gt;AH53,1,0)</f>
        <v>1</v>
      </c>
    </row>
    <row r="54" customFormat="false" ht="18" hidden="false" customHeight="true" outlineLevel="0" collapsed="false">
      <c r="A54" s="74" t="str">
        <f aca="false">'100只成分明细'!A54</f>
        <v>600755</v>
      </c>
      <c r="B54" s="74" t="str">
        <f aca="false">'100只成分明细'!B54</f>
        <v>厦门国贸</v>
      </c>
      <c r="C54" s="75" t="s">
        <v>48</v>
      </c>
      <c r="D54" s="74" t="str">
        <f aca="false">'100只成分明细'!C54</f>
        <v>其他</v>
      </c>
      <c r="E54" s="76" t="n">
        <f aca="false">'100只成分明细'!D54</f>
        <v>0.01005</v>
      </c>
      <c r="F54" s="75" t="s">
        <v>531</v>
      </c>
      <c r="G54" s="77" t="n">
        <v>5.69</v>
      </c>
      <c r="H54" s="77" t="n">
        <v>5.75</v>
      </c>
      <c r="I54" s="78" t="n">
        <f aca="false">IF(OR(G54="",H54=""),"",H54/G54-1)</f>
        <v>0.0105448154657293</v>
      </c>
      <c r="J54" s="77" t="n">
        <v>5.68</v>
      </c>
      <c r="K54" s="79" t="n">
        <f aca="false">IF(OR(J54="",H54=""),"",H54/J54-1)</f>
        <v>0.012323943661972</v>
      </c>
      <c r="L54" s="77" t="n">
        <v>5.49</v>
      </c>
      <c r="M54" s="80" t="n">
        <v>46282</v>
      </c>
      <c r="N54" s="79" t="n">
        <f aca="false">IF(OR(L54="",H54=""),"",H54/L54-1)</f>
        <v>0.0473588342440801</v>
      </c>
      <c r="O54" s="77" t="n">
        <v>6.02</v>
      </c>
      <c r="P54" s="80" t="n">
        <v>46289</v>
      </c>
      <c r="Q54" s="78" t="n">
        <f aca="false">IF(OR(O54="",H54=""),"",H54/O54-1)</f>
        <v>-0.0448504983388703</v>
      </c>
      <c r="R54" s="81" t="n">
        <f aca="false">'100只成分明细'!G54</f>
        <v>0.293724074706192</v>
      </c>
      <c r="S54" s="82" t="n">
        <f aca="false">'100只成分明细'!H54</f>
        <v>4.2630438019</v>
      </c>
      <c r="T54" s="82" t="n">
        <f aca="false">'100只成分明细'!I54</f>
        <v>5.2308121478</v>
      </c>
      <c r="U54" s="83" t="n">
        <f aca="false">S54-T54</f>
        <v>-0.9677683459</v>
      </c>
      <c r="V54" s="78" t="n">
        <f aca="false">IF(T54=0,"",S54/T54-1)</f>
        <v>-0.185013018734964</v>
      </c>
      <c r="W54" s="55" t="n">
        <f aca="false">IF(U54&gt;0,1,0)</f>
        <v>0</v>
      </c>
      <c r="X54" s="84" t="n">
        <v>0.22</v>
      </c>
      <c r="Y54" s="79" t="n">
        <f aca="false">IF(OR(X54="",H54=""),"",X54/H54)</f>
        <v>0.0382608695652174</v>
      </c>
      <c r="Z54" s="75" t="n">
        <v>3</v>
      </c>
      <c r="AA54" s="77" t="n">
        <v>29.74</v>
      </c>
      <c r="AB54" s="77" t="n">
        <v>0.64</v>
      </c>
      <c r="AC54" s="85" t="n">
        <f aca="false">IF(AND(AA54&gt;0,AA54&lt;100),MIN(AA54,50),"")</f>
        <v>29.74</v>
      </c>
      <c r="AD54" s="55" t="n">
        <f aca="false">IF(AC54="",0,1)</f>
        <v>1</v>
      </c>
      <c r="AE54" s="85" t="n">
        <f aca="false">IF(AND(AB54&gt;0,AB54&lt;10),MIN(AB54,5),"")</f>
        <v>0.64</v>
      </c>
      <c r="AF54" s="55" t="n">
        <f aca="false">IF(AE54="",0,1)</f>
        <v>1</v>
      </c>
      <c r="AG54" s="82" t="n">
        <f aca="false">'100只成分明细'!O54</f>
        <v>-285.5541693631</v>
      </c>
      <c r="AH54" s="82" t="n">
        <f aca="false">'100只成分明细'!P54</f>
        <v>-1.0548735128</v>
      </c>
      <c r="AI54" s="55" t="n">
        <f aca="false">IF(AG54&gt;AH54,1,0)</f>
        <v>0</v>
      </c>
    </row>
    <row r="55" customFormat="false" ht="18" hidden="false" customHeight="true" outlineLevel="0" collapsed="false">
      <c r="A55" s="74" t="str">
        <f aca="false">'100只成分明细'!A55</f>
        <v>600757</v>
      </c>
      <c r="B55" s="74" t="str">
        <f aca="false">'100只成分明细'!B55</f>
        <v>长江传媒</v>
      </c>
      <c r="C55" s="75" t="s">
        <v>47</v>
      </c>
      <c r="D55" s="74" t="str">
        <f aca="false">'100只成分明细'!C55</f>
        <v>其他</v>
      </c>
      <c r="E55" s="76" t="n">
        <f aca="false">'100只成分明细'!D55</f>
        <v>0.00746</v>
      </c>
      <c r="F55" s="75" t="s">
        <v>535</v>
      </c>
      <c r="G55" s="77" t="n">
        <v>7.33</v>
      </c>
      <c r="H55" s="77" t="n">
        <v>7.73</v>
      </c>
      <c r="I55" s="78" t="n">
        <f aca="false">IF(OR(G55="",H55=""),"",H55/G55-1)</f>
        <v>0.0545702592087314</v>
      </c>
      <c r="J55" s="77" t="n">
        <v>7.43</v>
      </c>
      <c r="K55" s="79" t="n">
        <f aca="false">IF(OR(J55="",H55=""),"",H55/J55-1)</f>
        <v>0.0403768506056528</v>
      </c>
      <c r="L55" s="77" t="n">
        <v>7.18</v>
      </c>
      <c r="M55" s="80" t="n">
        <v>46283</v>
      </c>
      <c r="N55" s="79" t="n">
        <f aca="false">IF(OR(L55="",H55=""),"",H55/L55-1)</f>
        <v>0.0766016713091924</v>
      </c>
      <c r="O55" s="77" t="n">
        <v>7.83</v>
      </c>
      <c r="P55" s="80" t="n">
        <v>46307</v>
      </c>
      <c r="Q55" s="78" t="n">
        <f aca="false">IF(OR(O55="",H55=""),"",H55/O55-1)</f>
        <v>-0.0127713920817368</v>
      </c>
      <c r="R55" s="81" t="n">
        <f aca="false">'100只成分明细'!G55</f>
        <v>-0.166533576995939</v>
      </c>
      <c r="S55" s="82" t="n">
        <f aca="false">'100只成分明细'!H55</f>
        <v>4.8299518287</v>
      </c>
      <c r="T55" s="82" t="n">
        <f aca="false">'100只成分明细'!I55</f>
        <v>6.8497099241</v>
      </c>
      <c r="U55" s="83" t="n">
        <f aca="false">S55-T55</f>
        <v>-2.0197580954</v>
      </c>
      <c r="V55" s="78" t="n">
        <f aca="false">IF(T55=0,"",S55/T55-1)</f>
        <v>-0.294867683125338</v>
      </c>
      <c r="W55" s="55" t="n">
        <f aca="false">IF(U55&gt;0,1,0)</f>
        <v>0</v>
      </c>
      <c r="X55" s="84" t="n">
        <v>0.41</v>
      </c>
      <c r="Y55" s="79" t="n">
        <f aca="false">IF(OR(X55="",H55=""),"",X55/H55)</f>
        <v>0.0530401034928849</v>
      </c>
      <c r="Z55" s="75" t="n">
        <v>3</v>
      </c>
      <c r="AA55" s="77" t="n">
        <v>11.55</v>
      </c>
      <c r="AB55" s="77" t="n">
        <v>0.94</v>
      </c>
      <c r="AC55" s="85" t="n">
        <f aca="false">IF(AND(AA55&gt;0,AA55&lt;100),MIN(AA55,50),"")</f>
        <v>11.55</v>
      </c>
      <c r="AD55" s="55" t="n">
        <f aca="false">IF(AC55="",0,1)</f>
        <v>1</v>
      </c>
      <c r="AE55" s="85" t="n">
        <f aca="false">IF(AND(AB55&gt;0,AB55&lt;10),MIN(AB55,5),"")</f>
        <v>0.94</v>
      </c>
      <c r="AF55" s="55" t="n">
        <f aca="false">IF(AE55="",0,1)</f>
        <v>1</v>
      </c>
      <c r="AG55" s="82" t="n">
        <f aca="false">'100只成分明细'!O55</f>
        <v>1.8952702627</v>
      </c>
      <c r="AH55" s="82" t="n">
        <f aca="false">'100只成分明细'!P55</f>
        <v>1.2405304095</v>
      </c>
      <c r="AI55" s="55" t="n">
        <f aca="false">IF(AG55&gt;AH55,1,0)</f>
        <v>1</v>
      </c>
    </row>
    <row r="56" customFormat="false" ht="18" hidden="false" customHeight="true" outlineLevel="0" collapsed="false">
      <c r="A56" s="74" t="str">
        <f aca="false">'100只成分明细'!A56</f>
        <v>600901</v>
      </c>
      <c r="B56" s="74" t="str">
        <f aca="false">'100只成分明细'!B56</f>
        <v>江苏金租</v>
      </c>
      <c r="C56" s="75" t="s">
        <v>51</v>
      </c>
      <c r="D56" s="74" t="str">
        <f aca="false">'100只成分明细'!C56</f>
        <v>其他</v>
      </c>
      <c r="E56" s="76" t="n">
        <f aca="false">'100只成分明细'!D56</f>
        <v>0.01112</v>
      </c>
      <c r="F56" s="75" t="s">
        <v>539</v>
      </c>
      <c r="G56" s="77" t="n">
        <v>6.54</v>
      </c>
      <c r="H56" s="77" t="n">
        <v>7.25</v>
      </c>
      <c r="I56" s="78" t="n">
        <f aca="false">IF(OR(G56="",H56=""),"",H56/G56-1)</f>
        <v>0.108562691131499</v>
      </c>
      <c r="J56" s="77" t="n">
        <v>6.94</v>
      </c>
      <c r="K56" s="79" t="n">
        <f aca="false">IF(OR(J56="",H56=""),"",H56/J56-1)</f>
        <v>0.0446685878962536</v>
      </c>
      <c r="L56" s="77" t="n">
        <v>6.46</v>
      </c>
      <c r="M56" s="80" t="n">
        <v>46265</v>
      </c>
      <c r="N56" s="79" t="n">
        <f aca="false">IF(OR(L56="",H56=""),"",H56/L56-1)</f>
        <v>0.122291021671827</v>
      </c>
      <c r="O56" s="77" t="n">
        <v>7.3</v>
      </c>
      <c r="P56" s="80" t="n">
        <v>46308</v>
      </c>
      <c r="Q56" s="78" t="n">
        <f aca="false">IF(OR(O56="",H56=""),"",H56/O56-1)</f>
        <v>-0.00684931506849318</v>
      </c>
      <c r="R56" s="81" t="n">
        <f aca="false">'100只成分明细'!G56</f>
        <v>0.169079065611058</v>
      </c>
      <c r="S56" s="82" t="n">
        <f aca="false">'100只成分明细'!H56</f>
        <v>17.0915956735</v>
      </c>
      <c r="T56" s="82" t="n">
        <f aca="false">'100只成分明细'!I56</f>
        <v>15.6411911964</v>
      </c>
      <c r="U56" s="83" t="n">
        <f aca="false">S56-T56</f>
        <v>1.4504044771</v>
      </c>
      <c r="V56" s="78" t="n">
        <f aca="false">IF(T56=0,"",S56/T56-1)</f>
        <v>0.092729796528146</v>
      </c>
      <c r="W56" s="55" t="n">
        <f aca="false">IF(U56&gt;0,1,0)</f>
        <v>1</v>
      </c>
      <c r="X56" s="84" t="n">
        <v>0.3</v>
      </c>
      <c r="Y56" s="79" t="n">
        <f aca="false">IF(OR(X56="",H56=""),"",X56/H56)</f>
        <v>0.0413793103448276</v>
      </c>
      <c r="Z56" s="75" t="n">
        <v>3</v>
      </c>
      <c r="AA56" s="77" t="n">
        <v>12.4</v>
      </c>
      <c r="AB56" s="77" t="n">
        <v>1.63</v>
      </c>
      <c r="AC56" s="85" t="n">
        <f aca="false">IF(AND(AA56&gt;0,AA56&lt;100),MIN(AA56,50),"")</f>
        <v>12.4</v>
      </c>
      <c r="AD56" s="55" t="n">
        <f aca="false">IF(AC56="",0,1)</f>
        <v>1</v>
      </c>
      <c r="AE56" s="85" t="n">
        <f aca="false">IF(AND(AB56&gt;0,AB56&lt;10),MIN(AB56,5),"")</f>
        <v>1.63</v>
      </c>
      <c r="AF56" s="55" t="n">
        <f aca="false">IF(AE56="",0,1)</f>
        <v>1</v>
      </c>
      <c r="AG56" s="82" t="n">
        <f aca="false">'100只成分明细'!O56</f>
        <v>-13.9209559492</v>
      </c>
      <c r="AH56" s="82" t="n">
        <f aca="false">'100只成分明细'!P56</f>
        <v>-50.5704932102</v>
      </c>
      <c r="AI56" s="55" t="n">
        <f aca="false">IF(AG56&gt;AH56,1,0)</f>
        <v>1</v>
      </c>
    </row>
    <row r="57" customFormat="false" ht="18" hidden="false" customHeight="true" outlineLevel="0" collapsed="false">
      <c r="A57" s="74" t="str">
        <f aca="false">'100只成分明细'!A57</f>
        <v>600919</v>
      </c>
      <c r="B57" s="74" t="str">
        <f aca="false">'100只成分明细'!B57</f>
        <v>江苏银行</v>
      </c>
      <c r="C57" s="75" t="s">
        <v>21</v>
      </c>
      <c r="D57" s="74" t="str">
        <f aca="false">'100只成分明细'!C57</f>
        <v>银行</v>
      </c>
      <c r="E57" s="76" t="n">
        <f aca="false">'100只成分明细'!D57</f>
        <v>0.01229</v>
      </c>
      <c r="F57" s="75" t="s">
        <v>528</v>
      </c>
      <c r="G57" s="77" t="n">
        <v>12.09</v>
      </c>
      <c r="H57" s="77" t="n">
        <v>12.48</v>
      </c>
      <c r="I57" s="78" t="n">
        <f aca="false">IF(OR(G57="",H57=""),"",H57/G57-1)</f>
        <v>0.032258064516129</v>
      </c>
      <c r="J57" s="77" t="n">
        <v>12.38</v>
      </c>
      <c r="K57" s="79" t="n">
        <f aca="false">IF(OR(J57="",H57=""),"",H57/J57-1)</f>
        <v>0.00807754442649422</v>
      </c>
      <c r="L57" s="77" t="n">
        <v>11.95</v>
      </c>
      <c r="M57" s="80" t="n">
        <v>46287</v>
      </c>
      <c r="N57" s="79" t="n">
        <f aca="false">IF(OR(L57="",H57=""),"",H57/L57-1)</f>
        <v>0.0443514644351466</v>
      </c>
      <c r="O57" s="77" t="n">
        <v>12.8</v>
      </c>
      <c r="P57" s="80" t="n">
        <v>46279</v>
      </c>
      <c r="Q57" s="78" t="n">
        <f aca="false">IF(OR(O57="",H57=""),"",H57/O57-1)</f>
        <v>-0.025</v>
      </c>
      <c r="R57" s="81" t="n">
        <f aca="false">'100只成分明细'!G57</f>
        <v>0.0911070211472411</v>
      </c>
      <c r="S57" s="82" t="n">
        <f aca="false">'100只成分明细'!H57</f>
        <v>218.75647</v>
      </c>
      <c r="T57" s="82" t="n">
        <f aca="false">'100只成分明细'!I57</f>
        <v>202.38459</v>
      </c>
      <c r="U57" s="83" t="n">
        <f aca="false">S57-T57</f>
        <v>16.37188</v>
      </c>
      <c r="V57" s="78" t="n">
        <f aca="false">IF(T57=0,"",S57/T57-1)</f>
        <v>0.0808948942209484</v>
      </c>
      <c r="W57" s="55" t="n">
        <f aca="false">IF(U57&gt;0,1,0)</f>
        <v>1</v>
      </c>
      <c r="X57" s="84" t="n">
        <v>0.5641</v>
      </c>
      <c r="Y57" s="79" t="n">
        <f aca="false">IF(OR(X57="",H57=""),"",X57/H57)</f>
        <v>0.0452003205128205</v>
      </c>
      <c r="Z57" s="75" t="n">
        <v>3</v>
      </c>
      <c r="AA57" s="77" t="n">
        <v>6.34</v>
      </c>
      <c r="AB57" s="77" t="n">
        <v>0.84</v>
      </c>
      <c r="AC57" s="85" t="n">
        <f aca="false">IF(AND(AA57&gt;0,AA57&lt;100),MIN(AA57,50),"")</f>
        <v>6.34</v>
      </c>
      <c r="AD57" s="55" t="n">
        <f aca="false">IF(AC57="",0,1)</f>
        <v>1</v>
      </c>
      <c r="AE57" s="85" t="n">
        <f aca="false">IF(AND(AB57&gt;0,AB57&lt;10),MIN(AB57,5),"")</f>
        <v>0.84</v>
      </c>
      <c r="AF57" s="55" t="n">
        <f aca="false">IF(AE57="",0,1)</f>
        <v>1</v>
      </c>
      <c r="AG57" s="82" t="n">
        <f aca="false">'100只成分明细'!O57</f>
        <v>1892.71509</v>
      </c>
      <c r="AH57" s="82" t="n">
        <f aca="false">'100只成分明细'!P57</f>
        <v>3130.4401</v>
      </c>
      <c r="AI57" s="55" t="n">
        <f aca="false">IF(AG57&gt;AH57,1,0)</f>
        <v>0</v>
      </c>
    </row>
    <row r="58" customFormat="false" ht="18" hidden="false" customHeight="true" outlineLevel="0" collapsed="false">
      <c r="A58" s="74" t="str">
        <f aca="false">'100只成分明细'!A58</f>
        <v>600938</v>
      </c>
      <c r="B58" s="74" t="str">
        <f aca="false">'100只成分明细'!B58</f>
        <v>中国海油</v>
      </c>
      <c r="C58" s="75" t="s">
        <v>46</v>
      </c>
      <c r="D58" s="74" t="str">
        <f aca="false">'100只成分明细'!C58</f>
        <v>油气</v>
      </c>
      <c r="E58" s="76" t="n">
        <f aca="false">'100只成分明细'!D58</f>
        <v>0.01104</v>
      </c>
      <c r="F58" s="75" t="s">
        <v>540</v>
      </c>
      <c r="G58" s="77" t="n">
        <v>34.71</v>
      </c>
      <c r="H58" s="77" t="n">
        <v>34.27</v>
      </c>
      <c r="I58" s="78" t="n">
        <f aca="false">IF(OR(G58="",H58=""),"",H58/G58-1)</f>
        <v>-0.0126764621146643</v>
      </c>
      <c r="J58" s="77" t="n">
        <v>33.42</v>
      </c>
      <c r="K58" s="79" t="n">
        <f aca="false">IF(OR(J58="",H58=""),"",H58/J58-1)</f>
        <v>0.0254338719329743</v>
      </c>
      <c r="L58" s="77" t="n">
        <v>31.84</v>
      </c>
      <c r="M58" s="80" t="n">
        <v>46286</v>
      </c>
      <c r="N58" s="79" t="n">
        <f aca="false">IF(OR(L58="",H58=""),"",H58/L58-1)</f>
        <v>0.0763190954773871</v>
      </c>
      <c r="O58" s="77" t="n">
        <v>35.5</v>
      </c>
      <c r="P58" s="80" t="n">
        <v>46276</v>
      </c>
      <c r="Q58" s="78" t="n">
        <f aca="false">IF(OR(O58="",H58=""),"",H58/O58-1)</f>
        <v>-0.0346478873239435</v>
      </c>
      <c r="R58" s="81" t="n">
        <f aca="false">'100只成分明细'!G58</f>
        <v>0.16883742437671</v>
      </c>
      <c r="S58" s="82" t="n">
        <f aca="false">'100只成分明细'!H58</f>
        <v>858.18</v>
      </c>
      <c r="T58" s="82" t="n">
        <f aca="false">'100只成分明细'!I58</f>
        <v>695.33</v>
      </c>
      <c r="U58" s="83" t="n">
        <f aca="false">S58-T58</f>
        <v>162.85</v>
      </c>
      <c r="V58" s="78" t="n">
        <f aca="false">IF(T58=0,"",S58/T58-1)</f>
        <v>0.234205341348712</v>
      </c>
      <c r="W58" s="55" t="n">
        <f aca="false">IF(U58&gt;0,1,0)</f>
        <v>1</v>
      </c>
      <c r="X58" s="84" t="n">
        <v>1.14493</v>
      </c>
      <c r="Y58" s="79" t="n">
        <f aca="false">IF(OR(X58="",H58=""),"",X58/H58)</f>
        <v>0.0334091041727458</v>
      </c>
      <c r="Z58" s="75" t="n">
        <v>3</v>
      </c>
      <c r="AA58" s="77" t="n">
        <v>11.77</v>
      </c>
      <c r="AB58" s="77" t="n">
        <v>1.91</v>
      </c>
      <c r="AC58" s="85" t="n">
        <f aca="false">IF(AND(AA58&gt;0,AA58&lt;100),MIN(AA58,50),"")</f>
        <v>11.77</v>
      </c>
      <c r="AD58" s="55" t="n">
        <f aca="false">IF(AC58="",0,1)</f>
        <v>1</v>
      </c>
      <c r="AE58" s="85" t="n">
        <f aca="false">IF(AND(AB58&gt;0,AB58&lt;10),MIN(AB58,5),"")</f>
        <v>1.91</v>
      </c>
      <c r="AF58" s="55" t="n">
        <f aca="false">IF(AE58="",0,1)</f>
        <v>1</v>
      </c>
      <c r="AG58" s="82" t="n">
        <f aca="false">'100只成分明细'!O58</f>
        <v>1416.31</v>
      </c>
      <c r="AH58" s="82" t="n">
        <f aca="false">'100只成分明细'!P58</f>
        <v>1091.82</v>
      </c>
      <c r="AI58" s="55" t="n">
        <f aca="false">IF(AG58&gt;AH58,1,0)</f>
        <v>1</v>
      </c>
    </row>
    <row r="59" customFormat="false" ht="18" hidden="false" customHeight="true" outlineLevel="0" collapsed="false">
      <c r="A59" s="74" t="str">
        <f aca="false">'100只成分明细'!A59</f>
        <v>600971</v>
      </c>
      <c r="B59" s="74" t="str">
        <f aca="false">'100只成分明细'!B59</f>
        <v>恒源煤电</v>
      </c>
      <c r="C59" s="75" t="s">
        <v>22</v>
      </c>
      <c r="D59" s="74" t="str">
        <f aca="false">'100只成分明细'!C59</f>
        <v>煤炭</v>
      </c>
      <c r="E59" s="76" t="n">
        <f aca="false">'100只成分明细'!D59</f>
        <v>0.00588</v>
      </c>
      <c r="F59" s="75" t="s">
        <v>517</v>
      </c>
      <c r="G59" s="77" t="n">
        <v>9.19</v>
      </c>
      <c r="H59" s="77" t="n">
        <v>8.3</v>
      </c>
      <c r="I59" s="78" t="n">
        <f aca="false">IF(OR(G59="",H59=""),"",H59/G59-1)</f>
        <v>-0.0968443960826985</v>
      </c>
      <c r="J59" s="77" t="n">
        <v>8.19</v>
      </c>
      <c r="K59" s="79" t="n">
        <f aca="false">IF(OR(J59="",H59=""),"",H59/J59-1)</f>
        <v>0.0134310134310136</v>
      </c>
      <c r="L59" s="77" t="n">
        <v>8.08</v>
      </c>
      <c r="M59" s="80" t="n">
        <v>46294</v>
      </c>
      <c r="N59" s="79" t="n">
        <f aca="false">IF(OR(L59="",H59=""),"",H59/L59-1)</f>
        <v>0.0272277227722773</v>
      </c>
      <c r="O59" s="77" t="n">
        <v>9.49</v>
      </c>
      <c r="P59" s="80" t="n">
        <v>46266</v>
      </c>
      <c r="Q59" s="78" t="n">
        <f aca="false">IF(OR(O59="",H59=""),"",H59/O59-1)</f>
        <v>-0.125395152792413</v>
      </c>
      <c r="R59" s="81" t="n">
        <f aca="false">'100只成分明细'!G59</f>
        <v>0.448213255037949</v>
      </c>
      <c r="S59" s="82" t="n">
        <f aca="false">'100只成分明细'!H59</f>
        <v>1.6124425383</v>
      </c>
      <c r="T59" s="82" t="n">
        <f aca="false">'100只成分明细'!I59</f>
        <v>-1.292125412</v>
      </c>
      <c r="U59" s="83" t="n">
        <f aca="false">S59-T59</f>
        <v>2.9045679503</v>
      </c>
      <c r="V59" s="78" t="n">
        <f aca="false">IF(T59=0,"",S59/T59-1)</f>
        <v>-2.24789940924094</v>
      </c>
      <c r="W59" s="55" t="n">
        <f aca="false">IF(U59&gt;0,1,0)</f>
        <v>1</v>
      </c>
      <c r="X59" s="84" t="n">
        <v>0.25</v>
      </c>
      <c r="Y59" s="79" t="n">
        <f aca="false">IF(OR(X59="",H59=""),"",X59/H59)</f>
        <v>0.0301204819277108</v>
      </c>
      <c r="Z59" s="75" t="n">
        <v>3</v>
      </c>
      <c r="AA59" s="77" t="n">
        <v>100.91</v>
      </c>
      <c r="AB59" s="77" t="n">
        <v>0.85</v>
      </c>
      <c r="AC59" s="85" t="str">
        <f aca="false">IF(AND(AA59&gt;0,AA59&lt;100),MIN(AA59,50),"")</f>
        <v/>
      </c>
      <c r="AD59" s="55" t="n">
        <f aca="false">IF(AC59="",0,1)</f>
        <v>0</v>
      </c>
      <c r="AE59" s="85" t="n">
        <f aca="false">IF(AND(AB59&gt;0,AB59&lt;10),MIN(AB59,5),"")</f>
        <v>0.85</v>
      </c>
      <c r="AF59" s="55" t="n">
        <f aca="false">IF(AE59="",0,1)</f>
        <v>1</v>
      </c>
      <c r="AG59" s="82" t="n">
        <f aca="false">'100只成分明细'!O59</f>
        <v>14.3524742066</v>
      </c>
      <c r="AH59" s="82" t="n">
        <f aca="false">'100只成分明细'!P59</f>
        <v>-2.2913256114</v>
      </c>
      <c r="AI59" s="55" t="n">
        <f aca="false">IF(AG59&gt;AH59,1,0)</f>
        <v>1</v>
      </c>
    </row>
    <row r="60" customFormat="false" ht="18" hidden="false" customHeight="true" outlineLevel="0" collapsed="false">
      <c r="A60" s="74" t="str">
        <f aca="false">'100只成分明细'!A60</f>
        <v>600985</v>
      </c>
      <c r="B60" s="74" t="str">
        <f aca="false">'100只成分明细'!B60</f>
        <v>淮北矿业</v>
      </c>
      <c r="C60" s="75" t="s">
        <v>22</v>
      </c>
      <c r="D60" s="74" t="str">
        <f aca="false">'100只成分明细'!C60</f>
        <v>煤炭</v>
      </c>
      <c r="E60" s="76" t="n">
        <f aca="false">'100只成分明细'!D60</f>
        <v>0.01548</v>
      </c>
      <c r="F60" s="75" t="s">
        <v>517</v>
      </c>
      <c r="G60" s="77" t="n">
        <v>18.74</v>
      </c>
      <c r="H60" s="77" t="n">
        <v>15.6</v>
      </c>
      <c r="I60" s="78" t="n">
        <f aca="false">IF(OR(G60="",H60=""),"",H60/G60-1)</f>
        <v>-0.167556029882604</v>
      </c>
      <c r="J60" s="77" t="n">
        <v>15.87</v>
      </c>
      <c r="K60" s="79" t="n">
        <f aca="false">IF(OR(J60="",H60=""),"",H60/J60-1)</f>
        <v>-0.0170132325141776</v>
      </c>
      <c r="L60" s="77" t="n">
        <v>15.57</v>
      </c>
      <c r="M60" s="80" t="n">
        <v>46294</v>
      </c>
      <c r="N60" s="79" t="n">
        <f aca="false">IF(OR(L60="",H60=""),"",H60/L60-1)</f>
        <v>0.0019267822736031</v>
      </c>
      <c r="O60" s="77" t="n">
        <v>18.77</v>
      </c>
      <c r="P60" s="80" t="n">
        <v>46266</v>
      </c>
      <c r="Q60" s="78" t="n">
        <f aca="false">IF(OR(O60="",H60=""),"",H60/O60-1)</f>
        <v>-0.16888652104422</v>
      </c>
      <c r="R60" s="81" t="n">
        <f aca="false">'100只成分明细'!G60</f>
        <v>0.0368661376166697</v>
      </c>
      <c r="S60" s="82" t="n">
        <f aca="false">'100只成分明细'!H60</f>
        <v>12.3910746032</v>
      </c>
      <c r="T60" s="82" t="n">
        <f aca="false">'100只成分明细'!I60</f>
        <v>10.3161555991</v>
      </c>
      <c r="U60" s="83" t="n">
        <f aca="false">S60-T60</f>
        <v>2.0749190041</v>
      </c>
      <c r="V60" s="78" t="n">
        <f aca="false">IF(T60=0,"",S60/T60-1)</f>
        <v>0.201132968979357</v>
      </c>
      <c r="W60" s="55" t="n">
        <f aca="false">IF(U60&gt;0,1,0)</f>
        <v>1</v>
      </c>
      <c r="X60" s="84" t="n">
        <v>0.25</v>
      </c>
      <c r="Y60" s="79" t="n">
        <f aca="false">IF(OR(X60="",H60=""),"",X60/H60)</f>
        <v>0.016025641025641</v>
      </c>
      <c r="Z60" s="75" t="n">
        <v>3</v>
      </c>
      <c r="AA60" s="77" t="n">
        <v>24.52</v>
      </c>
      <c r="AB60" s="77" t="n">
        <v>0.99</v>
      </c>
      <c r="AC60" s="85" t="n">
        <f aca="false">IF(AND(AA60&gt;0,AA60&lt;100),MIN(AA60,50),"")</f>
        <v>24.52</v>
      </c>
      <c r="AD60" s="55" t="n">
        <f aca="false">IF(AC60="",0,1)</f>
        <v>1</v>
      </c>
      <c r="AE60" s="85" t="n">
        <f aca="false">IF(AND(AB60&gt;0,AB60&lt;10),MIN(AB60,5),"")</f>
        <v>0.99</v>
      </c>
      <c r="AF60" s="55" t="n">
        <f aca="false">IF(AE60="",0,1)</f>
        <v>1</v>
      </c>
      <c r="AG60" s="82" t="n">
        <f aca="false">'100只成分明细'!O60</f>
        <v>23.8509313396</v>
      </c>
      <c r="AH60" s="82" t="n">
        <f aca="false">'100只成分明细'!P60</f>
        <v>21.2594324991</v>
      </c>
      <c r="AI60" s="55" t="n">
        <f aca="false">IF(AG60&gt;AH60,1,0)</f>
        <v>1</v>
      </c>
    </row>
    <row r="61" customFormat="false" ht="18" hidden="false" customHeight="true" outlineLevel="0" collapsed="false">
      <c r="A61" s="74" t="str">
        <f aca="false">'100只成分明细'!A61</f>
        <v>600997</v>
      </c>
      <c r="B61" s="74" t="str">
        <f aca="false">'100只成分明细'!B61</f>
        <v>开滦股份</v>
      </c>
      <c r="C61" s="75" t="s">
        <v>22</v>
      </c>
      <c r="D61" s="74" t="str">
        <f aca="false">'100只成分明细'!C61</f>
        <v>煤炭</v>
      </c>
      <c r="E61" s="76" t="n">
        <f aca="false">'100只成分明细'!D61</f>
        <v>0.0046</v>
      </c>
      <c r="F61" s="75" t="s">
        <v>541</v>
      </c>
      <c r="G61" s="77" t="n">
        <v>5.87</v>
      </c>
      <c r="H61" s="77" t="n">
        <v>5.18</v>
      </c>
      <c r="I61" s="78" t="n">
        <f aca="false">IF(OR(G61="",H61=""),"",H61/G61-1)</f>
        <v>-0.117546848381601</v>
      </c>
      <c r="J61" s="77" t="n">
        <v>5.22</v>
      </c>
      <c r="K61" s="79" t="n">
        <f aca="false">IF(OR(J61="",H61=""),"",H61/J61-1)</f>
        <v>-0.0076628352490421</v>
      </c>
      <c r="L61" s="77" t="n">
        <v>5.08</v>
      </c>
      <c r="M61" s="80" t="n">
        <v>46293</v>
      </c>
      <c r="N61" s="79" t="n">
        <f aca="false">IF(OR(L61="",H61=""),"",H61/L61-1)</f>
        <v>0.0196850393700787</v>
      </c>
      <c r="O61" s="77" t="n">
        <v>5.96</v>
      </c>
      <c r="P61" s="80" t="n">
        <v>46266</v>
      </c>
      <c r="Q61" s="78" t="n">
        <f aca="false">IF(OR(O61="",H61=""),"",H61/O61-1)</f>
        <v>-0.130872483221477</v>
      </c>
      <c r="R61" s="81" t="n">
        <f aca="false">'100只成分明细'!G61</f>
        <v>0.072460956217911</v>
      </c>
      <c r="S61" s="82" t="n">
        <f aca="false">'100只成分明细'!H61</f>
        <v>-1.3815368164</v>
      </c>
      <c r="T61" s="82" t="n">
        <f aca="false">'100只成分明细'!I61</f>
        <v>3.6070946198</v>
      </c>
      <c r="U61" s="83" t="n">
        <f aca="false">S61-T61</f>
        <v>-4.9886314362</v>
      </c>
      <c r="V61" s="78" t="n">
        <f aca="false">IF(T61=0,"",S61/T61-1)</f>
        <v>-1.38300542736431</v>
      </c>
      <c r="W61" s="55" t="n">
        <f aca="false">IF(U61&gt;0,1,0)</f>
        <v>0</v>
      </c>
      <c r="X61" s="84" t="n">
        <v>0.02</v>
      </c>
      <c r="Y61" s="79" t="n">
        <f aca="false">IF(OR(X61="",H61=""),"",X61/H61)</f>
        <v>0.00386100386100386</v>
      </c>
      <c r="Z61" s="75" t="n">
        <v>3</v>
      </c>
      <c r="AA61" s="77" t="n">
        <v>-15.48</v>
      </c>
      <c r="AB61" s="77" t="n">
        <v>0.61</v>
      </c>
      <c r="AC61" s="85" t="str">
        <f aca="false">IF(AND(AA61&gt;0,AA61&lt;100),MIN(AA61,50),"")</f>
        <v/>
      </c>
      <c r="AD61" s="55" t="n">
        <f aca="false">IF(AC61="",0,1)</f>
        <v>0</v>
      </c>
      <c r="AE61" s="85" t="n">
        <f aca="false">IF(AND(AB61&gt;0,AB61&lt;10),MIN(AB61,5),"")</f>
        <v>0.61</v>
      </c>
      <c r="AF61" s="55" t="n">
        <f aca="false">IF(AE61="",0,1)</f>
        <v>1</v>
      </c>
      <c r="AG61" s="82" t="n">
        <f aca="false">'100只成分明细'!O61</f>
        <v>1.4144734336</v>
      </c>
      <c r="AH61" s="82" t="n">
        <f aca="false">'100只成分明细'!P61</f>
        <v>-3.0434491249</v>
      </c>
      <c r="AI61" s="55" t="n">
        <f aca="false">IF(AG61&gt;AH61,1,0)</f>
        <v>1</v>
      </c>
    </row>
    <row r="62" customFormat="false" ht="18" hidden="false" customHeight="true" outlineLevel="0" collapsed="false">
      <c r="A62" s="74" t="str">
        <f aca="false">'100只成分明细'!A62</f>
        <v>601000</v>
      </c>
      <c r="B62" s="74" t="str">
        <f aca="false">'100只成分明细'!B62</f>
        <v>唐山港</v>
      </c>
      <c r="C62" s="75" t="s">
        <v>48</v>
      </c>
      <c r="D62" s="74" t="str">
        <f aca="false">'100只成分明细'!C62</f>
        <v>交通运输</v>
      </c>
      <c r="E62" s="76" t="n">
        <f aca="false">'100只成分明细'!D62</f>
        <v>0.01159</v>
      </c>
      <c r="F62" s="75" t="s">
        <v>542</v>
      </c>
      <c r="G62" s="77" t="n">
        <v>4.56</v>
      </c>
      <c r="H62" s="77" t="n">
        <v>4.84</v>
      </c>
      <c r="I62" s="78" t="n">
        <f aca="false">IF(OR(G62="",H62=""),"",H62/G62-1)</f>
        <v>0.0614035087719298</v>
      </c>
      <c r="J62" s="77" t="n">
        <v>4.62</v>
      </c>
      <c r="K62" s="79" t="n">
        <f aca="false">IF(OR(J62="",H62=""),"",H62/J62-1)</f>
        <v>0.0476190476190477</v>
      </c>
      <c r="L62" s="77" t="n">
        <v>4.3</v>
      </c>
      <c r="M62" s="80" t="n">
        <v>46289</v>
      </c>
      <c r="N62" s="79" t="n">
        <f aca="false">IF(OR(L62="",H62=""),"",H62/L62-1)</f>
        <v>0.125581395348837</v>
      </c>
      <c r="O62" s="77" t="n">
        <v>4.87</v>
      </c>
      <c r="P62" s="80" t="n">
        <v>46308</v>
      </c>
      <c r="Q62" s="78" t="n">
        <f aca="false">IF(OR(O62="",H62=""),"",H62/O62-1)</f>
        <v>-0.00616016427104726</v>
      </c>
      <c r="R62" s="81" t="n">
        <f aca="false">'100只成分明细'!G62</f>
        <v>0.1518312368394</v>
      </c>
      <c r="S62" s="82" t="n">
        <f aca="false">'100只成分明细'!H62</f>
        <v>10.0840792309</v>
      </c>
      <c r="T62" s="82" t="n">
        <f aca="false">'100只成分明细'!I62</f>
        <v>8.8478922174</v>
      </c>
      <c r="U62" s="83" t="n">
        <f aca="false">S62-T62</f>
        <v>1.2361870135</v>
      </c>
      <c r="V62" s="78" t="n">
        <f aca="false">IF(T62=0,"",S62/T62-1)</f>
        <v>0.139715424094899</v>
      </c>
      <c r="W62" s="55" t="n">
        <f aca="false">IF(U62&gt;0,1,0)</f>
        <v>1</v>
      </c>
      <c r="X62" s="84" t="n">
        <v>0.2</v>
      </c>
      <c r="Y62" s="79" t="n">
        <f aca="false">IF(OR(X62="",H62=""),"",X62/H62)</f>
        <v>0.0413223140495868</v>
      </c>
      <c r="Z62" s="75" t="n">
        <v>3</v>
      </c>
      <c r="AA62" s="77" t="n">
        <v>13.52</v>
      </c>
      <c r="AB62" s="77" t="n">
        <v>1.35</v>
      </c>
      <c r="AC62" s="85" t="n">
        <f aca="false">IF(AND(AA62&gt;0,AA62&lt;100),MIN(AA62,50),"")</f>
        <v>13.52</v>
      </c>
      <c r="AD62" s="55" t="n">
        <f aca="false">IF(AC62="",0,1)</f>
        <v>1</v>
      </c>
      <c r="AE62" s="85" t="n">
        <f aca="false">IF(AND(AB62&gt;0,AB62&lt;10),MIN(AB62,5),"")</f>
        <v>1.35</v>
      </c>
      <c r="AF62" s="55" t="n">
        <f aca="false">IF(AE62="",0,1)</f>
        <v>1</v>
      </c>
      <c r="AG62" s="82" t="n">
        <f aca="false">'100只成分明细'!O62</f>
        <v>11.0523947526</v>
      </c>
      <c r="AH62" s="82" t="n">
        <f aca="false">'100只成分明细'!P62</f>
        <v>8.8072127916</v>
      </c>
      <c r="AI62" s="55" t="n">
        <f aca="false">IF(AG62&gt;AH62,1,0)</f>
        <v>1</v>
      </c>
    </row>
    <row r="63" customFormat="false" ht="18" hidden="false" customHeight="true" outlineLevel="0" collapsed="false">
      <c r="A63" s="74" t="str">
        <f aca="false">'100只成分明细'!A63</f>
        <v>601001</v>
      </c>
      <c r="B63" s="74" t="str">
        <f aca="false">'100只成分明细'!B63</f>
        <v>晋控煤业</v>
      </c>
      <c r="C63" s="75" t="s">
        <v>22</v>
      </c>
      <c r="D63" s="74" t="str">
        <f aca="false">'100只成分明细'!C63</f>
        <v>煤炭</v>
      </c>
      <c r="E63" s="76" t="n">
        <f aca="false">'100只成分明细'!D63</f>
        <v>0.0116</v>
      </c>
      <c r="F63" s="75" t="s">
        <v>517</v>
      </c>
      <c r="G63" s="77" t="n">
        <v>18.28</v>
      </c>
      <c r="H63" s="77" t="n">
        <v>16.76</v>
      </c>
      <c r="I63" s="78" t="n">
        <f aca="false">IF(OR(G63="",H63=""),"",H63/G63-1)</f>
        <v>-0.0831509846827133</v>
      </c>
      <c r="J63" s="77" t="n">
        <v>17.21</v>
      </c>
      <c r="K63" s="79" t="n">
        <f aca="false">IF(OR(J63="",H63=""),"",H63/J63-1)</f>
        <v>-0.0261475886112724</v>
      </c>
      <c r="L63" s="77" t="n">
        <v>16.13</v>
      </c>
      <c r="M63" s="80" t="n">
        <v>46269</v>
      </c>
      <c r="N63" s="79" t="n">
        <f aca="false">IF(OR(L63="",H63=""),"",H63/L63-1)</f>
        <v>0.0390576565406078</v>
      </c>
      <c r="O63" s="77" t="n">
        <v>18.84</v>
      </c>
      <c r="P63" s="80" t="n">
        <v>46265</v>
      </c>
      <c r="Q63" s="78" t="n">
        <f aca="false">IF(OR(O63="",H63=""),"",H63/O63-1)</f>
        <v>-0.110403397027601</v>
      </c>
      <c r="R63" s="81" t="n">
        <f aca="false">'100只成分明细'!G63</f>
        <v>0.0256993278761877</v>
      </c>
      <c r="S63" s="82" t="n">
        <f aca="false">'100只成分明细'!H63</f>
        <v>7.2340011418</v>
      </c>
      <c r="T63" s="82" t="n">
        <f aca="false">'100只成分明细'!I63</f>
        <v>8.7610095427</v>
      </c>
      <c r="U63" s="83" t="n">
        <f aca="false">S63-T63</f>
        <v>-1.5270084009</v>
      </c>
      <c r="V63" s="78" t="n">
        <f aca="false">IF(T63=0,"",S63/T63-1)</f>
        <v>-0.174295940833937</v>
      </c>
      <c r="W63" s="55" t="n">
        <f aca="false">IF(U63&gt;0,1,0)</f>
        <v>0</v>
      </c>
      <c r="X63" s="84" t="n">
        <v>0.547</v>
      </c>
      <c r="Y63" s="79" t="n">
        <f aca="false">IF(OR(X63="",H63=""),"",X63/H63)</f>
        <v>0.0326372315035799</v>
      </c>
      <c r="Z63" s="75" t="n">
        <v>3</v>
      </c>
      <c r="AA63" s="77" t="n">
        <v>16.71</v>
      </c>
      <c r="AB63" s="77" t="n">
        <v>1.47</v>
      </c>
      <c r="AC63" s="85" t="n">
        <f aca="false">IF(AND(AA63&gt;0,AA63&lt;100),MIN(AA63,50),"")</f>
        <v>16.71</v>
      </c>
      <c r="AD63" s="55" t="n">
        <f aca="false">IF(AC63="",0,1)</f>
        <v>1</v>
      </c>
      <c r="AE63" s="85" t="n">
        <f aca="false">IF(AND(AB63&gt;0,AB63&lt;10),MIN(AB63,5),"")</f>
        <v>1.47</v>
      </c>
      <c r="AF63" s="55" t="n">
        <f aca="false">IF(AE63="",0,1)</f>
        <v>1</v>
      </c>
      <c r="AG63" s="82" t="n">
        <f aca="false">'100只成分明细'!O63</f>
        <v>13.6743164583</v>
      </c>
      <c r="AH63" s="82" t="n">
        <f aca="false">'100只成分明细'!P63</f>
        <v>6.5680374046</v>
      </c>
      <c r="AI63" s="55" t="n">
        <f aca="false">IF(AG63&gt;AH63,1,0)</f>
        <v>1</v>
      </c>
    </row>
    <row r="64" customFormat="false" ht="18" hidden="false" customHeight="true" outlineLevel="0" collapsed="false">
      <c r="A64" s="74" t="str">
        <f aca="false">'100只成分明细'!A64</f>
        <v>601006</v>
      </c>
      <c r="B64" s="74" t="str">
        <f aca="false">'100只成分明细'!B64</f>
        <v>大秦铁路</v>
      </c>
      <c r="C64" s="75" t="s">
        <v>48</v>
      </c>
      <c r="D64" s="74" t="str">
        <f aca="false">'100只成分明细'!C64</f>
        <v>交通运输</v>
      </c>
      <c r="E64" s="76" t="n">
        <f aca="false">'100只成分明细'!D64</f>
        <v>0.00891</v>
      </c>
      <c r="F64" s="75" t="s">
        <v>512</v>
      </c>
      <c r="G64" s="77" t="n">
        <v>4.76</v>
      </c>
      <c r="H64" s="77" t="n">
        <v>4.99</v>
      </c>
      <c r="I64" s="78" t="n">
        <f aca="false">IF(OR(G64="",H64=""),"",H64/G64-1)</f>
        <v>0.0483193277310925</v>
      </c>
      <c r="J64" s="77" t="n">
        <v>4.74</v>
      </c>
      <c r="K64" s="79" t="n">
        <f aca="false">IF(OR(J64="",H64=""),"",H64/J64-1)</f>
        <v>0.0527426160337552</v>
      </c>
      <c r="L64" s="77" t="n">
        <v>4.62</v>
      </c>
      <c r="M64" s="80" t="n">
        <v>46293</v>
      </c>
      <c r="N64" s="79" t="n">
        <f aca="false">IF(OR(L64="",H64=""),"",H64/L64-1)</f>
        <v>0.0800865800865802</v>
      </c>
      <c r="O64" s="77" t="n">
        <v>5</v>
      </c>
      <c r="P64" s="80" t="n">
        <v>46308</v>
      </c>
      <c r="Q64" s="78" t="n">
        <f aca="false">IF(OR(O64="",H64=""),"",H64/O64-1)</f>
        <v>-0.002</v>
      </c>
      <c r="R64" s="81" t="n">
        <f aca="false">'100只成分明细'!G64</f>
        <v>0.061999760692995</v>
      </c>
      <c r="S64" s="82" t="n">
        <f aca="false">'100只成分明细'!H64</f>
        <v>42.54959778</v>
      </c>
      <c r="T64" s="82" t="n">
        <f aca="false">'100只成分明细'!I64</f>
        <v>41.14932015</v>
      </c>
      <c r="U64" s="83" t="n">
        <f aca="false">S64-T64</f>
        <v>1.40027763</v>
      </c>
      <c r="V64" s="78" t="n">
        <f aca="false">IF(T64=0,"",S64/T64-1)</f>
        <v>0.0340291801880475</v>
      </c>
      <c r="W64" s="55" t="n">
        <f aca="false">IF(U64&gt;0,1,0)</f>
        <v>1</v>
      </c>
      <c r="X64" s="84" t="n">
        <v>0.22169</v>
      </c>
      <c r="Y64" s="79" t="n">
        <f aca="false">IF(OR(X64="",H64=""),"",X64/H64)</f>
        <v>0.0444268537074148</v>
      </c>
      <c r="Z64" s="75" t="n">
        <v>3</v>
      </c>
      <c r="AA64" s="77" t="n">
        <v>16.41</v>
      </c>
      <c r="AB64" s="77" t="n">
        <v>0.61</v>
      </c>
      <c r="AC64" s="85" t="n">
        <f aca="false">IF(AND(AA64&gt;0,AA64&lt;100),MIN(AA64,50),"")</f>
        <v>16.41</v>
      </c>
      <c r="AD64" s="55" t="n">
        <f aca="false">IF(AC64="",0,1)</f>
        <v>1</v>
      </c>
      <c r="AE64" s="85" t="n">
        <f aca="false">IF(AND(AB64&gt;0,AB64&lt;10),MIN(AB64,5),"")</f>
        <v>0.61</v>
      </c>
      <c r="AF64" s="55" t="n">
        <f aca="false">IF(AE64="",0,1)</f>
        <v>1</v>
      </c>
      <c r="AG64" s="82" t="n">
        <f aca="false">'100只成分明细'!O64</f>
        <v>71.91863601</v>
      </c>
      <c r="AH64" s="82" t="n">
        <f aca="false">'100只成分明细'!P64</f>
        <v>-5.78297017</v>
      </c>
      <c r="AI64" s="55" t="n">
        <f aca="false">IF(AG64&gt;AH64,1,0)</f>
        <v>1</v>
      </c>
    </row>
    <row r="65" customFormat="false" ht="18" hidden="false" customHeight="true" outlineLevel="0" collapsed="false">
      <c r="A65" s="74" t="str">
        <f aca="false">'100只成分明细'!A65</f>
        <v>601009</v>
      </c>
      <c r="B65" s="74" t="str">
        <f aca="false">'100只成分明细'!B65</f>
        <v>南京银行</v>
      </c>
      <c r="C65" s="75" t="s">
        <v>21</v>
      </c>
      <c r="D65" s="74" t="str">
        <f aca="false">'100只成分明细'!C65</f>
        <v>银行</v>
      </c>
      <c r="E65" s="76" t="n">
        <f aca="false">'100只成分明细'!D65</f>
        <v>0.01016</v>
      </c>
      <c r="F65" s="75" t="s">
        <v>528</v>
      </c>
      <c r="G65" s="77" t="n">
        <v>11.66</v>
      </c>
      <c r="H65" s="77" t="n">
        <v>12.02</v>
      </c>
      <c r="I65" s="78" t="n">
        <f aca="false">IF(OR(G65="",H65=""),"",H65/G65-1)</f>
        <v>0.0308747855917666</v>
      </c>
      <c r="J65" s="77" t="n">
        <v>11.98</v>
      </c>
      <c r="K65" s="79" t="n">
        <f aca="false">IF(OR(J65="",H65=""),"",H65/J65-1)</f>
        <v>0.003338898163606</v>
      </c>
      <c r="L65" s="77" t="n">
        <v>11.57</v>
      </c>
      <c r="M65" s="80" t="n">
        <v>46265</v>
      </c>
      <c r="N65" s="79" t="n">
        <f aca="false">IF(OR(L65="",H65=""),"",H65/L65-1)</f>
        <v>0.0388936905790838</v>
      </c>
      <c r="O65" s="77" t="n">
        <v>12.44</v>
      </c>
      <c r="P65" s="80" t="n">
        <v>46276</v>
      </c>
      <c r="Q65" s="78" t="n">
        <f aca="false">IF(OR(O65="",H65=""),"",H65/O65-1)</f>
        <v>-0.0337620578778135</v>
      </c>
      <c r="R65" s="81" t="n">
        <f aca="false">'100只成分明细'!G65</f>
        <v>0.109393325772762</v>
      </c>
      <c r="S65" s="82" t="n">
        <f aca="false">'100只成分明细'!H65</f>
        <v>136.50199</v>
      </c>
      <c r="T65" s="82" t="n">
        <f aca="false">'100只成分明细'!I65</f>
        <v>126.19215</v>
      </c>
      <c r="U65" s="83" t="n">
        <f aca="false">S65-T65</f>
        <v>10.30984</v>
      </c>
      <c r="V65" s="78" t="n">
        <f aca="false">IF(T65=0,"",S65/T65-1)</f>
        <v>0.0816995351929577</v>
      </c>
      <c r="W65" s="55" t="n">
        <f aca="false">IF(U65&gt;0,1,0)</f>
        <v>1</v>
      </c>
      <c r="X65" s="84" t="n">
        <v>0.52915</v>
      </c>
      <c r="Y65" s="79" t="n">
        <f aca="false">IF(OR(X65="",H65=""),"",X65/H65)</f>
        <v>0.044022462562396</v>
      </c>
      <c r="Z65" s="75" t="n">
        <v>3</v>
      </c>
      <c r="AA65" s="77" t="n">
        <v>6.51</v>
      </c>
      <c r="AB65" s="77" t="n">
        <v>0.77</v>
      </c>
      <c r="AC65" s="85" t="n">
        <f aca="false">IF(AND(AA65&gt;0,AA65&lt;100),MIN(AA65,50),"")</f>
        <v>6.51</v>
      </c>
      <c r="AD65" s="55" t="n">
        <f aca="false">IF(AC65="",0,1)</f>
        <v>1</v>
      </c>
      <c r="AE65" s="85" t="n">
        <f aca="false">IF(AND(AB65&gt;0,AB65&lt;10),MIN(AB65,5),"")</f>
        <v>0.77</v>
      </c>
      <c r="AF65" s="55" t="n">
        <f aca="false">IF(AE65="",0,1)</f>
        <v>1</v>
      </c>
      <c r="AG65" s="82" t="n">
        <f aca="false">'100只成分明细'!O65</f>
        <v>1051.77712</v>
      </c>
      <c r="AH65" s="82" t="n">
        <f aca="false">'100只成分明细'!P65</f>
        <v>1194.96372</v>
      </c>
      <c r="AI65" s="55" t="n">
        <f aca="false">IF(AG65&gt;AH65,1,0)</f>
        <v>0</v>
      </c>
    </row>
    <row r="66" customFormat="false" ht="18" hidden="false" customHeight="true" outlineLevel="0" collapsed="false">
      <c r="A66" s="74" t="str">
        <f aca="false">'100只成分明细'!A66</f>
        <v>601019</v>
      </c>
      <c r="B66" s="74" t="str">
        <f aca="false">'100只成分明细'!B66</f>
        <v>山东出版</v>
      </c>
      <c r="C66" s="75" t="s">
        <v>47</v>
      </c>
      <c r="D66" s="74" t="str">
        <f aca="false">'100只成分明细'!C66</f>
        <v>其他</v>
      </c>
      <c r="E66" s="76" t="n">
        <f aca="false">'100只成分明细'!D66</f>
        <v>0.007</v>
      </c>
      <c r="F66" s="75" t="s">
        <v>535</v>
      </c>
      <c r="G66" s="77" t="n">
        <v>6.88</v>
      </c>
      <c r="H66" s="77" t="n">
        <v>7.16</v>
      </c>
      <c r="I66" s="78" t="n">
        <f aca="false">IF(OR(G66="",H66=""),"",H66/G66-1)</f>
        <v>0.0406976744186047</v>
      </c>
      <c r="J66" s="77" t="n">
        <v>6.78</v>
      </c>
      <c r="K66" s="79" t="n">
        <f aca="false">IF(OR(J66="",H66=""),"",H66/J66-1)</f>
        <v>0.056047197640118</v>
      </c>
      <c r="L66" s="77" t="n">
        <v>6.57</v>
      </c>
      <c r="M66" s="80" t="n">
        <v>46293</v>
      </c>
      <c r="N66" s="79" t="n">
        <f aca="false">IF(OR(L66="",H66=""),"",H66/L66-1)</f>
        <v>0.0898021308980213</v>
      </c>
      <c r="O66" s="77" t="n">
        <v>7.26</v>
      </c>
      <c r="P66" s="80" t="n">
        <v>46273</v>
      </c>
      <c r="Q66" s="78" t="n">
        <f aca="false">IF(OR(O66="",H66=""),"",H66/O66-1)</f>
        <v>-0.0137741046831955</v>
      </c>
      <c r="R66" s="81" t="n">
        <f aca="false">'100只成分明细'!G66</f>
        <v>-0.0808856632656991</v>
      </c>
      <c r="S66" s="82" t="n">
        <f aca="false">'100只成分明细'!H66</f>
        <v>6.3834588394</v>
      </c>
      <c r="T66" s="82" t="n">
        <f aca="false">'100只成分明细'!I66</f>
        <v>6.6994367266</v>
      </c>
      <c r="U66" s="83" t="n">
        <f aca="false">S66-T66</f>
        <v>-0.3159778872</v>
      </c>
      <c r="V66" s="78" t="n">
        <f aca="false">IF(T66=0,"",S66/T66-1)</f>
        <v>-0.0471648438659649</v>
      </c>
      <c r="W66" s="55" t="n">
        <f aca="false">IF(U66&gt;0,1,0)</f>
        <v>0</v>
      </c>
      <c r="X66" s="84" t="n">
        <v>0.29</v>
      </c>
      <c r="Y66" s="79" t="n">
        <f aca="false">IF(OR(X66="",H66=""),"",X66/H66)</f>
        <v>0.0405027932960894</v>
      </c>
      <c r="Z66" s="75" t="n">
        <v>3</v>
      </c>
      <c r="AA66" s="77" t="n">
        <v>13.08</v>
      </c>
      <c r="AB66" s="77" t="n">
        <v>0.97</v>
      </c>
      <c r="AC66" s="85" t="n">
        <f aca="false">IF(AND(AA66&gt;0,AA66&lt;100),MIN(AA66,50),"")</f>
        <v>13.08</v>
      </c>
      <c r="AD66" s="55" t="n">
        <f aca="false">IF(AC66="",0,1)</f>
        <v>1</v>
      </c>
      <c r="AE66" s="85" t="n">
        <f aca="false">IF(AND(AB66&gt;0,AB66&lt;10),MIN(AB66,5),"")</f>
        <v>0.97</v>
      </c>
      <c r="AF66" s="55" t="n">
        <f aca="false">IF(AE66="",0,1)</f>
        <v>1</v>
      </c>
      <c r="AG66" s="82" t="n">
        <f aca="false">'100只成分明细'!O66</f>
        <v>-5.6785897025</v>
      </c>
      <c r="AH66" s="82" t="n">
        <f aca="false">'100只成分明细'!P66</f>
        <v>1.470657507</v>
      </c>
      <c r="AI66" s="55" t="n">
        <f aca="false">IF(AG66&gt;AH66,1,0)</f>
        <v>0</v>
      </c>
    </row>
    <row r="67" customFormat="false" ht="18" hidden="false" customHeight="true" outlineLevel="0" collapsed="false">
      <c r="A67" s="74" t="str">
        <f aca="false">'100只成分明细'!A67</f>
        <v>601077</v>
      </c>
      <c r="B67" s="74" t="str">
        <f aca="false">'100只成分明细'!B67</f>
        <v>渝农商行</v>
      </c>
      <c r="C67" s="75" t="s">
        <v>21</v>
      </c>
      <c r="D67" s="74" t="str">
        <f aca="false">'100只成分明细'!C67</f>
        <v>银行</v>
      </c>
      <c r="E67" s="76" t="n">
        <f aca="false">'100只成分明细'!D67</f>
        <v>0.01119</v>
      </c>
      <c r="F67" s="75" t="s">
        <v>528</v>
      </c>
      <c r="G67" s="77" t="n">
        <v>6.8</v>
      </c>
      <c r="H67" s="77" t="n">
        <v>6.97</v>
      </c>
      <c r="I67" s="78" t="n">
        <f aca="false">IF(OR(G67="",H67=""),"",H67/G67-1)</f>
        <v>0.0249999999999999</v>
      </c>
      <c r="J67" s="77" t="n">
        <v>6.71</v>
      </c>
      <c r="K67" s="79" t="n">
        <f aca="false">IF(OR(J67="",H67=""),"",H67/J67-1)</f>
        <v>0.0387481371087928</v>
      </c>
      <c r="L67" s="77" t="n">
        <v>6.46</v>
      </c>
      <c r="M67" s="80" t="n">
        <v>46287</v>
      </c>
      <c r="N67" s="79" t="n">
        <f aca="false">IF(OR(L67="",H67=""),"",H67/L67-1)</f>
        <v>0.0789473684210527</v>
      </c>
      <c r="O67" s="77" t="n">
        <v>7.08</v>
      </c>
      <c r="P67" s="80" t="n">
        <v>46268</v>
      </c>
      <c r="Q67" s="78" t="n">
        <f aca="false">IF(OR(O67="",H67=""),"",H67/O67-1)</f>
        <v>-0.0155367231638418</v>
      </c>
      <c r="R67" s="81" t="n">
        <f aca="false">'100只成分明细'!G67</f>
        <v>0.0780713126972381</v>
      </c>
      <c r="S67" s="82" t="n">
        <f aca="false">'100只成分明细'!H67</f>
        <v>81.67854</v>
      </c>
      <c r="T67" s="82" t="n">
        <f aca="false">'100只成分明细'!I67</f>
        <v>76.98743</v>
      </c>
      <c r="U67" s="83" t="n">
        <f aca="false">S67-T67</f>
        <v>4.69111</v>
      </c>
      <c r="V67" s="78" t="n">
        <f aca="false">IF(T67=0,"",S67/T67-1)</f>
        <v>0.0609334536819841</v>
      </c>
      <c r="W67" s="55" t="n">
        <f aca="false">IF(U67&gt;0,1,0)</f>
        <v>1</v>
      </c>
      <c r="X67" s="84" t="n">
        <v>0.32091</v>
      </c>
      <c r="Y67" s="79" t="n">
        <f aca="false">IF(OR(X67="",H67=""),"",X67/H67)</f>
        <v>0.0460416068866571</v>
      </c>
      <c r="Z67" s="75" t="n">
        <v>3</v>
      </c>
      <c r="AA67" s="77" t="n">
        <v>6.28</v>
      </c>
      <c r="AB67" s="77" t="n">
        <v>0.57</v>
      </c>
      <c r="AC67" s="85" t="n">
        <f aca="false">IF(AND(AA67&gt;0,AA67&lt;100),MIN(AA67,50),"")</f>
        <v>6.28</v>
      </c>
      <c r="AD67" s="55" t="n">
        <f aca="false">IF(AC67="",0,1)</f>
        <v>1</v>
      </c>
      <c r="AE67" s="85" t="n">
        <f aca="false">IF(AND(AB67&gt;0,AB67&lt;10),MIN(AB67,5),"")</f>
        <v>0.57</v>
      </c>
      <c r="AF67" s="55" t="n">
        <f aca="false">IF(AE67="",0,1)</f>
        <v>1</v>
      </c>
      <c r="AG67" s="82" t="n">
        <f aca="false">'100只成分明细'!O67</f>
        <v>335.332</v>
      </c>
      <c r="AH67" s="82" t="n">
        <f aca="false">'100只成分明细'!P67</f>
        <v>34.35229</v>
      </c>
      <c r="AI67" s="55" t="n">
        <f aca="false">IF(AG67&gt;AH67,1,0)</f>
        <v>1</v>
      </c>
    </row>
    <row r="68" customFormat="false" ht="18" hidden="false" customHeight="true" outlineLevel="0" collapsed="false">
      <c r="A68" s="74" t="str">
        <f aca="false">'100只成分明细'!A68</f>
        <v>601088</v>
      </c>
      <c r="B68" s="74" t="str">
        <f aca="false">'100只成分明细'!B68</f>
        <v>中国神华</v>
      </c>
      <c r="C68" s="75" t="s">
        <v>22</v>
      </c>
      <c r="D68" s="74" t="str">
        <f aca="false">'100只成分明细'!C68</f>
        <v>煤炭</v>
      </c>
      <c r="E68" s="76" t="n">
        <f aca="false">'100只成分明细'!D68</f>
        <v>0.01135</v>
      </c>
      <c r="F68" s="75" t="s">
        <v>517</v>
      </c>
      <c r="G68" s="77" t="n">
        <v>48.78</v>
      </c>
      <c r="H68" s="77" t="n">
        <v>49.35</v>
      </c>
      <c r="I68" s="78" t="n">
        <f aca="false">IF(OR(G68="",H68=""),"",H68/G68-1)</f>
        <v>0.0116851168511685</v>
      </c>
      <c r="J68" s="77" t="n">
        <v>47.8</v>
      </c>
      <c r="K68" s="79" t="n">
        <f aca="false">IF(OR(J68="",H68=""),"",H68/J68-1)</f>
        <v>0.0324267782426779</v>
      </c>
      <c r="L68" s="77" t="n">
        <v>45.22</v>
      </c>
      <c r="M68" s="80" t="n">
        <v>46272</v>
      </c>
      <c r="N68" s="79" t="n">
        <f aca="false">IF(OR(L68="",H68=""),"",H68/L68-1)</f>
        <v>0.0913312693498454</v>
      </c>
      <c r="O68" s="77" t="n">
        <v>49.86</v>
      </c>
      <c r="P68" s="80" t="n">
        <v>46308</v>
      </c>
      <c r="Q68" s="78" t="n">
        <f aca="false">IF(OR(O68="",H68=""),"",H68/O68-1)</f>
        <v>-0.0102286401925391</v>
      </c>
      <c r="R68" s="81" t="n">
        <f aca="false">'100只成分明细'!G68</f>
        <v>0.0793225517748528</v>
      </c>
      <c r="S68" s="82" t="n">
        <f aca="false">'100只成分明细'!H68</f>
        <v>287.15</v>
      </c>
      <c r="T68" s="82" t="n">
        <f aca="false">'100只成分明细'!I68</f>
        <v>275.83</v>
      </c>
      <c r="U68" s="83" t="n">
        <f aca="false">S68-T68</f>
        <v>11.32</v>
      </c>
      <c r="V68" s="78" t="n">
        <f aca="false">IF(T68=0,"",S68/T68-1)</f>
        <v>0.0410397708733641</v>
      </c>
      <c r="W68" s="55" t="n">
        <f aca="false">IF(U68&gt;0,1,0)</f>
        <v>1</v>
      </c>
      <c r="X68" s="84" t="n">
        <v>2.01</v>
      </c>
      <c r="Y68" s="79" t="n">
        <f aca="false">IF(OR(X68="",H68=""),"",X68/H68)</f>
        <v>0.0407294832826748</v>
      </c>
      <c r="Z68" s="75" t="n">
        <v>3</v>
      </c>
      <c r="AA68" s="77" t="n">
        <v>19.83</v>
      </c>
      <c r="AB68" s="77" t="n">
        <v>2.37</v>
      </c>
      <c r="AC68" s="85" t="n">
        <f aca="false">IF(AND(AA68&gt;0,AA68&lt;100),MIN(AA68,50),"")</f>
        <v>19.83</v>
      </c>
      <c r="AD68" s="55" t="n">
        <f aca="false">IF(AC68="",0,1)</f>
        <v>1</v>
      </c>
      <c r="AE68" s="85" t="n">
        <f aca="false">IF(AND(AB68&gt;0,AB68&lt;10),MIN(AB68,5),"")</f>
        <v>2.37</v>
      </c>
      <c r="AF68" s="55" t="n">
        <f aca="false">IF(AE68="",0,1)</f>
        <v>1</v>
      </c>
      <c r="AG68" s="82" t="n">
        <f aca="false">'100只成分明细'!O68</f>
        <v>546.64</v>
      </c>
      <c r="AH68" s="82" t="n">
        <f aca="false">'100只成分明细'!P68</f>
        <v>515.45</v>
      </c>
      <c r="AI68" s="55" t="n">
        <f aca="false">IF(AG68&gt;AH68,1,0)</f>
        <v>1</v>
      </c>
    </row>
    <row r="69" customFormat="false" ht="18" hidden="false" customHeight="true" outlineLevel="0" collapsed="false">
      <c r="A69" s="74" t="str">
        <f aca="false">'100只成分明细'!A69</f>
        <v>601098</v>
      </c>
      <c r="B69" s="74" t="str">
        <f aca="false">'100只成分明细'!B69</f>
        <v>中南传媒</v>
      </c>
      <c r="C69" s="75" t="s">
        <v>47</v>
      </c>
      <c r="D69" s="74" t="str">
        <f aca="false">'100只成分明细'!C69</f>
        <v>其他</v>
      </c>
      <c r="E69" s="76" t="n">
        <f aca="false">'100只成分明细'!D69</f>
        <v>0.00816</v>
      </c>
      <c r="F69" s="75" t="s">
        <v>535</v>
      </c>
      <c r="G69" s="77" t="n">
        <v>10.03</v>
      </c>
      <c r="H69" s="77" t="n">
        <v>11.06</v>
      </c>
      <c r="I69" s="78" t="n">
        <f aca="false">IF(OR(G69="",H69=""),"",H69/G69-1)</f>
        <v>0.102691924227318</v>
      </c>
      <c r="J69" s="77" t="n">
        <v>10.27</v>
      </c>
      <c r="K69" s="79" t="n">
        <f aca="false">IF(OR(J69="",H69=""),"",H69/J69-1)</f>
        <v>0.0769230769230771</v>
      </c>
      <c r="L69" s="77" t="n">
        <v>9.87</v>
      </c>
      <c r="M69" s="80" t="n">
        <v>46267</v>
      </c>
      <c r="N69" s="79" t="n">
        <f aca="false">IF(OR(L69="",H69=""),"",H69/L69-1)</f>
        <v>0.120567375886525</v>
      </c>
      <c r="O69" s="77" t="n">
        <v>11.18</v>
      </c>
      <c r="P69" s="80" t="n">
        <v>46308</v>
      </c>
      <c r="Q69" s="78" t="n">
        <f aca="false">IF(OR(O69="",H69=""),"",H69/O69-1)</f>
        <v>-0.0107334525939177</v>
      </c>
      <c r="R69" s="81" t="n">
        <f aca="false">'100只成分明细'!G69</f>
        <v>-0.0824249573302615</v>
      </c>
      <c r="S69" s="82" t="n">
        <f aca="false">'100只成分明细'!H69</f>
        <v>9.3250118609</v>
      </c>
      <c r="T69" s="82" t="n">
        <f aca="false">'100只成分明细'!I69</f>
        <v>10.1630947734</v>
      </c>
      <c r="U69" s="83" t="n">
        <f aca="false">S69-T69</f>
        <v>-0.838082912499999</v>
      </c>
      <c r="V69" s="78" t="n">
        <f aca="false">IF(T69=0,"",S69/T69-1)</f>
        <v>-0.0824633569976662</v>
      </c>
      <c r="W69" s="55" t="n">
        <f aca="false">IF(U69&gt;0,1,0)</f>
        <v>0</v>
      </c>
      <c r="X69" s="84" t="n">
        <v>0.55</v>
      </c>
      <c r="Y69" s="79" t="n">
        <f aca="false">IF(OR(X69="",H69=""),"",X69/H69)</f>
        <v>0.0497287522603978</v>
      </c>
      <c r="Z69" s="75" t="n">
        <v>3</v>
      </c>
      <c r="AA69" s="77" t="n">
        <v>13.15</v>
      </c>
      <c r="AB69" s="77" t="n">
        <v>1.22</v>
      </c>
      <c r="AC69" s="85" t="n">
        <f aca="false">IF(AND(AA69&gt;0,AA69&lt;100),MIN(AA69,50),"")</f>
        <v>13.15</v>
      </c>
      <c r="AD69" s="55" t="n">
        <f aca="false">IF(AC69="",0,1)</f>
        <v>1</v>
      </c>
      <c r="AE69" s="85" t="n">
        <f aca="false">IF(AND(AB69&gt;0,AB69&lt;10),MIN(AB69,5),"")</f>
        <v>1.22</v>
      </c>
      <c r="AF69" s="55" t="n">
        <f aca="false">IF(AE69="",0,1)</f>
        <v>1</v>
      </c>
      <c r="AG69" s="82" t="n">
        <f aca="false">'100只成分明细'!O69</f>
        <v>-7.6508858042</v>
      </c>
      <c r="AH69" s="82" t="n">
        <f aca="false">'100只成分明细'!P69</f>
        <v>-6.0873395451</v>
      </c>
      <c r="AI69" s="55" t="n">
        <f aca="false">IF(AG69&gt;AH69,1,0)</f>
        <v>0</v>
      </c>
    </row>
    <row r="70" customFormat="false" ht="18" hidden="false" customHeight="true" outlineLevel="0" collapsed="false">
      <c r="A70" s="74" t="str">
        <f aca="false">'100只成分明细'!A70</f>
        <v>601101</v>
      </c>
      <c r="B70" s="74" t="str">
        <f aca="false">'100只成分明细'!B70</f>
        <v>昊华能源</v>
      </c>
      <c r="C70" s="75" t="s">
        <v>22</v>
      </c>
      <c r="D70" s="74" t="str">
        <f aca="false">'100只成分明细'!C70</f>
        <v>煤炭</v>
      </c>
      <c r="E70" s="76" t="n">
        <f aca="false">'100只成分明细'!D70</f>
        <v>0.01518</v>
      </c>
      <c r="F70" s="75" t="s">
        <v>517</v>
      </c>
      <c r="G70" s="77" t="n">
        <v>15.02</v>
      </c>
      <c r="H70" s="77" t="n">
        <v>12.79</v>
      </c>
      <c r="I70" s="78" t="n">
        <f aca="false">IF(OR(G70="",H70=""),"",H70/G70-1)</f>
        <v>-0.148468708388815</v>
      </c>
      <c r="J70" s="77" t="n">
        <v>12.73</v>
      </c>
      <c r="K70" s="79" t="n">
        <f aca="false">IF(OR(J70="",H70=""),"",H70/J70-1)</f>
        <v>0.00471327572662994</v>
      </c>
      <c r="L70" s="77" t="n">
        <v>12.27</v>
      </c>
      <c r="M70" s="80" t="n">
        <v>46294</v>
      </c>
      <c r="N70" s="79" t="n">
        <f aca="false">IF(OR(L70="",H70=""),"",H70/L70-1)</f>
        <v>0.0423797881010595</v>
      </c>
      <c r="O70" s="77" t="n">
        <v>15.32</v>
      </c>
      <c r="P70" s="80" t="n">
        <v>46265</v>
      </c>
      <c r="Q70" s="78" t="n">
        <f aca="false">IF(OR(O70="",H70=""),"",H70/O70-1)</f>
        <v>-0.165143603133159</v>
      </c>
      <c r="R70" s="81" t="n">
        <f aca="false">'100只成分明细'!G70</f>
        <v>0.0945839087459965</v>
      </c>
      <c r="S70" s="82" t="n">
        <f aca="false">'100只成分明细'!H70</f>
        <v>7.4458963571</v>
      </c>
      <c r="T70" s="82" t="n">
        <f aca="false">'100只成分明细'!I70</f>
        <v>4.4817594346</v>
      </c>
      <c r="U70" s="83" t="n">
        <f aca="false">S70-T70</f>
        <v>2.9641369225</v>
      </c>
      <c r="V70" s="78" t="n">
        <f aca="false">IF(T70=0,"",S70/T70-1)</f>
        <v>0.661377962327992</v>
      </c>
      <c r="W70" s="55" t="n">
        <f aca="false">IF(U70&gt;0,1,0)</f>
        <v>1</v>
      </c>
      <c r="X70" s="84" t="n">
        <v>0.25</v>
      </c>
      <c r="Y70" s="79" t="n">
        <f aca="false">IF(OR(X70="",H70=""),"",X70/H70)</f>
        <v>0.019546520719312</v>
      </c>
      <c r="Z70" s="75" t="n">
        <v>3</v>
      </c>
      <c r="AA70" s="77" t="n">
        <v>22.77</v>
      </c>
      <c r="AB70" s="77" t="n">
        <v>1.5</v>
      </c>
      <c r="AC70" s="85" t="n">
        <f aca="false">IF(AND(AA70&gt;0,AA70&lt;100),MIN(AA70,50),"")</f>
        <v>22.77</v>
      </c>
      <c r="AD70" s="55" t="n">
        <f aca="false">IF(AC70="",0,1)</f>
        <v>1</v>
      </c>
      <c r="AE70" s="85" t="n">
        <f aca="false">IF(AND(AB70&gt;0,AB70&lt;10),MIN(AB70,5),"")</f>
        <v>1.5</v>
      </c>
      <c r="AF70" s="55" t="n">
        <f aca="false">IF(AE70="",0,1)</f>
        <v>1</v>
      </c>
      <c r="AG70" s="82" t="n">
        <f aca="false">'100只成分明细'!O70</f>
        <v>16.22575411</v>
      </c>
      <c r="AH70" s="82" t="n">
        <f aca="false">'100只成分明细'!P70</f>
        <v>10.5201559081</v>
      </c>
      <c r="AI70" s="55" t="n">
        <f aca="false">IF(AG70&gt;AH70,1,0)</f>
        <v>1</v>
      </c>
    </row>
    <row r="71" customFormat="false" ht="18" hidden="false" customHeight="true" outlineLevel="0" collapsed="false">
      <c r="A71" s="74" t="str">
        <f aca="false">'100只成分明细'!A71</f>
        <v>601166</v>
      </c>
      <c r="B71" s="74" t="str">
        <f aca="false">'100只成分明细'!B71</f>
        <v>兴业银行</v>
      </c>
      <c r="C71" s="75" t="s">
        <v>21</v>
      </c>
      <c r="D71" s="74" t="str">
        <f aca="false">'100只成分明细'!C71</f>
        <v>银行</v>
      </c>
      <c r="E71" s="76" t="n">
        <f aca="false">'100只成分明细'!D71</f>
        <v>0.01002</v>
      </c>
      <c r="F71" s="75" t="s">
        <v>528</v>
      </c>
      <c r="G71" s="77" t="n">
        <v>17.54</v>
      </c>
      <c r="H71" s="77" t="n">
        <v>18.22</v>
      </c>
      <c r="I71" s="78" t="n">
        <f aca="false">IF(OR(G71="",H71=""),"",H71/G71-1)</f>
        <v>0.0387685290763968</v>
      </c>
      <c r="J71" s="77" t="n">
        <v>18.05</v>
      </c>
      <c r="K71" s="79" t="n">
        <f aca="false">IF(OR(J71="",H71=""),"",H71/J71-1)</f>
        <v>0.00941828254847632</v>
      </c>
      <c r="L71" s="77" t="n">
        <v>17.44</v>
      </c>
      <c r="M71" s="80" t="n">
        <v>46265</v>
      </c>
      <c r="N71" s="79" t="n">
        <f aca="false">IF(OR(L71="",H71=""),"",H71/L71-1)</f>
        <v>0.0447247706422016</v>
      </c>
      <c r="O71" s="77" t="n">
        <v>18.44</v>
      </c>
      <c r="P71" s="80" t="n">
        <v>46307</v>
      </c>
      <c r="Q71" s="78" t="n">
        <f aca="false">IF(OR(O71="",H71=""),"",H71/O71-1)</f>
        <v>-0.0119305856832973</v>
      </c>
      <c r="R71" s="81" t="n">
        <f aca="false">'100只成分明细'!G71</f>
        <v>-0.0025439533578373</v>
      </c>
      <c r="S71" s="82" t="n">
        <f aca="false">'100只成分明细'!H71</f>
        <v>411.31</v>
      </c>
      <c r="T71" s="82" t="n">
        <f aca="false">'100只成分明细'!I71</f>
        <v>431.41</v>
      </c>
      <c r="U71" s="83" t="n">
        <f aca="false">S71-T71</f>
        <v>-20.1</v>
      </c>
      <c r="V71" s="78" t="n">
        <f aca="false">IF(T71=0,"",S71/T71-1)</f>
        <v>-0.0465914095639879</v>
      </c>
      <c r="W71" s="55" t="n">
        <f aca="false">IF(U71&gt;0,1,0)</f>
        <v>0</v>
      </c>
      <c r="X71" s="84" t="n">
        <v>1.066</v>
      </c>
      <c r="Y71" s="79" t="n">
        <f aca="false">IF(OR(X71="",H71=""),"",X71/H71)</f>
        <v>0.0585071350164654</v>
      </c>
      <c r="Z71" s="75" t="n">
        <v>3</v>
      </c>
      <c r="AA71" s="77" t="n">
        <v>5.11</v>
      </c>
      <c r="AB71" s="77" t="n">
        <v>0.46</v>
      </c>
      <c r="AC71" s="85" t="n">
        <f aca="false">IF(AND(AA71&gt;0,AA71&lt;100),MIN(AA71,50),"")</f>
        <v>5.11</v>
      </c>
      <c r="AD71" s="55" t="n">
        <f aca="false">IF(AC71="",0,1)</f>
        <v>1</v>
      </c>
      <c r="AE71" s="85" t="n">
        <f aca="false">IF(AND(AB71&gt;0,AB71&lt;10),MIN(AB71,5),"")</f>
        <v>0.46</v>
      </c>
      <c r="AF71" s="55" t="n">
        <f aca="false">IF(AE71="",0,1)</f>
        <v>1</v>
      </c>
      <c r="AG71" s="82" t="n">
        <f aca="false">'100只成分明细'!O71</f>
        <v>-73.09</v>
      </c>
      <c r="AH71" s="82" t="n">
        <f aca="false">'100只成分明细'!P71</f>
        <v>-779.51</v>
      </c>
      <c r="AI71" s="55" t="n">
        <f aca="false">IF(AG71&gt;AH71,1,0)</f>
        <v>1</v>
      </c>
    </row>
    <row r="72" customFormat="false" ht="18" hidden="false" customHeight="true" outlineLevel="0" collapsed="false">
      <c r="A72" s="74" t="str">
        <f aca="false">'100只成分明细'!A72</f>
        <v>601168</v>
      </c>
      <c r="B72" s="74" t="str">
        <f aca="false">'100只成分明细'!B72</f>
        <v>西部矿业</v>
      </c>
      <c r="C72" s="75" t="s">
        <v>55</v>
      </c>
      <c r="D72" s="74" t="str">
        <f aca="false">'100只成分明细'!C72</f>
        <v>有色矿业</v>
      </c>
      <c r="E72" s="76" t="n">
        <f aca="false">'100只成分明细'!D72</f>
        <v>0.01804</v>
      </c>
      <c r="F72" s="75" t="s">
        <v>516</v>
      </c>
      <c r="G72" s="77" t="n">
        <v>39.4</v>
      </c>
      <c r="H72" s="77" t="n">
        <v>34.8</v>
      </c>
      <c r="I72" s="78" t="n">
        <f aca="false">IF(OR(G72="",H72=""),"",H72/G72-1)</f>
        <v>-0.116751269035533</v>
      </c>
      <c r="J72" s="77" t="n">
        <v>35.35</v>
      </c>
      <c r="K72" s="79" t="n">
        <f aca="false">IF(OR(J72="",H72=""),"",H72/J72-1)</f>
        <v>-0.0155586987270157</v>
      </c>
      <c r="L72" s="77" t="n">
        <v>33.5</v>
      </c>
      <c r="M72" s="80" t="n">
        <v>46294</v>
      </c>
      <c r="N72" s="79" t="n">
        <f aca="false">IF(OR(L72="",H72=""),"",H72/L72-1)</f>
        <v>0.0388059701492536</v>
      </c>
      <c r="O72" s="77" t="n">
        <v>41.97</v>
      </c>
      <c r="P72" s="80" t="n">
        <v>46274</v>
      </c>
      <c r="Q72" s="78" t="n">
        <f aca="false">IF(OR(O72="",H72=""),"",H72/O72-1)</f>
        <v>-0.170836311651179</v>
      </c>
      <c r="R72" s="81" t="n">
        <f aca="false">'100只成分明细'!G72</f>
        <v>0.247432887684912</v>
      </c>
      <c r="S72" s="82" t="n">
        <f aca="false">'100只成分明细'!H72</f>
        <v>41.69335166</v>
      </c>
      <c r="T72" s="82" t="n">
        <f aca="false">'100只成分明细'!I72</f>
        <v>18.69364113</v>
      </c>
      <c r="U72" s="83" t="n">
        <f aca="false">S72-T72</f>
        <v>22.99971053</v>
      </c>
      <c r="V72" s="78" t="n">
        <f aca="false">IF(T72=0,"",S72/T72-1)</f>
        <v>1.23034942042883</v>
      </c>
      <c r="W72" s="55" t="n">
        <f aca="false">IF(U72&gt;0,1,0)</f>
        <v>1</v>
      </c>
      <c r="X72" s="84" t="n">
        <v>0.1</v>
      </c>
      <c r="Y72" s="79" t="n">
        <f aca="false">IF(OR(X72="",H72=""),"",X72/H72)</f>
        <v>0.00287356321839081</v>
      </c>
      <c r="Z72" s="75" t="n">
        <v>3</v>
      </c>
      <c r="AA72" s="77" t="n">
        <v>13.95</v>
      </c>
      <c r="AB72" s="77" t="n">
        <v>3.7</v>
      </c>
      <c r="AC72" s="85" t="n">
        <f aca="false">IF(AND(AA72&gt;0,AA72&lt;100),MIN(AA72,50),"")</f>
        <v>13.95</v>
      </c>
      <c r="AD72" s="55" t="n">
        <f aca="false">IF(AC72="",0,1)</f>
        <v>1</v>
      </c>
      <c r="AE72" s="85" t="n">
        <f aca="false">IF(AND(AB72&gt;0,AB72&lt;10),MIN(AB72,5),"")</f>
        <v>3.7</v>
      </c>
      <c r="AF72" s="55" t="n">
        <f aca="false">IF(AE72="",0,1)</f>
        <v>1</v>
      </c>
      <c r="AG72" s="82" t="n">
        <f aca="false">'100只成分明细'!O72</f>
        <v>83.49299931</v>
      </c>
      <c r="AH72" s="82" t="n">
        <f aca="false">'100只成分明细'!P72</f>
        <v>50.10092508</v>
      </c>
      <c r="AI72" s="55" t="n">
        <f aca="false">IF(AG72&gt;AH72,1,0)</f>
        <v>1</v>
      </c>
    </row>
    <row r="73" customFormat="false" ht="18" hidden="false" customHeight="true" outlineLevel="0" collapsed="false">
      <c r="A73" s="74" t="str">
        <f aca="false">'100只成分明细'!A73</f>
        <v>601169</v>
      </c>
      <c r="B73" s="74" t="str">
        <f aca="false">'100只成分明细'!B73</f>
        <v>北京银行</v>
      </c>
      <c r="C73" s="75" t="s">
        <v>21</v>
      </c>
      <c r="D73" s="74" t="str">
        <f aca="false">'100只成分明细'!C73</f>
        <v>银行</v>
      </c>
      <c r="E73" s="76" t="n">
        <f aca="false">'100只成分明细'!D73</f>
        <v>0.01007</v>
      </c>
      <c r="F73" s="75" t="s">
        <v>528</v>
      </c>
      <c r="G73" s="77" t="n">
        <v>5.35</v>
      </c>
      <c r="H73" s="77" t="n">
        <v>5.62</v>
      </c>
      <c r="I73" s="78" t="n">
        <f aca="false">IF(OR(G73="",H73=""),"",H73/G73-1)</f>
        <v>0.0504672897196263</v>
      </c>
      <c r="J73" s="77" t="n">
        <v>5.57</v>
      </c>
      <c r="K73" s="79" t="n">
        <f aca="false">IF(OR(J73="",H73=""),"",H73/J73-1)</f>
        <v>0.00897666068222613</v>
      </c>
      <c r="L73" s="77" t="n">
        <v>5.19</v>
      </c>
      <c r="M73" s="80" t="n">
        <v>46265</v>
      </c>
      <c r="N73" s="79" t="n">
        <f aca="false">IF(OR(L73="",H73=""),"",H73/L73-1)</f>
        <v>0.0828516377649324</v>
      </c>
      <c r="O73" s="77" t="n">
        <v>5.7</v>
      </c>
      <c r="P73" s="80" t="n">
        <v>46307</v>
      </c>
      <c r="Q73" s="78" t="n">
        <f aca="false">IF(OR(O73="",H73=""),"",H73/O73-1)</f>
        <v>-0.0140350877192983</v>
      </c>
      <c r="R73" s="81" t="n">
        <f aca="false">'100只成分明细'!G73</f>
        <v>0.0560494781600309</v>
      </c>
      <c r="S73" s="82" t="n">
        <f aca="false">'100只成分明细'!H73</f>
        <v>159</v>
      </c>
      <c r="T73" s="82" t="n">
        <f aca="false">'100只成分明细'!I73</f>
        <v>150.53</v>
      </c>
      <c r="U73" s="83" t="n">
        <f aca="false">S73-T73</f>
        <v>8.47</v>
      </c>
      <c r="V73" s="78" t="n">
        <f aca="false">IF(T73=0,"",S73/T73-1)</f>
        <v>0.0562678535840031</v>
      </c>
      <c r="W73" s="55" t="n">
        <f aca="false">IF(U73&gt;0,1,0)</f>
        <v>1</v>
      </c>
      <c r="X73" s="84" t="n">
        <v>0.278</v>
      </c>
      <c r="Y73" s="79" t="n">
        <f aca="false">IF(OR(X73="",H73=""),"",X73/H73)</f>
        <v>0.0494661921708185</v>
      </c>
      <c r="Z73" s="75" t="n">
        <v>3</v>
      </c>
      <c r="AA73" s="77" t="n">
        <v>5.68</v>
      </c>
      <c r="AB73" s="77" t="n">
        <v>0.42</v>
      </c>
      <c r="AC73" s="85" t="n">
        <f aca="false">IF(AND(AA73&gt;0,AA73&lt;100),MIN(AA73,50),"")</f>
        <v>5.68</v>
      </c>
      <c r="AD73" s="55" t="n">
        <f aca="false">IF(AC73="",0,1)</f>
        <v>1</v>
      </c>
      <c r="AE73" s="85" t="n">
        <f aca="false">IF(AND(AB73&gt;0,AB73&lt;10),MIN(AB73,5),"")</f>
        <v>0.42</v>
      </c>
      <c r="AF73" s="55" t="n">
        <f aca="false">IF(AE73="",0,1)</f>
        <v>1</v>
      </c>
      <c r="AG73" s="82" t="n">
        <f aca="false">'100只成分明细'!O73</f>
        <v>12.14</v>
      </c>
      <c r="AH73" s="82" t="n">
        <f aca="false">'100只成分明细'!P73</f>
        <v>1669.14</v>
      </c>
      <c r="AI73" s="55" t="n">
        <f aca="false">IF(AG73&gt;AH73,1,0)</f>
        <v>0</v>
      </c>
    </row>
    <row r="74" customFormat="false" ht="18" hidden="false" customHeight="true" outlineLevel="0" collapsed="false">
      <c r="A74" s="74" t="str">
        <f aca="false">'100只成分明细'!A74</f>
        <v>601187</v>
      </c>
      <c r="B74" s="74" t="str">
        <f aca="false">'100只成分明细'!B74</f>
        <v>厦门银行</v>
      </c>
      <c r="C74" s="75" t="s">
        <v>21</v>
      </c>
      <c r="D74" s="74" t="str">
        <f aca="false">'100只成分明细'!C74</f>
        <v>银行</v>
      </c>
      <c r="E74" s="76" t="n">
        <f aca="false">'100只成分明细'!D74</f>
        <v>0.01009</v>
      </c>
      <c r="F74" s="75" t="s">
        <v>528</v>
      </c>
      <c r="G74" s="77" t="n">
        <v>7.35</v>
      </c>
      <c r="H74" s="77" t="n">
        <v>6.89</v>
      </c>
      <c r="I74" s="78" t="n">
        <f aca="false">IF(OR(G74="",H74=""),"",H74/G74-1)</f>
        <v>-0.0625850340136055</v>
      </c>
      <c r="J74" s="77" t="n">
        <v>6.9</v>
      </c>
      <c r="K74" s="79" t="n">
        <f aca="false">IF(OR(J74="",H74=""),"",H74/J74-1)</f>
        <v>-0.00144927536231898</v>
      </c>
      <c r="L74" s="77" t="n">
        <v>6.78</v>
      </c>
      <c r="M74" s="80" t="n">
        <v>46286</v>
      </c>
      <c r="N74" s="79" t="n">
        <f aca="false">IF(OR(L74="",H74=""),"",H74/L74-1)</f>
        <v>0.0162241887905603</v>
      </c>
      <c r="O74" s="77" t="n">
        <v>7.49</v>
      </c>
      <c r="P74" s="80" t="n">
        <v>46266</v>
      </c>
      <c r="Q74" s="78" t="n">
        <f aca="false">IF(OR(O74="",H74=""),"",H74/O74-1)</f>
        <v>-0.0801068090787718</v>
      </c>
      <c r="R74" s="81" t="n">
        <f aca="false">'100只成分明细'!G74</f>
        <v>0.196019533831136</v>
      </c>
      <c r="S74" s="82" t="n">
        <f aca="false">'100只成分明细'!H74</f>
        <v>12.42656</v>
      </c>
      <c r="T74" s="82" t="n">
        <f aca="false">'100只成分明细'!I74</f>
        <v>11.57983</v>
      </c>
      <c r="U74" s="83" t="n">
        <f aca="false">S74-T74</f>
        <v>0.846730000000001</v>
      </c>
      <c r="V74" s="78" t="n">
        <f aca="false">IF(T74=0,"",S74/T74-1)</f>
        <v>0.0731211079955405</v>
      </c>
      <c r="W74" s="55" t="n">
        <f aca="false">IF(U74&gt;0,1,0)</f>
        <v>1</v>
      </c>
      <c r="X74" s="84" t="n">
        <v>0.25</v>
      </c>
      <c r="Y74" s="79" t="n">
        <f aca="false">IF(OR(X74="",H74=""),"",X74/H74)</f>
        <v>0.0362844702467344</v>
      </c>
      <c r="Z74" s="75" t="n">
        <v>3</v>
      </c>
      <c r="AA74" s="77" t="n">
        <v>6.69</v>
      </c>
      <c r="AB74" s="77" t="n">
        <v>0.66</v>
      </c>
      <c r="AC74" s="85" t="n">
        <f aca="false">IF(AND(AA74&gt;0,AA74&lt;100),MIN(AA74,50),"")</f>
        <v>6.69</v>
      </c>
      <c r="AD74" s="55" t="n">
        <f aca="false">IF(AC74="",0,1)</f>
        <v>1</v>
      </c>
      <c r="AE74" s="85" t="n">
        <f aca="false">IF(AND(AB74&gt;0,AB74&lt;10),MIN(AB74,5),"")</f>
        <v>0.66</v>
      </c>
      <c r="AF74" s="55" t="n">
        <f aca="false">IF(AE74="",0,1)</f>
        <v>1</v>
      </c>
      <c r="AG74" s="82" t="n">
        <f aca="false">'100只成分明细'!O74</f>
        <v>117.69345</v>
      </c>
      <c r="AH74" s="82" t="n">
        <f aca="false">'100只成分明细'!P74</f>
        <v>-21.4367</v>
      </c>
      <c r="AI74" s="55" t="n">
        <f aca="false">IF(AG74&gt;AH74,1,0)</f>
        <v>1</v>
      </c>
    </row>
    <row r="75" customFormat="false" ht="18" hidden="false" customHeight="true" outlineLevel="0" collapsed="false">
      <c r="A75" s="74" t="str">
        <f aca="false">'100只成分明细'!A75</f>
        <v>601216</v>
      </c>
      <c r="B75" s="74" t="str">
        <f aca="false">'100只成分明细'!B75</f>
        <v>君正集团</v>
      </c>
      <c r="C75" s="75" t="s">
        <v>57</v>
      </c>
      <c r="D75" s="74" t="str">
        <f aca="false">'100只成分明细'!C75</f>
        <v>其他</v>
      </c>
      <c r="E75" s="76" t="n">
        <f aca="false">'100只成分明细'!D75</f>
        <v>0.00894</v>
      </c>
      <c r="F75" s="75" t="s">
        <v>523</v>
      </c>
      <c r="G75" s="77" t="n">
        <v>4.79</v>
      </c>
      <c r="H75" s="77" t="n">
        <v>4.77</v>
      </c>
      <c r="I75" s="78" t="n">
        <f aca="false">IF(OR(G75="",H75=""),"",H75/G75-1)</f>
        <v>-0.00417536534446772</v>
      </c>
      <c r="J75" s="77" t="n">
        <v>4.54</v>
      </c>
      <c r="K75" s="79" t="n">
        <f aca="false">IF(OR(J75="",H75=""),"",H75/J75-1)</f>
        <v>0.0506607929515417</v>
      </c>
      <c r="L75" s="77" t="n">
        <v>4.41</v>
      </c>
      <c r="M75" s="80" t="n">
        <v>46293</v>
      </c>
      <c r="N75" s="79" t="n">
        <f aca="false">IF(OR(L75="",H75=""),"",H75/L75-1)</f>
        <v>0.0816326530612244</v>
      </c>
      <c r="O75" s="77" t="n">
        <v>4.92</v>
      </c>
      <c r="P75" s="80" t="n">
        <v>46266</v>
      </c>
      <c r="Q75" s="78" t="n">
        <f aca="false">IF(OR(O75="",H75=""),"",H75/O75-1)</f>
        <v>-0.0304878048780488</v>
      </c>
      <c r="R75" s="81" t="n">
        <f aca="false">'100只成分明细'!G75</f>
        <v>0.0181893301797271</v>
      </c>
      <c r="S75" s="82" t="n">
        <f aca="false">'100只成分明细'!H75</f>
        <v>16.6682805583</v>
      </c>
      <c r="T75" s="82" t="n">
        <f aca="false">'100只成分明细'!I75</f>
        <v>19.1991732932</v>
      </c>
      <c r="U75" s="83" t="n">
        <f aca="false">S75-T75</f>
        <v>-2.5308927349</v>
      </c>
      <c r="V75" s="78" t="n">
        <f aca="false">IF(T75=0,"",S75/T75-1)</f>
        <v>-0.13182300593101</v>
      </c>
      <c r="W75" s="55" t="n">
        <f aca="false">IF(U75&gt;0,1,0)</f>
        <v>0</v>
      </c>
      <c r="X75" s="84" t="n">
        <v>0.38</v>
      </c>
      <c r="Y75" s="79" t="n">
        <f aca="false">IF(OR(X75="",H75=""),"",X75/H75)</f>
        <v>0.079664570230608</v>
      </c>
      <c r="Z75" s="75" t="n">
        <v>3</v>
      </c>
      <c r="AA75" s="77" t="n">
        <v>13.13</v>
      </c>
      <c r="AB75" s="77" t="n">
        <v>1.47</v>
      </c>
      <c r="AC75" s="85" t="n">
        <f aca="false">IF(AND(AA75&gt;0,AA75&lt;100),MIN(AA75,50),"")</f>
        <v>13.13</v>
      </c>
      <c r="AD75" s="55" t="n">
        <f aca="false">IF(AC75="",0,1)</f>
        <v>1</v>
      </c>
      <c r="AE75" s="85" t="n">
        <f aca="false">IF(AND(AB75&gt;0,AB75&lt;10),MIN(AB75,5),"")</f>
        <v>1.47</v>
      </c>
      <c r="AF75" s="55" t="n">
        <f aca="false">IF(AE75="",0,1)</f>
        <v>1</v>
      </c>
      <c r="AG75" s="82" t="n">
        <f aca="false">'100只成分明细'!O75</f>
        <v>23.47686217</v>
      </c>
      <c r="AH75" s="82" t="n">
        <f aca="false">'100只成分明细'!P75</f>
        <v>25.9393071174</v>
      </c>
      <c r="AI75" s="55" t="n">
        <f aca="false">IF(AG75&gt;AH75,1,0)</f>
        <v>0</v>
      </c>
    </row>
    <row r="76" customFormat="false" ht="18" hidden="false" customHeight="true" outlineLevel="0" collapsed="false">
      <c r="A76" s="74" t="str">
        <f aca="false">'100只成分明细'!A76</f>
        <v>601225</v>
      </c>
      <c r="B76" s="74" t="str">
        <f aca="false">'100只成分明细'!B76</f>
        <v>陕西煤业</v>
      </c>
      <c r="C76" s="75" t="s">
        <v>22</v>
      </c>
      <c r="D76" s="74" t="str">
        <f aca="false">'100只成分明细'!C76</f>
        <v>煤炭</v>
      </c>
      <c r="E76" s="76" t="n">
        <f aca="false">'100只成分明细'!D76</f>
        <v>0.01563</v>
      </c>
      <c r="F76" s="75" t="s">
        <v>517</v>
      </c>
      <c r="G76" s="77" t="n">
        <v>27.62</v>
      </c>
      <c r="H76" s="77" t="n">
        <v>27.56</v>
      </c>
      <c r="I76" s="78" t="n">
        <f aca="false">IF(OR(G76="",H76=""),"",H76/G76-1)</f>
        <v>-0.00217233888486612</v>
      </c>
      <c r="J76" s="77" t="n">
        <v>26.03</v>
      </c>
      <c r="K76" s="79" t="n">
        <f aca="false">IF(OR(J76="",H76=""),"",H76/J76-1)</f>
        <v>0.0587783326930464</v>
      </c>
      <c r="L76" s="77" t="n">
        <v>24.91</v>
      </c>
      <c r="M76" s="80" t="n">
        <v>46286</v>
      </c>
      <c r="N76" s="79" t="n">
        <f aca="false">IF(OR(L76="",H76=""),"",H76/L76-1)</f>
        <v>0.106382978723404</v>
      </c>
      <c r="O76" s="77" t="n">
        <v>27.87</v>
      </c>
      <c r="P76" s="80" t="n">
        <v>46308</v>
      </c>
      <c r="Q76" s="78" t="n">
        <f aca="false">IF(OR(O76="",H76=""),"",H76/O76-1)</f>
        <v>-0.0111230714029423</v>
      </c>
      <c r="R76" s="81" t="n">
        <f aca="false">'100只成分明细'!G76</f>
        <v>0.0116925360770408</v>
      </c>
      <c r="S76" s="82" t="n">
        <f aca="false">'100只成分明细'!H76</f>
        <v>112.7242210147</v>
      </c>
      <c r="T76" s="82" t="n">
        <f aca="false">'100只成分明细'!I76</f>
        <v>76.3845804906</v>
      </c>
      <c r="U76" s="83" t="n">
        <f aca="false">S76-T76</f>
        <v>36.3396405241</v>
      </c>
      <c r="V76" s="78" t="n">
        <f aca="false">IF(T76=0,"",S76/T76-1)</f>
        <v>0.47574576296288</v>
      </c>
      <c r="W76" s="55" t="n">
        <f aca="false">IF(U76&gt;0,1,0)</f>
        <v>1</v>
      </c>
      <c r="X76" s="84" t="n">
        <v>0.909</v>
      </c>
      <c r="Y76" s="79" t="n">
        <f aca="false">IF(OR(X76="",H76=""),"",X76/H76)</f>
        <v>0.0329825834542816</v>
      </c>
      <c r="Z76" s="75" t="n">
        <v>3</v>
      </c>
      <c r="AA76" s="77" t="n">
        <v>13.1</v>
      </c>
      <c r="AB76" s="77" t="n">
        <v>2.64</v>
      </c>
      <c r="AC76" s="85" t="n">
        <f aca="false">IF(AND(AA76&gt;0,AA76&lt;100),MIN(AA76,50),"")</f>
        <v>13.1</v>
      </c>
      <c r="AD76" s="55" t="n">
        <f aca="false">IF(AC76="",0,1)</f>
        <v>1</v>
      </c>
      <c r="AE76" s="85" t="n">
        <f aca="false">IF(AND(AB76&gt;0,AB76&lt;10),MIN(AB76,5),"")</f>
        <v>2.64</v>
      </c>
      <c r="AF76" s="55" t="n">
        <f aca="false">IF(AE76="",0,1)</f>
        <v>1</v>
      </c>
      <c r="AG76" s="82" t="n">
        <f aca="false">'100只成分明细'!O76</f>
        <v>205.3691736136</v>
      </c>
      <c r="AH76" s="82" t="n">
        <f aca="false">'100只成分明细'!P76</f>
        <v>158.1512964671</v>
      </c>
      <c r="AI76" s="55" t="n">
        <f aca="false">IF(AG76&gt;AH76,1,0)</f>
        <v>1</v>
      </c>
    </row>
    <row r="77" customFormat="false" ht="18" hidden="false" customHeight="true" outlineLevel="0" collapsed="false">
      <c r="A77" s="74" t="str">
        <f aca="false">'100只成分明细'!A77</f>
        <v>601229</v>
      </c>
      <c r="B77" s="74" t="str">
        <f aca="false">'100只成分明细'!B77</f>
        <v>上海银行</v>
      </c>
      <c r="C77" s="75" t="s">
        <v>21</v>
      </c>
      <c r="D77" s="74" t="str">
        <f aca="false">'100只成分明细'!C77</f>
        <v>银行</v>
      </c>
      <c r="E77" s="76" t="n">
        <f aca="false">'100只成分明细'!D77</f>
        <v>0.01077</v>
      </c>
      <c r="F77" s="75" t="s">
        <v>528</v>
      </c>
      <c r="G77" s="77" t="n">
        <v>9.48</v>
      </c>
      <c r="H77" s="77" t="n">
        <v>9.71</v>
      </c>
      <c r="I77" s="78" t="n">
        <f aca="false">IF(OR(G77="",H77=""),"",H77/G77-1)</f>
        <v>0.0242616033755274</v>
      </c>
      <c r="J77" s="77" t="n">
        <v>9.75</v>
      </c>
      <c r="K77" s="79" t="n">
        <f aca="false">IF(OR(J77="",H77=""),"",H77/J77-1)</f>
        <v>-0.00410256410256404</v>
      </c>
      <c r="L77" s="77" t="n">
        <v>9.27</v>
      </c>
      <c r="M77" s="80" t="n">
        <v>46265</v>
      </c>
      <c r="N77" s="79" t="n">
        <f aca="false">IF(OR(L77="",H77=""),"",H77/L77-1)</f>
        <v>0.0474649406688243</v>
      </c>
      <c r="O77" s="77" t="n">
        <v>9.87</v>
      </c>
      <c r="P77" s="80" t="n">
        <v>46279</v>
      </c>
      <c r="Q77" s="78" t="n">
        <f aca="false">IF(OR(O77="",H77=""),"",H77/O77-1)</f>
        <v>-0.0162107396149948</v>
      </c>
      <c r="R77" s="81" t="n">
        <f aca="false">'100只成分明细'!G77</f>
        <v>0.0547961186622041</v>
      </c>
      <c r="S77" s="82" t="n">
        <f aca="false">'100只成分明细'!H77</f>
        <v>132.98558</v>
      </c>
      <c r="T77" s="82" t="n">
        <f aca="false">'100只成分明细'!I77</f>
        <v>132.30678</v>
      </c>
      <c r="U77" s="83" t="n">
        <f aca="false">S77-T77</f>
        <v>0.678799999999995</v>
      </c>
      <c r="V77" s="78" t="n">
        <f aca="false">IF(T77=0,"",S77/T77-1)</f>
        <v>0.00513050049286967</v>
      </c>
      <c r="W77" s="55" t="n">
        <f aca="false">IF(U77&gt;0,1,0)</f>
        <v>1</v>
      </c>
      <c r="X77" s="84" t="n">
        <v>0.52</v>
      </c>
      <c r="Y77" s="79" t="n">
        <f aca="false">IF(OR(X77="",H77=""),"",X77/H77)</f>
        <v>0.0535530381050463</v>
      </c>
      <c r="Z77" s="75" t="n">
        <v>3</v>
      </c>
      <c r="AA77" s="77" t="n">
        <v>5.72</v>
      </c>
      <c r="AB77" s="77" t="n">
        <v>0.54</v>
      </c>
      <c r="AC77" s="85" t="n">
        <f aca="false">IF(AND(AA77&gt;0,AA77&lt;100),MIN(AA77,50),"")</f>
        <v>5.72</v>
      </c>
      <c r="AD77" s="55" t="n">
        <f aca="false">IF(AC77="",0,1)</f>
        <v>1</v>
      </c>
      <c r="AE77" s="85" t="n">
        <f aca="false">IF(AND(AB77&gt;0,AB77&lt;10),MIN(AB77,5),"")</f>
        <v>0.54</v>
      </c>
      <c r="AF77" s="55" t="n">
        <f aca="false">IF(AE77="",0,1)</f>
        <v>1</v>
      </c>
      <c r="AG77" s="82" t="n">
        <f aca="false">'100只成分明细'!O77</f>
        <v>-4.34193</v>
      </c>
      <c r="AH77" s="82" t="n">
        <f aca="false">'100只成分明细'!P77</f>
        <v>-1307.82033</v>
      </c>
      <c r="AI77" s="55" t="n">
        <f aca="false">IF(AG77&gt;AH77,1,0)</f>
        <v>1</v>
      </c>
    </row>
    <row r="78" customFormat="false" ht="18" hidden="false" customHeight="true" outlineLevel="0" collapsed="false">
      <c r="A78" s="74" t="str">
        <f aca="false">'100只成分明细'!A78</f>
        <v>601288</v>
      </c>
      <c r="B78" s="74" t="str">
        <f aca="false">'100只成分明细'!B78</f>
        <v>农业银行</v>
      </c>
      <c r="C78" s="75" t="s">
        <v>21</v>
      </c>
      <c r="D78" s="74" t="str">
        <f aca="false">'100只成分明细'!C78</f>
        <v>银行</v>
      </c>
      <c r="E78" s="76" t="n">
        <f aca="false">'100只成分明细'!D78</f>
        <v>0.00862</v>
      </c>
      <c r="F78" s="75" t="s">
        <v>528</v>
      </c>
      <c r="G78" s="77" t="n">
        <v>6.92</v>
      </c>
      <c r="H78" s="77" t="n">
        <v>7.23</v>
      </c>
      <c r="I78" s="78" t="n">
        <f aca="false">IF(OR(G78="",H78=""),"",H78/G78-1)</f>
        <v>0.0447976878612717</v>
      </c>
      <c r="J78" s="77" t="n">
        <v>6.97</v>
      </c>
      <c r="K78" s="79" t="n">
        <f aca="false">IF(OR(J78="",H78=""),"",H78/J78-1)</f>
        <v>0.0373027259684362</v>
      </c>
      <c r="L78" s="77" t="n">
        <v>6.7</v>
      </c>
      <c r="M78" s="80" t="n">
        <v>46273</v>
      </c>
      <c r="N78" s="79" t="n">
        <f aca="false">IF(OR(L78="",H78=""),"",H78/L78-1)</f>
        <v>0.0791044776119403</v>
      </c>
      <c r="O78" s="77" t="n">
        <v>7.27</v>
      </c>
      <c r="P78" s="80" t="n">
        <v>46308</v>
      </c>
      <c r="Q78" s="78" t="n">
        <f aca="false">IF(OR(O78="",H78=""),"",H78/O78-1)</f>
        <v>-0.00550206327372749</v>
      </c>
      <c r="R78" s="81" t="n">
        <f aca="false">'100只成分明细'!G78</f>
        <v>0.110651273054601</v>
      </c>
      <c r="S78" s="82" t="n">
        <f aca="false">'100只成分明细'!H78</f>
        <v>1463.81</v>
      </c>
      <c r="T78" s="82" t="n">
        <f aca="false">'100只成分明细'!I78</f>
        <v>1395.1</v>
      </c>
      <c r="U78" s="83" t="n">
        <f aca="false">S78-T78</f>
        <v>68.71</v>
      </c>
      <c r="V78" s="78" t="n">
        <f aca="false">IF(T78=0,"",S78/T78-1)</f>
        <v>0.0492509497527058</v>
      </c>
      <c r="W78" s="55" t="n">
        <f aca="false">IF(U78&gt;0,1,0)</f>
        <v>1</v>
      </c>
      <c r="X78" s="84" t="n">
        <v>0.2495</v>
      </c>
      <c r="Y78" s="79" t="n">
        <f aca="false">IF(OR(X78="",H78=""),"",X78/H78)</f>
        <v>0.0345089903181189</v>
      </c>
      <c r="Z78" s="75" t="n">
        <v>3</v>
      </c>
      <c r="AA78" s="77" t="n">
        <v>8.49</v>
      </c>
      <c r="AB78" s="77" t="n">
        <v>0.89</v>
      </c>
      <c r="AC78" s="85" t="n">
        <f aca="false">IF(AND(AA78&gt;0,AA78&lt;100),MIN(AA78,50),"")</f>
        <v>8.49</v>
      </c>
      <c r="AD78" s="55" t="n">
        <f aca="false">IF(AC78="",0,1)</f>
        <v>1</v>
      </c>
      <c r="AE78" s="85" t="n">
        <f aca="false">IF(AND(AB78&gt;0,AB78&lt;10),MIN(AB78,5),"")</f>
        <v>0.89</v>
      </c>
      <c r="AF78" s="55" t="n">
        <f aca="false">IF(AE78="",0,1)</f>
        <v>1</v>
      </c>
      <c r="AG78" s="82" t="n">
        <f aca="false">'100只成分明细'!O78</f>
        <v>2876.12</v>
      </c>
      <c r="AH78" s="82" t="n">
        <f aca="false">'100只成分明细'!P78</f>
        <v>10058.04</v>
      </c>
      <c r="AI78" s="55" t="n">
        <f aca="false">IF(AG78&gt;AH78,1,0)</f>
        <v>0</v>
      </c>
    </row>
    <row r="79" customFormat="false" ht="18" hidden="false" customHeight="true" outlineLevel="0" collapsed="false">
      <c r="A79" s="74" t="str">
        <f aca="false">'100只成分明细'!A79</f>
        <v>601318</v>
      </c>
      <c r="B79" s="74" t="str">
        <f aca="false">'100只成分明细'!B79</f>
        <v>中国平安</v>
      </c>
      <c r="C79" s="75" t="s">
        <v>51</v>
      </c>
      <c r="D79" s="74" t="str">
        <f aca="false">'100只成分明细'!C79</f>
        <v>保险</v>
      </c>
      <c r="E79" s="76" t="n">
        <f aca="false">'100只成分明细'!D79</f>
        <v>0.00791</v>
      </c>
      <c r="F79" s="75" t="s">
        <v>543</v>
      </c>
      <c r="G79" s="77" t="n">
        <v>54.84</v>
      </c>
      <c r="H79" s="77" t="n">
        <v>52.43</v>
      </c>
      <c r="I79" s="78" t="n">
        <f aca="false">IF(OR(G79="",H79=""),"",H79/G79-1)</f>
        <v>-0.0439460247994166</v>
      </c>
      <c r="J79" s="77" t="n">
        <v>53.29</v>
      </c>
      <c r="K79" s="79" t="n">
        <f aca="false">IF(OR(J79="",H79=""),"",H79/J79-1)</f>
        <v>-0.0161381122161757</v>
      </c>
      <c r="L79" s="77" t="n">
        <v>52.02</v>
      </c>
      <c r="M79" s="80" t="n">
        <v>46308</v>
      </c>
      <c r="N79" s="79" t="n">
        <f aca="false">IF(OR(L79="",H79=""),"",H79/L79-1)</f>
        <v>0.00788158400615147</v>
      </c>
      <c r="O79" s="77" t="n">
        <v>58.01</v>
      </c>
      <c r="P79" s="80" t="n">
        <v>46269</v>
      </c>
      <c r="Q79" s="78" t="n">
        <f aca="false">IF(OR(O79="",H79=""),"",H79/O79-1)</f>
        <v>-0.0961903120151698</v>
      </c>
      <c r="R79" s="81" t="n">
        <f aca="false">'100只成分明细'!G79</f>
        <v>0.150101184619938</v>
      </c>
      <c r="S79" s="82" t="n">
        <f aca="false">'100只成分明细'!H79</f>
        <v>925.85</v>
      </c>
      <c r="T79" s="82" t="n">
        <f aca="false">'100只成分明细'!I79</f>
        <v>680.47</v>
      </c>
      <c r="U79" s="83" t="n">
        <f aca="false">S79-T79</f>
        <v>245.38</v>
      </c>
      <c r="V79" s="78" t="n">
        <f aca="false">IF(T79=0,"",S79/T79-1)</f>
        <v>0.360603700383559</v>
      </c>
      <c r="W79" s="55" t="n">
        <f aca="false">IF(U79&gt;0,1,0)</f>
        <v>1</v>
      </c>
      <c r="X79" s="84" t="n">
        <v>3.68</v>
      </c>
      <c r="Y79" s="79" t="n">
        <f aca="false">IF(OR(X79="",H79=""),"",X79/H79)</f>
        <v>0.0701888231928285</v>
      </c>
      <c r="Z79" s="75" t="n">
        <v>3</v>
      </c>
      <c r="AA79" s="77" t="n">
        <v>5.96</v>
      </c>
      <c r="AB79" s="77" t="n">
        <v>0.94</v>
      </c>
      <c r="AC79" s="85" t="n">
        <f aca="false">IF(AND(AA79&gt;0,AA79&lt;100),MIN(AA79,50),"")</f>
        <v>5.96</v>
      </c>
      <c r="AD79" s="55" t="n">
        <f aca="false">IF(AC79="",0,1)</f>
        <v>1</v>
      </c>
      <c r="AE79" s="85" t="n">
        <f aca="false">IF(AND(AB79&gt;0,AB79&lt;10),MIN(AB79,5),"")</f>
        <v>0.94</v>
      </c>
      <c r="AF79" s="55" t="n">
        <f aca="false">IF(AE79="",0,1)</f>
        <v>1</v>
      </c>
      <c r="AG79" s="82" t="n">
        <f aca="false">'100只成分明细'!O79</f>
        <v>3680.37</v>
      </c>
      <c r="AH79" s="82" t="n">
        <f aca="false">'100只成分明细'!P79</f>
        <v>3381.85</v>
      </c>
      <c r="AI79" s="55" t="n">
        <f aca="false">IF(AG79&gt;AH79,1,0)</f>
        <v>1</v>
      </c>
    </row>
    <row r="80" customFormat="false" ht="18" hidden="false" customHeight="true" outlineLevel="0" collapsed="false">
      <c r="A80" s="74" t="str">
        <f aca="false">'100只成分明细'!A80</f>
        <v>601328</v>
      </c>
      <c r="B80" s="74" t="str">
        <f aca="false">'100只成分明细'!B80</f>
        <v>交通银行</v>
      </c>
      <c r="C80" s="75" t="s">
        <v>21</v>
      </c>
      <c r="D80" s="74" t="str">
        <f aca="false">'100只成分明细'!C80</f>
        <v>银行</v>
      </c>
      <c r="E80" s="76" t="n">
        <f aca="false">'100只成分明细'!D80</f>
        <v>0.00983</v>
      </c>
      <c r="F80" s="75" t="s">
        <v>528</v>
      </c>
      <c r="G80" s="77" t="n">
        <v>7.24</v>
      </c>
      <c r="H80" s="77" t="n">
        <v>7.94</v>
      </c>
      <c r="I80" s="78" t="n">
        <f aca="false">IF(OR(G80="",H80=""),"",H80/G80-1)</f>
        <v>0.0966850828729282</v>
      </c>
      <c r="J80" s="77" t="n">
        <v>7.75</v>
      </c>
      <c r="K80" s="79" t="n">
        <f aca="false">IF(OR(J80="",H80=""),"",H80/J80-1)</f>
        <v>0.0245161290322582</v>
      </c>
      <c r="L80" s="77" t="n">
        <v>7.13</v>
      </c>
      <c r="M80" s="80" t="n">
        <v>46265</v>
      </c>
      <c r="N80" s="79" t="n">
        <f aca="false">IF(OR(L80="",H80=""),"",H80/L80-1)</f>
        <v>0.113604488078541</v>
      </c>
      <c r="O80" s="77" t="n">
        <v>7.96</v>
      </c>
      <c r="P80" s="80" t="n">
        <v>46308</v>
      </c>
      <c r="Q80" s="78" t="n">
        <f aca="false">IF(OR(O80="",H80=""),"",H80/O80-1)</f>
        <v>-0.00251256281407031</v>
      </c>
      <c r="R80" s="81" t="n">
        <f aca="false">'100只成分明细'!G80</f>
        <v>0.0672950032991422</v>
      </c>
      <c r="S80" s="82" t="n">
        <f aca="false">'100只成分明细'!H80</f>
        <v>478.74</v>
      </c>
      <c r="T80" s="82" t="n">
        <f aca="false">'100只成分明细'!I80</f>
        <v>460.16</v>
      </c>
      <c r="U80" s="83" t="n">
        <f aca="false">S80-T80</f>
        <v>18.58</v>
      </c>
      <c r="V80" s="78" t="n">
        <f aca="false">IF(T80=0,"",S80/T80-1)</f>
        <v>0.0403772600834491</v>
      </c>
      <c r="W80" s="55" t="n">
        <f aca="false">IF(U80&gt;0,1,0)</f>
        <v>1</v>
      </c>
      <c r="X80" s="84" t="n">
        <v>0.3247</v>
      </c>
      <c r="Y80" s="79" t="n">
        <f aca="false">IF(OR(X80="",H80=""),"",X80/H80)</f>
        <v>0.0408942065491184</v>
      </c>
      <c r="Z80" s="75" t="n">
        <v>3</v>
      </c>
      <c r="AA80" s="77" t="n">
        <v>7.2</v>
      </c>
      <c r="AB80" s="77" t="n">
        <v>0.6</v>
      </c>
      <c r="AC80" s="85" t="n">
        <f aca="false">IF(AND(AA80&gt;0,AA80&lt;100),MIN(AA80,50),"")</f>
        <v>7.2</v>
      </c>
      <c r="AD80" s="55" t="n">
        <f aca="false">IF(AC80="",0,1)</f>
        <v>1</v>
      </c>
      <c r="AE80" s="85" t="n">
        <f aca="false">IF(AND(AB80&gt;0,AB80&lt;10),MIN(AB80,5),"")</f>
        <v>0.6</v>
      </c>
      <c r="AF80" s="55" t="n">
        <f aca="false">IF(AE80="",0,1)</f>
        <v>1</v>
      </c>
      <c r="AG80" s="82" t="n">
        <f aca="false">'100只成分明细'!O80</f>
        <v>949.43</v>
      </c>
      <c r="AH80" s="82" t="n">
        <f aca="false">'100只成分明细'!P80</f>
        <v>534.79</v>
      </c>
      <c r="AI80" s="55" t="n">
        <f aca="false">IF(AG80&gt;AH80,1,0)</f>
        <v>1</v>
      </c>
    </row>
    <row r="81" customFormat="false" ht="18" hidden="false" customHeight="true" outlineLevel="0" collapsed="false">
      <c r="A81" s="74" t="str">
        <f aca="false">'100只成分明细'!A81</f>
        <v>601398</v>
      </c>
      <c r="B81" s="74" t="str">
        <f aca="false">'100只成分明细'!B81</f>
        <v>工商银行</v>
      </c>
      <c r="C81" s="75" t="s">
        <v>21</v>
      </c>
      <c r="D81" s="74" t="str">
        <f aca="false">'100只成分明细'!C81</f>
        <v>银行</v>
      </c>
      <c r="E81" s="76" t="n">
        <f aca="false">'100只成分明细'!D81</f>
        <v>0.00992</v>
      </c>
      <c r="F81" s="75" t="s">
        <v>528</v>
      </c>
      <c r="G81" s="77" t="n">
        <v>8.07</v>
      </c>
      <c r="H81" s="77" t="n">
        <v>8.47</v>
      </c>
      <c r="I81" s="78" t="n">
        <f aca="false">IF(OR(G81="",H81=""),"",H81/G81-1)</f>
        <v>0.0495662949194549</v>
      </c>
      <c r="J81" s="77" t="n">
        <v>8.28</v>
      </c>
      <c r="K81" s="79" t="n">
        <f aca="false">IF(OR(J81="",H81=""),"",H81/J81-1)</f>
        <v>0.0229468599033817</v>
      </c>
      <c r="L81" s="77" t="n">
        <v>7.85</v>
      </c>
      <c r="M81" s="80" t="n">
        <v>46273</v>
      </c>
      <c r="N81" s="79" t="n">
        <f aca="false">IF(OR(L81="",H81=""),"",H81/L81-1)</f>
        <v>0.0789808917197454</v>
      </c>
      <c r="O81" s="77" t="n">
        <v>8.52</v>
      </c>
      <c r="P81" s="80" t="n">
        <v>46308</v>
      </c>
      <c r="Q81" s="78" t="n">
        <f aca="false">IF(OR(O81="",H81=""),"",H81/O81-1)</f>
        <v>-0.00586854460093889</v>
      </c>
      <c r="R81" s="81" t="n">
        <f aca="false">'100只成分明细'!G81</f>
        <v>0.0907696702349845</v>
      </c>
      <c r="S81" s="82" t="n">
        <f aca="false">'100只成分明细'!H81</f>
        <v>1736.82</v>
      </c>
      <c r="T81" s="82" t="n">
        <f aca="false">'100只成分明细'!I81</f>
        <v>1681.03</v>
      </c>
      <c r="U81" s="83" t="n">
        <f aca="false">S81-T81</f>
        <v>55.79</v>
      </c>
      <c r="V81" s="78" t="n">
        <f aca="false">IF(T81=0,"",S81/T81-1)</f>
        <v>0.0331879859371933</v>
      </c>
      <c r="W81" s="55" t="n">
        <f aca="false">IF(U81&gt;0,1,0)</f>
        <v>1</v>
      </c>
      <c r="X81" s="84" t="n">
        <v>0.3103</v>
      </c>
      <c r="Y81" s="79" t="n">
        <f aca="false">IF(OR(X81="",H81=""),"",X81/H81)</f>
        <v>0.0366351829988194</v>
      </c>
      <c r="Z81" s="75" t="n">
        <v>3</v>
      </c>
      <c r="AA81" s="77" t="n">
        <v>8.07</v>
      </c>
      <c r="AB81" s="77" t="n">
        <v>0.76</v>
      </c>
      <c r="AC81" s="85" t="n">
        <f aca="false">IF(AND(AA81&gt;0,AA81&lt;100),MIN(AA81,50),"")</f>
        <v>8.07</v>
      </c>
      <c r="AD81" s="55" t="n">
        <f aca="false">IF(AC81="",0,1)</f>
        <v>1</v>
      </c>
      <c r="AE81" s="85" t="n">
        <f aca="false">IF(AND(AB81&gt;0,AB81&lt;10),MIN(AB81,5),"")</f>
        <v>0.76</v>
      </c>
      <c r="AF81" s="55" t="n">
        <f aca="false">IF(AE81="",0,1)</f>
        <v>1</v>
      </c>
      <c r="AG81" s="82" t="n">
        <f aca="false">'100只成分明细'!O81</f>
        <v>13690.13</v>
      </c>
      <c r="AH81" s="82" t="n">
        <f aca="false">'100只成分明细'!P81</f>
        <v>7863.17</v>
      </c>
      <c r="AI81" s="55" t="n">
        <f aca="false">IF(AG81&gt;AH81,1,0)</f>
        <v>1</v>
      </c>
    </row>
    <row r="82" customFormat="false" ht="18" hidden="false" customHeight="true" outlineLevel="0" collapsed="false">
      <c r="A82" s="74" t="str">
        <f aca="false">'100只成分明细'!A82</f>
        <v>601598</v>
      </c>
      <c r="B82" s="74" t="str">
        <f aca="false">'100只成分明细'!B82</f>
        <v>中国外运</v>
      </c>
      <c r="C82" s="75" t="s">
        <v>48</v>
      </c>
      <c r="D82" s="74" t="str">
        <f aca="false">'100只成分明细'!C82</f>
        <v>交通运输</v>
      </c>
      <c r="E82" s="76" t="n">
        <f aca="false">'100只成分明细'!D82</f>
        <v>0.00935</v>
      </c>
      <c r="F82" s="75" t="s">
        <v>531</v>
      </c>
      <c r="G82" s="77" t="n">
        <v>6.82</v>
      </c>
      <c r="H82" s="77" t="n">
        <v>6.93</v>
      </c>
      <c r="I82" s="78" t="n">
        <f aca="false">IF(OR(G82="",H82=""),"",H82/G82-1)</f>
        <v>0.0161290322580645</v>
      </c>
      <c r="J82" s="77" t="n">
        <v>6.61</v>
      </c>
      <c r="K82" s="79" t="n">
        <f aca="false">IF(OR(J82="",H82=""),"",H82/J82-1)</f>
        <v>0.0484114977307109</v>
      </c>
      <c r="L82" s="77" t="n">
        <v>6.38</v>
      </c>
      <c r="M82" s="80" t="n">
        <v>46276</v>
      </c>
      <c r="N82" s="79" t="n">
        <f aca="false">IF(OR(L82="",H82=""),"",H82/L82-1)</f>
        <v>0.0862068965517242</v>
      </c>
      <c r="O82" s="77" t="n">
        <v>7.06</v>
      </c>
      <c r="P82" s="80" t="n">
        <v>46308</v>
      </c>
      <c r="Q82" s="78" t="n">
        <f aca="false">IF(OR(O82="",H82=""),"",H82/O82-1)</f>
        <v>-0.018413597733711</v>
      </c>
      <c r="R82" s="81" t="n">
        <f aca="false">'100只成分明细'!G82</f>
        <v>-0.0805628391519669</v>
      </c>
      <c r="S82" s="82" t="n">
        <f aca="false">'100只成分明细'!H82</f>
        <v>17.2491901693</v>
      </c>
      <c r="T82" s="82" t="n">
        <f aca="false">'100只成分明细'!I82</f>
        <v>19.469487272</v>
      </c>
      <c r="U82" s="83" t="n">
        <f aca="false">S82-T82</f>
        <v>-2.2202971027</v>
      </c>
      <c r="V82" s="78" t="n">
        <f aca="false">IF(T82=0,"",S82/T82-1)</f>
        <v>-0.11403983431516</v>
      </c>
      <c r="W82" s="55" t="n">
        <f aca="false">IF(U82&gt;0,1,0)</f>
        <v>0</v>
      </c>
      <c r="X82" s="84" t="n">
        <v>0.3</v>
      </c>
      <c r="Y82" s="79" t="n">
        <f aca="false">IF(OR(X82="",H82=""),"",X82/H82)</f>
        <v>0.0432900432900433</v>
      </c>
      <c r="Z82" s="75" t="n">
        <v>3</v>
      </c>
      <c r="AA82" s="77" t="n">
        <v>13.08</v>
      </c>
      <c r="AB82" s="77" t="n">
        <v>1.23</v>
      </c>
      <c r="AC82" s="85" t="n">
        <f aca="false">IF(AND(AA82&gt;0,AA82&lt;100),MIN(AA82,50),"")</f>
        <v>13.08</v>
      </c>
      <c r="AD82" s="55" t="n">
        <f aca="false">IF(AC82="",0,1)</f>
        <v>1</v>
      </c>
      <c r="AE82" s="85" t="n">
        <f aca="false">IF(AND(AB82&gt;0,AB82&lt;10),MIN(AB82,5),"")</f>
        <v>1.23</v>
      </c>
      <c r="AF82" s="55" t="n">
        <f aca="false">IF(AE82="",0,1)</f>
        <v>1</v>
      </c>
      <c r="AG82" s="82" t="n">
        <f aca="false">'100只成分明细'!O82</f>
        <v>-8.5812582909</v>
      </c>
      <c r="AH82" s="82" t="n">
        <f aca="false">'100只成分明细'!P82</f>
        <v>1.6772286182</v>
      </c>
      <c r="AI82" s="55" t="n">
        <f aca="false">IF(AG82&gt;AH82,1,0)</f>
        <v>0</v>
      </c>
    </row>
    <row r="83" customFormat="false" ht="18" hidden="false" customHeight="true" outlineLevel="0" collapsed="false">
      <c r="A83" s="74" t="str">
        <f aca="false">'100只成分明细'!A83</f>
        <v>601658</v>
      </c>
      <c r="B83" s="74" t="str">
        <f aca="false">'100只成分明细'!B83</f>
        <v>邮储银行</v>
      </c>
      <c r="C83" s="75" t="s">
        <v>21</v>
      </c>
      <c r="D83" s="74" t="str">
        <f aca="false">'100只成分明细'!C83</f>
        <v>银行</v>
      </c>
      <c r="E83" s="76" t="n">
        <f aca="false">'100只成分明细'!D83</f>
        <v>0.0084</v>
      </c>
      <c r="F83" s="75" t="s">
        <v>528</v>
      </c>
      <c r="G83" s="77" t="n">
        <v>5.26</v>
      </c>
      <c r="H83" s="77" t="n">
        <v>5.54</v>
      </c>
      <c r="I83" s="78" t="n">
        <f aca="false">IF(OR(G83="",H83=""),"",H83/G83-1)</f>
        <v>0.0532319391634981</v>
      </c>
      <c r="J83" s="77" t="n">
        <v>5.46</v>
      </c>
      <c r="K83" s="79" t="n">
        <f aca="false">IF(OR(J83="",H83=""),"",H83/J83-1)</f>
        <v>0.0146520146520146</v>
      </c>
      <c r="L83" s="77" t="n">
        <v>5.04</v>
      </c>
      <c r="M83" s="80" t="n">
        <v>46265</v>
      </c>
      <c r="N83" s="79" t="n">
        <f aca="false">IF(OR(L83="",H83=""),"",H83/L83-1)</f>
        <v>0.0992063492063493</v>
      </c>
      <c r="O83" s="77" t="n">
        <v>5.61</v>
      </c>
      <c r="P83" s="80" t="n">
        <v>46268</v>
      </c>
      <c r="Q83" s="78" t="n">
        <f aca="false">IF(OR(O83="",H83=""),"",H83/O83-1)</f>
        <v>-0.0124777183600714</v>
      </c>
      <c r="R83" s="81" t="n">
        <f aca="false">'100只成分明细'!G83</f>
        <v>0.0726458098815241</v>
      </c>
      <c r="S83" s="82" t="n">
        <f aca="false">'100只成分明细'!H83</f>
        <v>515.03</v>
      </c>
      <c r="T83" s="82" t="n">
        <f aca="false">'100只成分明细'!I83</f>
        <v>492.28</v>
      </c>
      <c r="U83" s="83" t="n">
        <f aca="false">S83-T83</f>
        <v>22.75</v>
      </c>
      <c r="V83" s="78" t="n">
        <f aca="false">IF(T83=0,"",S83/T83-1)</f>
        <v>0.0462135370114569</v>
      </c>
      <c r="W83" s="55" t="n">
        <f aca="false">IF(U83&gt;0,1,0)</f>
        <v>1</v>
      </c>
      <c r="X83" s="84" t="n">
        <v>0.2183</v>
      </c>
      <c r="Y83" s="79" t="n">
        <f aca="false">IF(OR(X83="",H83=""),"",X83/H83)</f>
        <v>0.0394043321299639</v>
      </c>
      <c r="Z83" s="75" t="n">
        <v>3</v>
      </c>
      <c r="AA83" s="77" t="n">
        <v>7.42</v>
      </c>
      <c r="AB83" s="77" t="n">
        <v>0.64</v>
      </c>
      <c r="AC83" s="85" t="n">
        <f aca="false">IF(AND(AA83&gt;0,AA83&lt;100),MIN(AA83,50),"")</f>
        <v>7.42</v>
      </c>
      <c r="AD83" s="55" t="n">
        <f aca="false">IF(AC83="",0,1)</f>
        <v>1</v>
      </c>
      <c r="AE83" s="85" t="n">
        <f aca="false">IF(AND(AB83&gt;0,AB83&lt;10),MIN(AB83,5),"")</f>
        <v>0.64</v>
      </c>
      <c r="AF83" s="55" t="n">
        <f aca="false">IF(AE83="",0,1)</f>
        <v>1</v>
      </c>
      <c r="AG83" s="82" t="n">
        <f aca="false">'100只成分明细'!O83</f>
        <v>3525.14</v>
      </c>
      <c r="AH83" s="82" t="n">
        <f aca="false">'100只成分明细'!P83</f>
        <v>1836.99</v>
      </c>
      <c r="AI83" s="55" t="n">
        <f aca="false">IF(AG83&gt;AH83,1,0)</f>
        <v>1</v>
      </c>
    </row>
    <row r="84" customFormat="false" ht="18" hidden="false" customHeight="true" outlineLevel="0" collapsed="false">
      <c r="A84" s="74" t="str">
        <f aca="false">'100只成分明细'!A84</f>
        <v>601666</v>
      </c>
      <c r="B84" s="74" t="str">
        <f aca="false">'100只成分明细'!B84</f>
        <v>平煤股份</v>
      </c>
      <c r="C84" s="75" t="s">
        <v>22</v>
      </c>
      <c r="D84" s="74" t="str">
        <f aca="false">'100只成分明细'!C84</f>
        <v>煤炭</v>
      </c>
      <c r="E84" s="76" t="n">
        <f aca="false">'100只成分明细'!D84</f>
        <v>0.01471</v>
      </c>
      <c r="F84" s="75" t="s">
        <v>517</v>
      </c>
      <c r="G84" s="77" t="n">
        <v>10.06</v>
      </c>
      <c r="H84" s="77" t="n">
        <v>8.7</v>
      </c>
      <c r="I84" s="78" t="n">
        <f aca="false">IF(OR(G84="",H84=""),"",H84/G84-1)</f>
        <v>-0.135188866799205</v>
      </c>
      <c r="J84" s="77" t="n">
        <v>8.82</v>
      </c>
      <c r="K84" s="79" t="n">
        <f aca="false">IF(OR(J84="",H84=""),"",H84/J84-1)</f>
        <v>-0.0136054421768709</v>
      </c>
      <c r="L84" s="77" t="n">
        <v>8.49</v>
      </c>
      <c r="M84" s="80" t="n">
        <v>46294</v>
      </c>
      <c r="N84" s="79" t="n">
        <f aca="false">IF(OR(L84="",H84=""),"",H84/L84-1)</f>
        <v>0.0247349823321554</v>
      </c>
      <c r="O84" s="77" t="n">
        <v>10.26</v>
      </c>
      <c r="P84" s="80" t="n">
        <v>46265</v>
      </c>
      <c r="Q84" s="78" t="n">
        <f aca="false">IF(OR(O84="",H84=""),"",H84/O84-1)</f>
        <v>-0.152046783625731</v>
      </c>
      <c r="R84" s="81" t="n">
        <f aca="false">'100只成分明细'!G84</f>
        <v>0.213438753172088</v>
      </c>
      <c r="S84" s="82" t="n">
        <f aca="false">'100只成分明细'!H84</f>
        <v>3.1675546063</v>
      </c>
      <c r="T84" s="82" t="n">
        <f aca="false">'100只成分明细'!I84</f>
        <v>2.5785890932</v>
      </c>
      <c r="U84" s="83" t="n">
        <f aca="false">S84-T84</f>
        <v>0.5889655131</v>
      </c>
      <c r="V84" s="78" t="n">
        <f aca="false">IF(T84=0,"",S84/T84-1)</f>
        <v>0.228406113503373</v>
      </c>
      <c r="W84" s="55" t="n">
        <f aca="false">IF(U84&gt;0,1,0)</f>
        <v>1</v>
      </c>
      <c r="X84" s="84" t="n">
        <v>0.06</v>
      </c>
      <c r="Y84" s="79" t="n">
        <f aca="false">IF(OR(X84="",H84=""),"",X84/H84)</f>
        <v>0.00689655172413793</v>
      </c>
      <c r="Z84" s="75" t="n">
        <v>3</v>
      </c>
      <c r="AA84" s="77" t="n">
        <v>74.03</v>
      </c>
      <c r="AB84" s="77" t="n">
        <v>0.98</v>
      </c>
      <c r="AC84" s="85" t="n">
        <f aca="false">IF(AND(AA84&gt;0,AA84&lt;100),MIN(AA84,50),"")</f>
        <v>50</v>
      </c>
      <c r="AD84" s="55" t="n">
        <f aca="false">IF(AC84="",0,1)</f>
        <v>1</v>
      </c>
      <c r="AE84" s="85" t="n">
        <f aca="false">IF(AND(AB84&gt;0,AB84&lt;10),MIN(AB84,5),"")</f>
        <v>0.98</v>
      </c>
      <c r="AF84" s="55" t="n">
        <f aca="false">IF(AE84="",0,1)</f>
        <v>1</v>
      </c>
      <c r="AG84" s="82" t="n">
        <f aca="false">'100只成分明细'!O84</f>
        <v>25.528521865</v>
      </c>
      <c r="AH84" s="82" t="n">
        <f aca="false">'100只成分明细'!P84</f>
        <v>4.0355979283</v>
      </c>
      <c r="AI84" s="55" t="n">
        <f aca="false">IF(AG84&gt;AH84,1,0)</f>
        <v>1</v>
      </c>
    </row>
    <row r="85" customFormat="false" ht="18" hidden="false" customHeight="true" outlineLevel="0" collapsed="false">
      <c r="A85" s="74" t="str">
        <f aca="false">'100只成分明细'!A85</f>
        <v>601668</v>
      </c>
      <c r="B85" s="74" t="str">
        <f aca="false">'100只成分明细'!B85</f>
        <v>中国建筑</v>
      </c>
      <c r="C85" s="75" t="s">
        <v>52</v>
      </c>
      <c r="D85" s="74" t="str">
        <f aca="false">'100只成分明细'!C85</f>
        <v>建筑</v>
      </c>
      <c r="E85" s="76" t="n">
        <f aca="false">'100只成分明细'!D85</f>
        <v>0.00756</v>
      </c>
      <c r="F85" s="75" t="s">
        <v>544</v>
      </c>
      <c r="G85" s="77" t="n">
        <v>4.33</v>
      </c>
      <c r="H85" s="77" t="n">
        <v>4.45</v>
      </c>
      <c r="I85" s="78" t="n">
        <f aca="false">IF(OR(G85="",H85=""),"",H85/G85-1)</f>
        <v>0.0277136258660509</v>
      </c>
      <c r="J85" s="77" t="n">
        <v>4.34</v>
      </c>
      <c r="K85" s="79" t="n">
        <f aca="false">IF(OR(J85="",H85=""),"",H85/J85-1)</f>
        <v>0.0253456221198158</v>
      </c>
      <c r="L85" s="77" t="n">
        <v>4.2</v>
      </c>
      <c r="M85" s="80" t="n">
        <v>46293</v>
      </c>
      <c r="N85" s="79" t="n">
        <f aca="false">IF(OR(L85="",H85=""),"",H85/L85-1)</f>
        <v>0.0595238095238095</v>
      </c>
      <c r="O85" s="77" t="n">
        <v>4.46</v>
      </c>
      <c r="P85" s="80" t="n">
        <v>46265</v>
      </c>
      <c r="Q85" s="78" t="n">
        <f aca="false">IF(OR(O85="",H85=""),"",H85/O85-1)</f>
        <v>-0.00224215246636772</v>
      </c>
      <c r="R85" s="81" t="n">
        <f aca="false">'100只成分明细'!G85</f>
        <v>-0.119615548687893</v>
      </c>
      <c r="S85" s="82" t="n">
        <f aca="false">'100只成分明细'!H85</f>
        <v>230.00277</v>
      </c>
      <c r="T85" s="82" t="n">
        <f aca="false">'100只成分明细'!I85</f>
        <v>303.99922</v>
      </c>
      <c r="U85" s="83" t="n">
        <f aca="false">S85-T85</f>
        <v>-73.99645</v>
      </c>
      <c r="V85" s="78" t="n">
        <f aca="false">IF(T85=0,"",S85/T85-1)</f>
        <v>-0.243409999538815</v>
      </c>
      <c r="W85" s="55" t="n">
        <f aca="false">IF(U85&gt;0,1,0)</f>
        <v>0</v>
      </c>
      <c r="X85" s="84" t="n">
        <v>0.2718</v>
      </c>
      <c r="Y85" s="79" t="n">
        <f aca="false">IF(OR(X85="",H85=""),"",X85/H85)</f>
        <v>0.0610786516853933</v>
      </c>
      <c r="Z85" s="75" t="n">
        <v>3</v>
      </c>
      <c r="AA85" s="77" t="n">
        <v>5.81</v>
      </c>
      <c r="AB85" s="77" t="n">
        <v>0.37</v>
      </c>
      <c r="AC85" s="85" t="n">
        <f aca="false">IF(AND(AA85&gt;0,AA85&lt;100),MIN(AA85,50),"")</f>
        <v>5.81</v>
      </c>
      <c r="AD85" s="55" t="n">
        <f aca="false">IF(AC85="",0,1)</f>
        <v>1</v>
      </c>
      <c r="AE85" s="85" t="n">
        <f aca="false">IF(AND(AB85&gt;0,AB85&lt;10),MIN(AB85,5),"")</f>
        <v>0.37</v>
      </c>
      <c r="AF85" s="55" t="n">
        <f aca="false">IF(AE85="",0,1)</f>
        <v>1</v>
      </c>
      <c r="AG85" s="82" t="n">
        <f aca="false">'100只成分明细'!O85</f>
        <v>-284.61271</v>
      </c>
      <c r="AH85" s="82" t="n">
        <f aca="false">'100只成分明细'!P85</f>
        <v>-828.38016</v>
      </c>
      <c r="AI85" s="55" t="n">
        <f aca="false">IF(AG85&gt;AH85,1,0)</f>
        <v>1</v>
      </c>
    </row>
    <row r="86" customFormat="false" ht="18" hidden="false" customHeight="true" outlineLevel="0" collapsed="false">
      <c r="A86" s="74" t="str">
        <f aca="false">'100只成分明细'!A86</f>
        <v>601699</v>
      </c>
      <c r="B86" s="74" t="str">
        <f aca="false">'100只成分明细'!B86</f>
        <v>潞安环能</v>
      </c>
      <c r="C86" s="75" t="s">
        <v>22</v>
      </c>
      <c r="D86" s="74" t="str">
        <f aca="false">'100只成分明细'!C86</f>
        <v>煤炭</v>
      </c>
      <c r="E86" s="76" t="n">
        <f aca="false">'100只成分明细'!D86</f>
        <v>0.01853</v>
      </c>
      <c r="F86" s="75" t="s">
        <v>517</v>
      </c>
      <c r="G86" s="77" t="n">
        <v>17.95</v>
      </c>
      <c r="H86" s="77" t="n">
        <v>15.49</v>
      </c>
      <c r="I86" s="78" t="n">
        <f aca="false">IF(OR(G86="",H86=""),"",H86/G86-1)</f>
        <v>-0.137047353760446</v>
      </c>
      <c r="J86" s="77" t="n">
        <v>15.09</v>
      </c>
      <c r="K86" s="79" t="n">
        <f aca="false">IF(OR(J86="",H86=""),"",H86/J86-1)</f>
        <v>0.0265076209410207</v>
      </c>
      <c r="L86" s="77" t="n">
        <v>14.56</v>
      </c>
      <c r="M86" s="80" t="n">
        <v>46294</v>
      </c>
      <c r="N86" s="79" t="n">
        <f aca="false">IF(OR(L86="",H86=""),"",H86/L86-1)</f>
        <v>0.0638736263736264</v>
      </c>
      <c r="O86" s="77" t="n">
        <v>18.28</v>
      </c>
      <c r="P86" s="80" t="n">
        <v>46266</v>
      </c>
      <c r="Q86" s="78" t="n">
        <f aca="false">IF(OR(O86="",H86=""),"",H86/O86-1)</f>
        <v>-0.152625820568928</v>
      </c>
      <c r="R86" s="81" t="n">
        <f aca="false">'100只成分明细'!G86</f>
        <v>0.0668400055945027</v>
      </c>
      <c r="S86" s="82" t="n">
        <f aca="false">'100只成分明细'!H86</f>
        <v>17.7788913844</v>
      </c>
      <c r="T86" s="82" t="n">
        <f aca="false">'100只成分明细'!I86</f>
        <v>13.4839954339</v>
      </c>
      <c r="U86" s="83" t="n">
        <f aca="false">S86-T86</f>
        <v>4.2948959505</v>
      </c>
      <c r="V86" s="78" t="n">
        <f aca="false">IF(T86=0,"",S86/T86-1)</f>
        <v>0.318518051385737</v>
      </c>
      <c r="W86" s="55" t="n">
        <f aca="false">IF(U86&gt;0,1,0)</f>
        <v>1</v>
      </c>
      <c r="X86" s="84" t="n">
        <v>0.187</v>
      </c>
      <c r="Y86" s="79" t="n">
        <f aca="false">IF(OR(X86="",H86=""),"",X86/H86)</f>
        <v>0.0120723047127179</v>
      </c>
      <c r="Z86" s="75" t="n">
        <v>3</v>
      </c>
      <c r="AA86" s="77" t="n">
        <v>30</v>
      </c>
      <c r="AB86" s="77" t="n">
        <v>0.99</v>
      </c>
      <c r="AC86" s="85" t="n">
        <f aca="false">IF(AND(AA86&gt;0,AA86&lt;100),MIN(AA86,50),"")</f>
        <v>30</v>
      </c>
      <c r="AD86" s="55" t="n">
        <f aca="false">IF(AC86="",0,1)</f>
        <v>1</v>
      </c>
      <c r="AE86" s="85" t="n">
        <f aca="false">IF(AND(AB86&gt;0,AB86&lt;10),MIN(AB86,5),"")</f>
        <v>0.99</v>
      </c>
      <c r="AF86" s="55" t="n">
        <f aca="false">IF(AE86="",0,1)</f>
        <v>1</v>
      </c>
      <c r="AG86" s="82" t="n">
        <f aca="false">'100只成分明细'!O86</f>
        <v>4.1473764389</v>
      </c>
      <c r="AH86" s="82" t="n">
        <f aca="false">'100只成分明细'!P86</f>
        <v>-8.608405587</v>
      </c>
      <c r="AI86" s="55" t="n">
        <f aca="false">IF(AG86&gt;AH86,1,0)</f>
        <v>1</v>
      </c>
    </row>
    <row r="87" customFormat="false" ht="18" hidden="false" customHeight="true" outlineLevel="0" collapsed="false">
      <c r="A87" s="74" t="str">
        <f aca="false">'100只成分明细'!A87</f>
        <v>601717</v>
      </c>
      <c r="B87" s="74" t="str">
        <f aca="false">'100只成分明细'!B87</f>
        <v>中创智领</v>
      </c>
      <c r="C87" s="75" t="s">
        <v>56</v>
      </c>
      <c r="D87" s="74" t="str">
        <f aca="false">'100只成分明细'!C87</f>
        <v>其他</v>
      </c>
      <c r="E87" s="76" t="n">
        <f aca="false">'100只成分明细'!D87</f>
        <v>0.00688</v>
      </c>
      <c r="F87" s="75" t="s">
        <v>545</v>
      </c>
      <c r="G87" s="77" t="n">
        <v>14.23</v>
      </c>
      <c r="H87" s="77" t="n">
        <v>13.73</v>
      </c>
      <c r="I87" s="78" t="n">
        <f aca="false">IF(OR(G87="",H87=""),"",H87/G87-1)</f>
        <v>-0.0351370344342937</v>
      </c>
      <c r="J87" s="77" t="n">
        <v>13.35</v>
      </c>
      <c r="K87" s="79" t="n">
        <f aca="false">IF(OR(J87="",H87=""),"",H87/J87-1)</f>
        <v>0.0284644194756556</v>
      </c>
      <c r="L87" s="77" t="n">
        <v>12.96</v>
      </c>
      <c r="M87" s="80" t="n">
        <v>46294</v>
      </c>
      <c r="N87" s="79" t="n">
        <f aca="false">IF(OR(L87="",H87=""),"",H87/L87-1)</f>
        <v>0.0594135802469136</v>
      </c>
      <c r="O87" s="77" t="n">
        <v>14.94</v>
      </c>
      <c r="P87" s="80" t="n">
        <v>46273</v>
      </c>
      <c r="Q87" s="78" t="n">
        <f aca="false">IF(OR(O87="",H87=""),"",H87/O87-1)</f>
        <v>-0.0809906291834002</v>
      </c>
      <c r="R87" s="81" t="n">
        <f aca="false">'100只成分明细'!G87</f>
        <v>-0.0605285981398989</v>
      </c>
      <c r="S87" s="82" t="n">
        <f aca="false">'100只成分明细'!H87</f>
        <v>16.0338853286</v>
      </c>
      <c r="T87" s="82" t="n">
        <f aca="false">'100只成分明细'!I87</f>
        <v>25.1517670088</v>
      </c>
      <c r="U87" s="83" t="n">
        <f aca="false">S87-T87</f>
        <v>-9.1178816802</v>
      </c>
      <c r="V87" s="78" t="n">
        <f aca="false">IF(T87=0,"",S87/T87-1)</f>
        <v>-0.362514557208242</v>
      </c>
      <c r="W87" s="55" t="n">
        <f aca="false">IF(U87&gt;0,1,0)</f>
        <v>0</v>
      </c>
      <c r="X87" s="84" t="n">
        <v>1.25</v>
      </c>
      <c r="Y87" s="79" t="n">
        <f aca="false">IF(OR(X87="",H87=""),"",X87/H87)</f>
        <v>0.0910415149308085</v>
      </c>
      <c r="Z87" s="75" t="n">
        <v>3</v>
      </c>
      <c r="AA87" s="77" t="n">
        <v>7.25</v>
      </c>
      <c r="AB87" s="77" t="n">
        <v>1.03</v>
      </c>
      <c r="AC87" s="85" t="n">
        <f aca="false">IF(AND(AA87&gt;0,AA87&lt;100),MIN(AA87,50),"")</f>
        <v>7.25</v>
      </c>
      <c r="AD87" s="55" t="n">
        <f aca="false">IF(AC87="",0,1)</f>
        <v>1</v>
      </c>
      <c r="AE87" s="85" t="n">
        <f aca="false">IF(AND(AB87&gt;0,AB87&lt;10),MIN(AB87,5),"")</f>
        <v>1.03</v>
      </c>
      <c r="AF87" s="55" t="n">
        <f aca="false">IF(AE87="",0,1)</f>
        <v>1</v>
      </c>
      <c r="AG87" s="82" t="n">
        <f aca="false">'100只成分明细'!O87</f>
        <v>20.7409232403</v>
      </c>
      <c r="AH87" s="82" t="n">
        <f aca="false">'100只成分明细'!P87</f>
        <v>12.7041169993</v>
      </c>
      <c r="AI87" s="55" t="n">
        <f aca="false">IF(AG87&gt;AH87,1,0)</f>
        <v>1</v>
      </c>
    </row>
    <row r="88" customFormat="false" ht="18" hidden="false" customHeight="true" outlineLevel="0" collapsed="false">
      <c r="A88" s="74" t="str">
        <f aca="false">'100只成分明细'!A88</f>
        <v>601818</v>
      </c>
      <c r="B88" s="74" t="str">
        <f aca="false">'100只成分明细'!B88</f>
        <v>光大银行</v>
      </c>
      <c r="C88" s="75" t="s">
        <v>21</v>
      </c>
      <c r="D88" s="74" t="str">
        <f aca="false">'100只成分明细'!C88</f>
        <v>银行</v>
      </c>
      <c r="E88" s="76" t="n">
        <f aca="false">'100只成分明细'!D88</f>
        <v>0.0089</v>
      </c>
      <c r="F88" s="75" t="s">
        <v>528</v>
      </c>
      <c r="G88" s="77" t="n">
        <v>2.97</v>
      </c>
      <c r="H88" s="77" t="n">
        <v>3.09</v>
      </c>
      <c r="I88" s="78" t="n">
        <f aca="false">IF(OR(G88="",H88=""),"",H88/G88-1)</f>
        <v>0.0404040404040402</v>
      </c>
      <c r="J88" s="77" t="n">
        <v>3.04</v>
      </c>
      <c r="K88" s="79" t="n">
        <f aca="false">IF(OR(J88="",H88=""),"",H88/J88-1)</f>
        <v>0.0164473684210527</v>
      </c>
      <c r="L88" s="77" t="n">
        <v>2.92</v>
      </c>
      <c r="M88" s="80" t="n">
        <v>46265</v>
      </c>
      <c r="N88" s="79" t="n">
        <f aca="false">IF(OR(L88="",H88=""),"",H88/L88-1)</f>
        <v>0.0582191780821917</v>
      </c>
      <c r="O88" s="77" t="n">
        <v>3.13</v>
      </c>
      <c r="P88" s="80" t="n">
        <v>46307</v>
      </c>
      <c r="Q88" s="78" t="n">
        <f aca="false">IF(OR(O88="",H88=""),"",H88/O88-1)</f>
        <v>-0.012779552715655</v>
      </c>
      <c r="R88" s="81" t="n">
        <f aca="false">'100只成分明细'!G88</f>
        <v>-0.0432355350587094</v>
      </c>
      <c r="S88" s="82" t="n">
        <f aca="false">'100只成分明细'!H88</f>
        <v>187.11</v>
      </c>
      <c r="T88" s="82" t="n">
        <f aca="false">'100只成分明细'!I88</f>
        <v>246.22</v>
      </c>
      <c r="U88" s="83" t="n">
        <f aca="false">S88-T88</f>
        <v>-59.11</v>
      </c>
      <c r="V88" s="78" t="n">
        <f aca="false">IF(T88=0,"",S88/T88-1)</f>
        <v>-0.240069856226139</v>
      </c>
      <c r="W88" s="55" t="n">
        <f aca="false">IF(U88&gt;0,1,0)</f>
        <v>0</v>
      </c>
      <c r="X88" s="84" t="n">
        <v>0.175</v>
      </c>
      <c r="Y88" s="79" t="n">
        <f aca="false">IF(OR(X88="",H88=""),"",X88/H88)</f>
        <v>0.0566343042071197</v>
      </c>
      <c r="Z88" s="75" t="n">
        <v>3</v>
      </c>
      <c r="AA88" s="77" t="n">
        <v>5.55</v>
      </c>
      <c r="AB88" s="77" t="n">
        <v>0.36</v>
      </c>
      <c r="AC88" s="85" t="n">
        <f aca="false">IF(AND(AA88&gt;0,AA88&lt;100),MIN(AA88,50),"")</f>
        <v>5.55</v>
      </c>
      <c r="AD88" s="55" t="n">
        <f aca="false">IF(AC88="",0,1)</f>
        <v>1</v>
      </c>
      <c r="AE88" s="85" t="n">
        <f aca="false">IF(AND(AB88&gt;0,AB88&lt;10),MIN(AB88,5),"")</f>
        <v>0.36</v>
      </c>
      <c r="AF88" s="55" t="n">
        <f aca="false">IF(AE88="",0,1)</f>
        <v>1</v>
      </c>
      <c r="AG88" s="82" t="n">
        <f aca="false">'100只成分明细'!O88</f>
        <v>608.84</v>
      </c>
      <c r="AH88" s="82" t="n">
        <f aca="false">'100只成分明细'!P88</f>
        <v>2122.85</v>
      </c>
      <c r="AI88" s="55" t="n">
        <f aca="false">IF(AG88&gt;AH88,1,0)</f>
        <v>0</v>
      </c>
    </row>
    <row r="89" customFormat="false" ht="18" hidden="false" customHeight="true" outlineLevel="0" collapsed="false">
      <c r="A89" s="74" t="str">
        <f aca="false">'100只成分明细'!A89</f>
        <v>601825</v>
      </c>
      <c r="B89" s="74" t="str">
        <f aca="false">'100只成分明细'!B89</f>
        <v>沪农商行</v>
      </c>
      <c r="C89" s="75" t="s">
        <v>21</v>
      </c>
      <c r="D89" s="74" t="str">
        <f aca="false">'100只成分明细'!C89</f>
        <v>银行</v>
      </c>
      <c r="E89" s="76" t="n">
        <f aca="false">'100只成分明细'!D89</f>
        <v>0.00889</v>
      </c>
      <c r="F89" s="75" t="s">
        <v>528</v>
      </c>
      <c r="G89" s="77" t="n">
        <v>8.65</v>
      </c>
      <c r="H89" s="77" t="n">
        <v>8.69</v>
      </c>
      <c r="I89" s="78" t="n">
        <f aca="false">IF(OR(G89="",H89=""),"",H89/G89-1)</f>
        <v>0.0046242774566474</v>
      </c>
      <c r="J89" s="77" t="n">
        <v>8.61</v>
      </c>
      <c r="K89" s="79" t="n">
        <f aca="false">IF(OR(J89="",H89=""),"",H89/J89-1)</f>
        <v>0.00929152148664336</v>
      </c>
      <c r="L89" s="77" t="n">
        <v>8.4</v>
      </c>
      <c r="M89" s="80" t="n">
        <v>46281</v>
      </c>
      <c r="N89" s="79" t="n">
        <f aca="false">IF(OR(L89="",H89=""),"",H89/L89-1)</f>
        <v>0.0345238095238094</v>
      </c>
      <c r="O89" s="77" t="n">
        <v>8.85</v>
      </c>
      <c r="P89" s="80" t="n">
        <v>46268</v>
      </c>
      <c r="Q89" s="78" t="n">
        <f aca="false">IF(OR(O89="",H89=""),"",H89/O89-1)</f>
        <v>-0.0180790960451978</v>
      </c>
      <c r="R89" s="81" t="n">
        <f aca="false">'100只成分明细'!G89</f>
        <v>0.0181611319301604</v>
      </c>
      <c r="S89" s="82" t="n">
        <f aca="false">'100只成分明细'!H89</f>
        <v>70.73316</v>
      </c>
      <c r="T89" s="82" t="n">
        <f aca="false">'100只成分明细'!I89</f>
        <v>70.12588</v>
      </c>
      <c r="U89" s="83" t="n">
        <f aca="false">S89-T89</f>
        <v>0.607280000000003</v>
      </c>
      <c r="V89" s="78" t="n">
        <f aca="false">IF(T89=0,"",S89/T89-1)</f>
        <v>0.00865985567667749</v>
      </c>
      <c r="W89" s="55" t="n">
        <f aca="false">IF(U89&gt;0,1,0)</f>
        <v>1</v>
      </c>
      <c r="X89" s="84" t="n">
        <v>0.4439</v>
      </c>
      <c r="Y89" s="79" t="n">
        <f aca="false">IF(OR(X89="",H89=""),"",X89/H89)</f>
        <v>0.0510817031070196</v>
      </c>
      <c r="Z89" s="75" t="n">
        <v>3</v>
      </c>
      <c r="AA89" s="77" t="n">
        <v>6.77</v>
      </c>
      <c r="AB89" s="77" t="n">
        <v>0.64</v>
      </c>
      <c r="AC89" s="85" t="n">
        <f aca="false">IF(AND(AA89&gt;0,AA89&lt;100),MIN(AA89,50),"")</f>
        <v>6.77</v>
      </c>
      <c r="AD89" s="55" t="n">
        <f aca="false">IF(AC89="",0,1)</f>
        <v>1</v>
      </c>
      <c r="AE89" s="85" t="n">
        <f aca="false">IF(AND(AB89&gt;0,AB89&lt;10),MIN(AB89,5),"")</f>
        <v>0.64</v>
      </c>
      <c r="AF89" s="55" t="n">
        <f aca="false">IF(AE89="",0,1)</f>
        <v>1</v>
      </c>
      <c r="AG89" s="82" t="n">
        <f aca="false">'100只成分明细'!O89</f>
        <v>292.68298</v>
      </c>
      <c r="AH89" s="82" t="n">
        <f aca="false">'100只成分明细'!P89</f>
        <v>68.21766</v>
      </c>
      <c r="AI89" s="55" t="n">
        <f aca="false">IF(AG89&gt;AH89,1,0)</f>
        <v>1</v>
      </c>
    </row>
    <row r="90" customFormat="false" ht="18" hidden="false" customHeight="true" outlineLevel="0" collapsed="false">
      <c r="A90" s="74" t="str">
        <f aca="false">'100只成分明细'!A90</f>
        <v>601838</v>
      </c>
      <c r="B90" s="74" t="str">
        <f aca="false">'100只成分明细'!B90</f>
        <v>成都银行</v>
      </c>
      <c r="C90" s="75" t="s">
        <v>21</v>
      </c>
      <c r="D90" s="74" t="str">
        <f aca="false">'100只成分明细'!C90</f>
        <v>银行</v>
      </c>
      <c r="E90" s="76" t="n">
        <f aca="false">'100只成分明细'!D90</f>
        <v>0.01146</v>
      </c>
      <c r="F90" s="75" t="s">
        <v>528</v>
      </c>
      <c r="G90" s="77" t="n">
        <v>18.56</v>
      </c>
      <c r="H90" s="77" t="n">
        <v>19.3</v>
      </c>
      <c r="I90" s="78" t="n">
        <f aca="false">IF(OR(G90="",H90=""),"",H90/G90-1)</f>
        <v>0.0398706896551726</v>
      </c>
      <c r="J90" s="77" t="n">
        <v>19.31</v>
      </c>
      <c r="K90" s="79" t="n">
        <f aca="false">IF(OR(J90="",H90=""),"",H90/J90-1)</f>
        <v>-0.000517866390471133</v>
      </c>
      <c r="L90" s="77" t="n">
        <v>18.28</v>
      </c>
      <c r="M90" s="80" t="n">
        <v>46265</v>
      </c>
      <c r="N90" s="79" t="n">
        <f aca="false">IF(OR(L90="",H90=""),"",H90/L90-1)</f>
        <v>0.0557986870897156</v>
      </c>
      <c r="O90" s="77" t="n">
        <v>19.9</v>
      </c>
      <c r="P90" s="80" t="n">
        <v>46279</v>
      </c>
      <c r="Q90" s="78" t="n">
        <f aca="false">IF(OR(O90="",H90=""),"",H90/O90-1)</f>
        <v>-0.0301507537688441</v>
      </c>
      <c r="R90" s="81" t="n">
        <f aca="false">'100只成分明细'!G90</f>
        <v>0.0412641728766368</v>
      </c>
      <c r="S90" s="82" t="n">
        <f aca="false">'100只成分明细'!H90</f>
        <v>69.04519</v>
      </c>
      <c r="T90" s="82" t="n">
        <f aca="false">'100只成分明细'!I90</f>
        <v>66.16567</v>
      </c>
      <c r="U90" s="83" t="n">
        <f aca="false">S90-T90</f>
        <v>2.87952</v>
      </c>
      <c r="V90" s="78" t="n">
        <f aca="false">IF(T90=0,"",S90/T90-1)</f>
        <v>0.043519849492947</v>
      </c>
      <c r="W90" s="55" t="n">
        <f aca="false">IF(U90&gt;0,1,0)</f>
        <v>1</v>
      </c>
      <c r="X90" s="84" t="n">
        <v>1.41</v>
      </c>
      <c r="Y90" s="79" t="n">
        <f aca="false">IF(OR(X90="",H90=""),"",X90/H90)</f>
        <v>0.0730569948186529</v>
      </c>
      <c r="Z90" s="75" t="n">
        <v>3</v>
      </c>
      <c r="AA90" s="77" t="n">
        <v>6.03</v>
      </c>
      <c r="AB90" s="77" t="n">
        <v>0.91</v>
      </c>
      <c r="AC90" s="85" t="n">
        <f aca="false">IF(AND(AA90&gt;0,AA90&lt;100),MIN(AA90,50),"")</f>
        <v>6.03</v>
      </c>
      <c r="AD90" s="55" t="n">
        <f aca="false">IF(AC90="",0,1)</f>
        <v>1</v>
      </c>
      <c r="AE90" s="85" t="n">
        <f aca="false">IF(AND(AB90&gt;0,AB90&lt;10),MIN(AB90,5),"")</f>
        <v>0.91</v>
      </c>
      <c r="AF90" s="55" t="n">
        <f aca="false">IF(AE90="",0,1)</f>
        <v>1</v>
      </c>
      <c r="AG90" s="82" t="n">
        <f aca="false">'100只成分明细'!O90</f>
        <v>674.31071</v>
      </c>
      <c r="AH90" s="82" t="n">
        <f aca="false">'100只成分明细'!P90</f>
        <v>491.83294</v>
      </c>
      <c r="AI90" s="55" t="n">
        <f aca="false">IF(AG90&gt;AH90,1,0)</f>
        <v>1</v>
      </c>
    </row>
    <row r="91" customFormat="false" ht="18" hidden="false" customHeight="true" outlineLevel="0" collapsed="false">
      <c r="A91" s="74" t="str">
        <f aca="false">'100只成分明细'!A91</f>
        <v>601857</v>
      </c>
      <c r="B91" s="74" t="str">
        <f aca="false">'100只成分明细'!B91</f>
        <v>中国石油</v>
      </c>
      <c r="C91" s="75" t="s">
        <v>46</v>
      </c>
      <c r="D91" s="74" t="str">
        <f aca="false">'100只成分明细'!C91</f>
        <v>油气</v>
      </c>
      <c r="E91" s="76" t="n">
        <f aca="false">'100只成分明细'!D91</f>
        <v>0.01304</v>
      </c>
      <c r="F91" s="75" t="s">
        <v>529</v>
      </c>
      <c r="G91" s="77" t="n">
        <v>11.16</v>
      </c>
      <c r="H91" s="77" t="n">
        <v>12.2</v>
      </c>
      <c r="I91" s="78" t="n">
        <f aca="false">IF(OR(G91="",H91=""),"",H91/G91-1)</f>
        <v>0.0931899641577061</v>
      </c>
      <c r="J91" s="77" t="n">
        <v>11.21</v>
      </c>
      <c r="K91" s="79" t="n">
        <f aca="false">IF(OR(J91="",H91=""),"",H91/J91-1)</f>
        <v>0.0883140053523639</v>
      </c>
      <c r="L91" s="77" t="n">
        <v>10.42</v>
      </c>
      <c r="M91" s="80" t="n">
        <v>46286</v>
      </c>
      <c r="N91" s="79" t="n">
        <f aca="false">IF(OR(L91="",H91=""),"",H91/L91-1)</f>
        <v>0.170825335892514</v>
      </c>
      <c r="O91" s="77" t="n">
        <v>12.27</v>
      </c>
      <c r="P91" s="80" t="n">
        <v>46308</v>
      </c>
      <c r="Q91" s="78" t="n">
        <f aca="false">IF(OR(O91="",H91=""),"",H91/O91-1)</f>
        <v>-0.0057049714751426</v>
      </c>
      <c r="R91" s="81" t="n">
        <f aca="false">'100只成分明细'!G91</f>
        <v>0.0534268124392683</v>
      </c>
      <c r="S91" s="82" t="n">
        <f aca="false">'100只成分明细'!H91</f>
        <v>1039.34</v>
      </c>
      <c r="T91" s="82" t="n">
        <f aca="false">'100只成分明细'!I91</f>
        <v>851.71</v>
      </c>
      <c r="U91" s="83" t="n">
        <f aca="false">S91-T91</f>
        <v>187.63</v>
      </c>
      <c r="V91" s="78" t="n">
        <f aca="false">IF(T91=0,"",S91/T91-1)</f>
        <v>0.22029798875204</v>
      </c>
      <c r="W91" s="55" t="n">
        <f aca="false">IF(U91&gt;0,1,0)</f>
        <v>1</v>
      </c>
      <c r="X91" s="84" t="n">
        <v>0.51</v>
      </c>
      <c r="Y91" s="79" t="n">
        <f aca="false">IF(OR(X91="",H91=""),"",X91/H91)</f>
        <v>0.0418032786885246</v>
      </c>
      <c r="Z91" s="75" t="n">
        <v>3</v>
      </c>
      <c r="AA91" s="77" t="n">
        <v>12.68</v>
      </c>
      <c r="AB91" s="77" t="n">
        <v>1.4</v>
      </c>
      <c r="AC91" s="85" t="n">
        <f aca="false">IF(AND(AA91&gt;0,AA91&lt;100),MIN(AA91,50),"")</f>
        <v>12.68</v>
      </c>
      <c r="AD91" s="55" t="n">
        <f aca="false">IF(AC91="",0,1)</f>
        <v>1</v>
      </c>
      <c r="AE91" s="85" t="n">
        <f aca="false">IF(AND(AB91&gt;0,AB91&lt;10),MIN(AB91,5),"")</f>
        <v>1.4</v>
      </c>
      <c r="AF91" s="55" t="n">
        <f aca="false">IF(AE91="",0,1)</f>
        <v>1</v>
      </c>
      <c r="AG91" s="82" t="n">
        <f aca="false">'100只成分明细'!O91</f>
        <v>2512.81</v>
      </c>
      <c r="AH91" s="82" t="n">
        <f aca="false">'100只成分明细'!P91</f>
        <v>2272.4</v>
      </c>
      <c r="AI91" s="55" t="n">
        <f aca="false">IF(AG91&gt;AH91,1,0)</f>
        <v>1</v>
      </c>
    </row>
    <row r="92" customFormat="false" ht="18" hidden="false" customHeight="true" outlineLevel="0" collapsed="false">
      <c r="A92" s="74" t="str">
        <f aca="false">'100只成分明细'!A92</f>
        <v>601916</v>
      </c>
      <c r="B92" s="74" t="str">
        <f aca="false">'100只成分明细'!B92</f>
        <v>浙商银行</v>
      </c>
      <c r="C92" s="75" t="s">
        <v>21</v>
      </c>
      <c r="D92" s="74" t="str">
        <f aca="false">'100只成分明细'!C92</f>
        <v>银行</v>
      </c>
      <c r="E92" s="76" t="n">
        <f aca="false">'100只成分明细'!D92</f>
        <v>0.01042</v>
      </c>
      <c r="F92" s="75" t="s">
        <v>528</v>
      </c>
      <c r="G92" s="77" t="n">
        <v>2.9</v>
      </c>
      <c r="H92" s="77" t="n">
        <v>2.95</v>
      </c>
      <c r="I92" s="78" t="n">
        <f aca="false">IF(OR(G92="",H92=""),"",H92/G92-1)</f>
        <v>0.017241379310345</v>
      </c>
      <c r="J92" s="77" t="n">
        <v>2.88</v>
      </c>
      <c r="K92" s="79" t="n">
        <f aca="false">IF(OR(J92="",H92=""),"",H92/J92-1)</f>
        <v>0.0243055555555556</v>
      </c>
      <c r="L92" s="77" t="n">
        <v>2.81</v>
      </c>
      <c r="M92" s="80" t="n">
        <v>46293</v>
      </c>
      <c r="N92" s="79" t="n">
        <f aca="false">IF(OR(L92="",H92=""),"",H92/L92-1)</f>
        <v>0.0498220640569396</v>
      </c>
      <c r="O92" s="77" t="n">
        <v>3.01</v>
      </c>
      <c r="P92" s="80" t="n">
        <v>46268</v>
      </c>
      <c r="Q92" s="78" t="n">
        <f aca="false">IF(OR(O92="",H92=""),"",H92/O92-1)</f>
        <v>-0.0199335548172757</v>
      </c>
      <c r="R92" s="81" t="n">
        <f aca="false">'100只成分明细'!G92</f>
        <v>0.000240615976900838</v>
      </c>
      <c r="S92" s="82" t="n">
        <f aca="false">'100只成分明细'!H92</f>
        <v>78.24</v>
      </c>
      <c r="T92" s="82" t="n">
        <f aca="false">'100只成分明细'!I92</f>
        <v>76.67</v>
      </c>
      <c r="U92" s="83" t="n">
        <f aca="false">S92-T92</f>
        <v>1.56999999999999</v>
      </c>
      <c r="V92" s="78" t="n">
        <f aca="false">IF(T92=0,"",S92/T92-1)</f>
        <v>0.0204773705491064</v>
      </c>
      <c r="W92" s="55" t="n">
        <f aca="false">IF(U92&gt;0,1,0)</f>
        <v>1</v>
      </c>
      <c r="X92" s="84" t="n">
        <v>0.131</v>
      </c>
      <c r="Y92" s="79" t="n">
        <f aca="false">IF(OR(X92="",H92=""),"",X92/H92)</f>
        <v>0.044406779661017</v>
      </c>
      <c r="Z92" s="75" t="n">
        <v>3</v>
      </c>
      <c r="AA92" s="77" t="n">
        <v>6.19</v>
      </c>
      <c r="AB92" s="77" t="n">
        <v>0.45</v>
      </c>
      <c r="AC92" s="85" t="n">
        <f aca="false">IF(AND(AA92&gt;0,AA92&lt;100),MIN(AA92,50),"")</f>
        <v>6.19</v>
      </c>
      <c r="AD92" s="55" t="n">
        <f aca="false">IF(AC92="",0,1)</f>
        <v>1</v>
      </c>
      <c r="AE92" s="85" t="n">
        <f aca="false">IF(AND(AB92&gt;0,AB92&lt;10),MIN(AB92,5),"")</f>
        <v>0.45</v>
      </c>
      <c r="AF92" s="55" t="n">
        <f aca="false">IF(AE92="",0,1)</f>
        <v>1</v>
      </c>
      <c r="AG92" s="82" t="n">
        <f aca="false">'100只成分明细'!O92</f>
        <v>1223.22</v>
      </c>
      <c r="AH92" s="82" t="n">
        <f aca="false">'100只成分明细'!P92</f>
        <v>-433.42</v>
      </c>
      <c r="AI92" s="55" t="n">
        <f aca="false">IF(AG92&gt;AH92,1,0)</f>
        <v>1</v>
      </c>
    </row>
    <row r="93" customFormat="false" ht="18" hidden="false" customHeight="true" outlineLevel="0" collapsed="false">
      <c r="A93" s="74" t="str">
        <f aca="false">'100只成分明细'!A93</f>
        <v>601919</v>
      </c>
      <c r="B93" s="74" t="str">
        <f aca="false">'100只成分明细'!B93</f>
        <v>中远海控</v>
      </c>
      <c r="C93" s="75" t="s">
        <v>48</v>
      </c>
      <c r="D93" s="74" t="str">
        <f aca="false">'100只成分明细'!C93</f>
        <v>交通运输</v>
      </c>
      <c r="E93" s="76" t="n">
        <f aca="false">'100只成分明细'!D93</f>
        <v>0.03024</v>
      </c>
      <c r="F93" s="75" t="s">
        <v>542</v>
      </c>
      <c r="G93" s="77" t="n">
        <v>17</v>
      </c>
      <c r="H93" s="77" t="n">
        <v>16.92</v>
      </c>
      <c r="I93" s="78" t="n">
        <f aca="false">IF(OR(G93="",H93=""),"",H93/G93-1)</f>
        <v>-0.00470588235294112</v>
      </c>
      <c r="J93" s="77" t="n">
        <v>16.37</v>
      </c>
      <c r="K93" s="79" t="n">
        <f aca="false">IF(OR(J93="",H93=""),"",H93/J93-1)</f>
        <v>0.0335980452046427</v>
      </c>
      <c r="L93" s="77" t="n">
        <v>15.88</v>
      </c>
      <c r="M93" s="80" t="n">
        <v>46269</v>
      </c>
      <c r="N93" s="79" t="n">
        <f aca="false">IF(OR(L93="",H93=""),"",H93/L93-1)</f>
        <v>0.0654911838790933</v>
      </c>
      <c r="O93" s="77" t="n">
        <v>17.23</v>
      </c>
      <c r="P93" s="80" t="n">
        <v>46266</v>
      </c>
      <c r="Q93" s="78" t="n">
        <f aca="false">IF(OR(O93="",H93=""),"",H93/O93-1)</f>
        <v>-0.0179918746372605</v>
      </c>
      <c r="R93" s="81" t="n">
        <f aca="false">'100只成分明细'!G93</f>
        <v>0.025870029553158</v>
      </c>
      <c r="S93" s="82" t="n">
        <f aca="false">'100只成分明细'!H93</f>
        <v>134.189207774</v>
      </c>
      <c r="T93" s="82" t="n">
        <f aca="false">'100只成分明细'!I93</f>
        <v>175.36092241</v>
      </c>
      <c r="U93" s="83" t="n">
        <f aca="false">S93-T93</f>
        <v>-41.171714636</v>
      </c>
      <c r="V93" s="78" t="n">
        <f aca="false">IF(T93=0,"",S93/T93-1)</f>
        <v>-0.2347827216587</v>
      </c>
      <c r="W93" s="55" t="n">
        <f aca="false">IF(U93&gt;0,1,0)</f>
        <v>0</v>
      </c>
      <c r="X93" s="84" t="n">
        <v>1</v>
      </c>
      <c r="Y93" s="79" t="n">
        <f aca="false">IF(OR(X93="",H93=""),"",X93/H93)</f>
        <v>0.0591016548463357</v>
      </c>
      <c r="Z93" s="75" t="n">
        <v>3</v>
      </c>
      <c r="AA93" s="77" t="n">
        <v>9.63</v>
      </c>
      <c r="AB93" s="77" t="n">
        <v>1.1</v>
      </c>
      <c r="AC93" s="85" t="n">
        <f aca="false">IF(AND(AA93&gt;0,AA93&lt;100),MIN(AA93,50),"")</f>
        <v>9.63</v>
      </c>
      <c r="AD93" s="55" t="n">
        <f aca="false">IF(AC93="",0,1)</f>
        <v>1</v>
      </c>
      <c r="AE93" s="85" t="n">
        <f aca="false">IF(AND(AB93&gt;0,AB93&lt;10),MIN(AB93,5),"")</f>
        <v>1.1</v>
      </c>
      <c r="AF93" s="55" t="n">
        <f aca="false">IF(AE93="",0,1)</f>
        <v>1</v>
      </c>
      <c r="AG93" s="82" t="n">
        <f aca="false">'100只成分明细'!O93</f>
        <v>233.3022572657</v>
      </c>
      <c r="AH93" s="82" t="n">
        <f aca="false">'100只成分明细'!P93</f>
        <v>257.7697662999</v>
      </c>
      <c r="AI93" s="55" t="n">
        <f aca="false">IF(AG93&gt;AH93,1,0)</f>
        <v>0</v>
      </c>
    </row>
    <row r="94" customFormat="false" ht="18" hidden="false" customHeight="true" outlineLevel="0" collapsed="false">
      <c r="A94" s="74" t="str">
        <f aca="false">'100只成分明细'!A94</f>
        <v>601928</v>
      </c>
      <c r="B94" s="74" t="str">
        <f aca="false">'100只成分明细'!B94</f>
        <v>凤凰传媒</v>
      </c>
      <c r="C94" s="75" t="s">
        <v>47</v>
      </c>
      <c r="D94" s="74" t="str">
        <f aca="false">'100只成分明细'!C94</f>
        <v>其他</v>
      </c>
      <c r="E94" s="76" t="n">
        <f aca="false">'100只成分明细'!D94</f>
        <v>0.00825</v>
      </c>
      <c r="F94" s="75" t="s">
        <v>535</v>
      </c>
      <c r="G94" s="77" t="n">
        <v>8.63</v>
      </c>
      <c r="H94" s="77" t="n">
        <v>8.88</v>
      </c>
      <c r="I94" s="78" t="n">
        <f aca="false">IF(OR(G94="",H94=""),"",H94/G94-1)</f>
        <v>0.0289687137891077</v>
      </c>
      <c r="J94" s="77" t="n">
        <v>8.34</v>
      </c>
      <c r="K94" s="79" t="n">
        <f aca="false">IF(OR(J94="",H94=""),"",H94/J94-1)</f>
        <v>0.064748201438849</v>
      </c>
      <c r="L94" s="77" t="n">
        <v>8.11</v>
      </c>
      <c r="M94" s="80" t="n">
        <v>46293</v>
      </c>
      <c r="N94" s="79" t="n">
        <f aca="false">IF(OR(L94="",H94=""),"",H94/L94-1)</f>
        <v>0.0949445129469793</v>
      </c>
      <c r="O94" s="77" t="n">
        <v>9</v>
      </c>
      <c r="P94" s="80" t="n">
        <v>46307</v>
      </c>
      <c r="Q94" s="78" t="n">
        <f aca="false">IF(OR(O94="",H94=""),"",H94/O94-1)</f>
        <v>-0.0133333333333332</v>
      </c>
      <c r="R94" s="81" t="n">
        <f aca="false">'100只成分明细'!G94</f>
        <v>-0.142353214680212</v>
      </c>
      <c r="S94" s="82" t="n">
        <f aca="false">'100只成分明细'!H94</f>
        <v>10.9233644991</v>
      </c>
      <c r="T94" s="82" t="n">
        <f aca="false">'100只成分明细'!I94</f>
        <v>15.8585016332</v>
      </c>
      <c r="U94" s="83" t="n">
        <f aca="false">S94-T94</f>
        <v>-4.9351371341</v>
      </c>
      <c r="V94" s="78" t="n">
        <f aca="false">IF(T94=0,"",S94/T94-1)</f>
        <v>-0.311198198180856</v>
      </c>
      <c r="W94" s="55" t="n">
        <f aca="false">IF(U94&gt;0,1,0)</f>
        <v>0</v>
      </c>
      <c r="X94" s="84" t="n">
        <v>0.5</v>
      </c>
      <c r="Y94" s="79" t="n">
        <f aca="false">IF(OR(X94="",H94=""),"",X94/H94)</f>
        <v>0.0563063063063063</v>
      </c>
      <c r="Z94" s="75" t="n">
        <v>3</v>
      </c>
      <c r="AA94" s="77" t="n">
        <v>17.36</v>
      </c>
      <c r="AB94" s="77" t="n">
        <v>1.13</v>
      </c>
      <c r="AC94" s="85" t="n">
        <f aca="false">IF(AND(AA94&gt;0,AA94&lt;100),MIN(AA94,50),"")</f>
        <v>17.36</v>
      </c>
      <c r="AD94" s="55" t="n">
        <f aca="false">IF(AC94="",0,1)</f>
        <v>1</v>
      </c>
      <c r="AE94" s="85" t="n">
        <f aca="false">IF(AND(AB94&gt;0,AB94&lt;10),MIN(AB94,5),"")</f>
        <v>1.13</v>
      </c>
      <c r="AF94" s="55" t="n">
        <f aca="false">IF(AE94="",0,1)</f>
        <v>1</v>
      </c>
      <c r="AG94" s="82" t="n">
        <f aca="false">'100只成分明细'!O94</f>
        <v>6.0948717906</v>
      </c>
      <c r="AH94" s="82" t="n">
        <f aca="false">'100只成分明细'!P94</f>
        <v>2.0053569626</v>
      </c>
      <c r="AI94" s="55" t="n">
        <f aca="false">IF(AG94&gt;AH94,1,0)</f>
        <v>1</v>
      </c>
    </row>
    <row r="95" customFormat="false" ht="18" hidden="false" customHeight="true" outlineLevel="0" collapsed="false">
      <c r="A95" s="74" t="str">
        <f aca="false">'100只成分明细'!A95</f>
        <v>601939</v>
      </c>
      <c r="B95" s="74" t="str">
        <f aca="false">'100只成分明细'!B95</f>
        <v>建设银行</v>
      </c>
      <c r="C95" s="75" t="s">
        <v>21</v>
      </c>
      <c r="D95" s="74" t="str">
        <f aca="false">'100只成分明细'!C95</f>
        <v>银行</v>
      </c>
      <c r="E95" s="76" t="n">
        <f aca="false">'100只成分明细'!D95</f>
        <v>0.01085</v>
      </c>
      <c r="F95" s="75" t="s">
        <v>528</v>
      </c>
      <c r="G95" s="77" t="n">
        <v>10.98</v>
      </c>
      <c r="H95" s="77" t="n">
        <v>11.36</v>
      </c>
      <c r="I95" s="78" t="n">
        <f aca="false">IF(OR(G95="",H95=""),"",H95/G95-1)</f>
        <v>0.0346083788706739</v>
      </c>
      <c r="J95" s="77" t="n">
        <v>11.06</v>
      </c>
      <c r="K95" s="79" t="n">
        <f aca="false">IF(OR(J95="",H95=""),"",H95/J95-1)</f>
        <v>0.027124773960217</v>
      </c>
      <c r="L95" s="77" t="n">
        <v>10.55</v>
      </c>
      <c r="M95" s="80" t="n">
        <v>46273</v>
      </c>
      <c r="N95" s="79" t="n">
        <f aca="false">IF(OR(L95="",H95=""),"",H95/L95-1)</f>
        <v>0.0767772511848339</v>
      </c>
      <c r="O95" s="77" t="n">
        <v>11.41</v>
      </c>
      <c r="P95" s="80" t="n">
        <v>46308</v>
      </c>
      <c r="Q95" s="78" t="n">
        <f aca="false">IF(OR(O95="",H95=""),"",H95/O95-1)</f>
        <v>-0.00438212094653823</v>
      </c>
      <c r="R95" s="81" t="n">
        <f aca="false">'100只成分明细'!G95</f>
        <v>0.107174470481113</v>
      </c>
      <c r="S95" s="82" t="n">
        <f aca="false">'100只成分明细'!H95</f>
        <v>1695.64</v>
      </c>
      <c r="T95" s="82" t="n">
        <f aca="false">'100只成分明细'!I95</f>
        <v>1620.76</v>
      </c>
      <c r="U95" s="83" t="n">
        <f aca="false">S95-T95</f>
        <v>74.8800000000001</v>
      </c>
      <c r="V95" s="78" t="n">
        <f aca="false">IF(T95=0,"",S95/T95-1)</f>
        <v>0.0462005478911129</v>
      </c>
      <c r="W95" s="55" t="n">
        <f aca="false">IF(U95&gt;0,1,0)</f>
        <v>1</v>
      </c>
      <c r="X95" s="84" t="n">
        <v>0.3887</v>
      </c>
      <c r="Y95" s="79" t="n">
        <f aca="false">IF(OR(X95="",H95=""),"",X95/H95)</f>
        <v>0.0342165492957747</v>
      </c>
      <c r="Z95" s="75" t="n">
        <v>3</v>
      </c>
      <c r="AA95" s="77" t="n">
        <v>8.58</v>
      </c>
      <c r="AB95" s="77" t="n">
        <v>0.83</v>
      </c>
      <c r="AC95" s="85" t="n">
        <f aca="false">IF(AND(AA95&gt;0,AA95&lt;100),MIN(AA95,50),"")</f>
        <v>8.58</v>
      </c>
      <c r="AD95" s="55" t="n">
        <f aca="false">IF(AC95="",0,1)</f>
        <v>1</v>
      </c>
      <c r="AE95" s="85" t="n">
        <f aca="false">IF(AND(AB95&gt;0,AB95&lt;10),MIN(AB95,5),"")</f>
        <v>0.83</v>
      </c>
      <c r="AF95" s="55" t="n">
        <f aca="false">IF(AE95="",0,1)</f>
        <v>1</v>
      </c>
      <c r="AG95" s="82" t="n">
        <f aca="false">'100只成分明细'!O95</f>
        <v>3506.83</v>
      </c>
      <c r="AH95" s="82" t="n">
        <f aca="false">'100只成分明细'!P95</f>
        <v>12566.14</v>
      </c>
      <c r="AI95" s="55" t="n">
        <f aca="false">IF(AG95&gt;AH95,1,0)</f>
        <v>0</v>
      </c>
    </row>
    <row r="96" customFormat="false" ht="18" hidden="false" customHeight="true" outlineLevel="0" collapsed="false">
      <c r="A96" s="74" t="str">
        <f aca="false">'100只成分明细'!A96</f>
        <v>601963</v>
      </c>
      <c r="B96" s="74" t="str">
        <f aca="false">'100只成分明细'!B96</f>
        <v>重庆银行</v>
      </c>
      <c r="C96" s="75" t="s">
        <v>21</v>
      </c>
      <c r="D96" s="74" t="str">
        <f aca="false">'100只成分明细'!C96</f>
        <v>银行</v>
      </c>
      <c r="E96" s="76" t="n">
        <f aca="false">'100只成分明细'!D96</f>
        <v>0.01011</v>
      </c>
      <c r="F96" s="75" t="s">
        <v>528</v>
      </c>
      <c r="G96" s="77" t="n">
        <v>11.19</v>
      </c>
      <c r="H96" s="77" t="n">
        <v>11.28</v>
      </c>
      <c r="I96" s="78" t="n">
        <f aca="false">IF(OR(G96="",H96=""),"",H96/G96-1)</f>
        <v>0.00804289544235926</v>
      </c>
      <c r="J96" s="77" t="n">
        <v>11.2</v>
      </c>
      <c r="K96" s="79" t="n">
        <f aca="false">IF(OR(J96="",H96=""),"",H96/J96-1)</f>
        <v>0.00714285714285712</v>
      </c>
      <c r="L96" s="77" t="n">
        <v>10.79</v>
      </c>
      <c r="M96" s="80" t="n">
        <v>46289</v>
      </c>
      <c r="N96" s="79" t="n">
        <f aca="false">IF(OR(L96="",H96=""),"",H96/L96-1)</f>
        <v>0.0454124189063949</v>
      </c>
      <c r="O96" s="77" t="n">
        <v>11.58</v>
      </c>
      <c r="P96" s="80" t="n">
        <v>46268</v>
      </c>
      <c r="Q96" s="78" t="n">
        <f aca="false">IF(OR(O96="",H96=""),"",H96/O96-1)</f>
        <v>-0.0259067357512954</v>
      </c>
      <c r="R96" s="81" t="n">
        <f aca="false">'100只成分明细'!G96</f>
        <v>0.107892947848313</v>
      </c>
      <c r="S96" s="82" t="n">
        <f aca="false">'100只成分明细'!H96</f>
        <v>35.17564</v>
      </c>
      <c r="T96" s="82" t="n">
        <f aca="false">'100只成分明细'!I96</f>
        <v>31.89503</v>
      </c>
      <c r="U96" s="83" t="n">
        <f aca="false">S96-T96</f>
        <v>3.28061</v>
      </c>
      <c r="V96" s="78" t="n">
        <f aca="false">IF(T96=0,"",S96/T96-1)</f>
        <v>0.102856463844053</v>
      </c>
      <c r="W96" s="55" t="n">
        <f aca="false">IF(U96&gt;0,1,0)</f>
        <v>1</v>
      </c>
      <c r="X96" s="84" t="n">
        <v>0.4481</v>
      </c>
      <c r="Y96" s="79" t="n">
        <f aca="false">IF(OR(X96="",H96=""),"",X96/H96)</f>
        <v>0.0397251773049645</v>
      </c>
      <c r="Z96" s="75" t="n">
        <v>3</v>
      </c>
      <c r="AA96" s="77" t="n">
        <v>6.84</v>
      </c>
      <c r="AB96" s="77" t="n">
        <v>0.69</v>
      </c>
      <c r="AC96" s="85" t="n">
        <f aca="false">IF(AND(AA96&gt;0,AA96&lt;100),MIN(AA96,50),"")</f>
        <v>6.84</v>
      </c>
      <c r="AD96" s="55" t="n">
        <f aca="false">IF(AC96="",0,1)</f>
        <v>1</v>
      </c>
      <c r="AE96" s="85" t="n">
        <f aca="false">IF(AND(AB96&gt;0,AB96&lt;10),MIN(AB96,5),"")</f>
        <v>0.69</v>
      </c>
      <c r="AF96" s="55" t="n">
        <f aca="false">IF(AE96="",0,1)</f>
        <v>1</v>
      </c>
      <c r="AG96" s="82" t="n">
        <f aca="false">'100只成分明细'!O96</f>
        <v>504.85521</v>
      </c>
      <c r="AH96" s="82" t="n">
        <f aca="false">'100只成分明细'!P96</f>
        <v>400.93519</v>
      </c>
      <c r="AI96" s="55" t="n">
        <f aca="false">IF(AG96&gt;AH96,1,0)</f>
        <v>1</v>
      </c>
    </row>
    <row r="97" customFormat="false" ht="18" hidden="false" customHeight="true" outlineLevel="0" collapsed="false">
      <c r="A97" s="74" t="str">
        <f aca="false">'100只成分明细'!A97</f>
        <v>601988</v>
      </c>
      <c r="B97" s="74" t="str">
        <f aca="false">'100只成分明细'!B97</f>
        <v>中国银行</v>
      </c>
      <c r="C97" s="75" t="s">
        <v>21</v>
      </c>
      <c r="D97" s="74" t="str">
        <f aca="false">'100只成分明细'!C97</f>
        <v>银行</v>
      </c>
      <c r="E97" s="76" t="n">
        <f aca="false">'100只成分明细'!D97</f>
        <v>0.01014</v>
      </c>
      <c r="F97" s="75" t="s">
        <v>528</v>
      </c>
      <c r="G97" s="77" t="n">
        <v>6.51</v>
      </c>
      <c r="H97" s="77" t="n">
        <v>7.03</v>
      </c>
      <c r="I97" s="78" t="n">
        <f aca="false">IF(OR(G97="",H97=""),"",H97/G97-1)</f>
        <v>0.0798771121351767</v>
      </c>
      <c r="J97" s="77" t="n">
        <v>6.73</v>
      </c>
      <c r="K97" s="79" t="n">
        <f aca="false">IF(OR(J97="",H97=""),"",H97/J97-1)</f>
        <v>0.0445765230312036</v>
      </c>
      <c r="L97" s="77" t="n">
        <v>6.23</v>
      </c>
      <c r="M97" s="80" t="n">
        <v>46265</v>
      </c>
      <c r="N97" s="79" t="n">
        <f aca="false">IF(OR(L97="",H97=""),"",H97/L97-1)</f>
        <v>0.128410914927769</v>
      </c>
      <c r="O97" s="77" t="n">
        <v>7.06</v>
      </c>
      <c r="P97" s="80" t="n">
        <v>46308</v>
      </c>
      <c r="Q97" s="78" t="n">
        <f aca="false">IF(OR(O97="",H97=""),"",H97/O97-1)</f>
        <v>-0.00424929178470246</v>
      </c>
      <c r="R97" s="81" t="n">
        <f aca="false">'100只成分明细'!G97</f>
        <v>0.0848016583435409</v>
      </c>
      <c r="S97" s="82" t="n">
        <f aca="false">'100只成分明细'!H97</f>
        <v>1235.94</v>
      </c>
      <c r="T97" s="82" t="n">
        <f aca="false">'100只成分明细'!I97</f>
        <v>1175.91</v>
      </c>
      <c r="U97" s="83" t="n">
        <f aca="false">S97-T97</f>
        <v>60.03</v>
      </c>
      <c r="V97" s="78" t="n">
        <f aca="false">IF(T97=0,"",S97/T97-1)</f>
        <v>0.0510498252417277</v>
      </c>
      <c r="W97" s="55" t="n">
        <f aca="false">IF(U97&gt;0,1,0)</f>
        <v>1</v>
      </c>
      <c r="X97" s="84" t="n">
        <v>0.2263</v>
      </c>
      <c r="Y97" s="79" t="n">
        <f aca="false">IF(OR(X97="",H97=""),"",X97/H97)</f>
        <v>0.0321906116642959</v>
      </c>
      <c r="Z97" s="75" t="n">
        <v>3</v>
      </c>
      <c r="AA97" s="77" t="n">
        <v>9.1</v>
      </c>
      <c r="AB97" s="77" t="n">
        <v>0.82</v>
      </c>
      <c r="AC97" s="85" t="n">
        <f aca="false">IF(AND(AA97&gt;0,AA97&lt;100),MIN(AA97,50),"")</f>
        <v>9.1</v>
      </c>
      <c r="AD97" s="55" t="n">
        <f aca="false">IF(AC97="",0,1)</f>
        <v>1</v>
      </c>
      <c r="AE97" s="85" t="n">
        <f aca="false">IF(AND(AB97&gt;0,AB97&lt;10),MIN(AB97,5),"")</f>
        <v>0.82</v>
      </c>
      <c r="AF97" s="55" t="n">
        <f aca="false">IF(AE97="",0,1)</f>
        <v>1</v>
      </c>
      <c r="AG97" s="82" t="n">
        <f aca="false">'100只成分明细'!O97</f>
        <v>5158</v>
      </c>
      <c r="AH97" s="82" t="n">
        <f aca="false">'100只成分明细'!P97</f>
        <v>336.39</v>
      </c>
      <c r="AI97" s="55" t="n">
        <f aca="false">IF(AG97&gt;AH97,1,0)</f>
        <v>1</v>
      </c>
    </row>
    <row r="98" customFormat="false" ht="18" hidden="false" customHeight="true" outlineLevel="0" collapsed="false">
      <c r="A98" s="74" t="str">
        <f aca="false">'100只成分明细'!A98</f>
        <v>601997</v>
      </c>
      <c r="B98" s="74" t="str">
        <f aca="false">'100只成分明细'!B98</f>
        <v>贵阳银行</v>
      </c>
      <c r="C98" s="75" t="s">
        <v>21</v>
      </c>
      <c r="D98" s="74" t="str">
        <f aca="false">'100只成分明细'!C98</f>
        <v>银行</v>
      </c>
      <c r="E98" s="76" t="n">
        <f aca="false">'100只成分明细'!D98</f>
        <v>0.00897</v>
      </c>
      <c r="F98" s="75" t="s">
        <v>528</v>
      </c>
      <c r="G98" s="77" t="n">
        <v>5.51</v>
      </c>
      <c r="H98" s="77" t="n">
        <v>5.64</v>
      </c>
      <c r="I98" s="78" t="n">
        <f aca="false">IF(OR(G98="",H98=""),"",H98/G98-1)</f>
        <v>0.0235934664246824</v>
      </c>
      <c r="J98" s="77" t="n">
        <v>5.61</v>
      </c>
      <c r="K98" s="79" t="n">
        <f aca="false">IF(OR(J98="",H98=""),"",H98/J98-1)</f>
        <v>0.0053475935828875</v>
      </c>
      <c r="L98" s="77" t="n">
        <v>5.44</v>
      </c>
      <c r="M98" s="80" t="n">
        <v>46293</v>
      </c>
      <c r="N98" s="79" t="n">
        <f aca="false">IF(OR(L98="",H98=""),"",H98/L98-1)</f>
        <v>0.0367647058823528</v>
      </c>
      <c r="O98" s="77" t="n">
        <v>5.73</v>
      </c>
      <c r="P98" s="80" t="n">
        <v>46275</v>
      </c>
      <c r="Q98" s="78" t="n">
        <f aca="false">IF(OR(O98="",H98=""),"",H98/O98-1)</f>
        <v>-0.0157068062827227</v>
      </c>
      <c r="R98" s="81" t="n">
        <f aca="false">'100只成分明细'!G98</f>
        <v>0.108666000181825</v>
      </c>
      <c r="S98" s="82" t="n">
        <f aca="false">'100只成分明细'!H98</f>
        <v>23.60268</v>
      </c>
      <c r="T98" s="82" t="n">
        <f aca="false">'100只成分明细'!I98</f>
        <v>24.74388</v>
      </c>
      <c r="U98" s="83" t="n">
        <f aca="false">S98-T98</f>
        <v>-1.1412</v>
      </c>
      <c r="V98" s="78" t="n">
        <f aca="false">IF(T98=0,"",S98/T98-1)</f>
        <v>-0.0461204952497345</v>
      </c>
      <c r="W98" s="55" t="n">
        <f aca="false">IF(U98&gt;0,1,0)</f>
        <v>0</v>
      </c>
      <c r="X98" s="84" t="n">
        <v>0.3</v>
      </c>
      <c r="Y98" s="79" t="n">
        <f aca="false">IF(OR(X98="",H98=""),"",X98/H98)</f>
        <v>0.0531914893617021</v>
      </c>
      <c r="Z98" s="75" t="n">
        <v>3</v>
      </c>
      <c r="AA98" s="77" t="n">
        <v>4.02</v>
      </c>
      <c r="AB98" s="77" t="n">
        <v>0.31</v>
      </c>
      <c r="AC98" s="85" t="n">
        <f aca="false">IF(AND(AA98&gt;0,AA98&lt;100),MIN(AA98,50),"")</f>
        <v>4.02</v>
      </c>
      <c r="AD98" s="55" t="n">
        <f aca="false">IF(AC98="",0,1)</f>
        <v>1</v>
      </c>
      <c r="AE98" s="85" t="n">
        <f aca="false">IF(AND(AB98&gt;0,AB98&lt;10),MIN(AB98,5),"")</f>
        <v>0.31</v>
      </c>
      <c r="AF98" s="55" t="n">
        <f aca="false">IF(AE98="",0,1)</f>
        <v>1</v>
      </c>
      <c r="AG98" s="82" t="n">
        <f aca="false">'100只成分明细'!O98</f>
        <v>284.21159</v>
      </c>
      <c r="AH98" s="82" t="n">
        <f aca="false">'100只成分明细'!P98</f>
        <v>191.02267</v>
      </c>
      <c r="AI98" s="55" t="n">
        <f aca="false">IF(AG98&gt;AH98,1,0)</f>
        <v>1</v>
      </c>
    </row>
    <row r="99" customFormat="false" ht="18" hidden="false" customHeight="true" outlineLevel="0" collapsed="false">
      <c r="A99" s="74" t="str">
        <f aca="false">'100只成分明细'!A99</f>
        <v>601998</v>
      </c>
      <c r="B99" s="74" t="str">
        <f aca="false">'100只成分明细'!B99</f>
        <v>中信银行</v>
      </c>
      <c r="C99" s="75" t="s">
        <v>21</v>
      </c>
      <c r="D99" s="74" t="str">
        <f aca="false">'100只成分明细'!C99</f>
        <v>银行</v>
      </c>
      <c r="E99" s="76" t="n">
        <f aca="false">'100只成分明细'!D99</f>
        <v>0.00975</v>
      </c>
      <c r="F99" s="75" t="s">
        <v>528</v>
      </c>
      <c r="G99" s="77" t="n">
        <v>8.85</v>
      </c>
      <c r="H99" s="77" t="n">
        <v>9.24</v>
      </c>
      <c r="I99" s="78" t="n">
        <f aca="false">IF(OR(G99="",H99=""),"",H99/G99-1)</f>
        <v>0.0440677966101695</v>
      </c>
      <c r="J99" s="77" t="n">
        <v>9.1</v>
      </c>
      <c r="K99" s="79" t="n">
        <f aca="false">IF(OR(J99="",H99=""),"",H99/J99-1)</f>
        <v>0.0153846153846156</v>
      </c>
      <c r="L99" s="77" t="n">
        <v>8.68</v>
      </c>
      <c r="M99" s="80" t="n">
        <v>46272</v>
      </c>
      <c r="N99" s="79" t="n">
        <f aca="false">IF(OR(L99="",H99=""),"",H99/L99-1)</f>
        <v>0.0645161290322582</v>
      </c>
      <c r="O99" s="77" t="n">
        <v>9.35</v>
      </c>
      <c r="P99" s="80" t="n">
        <v>46308</v>
      </c>
      <c r="Q99" s="78" t="n">
        <f aca="false">IF(OR(O99="",H99=""),"",H99/O99-1)</f>
        <v>-0.0117647058823529</v>
      </c>
      <c r="R99" s="81" t="n">
        <f aca="false">'100只成分明细'!G99</f>
        <v>0.0305079637182226</v>
      </c>
      <c r="S99" s="82" t="n">
        <f aca="false">'100只成分明细'!H99</f>
        <v>376.02</v>
      </c>
      <c r="T99" s="82" t="n">
        <f aca="false">'100只成分明细'!I99</f>
        <v>364.78</v>
      </c>
      <c r="U99" s="83" t="n">
        <f aca="false">S99-T99</f>
        <v>11.24</v>
      </c>
      <c r="V99" s="78" t="n">
        <f aca="false">IF(T99=0,"",S99/T99-1)</f>
        <v>0.0308130928230714</v>
      </c>
      <c r="W99" s="55" t="n">
        <f aca="false">IF(U99&gt;0,1,0)</f>
        <v>1</v>
      </c>
      <c r="X99" s="84" t="n">
        <v>0.381</v>
      </c>
      <c r="Y99" s="79" t="n">
        <f aca="false">IF(OR(X99="",H99=""),"",X99/H99)</f>
        <v>0.0412337662337662</v>
      </c>
      <c r="Z99" s="75" t="n">
        <v>3</v>
      </c>
      <c r="AA99" s="77" t="n">
        <v>7.17</v>
      </c>
      <c r="AB99" s="77" t="n">
        <v>0.69</v>
      </c>
      <c r="AC99" s="85" t="n">
        <f aca="false">IF(AND(AA99&gt;0,AA99&lt;100),MIN(AA99,50),"")</f>
        <v>7.17</v>
      </c>
      <c r="AD99" s="55" t="n">
        <f aca="false">IF(AC99="",0,1)</f>
        <v>1</v>
      </c>
      <c r="AE99" s="85" t="n">
        <f aca="false">IF(AND(AB99&gt;0,AB99&lt;10),MIN(AB99,5),"")</f>
        <v>0.69</v>
      </c>
      <c r="AF99" s="55" t="n">
        <f aca="false">IF(AE99="",0,1)</f>
        <v>1</v>
      </c>
      <c r="AG99" s="82" t="n">
        <f aca="false">'100只成分明细'!O99</f>
        <v>2309.88</v>
      </c>
      <c r="AH99" s="82" t="n">
        <f aca="false">'100只成分明细'!P99</f>
        <v>286.51</v>
      </c>
      <c r="AI99" s="55" t="n">
        <f aca="false">IF(AG99&gt;AH99,1,0)</f>
        <v>1</v>
      </c>
    </row>
    <row r="100" customFormat="false" ht="18" hidden="false" customHeight="true" outlineLevel="0" collapsed="false">
      <c r="A100" s="74" t="str">
        <f aca="false">'100只成分明细'!A100</f>
        <v>603565</v>
      </c>
      <c r="B100" s="74" t="str">
        <f aca="false">'100只成分明细'!B100</f>
        <v>中谷物流</v>
      </c>
      <c r="C100" s="75" t="s">
        <v>48</v>
      </c>
      <c r="D100" s="74" t="str">
        <f aca="false">'100只成分明细'!C100</f>
        <v>交通运输</v>
      </c>
      <c r="E100" s="76" t="n">
        <f aca="false">'100只成分明细'!D100</f>
        <v>0.01973</v>
      </c>
      <c r="F100" s="75" t="s">
        <v>542</v>
      </c>
      <c r="G100" s="77" t="n">
        <v>12.81</v>
      </c>
      <c r="H100" s="77" t="n">
        <v>12.12</v>
      </c>
      <c r="I100" s="78" t="n">
        <f aca="false">IF(OR(G100="",H100=""),"",H100/G100-1)</f>
        <v>-0.053864168618267</v>
      </c>
      <c r="J100" s="77" t="n">
        <v>11.59</v>
      </c>
      <c r="K100" s="79" t="n">
        <f aca="false">IF(OR(J100="",H100=""),"",H100/J100-1)</f>
        <v>0.0457290767903364</v>
      </c>
      <c r="L100" s="77" t="n">
        <v>11.29</v>
      </c>
      <c r="M100" s="80" t="n">
        <v>46294</v>
      </c>
      <c r="N100" s="79" t="n">
        <f aca="false">IF(OR(L100="",H100=""),"",H100/L100-1)</f>
        <v>0.0735163861824624</v>
      </c>
      <c r="O100" s="77" t="n">
        <v>13.1</v>
      </c>
      <c r="P100" s="80" t="n">
        <v>46265</v>
      </c>
      <c r="Q100" s="78" t="n">
        <f aca="false">IF(OR(O100="",H100=""),"",H100/O100-1)</f>
        <v>-0.0748091603053436</v>
      </c>
      <c r="R100" s="81" t="n">
        <f aca="false">'100只成分明细'!G100</f>
        <v>0.0224067450462249</v>
      </c>
      <c r="S100" s="82" t="n">
        <f aca="false">'100只成分明细'!H100</f>
        <v>10.8281899062</v>
      </c>
      <c r="T100" s="82" t="n">
        <f aca="false">'100只成分明细'!I100</f>
        <v>10.7154826244</v>
      </c>
      <c r="U100" s="83" t="n">
        <f aca="false">S100-T100</f>
        <v>0.112707281800001</v>
      </c>
      <c r="V100" s="78" t="n">
        <f aca="false">IF(T100=0,"",S100/T100-1)</f>
        <v>0.0105181712994762</v>
      </c>
      <c r="W100" s="55" t="n">
        <f aca="false">IF(U100&gt;0,1,0)</f>
        <v>1</v>
      </c>
      <c r="X100" s="84" t="n">
        <v>0.24</v>
      </c>
      <c r="Y100" s="79" t="n">
        <f aca="false">IF(OR(X100="",H100=""),"",X100/H100)</f>
        <v>0.0198019801980198</v>
      </c>
      <c r="Z100" s="75" t="n">
        <v>3</v>
      </c>
      <c r="AA100" s="77" t="n">
        <v>12.65</v>
      </c>
      <c r="AB100" s="77" t="n">
        <v>2.32</v>
      </c>
      <c r="AC100" s="85" t="n">
        <f aca="false">IF(AND(AA100&gt;0,AA100&lt;100),MIN(AA100,50),"")</f>
        <v>12.65</v>
      </c>
      <c r="AD100" s="55" t="n">
        <f aca="false">IF(AC100="",0,1)</f>
        <v>1</v>
      </c>
      <c r="AE100" s="85" t="n">
        <f aca="false">IF(AND(AB100&gt;0,AB100&lt;10),MIN(AB100,5),"")</f>
        <v>2.32</v>
      </c>
      <c r="AF100" s="55" t="n">
        <f aca="false">IF(AE100="",0,1)</f>
        <v>1</v>
      </c>
      <c r="AG100" s="82" t="n">
        <f aca="false">'100只成分明细'!O100</f>
        <v>17.5089347541</v>
      </c>
      <c r="AH100" s="82" t="n">
        <f aca="false">'100只成分明细'!P100</f>
        <v>12.7959174468</v>
      </c>
      <c r="AI100" s="55" t="n">
        <f aca="false">IF(AG100&gt;AH100,1,0)</f>
        <v>1</v>
      </c>
    </row>
    <row r="101" customFormat="false" ht="18" hidden="false" customHeight="true" outlineLevel="0" collapsed="false">
      <c r="A101" s="74" t="str">
        <f aca="false">'100只成分明细'!A101</f>
        <v>603706</v>
      </c>
      <c r="B101" s="74" t="str">
        <f aca="false">'100只成分明细'!B101</f>
        <v>东方环宇</v>
      </c>
      <c r="C101" s="75" t="s">
        <v>53</v>
      </c>
      <c r="D101" s="74" t="str">
        <f aca="false">'100只成分明细'!C101</f>
        <v>其他</v>
      </c>
      <c r="E101" s="76" t="n">
        <f aca="false">'100只成分明细'!D101</f>
        <v>0.00467</v>
      </c>
      <c r="F101" s="75" t="s">
        <v>520</v>
      </c>
      <c r="G101" s="77" t="n">
        <v>17.6</v>
      </c>
      <c r="H101" s="77" t="n">
        <v>17.08</v>
      </c>
      <c r="I101" s="78" t="n">
        <f aca="false">IF(OR(G101="",H101=""),"",H101/G101-1)</f>
        <v>-0.0295454545454548</v>
      </c>
      <c r="J101" s="77" t="n">
        <v>17.19</v>
      </c>
      <c r="K101" s="79" t="n">
        <f aca="false">IF(OR(J101="",H101=""),"",H101/J101-1)</f>
        <v>-0.00639906922629452</v>
      </c>
      <c r="L101" s="77" t="n">
        <v>16.75</v>
      </c>
      <c r="M101" s="80" t="n">
        <v>46282</v>
      </c>
      <c r="N101" s="79" t="n">
        <f aca="false">IF(OR(L101="",H101=""),"",H101/L101-1)</f>
        <v>0.0197014925373133</v>
      </c>
      <c r="O101" s="77" t="n">
        <v>18</v>
      </c>
      <c r="P101" s="80" t="n">
        <v>46265</v>
      </c>
      <c r="Q101" s="78" t="n">
        <f aca="false">IF(OR(O101="",H101=""),"",H101/O101-1)</f>
        <v>-0.0511111111111112</v>
      </c>
      <c r="R101" s="81" t="n">
        <f aca="false">'100只成分明细'!G101</f>
        <v>-0.0914031165919889</v>
      </c>
      <c r="S101" s="82" t="n">
        <f aca="false">'100只成分明细'!H101</f>
        <v>1.2266241607</v>
      </c>
      <c r="T101" s="82" t="n">
        <f aca="false">'100只成分明细'!I101</f>
        <v>1.2362665592</v>
      </c>
      <c r="U101" s="83" t="n">
        <f aca="false">S101-T101</f>
        <v>-0.00964239850000004</v>
      </c>
      <c r="V101" s="78" t="n">
        <f aca="false">IF(T101=0,"",S101/T101-1)</f>
        <v>-0.00779961119893091</v>
      </c>
      <c r="W101" s="55" t="n">
        <f aca="false">IF(U101&gt;0,1,0)</f>
        <v>0</v>
      </c>
      <c r="X101" s="84" t="n">
        <v>0.9</v>
      </c>
      <c r="Y101" s="79" t="n">
        <f aca="false">IF(OR(X101="",H101=""),"",X101/H101)</f>
        <v>0.0526932084309134</v>
      </c>
      <c r="Z101" s="75" t="n">
        <v>3</v>
      </c>
      <c r="AA101" s="77" t="n">
        <v>15.04</v>
      </c>
      <c r="AB101" s="77" t="n">
        <v>1.91</v>
      </c>
      <c r="AC101" s="85" t="n">
        <f aca="false">IF(AND(AA101&gt;0,AA101&lt;100),MIN(AA101,50),"")</f>
        <v>15.04</v>
      </c>
      <c r="AD101" s="55" t="n">
        <f aca="false">IF(AC101="",0,1)</f>
        <v>1</v>
      </c>
      <c r="AE101" s="85" t="n">
        <f aca="false">IF(AND(AB101&gt;0,AB101&lt;10),MIN(AB101,5),"")</f>
        <v>1.91</v>
      </c>
      <c r="AF101" s="55" t="n">
        <f aca="false">IF(AE101="",0,1)</f>
        <v>1</v>
      </c>
      <c r="AG101" s="82" t="n">
        <f aca="false">'100只成分明细'!O101</f>
        <v>-0.223916914</v>
      </c>
      <c r="AH101" s="82" t="n">
        <f aca="false">'100只成分明细'!P101</f>
        <v>-0.7219138218</v>
      </c>
      <c r="AI101" s="55" t="n">
        <f aca="false">IF(AG101&gt;AH101,1,0)</f>
        <v>1</v>
      </c>
    </row>
    <row r="102" customFormat="false" ht="18" hidden="false" customHeight="true" outlineLevel="0" collapsed="false">
      <c r="A102" s="74" t="str">
        <f aca="false">'100只成分明细'!A102</f>
        <v>603967</v>
      </c>
      <c r="B102" s="74" t="str">
        <f aca="false">'100只成分明细'!B102</f>
        <v>中创物流</v>
      </c>
      <c r="C102" s="75" t="s">
        <v>48</v>
      </c>
      <c r="D102" s="74" t="str">
        <f aca="false">'100只成分明细'!C102</f>
        <v>交通运输</v>
      </c>
      <c r="E102" s="76" t="n">
        <f aca="false">'100只成分明细'!D102</f>
        <v>0.00455</v>
      </c>
      <c r="F102" s="75" t="s">
        <v>531</v>
      </c>
      <c r="G102" s="77" t="n">
        <v>11.67</v>
      </c>
      <c r="H102" s="77" t="n">
        <v>12.29</v>
      </c>
      <c r="I102" s="78" t="n">
        <f aca="false">IF(OR(G102="",H102=""),"",H102/G102-1)</f>
        <v>0.053127677806341</v>
      </c>
      <c r="J102" s="77" t="n">
        <v>12.02</v>
      </c>
      <c r="K102" s="79" t="n">
        <f aca="false">IF(OR(J102="",H102=""),"",H102/J102-1)</f>
        <v>0.0224625623960066</v>
      </c>
      <c r="L102" s="77" t="n">
        <v>11.33</v>
      </c>
      <c r="M102" s="80" t="n">
        <v>46280</v>
      </c>
      <c r="N102" s="79" t="n">
        <f aca="false">IF(OR(L102="",H102=""),"",H102/L102-1)</f>
        <v>0.084730803177405</v>
      </c>
      <c r="O102" s="77" t="n">
        <v>12.97</v>
      </c>
      <c r="P102" s="80" t="n">
        <v>46303</v>
      </c>
      <c r="Q102" s="78" t="n">
        <f aca="false">IF(OR(O102="",H102=""),"",H102/O102-1)</f>
        <v>-0.0524286815728605</v>
      </c>
      <c r="R102" s="81" t="n">
        <f aca="false">'100只成分明细'!G102</f>
        <v>0.179808913524594</v>
      </c>
      <c r="S102" s="82" t="n">
        <f aca="false">'100只成分明细'!H102</f>
        <v>1.7394276251</v>
      </c>
      <c r="T102" s="82" t="n">
        <f aca="false">'100只成分明细'!I102</f>
        <v>1.4168206889</v>
      </c>
      <c r="U102" s="83" t="n">
        <f aca="false">S102-T102</f>
        <v>0.3226069362</v>
      </c>
      <c r="V102" s="78" t="n">
        <f aca="false">IF(T102=0,"",S102/T102-1)</f>
        <v>0.22769778753758</v>
      </c>
      <c r="W102" s="55" t="n">
        <f aca="false">IF(U102&gt;0,1,0)</f>
        <v>1</v>
      </c>
      <c r="X102" s="84" t="n">
        <v>0.65</v>
      </c>
      <c r="Y102" s="79" t="n">
        <f aca="false">IF(OR(X102="",H102=""),"",X102/H102)</f>
        <v>0.0528885272579333</v>
      </c>
      <c r="Z102" s="75" t="n">
        <v>3</v>
      </c>
      <c r="AA102" s="77" t="n">
        <v>14.54</v>
      </c>
      <c r="AB102" s="77" t="n">
        <v>1.83</v>
      </c>
      <c r="AC102" s="85" t="n">
        <f aca="false">IF(AND(AA102&gt;0,AA102&lt;100),MIN(AA102,50),"")</f>
        <v>14.54</v>
      </c>
      <c r="AD102" s="55" t="n">
        <f aca="false">IF(AC102="",0,1)</f>
        <v>1</v>
      </c>
      <c r="AE102" s="85" t="n">
        <f aca="false">IF(AND(AB102&gt;0,AB102&lt;10),MIN(AB102,5),"")</f>
        <v>1.83</v>
      </c>
      <c r="AF102" s="55" t="n">
        <f aca="false">IF(AE102="",0,1)</f>
        <v>1</v>
      </c>
      <c r="AG102" s="82" t="n">
        <f aca="false">'100只成分明细'!O102</f>
        <v>-0.200153782</v>
      </c>
      <c r="AH102" s="82" t="n">
        <f aca="false">'100只成分明细'!P102</f>
        <v>3.1949968772</v>
      </c>
      <c r="AI102" s="55" t="n">
        <f aca="false">IF(AG102&gt;AH102,1,0)</f>
        <v>0</v>
      </c>
    </row>
    <row r="103" customFormat="false" ht="18" hidden="false" customHeight="true" outlineLevel="0" collapsed="false">
      <c r="A103" s="74" t="str">
        <f aca="false">'100只成分明细'!A103</f>
        <v>920599</v>
      </c>
      <c r="B103" s="74" t="str">
        <f aca="false">'100只成分明细'!B103</f>
        <v>同力股份</v>
      </c>
      <c r="C103" s="75" t="s">
        <v>56</v>
      </c>
      <c r="D103" s="74" t="str">
        <f aca="false">'100只成分明细'!C103</f>
        <v>其他</v>
      </c>
      <c r="E103" s="76" t="n">
        <f aca="false">'100只成分明细'!D103</f>
        <v>0.00422</v>
      </c>
      <c r="F103" s="75" t="s">
        <v>510</v>
      </c>
      <c r="G103" s="77" t="n">
        <v>17.95</v>
      </c>
      <c r="H103" s="77" t="n">
        <v>18.03</v>
      </c>
      <c r="I103" s="78" t="n">
        <f aca="false">IF(OR(G103="",H103=""),"",H103/G103-1)</f>
        <v>0.00445682451253493</v>
      </c>
      <c r="J103" s="77" t="n">
        <v>17.38</v>
      </c>
      <c r="K103" s="79" t="n">
        <f aca="false">IF(OR(J103="",H103=""),"",H103/J103-1)</f>
        <v>0.0373993095512084</v>
      </c>
      <c r="L103" s="77" t="n">
        <v>16.8</v>
      </c>
      <c r="M103" s="80" t="n">
        <v>46282</v>
      </c>
      <c r="N103" s="79" t="n">
        <f aca="false">IF(OR(L103="",H103=""),"",H103/L103-1)</f>
        <v>0.0732142857142857</v>
      </c>
      <c r="O103" s="77" t="n">
        <v>18.75</v>
      </c>
      <c r="P103" s="80" t="n">
        <v>46267</v>
      </c>
      <c r="Q103" s="78" t="n">
        <f aca="false">IF(OR(O103="",H103=""),"",H103/O103-1)</f>
        <v>-0.0384</v>
      </c>
      <c r="R103" s="81" t="n">
        <f aca="false">'100只成分明细'!G103</f>
        <v>0.121330991870097</v>
      </c>
      <c r="S103" s="82" t="n">
        <f aca="false">'100只成分明细'!H103</f>
        <v>4.0558141553</v>
      </c>
      <c r="T103" s="82" t="n">
        <f aca="false">'100只成分明细'!I103</f>
        <v>3.2122719431</v>
      </c>
      <c r="U103" s="83" t="n">
        <f aca="false">S103-T103</f>
        <v>0.8435422122</v>
      </c>
      <c r="V103" s="78" t="n">
        <f aca="false">IF(T103=0,"",S103/T103-1)</f>
        <v>0.262599875459467</v>
      </c>
      <c r="W103" s="55" t="n">
        <f aca="false">IF(U103&gt;0,1,0)</f>
        <v>1</v>
      </c>
      <c r="X103" s="84" t="n">
        <v>0.7</v>
      </c>
      <c r="Y103" s="79" t="n">
        <f aca="false">IF(OR(X103="",H103=""),"",X103/H103)</f>
        <v>0.0388241819190238</v>
      </c>
      <c r="Z103" s="75" t="n">
        <v>3</v>
      </c>
      <c r="AA103" s="77" t="n">
        <v>9.03</v>
      </c>
      <c r="AB103" s="77" t="n">
        <v>2.27</v>
      </c>
      <c r="AC103" s="85" t="n">
        <f aca="false">IF(AND(AA103&gt;0,AA103&lt;100),MIN(AA103,50),"")</f>
        <v>9.03</v>
      </c>
      <c r="AD103" s="55" t="n">
        <f aca="false">IF(AC103="",0,1)</f>
        <v>1</v>
      </c>
      <c r="AE103" s="85" t="n">
        <f aca="false">IF(AND(AB103&gt;0,AB103&lt;10),MIN(AB103,5),"")</f>
        <v>2.27</v>
      </c>
      <c r="AF103" s="55" t="n">
        <f aca="false">IF(AE103="",0,1)</f>
        <v>1</v>
      </c>
      <c r="AG103" s="82" t="n">
        <f aca="false">'100只成分明细'!O103</f>
        <v>5.1229508129</v>
      </c>
      <c r="AH103" s="82" t="n">
        <f aca="false">'100只成分明细'!P103</f>
        <v>-6.3166048473</v>
      </c>
      <c r="AI103" s="55" t="n">
        <f aca="false">IF(AG103&gt;AH103,1,0)</f>
        <v>1</v>
      </c>
    </row>
    <row r="104" customFormat="false" ht="15" hidden="false" customHeight="false" outlineLevel="0" collapsed="false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</row>
    <row r="105" customFormat="false" ht="15" hidden="false" customHeight="false" outlineLevel="0" collapsed="false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</row>
    <row r="106" customFormat="false" ht="15" hidden="false" customHeight="false" outlineLevel="0" collapsed="false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</row>
    <row r="107" customFormat="false" ht="15" hidden="false" customHeight="false" outlineLevel="0" collapsed="false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</row>
    <row r="108" customFormat="false" ht="22" hidden="false" customHeight="true" outlineLevel="0" collapsed="false">
      <c r="A108" s="63" t="s">
        <v>546</v>
      </c>
      <c r="B108" s="63" t="s">
        <v>546</v>
      </c>
      <c r="C108" s="63" t="s">
        <v>546</v>
      </c>
      <c r="D108" s="63" t="s">
        <v>546</v>
      </c>
      <c r="E108" s="63" t="s">
        <v>546</v>
      </c>
      <c r="F108" s="63" t="s">
        <v>546</v>
      </c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</row>
    <row r="109" customFormat="false" ht="15" hidden="false" customHeight="false" outlineLevel="0" collapsed="false">
      <c r="A109" s="15" t="s">
        <v>547</v>
      </c>
      <c r="B109" s="16" t="s">
        <v>548</v>
      </c>
      <c r="C109" s="16" t="s">
        <v>549</v>
      </c>
      <c r="D109" s="16" t="s">
        <v>550</v>
      </c>
      <c r="E109" s="16" t="s">
        <v>551</v>
      </c>
      <c r="F109" s="17" t="s">
        <v>552</v>
      </c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</row>
    <row r="110" customFormat="false" ht="15" hidden="false" customHeight="false" outlineLevel="0" collapsed="false">
      <c r="A110" s="80" t="n">
        <v>46265</v>
      </c>
      <c r="B110" s="86" t="n">
        <v>5704.35</v>
      </c>
      <c r="C110" s="86" t="n">
        <v>5718.42</v>
      </c>
      <c r="D110" s="86" t="n">
        <v>5724.53</v>
      </c>
      <c r="E110" s="86" t="n">
        <v>5667.85</v>
      </c>
      <c r="F110" s="87" t="n">
        <v>0.0047</v>
      </c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</row>
    <row r="111" customFormat="false" ht="15" hidden="false" customHeight="false" outlineLevel="0" collapsed="false">
      <c r="A111" s="80" t="n">
        <v>46266</v>
      </c>
      <c r="B111" s="86" t="n">
        <v>5701.79</v>
      </c>
      <c r="C111" s="86" t="n">
        <v>5719.05</v>
      </c>
      <c r="D111" s="86" t="n">
        <v>5786.14</v>
      </c>
      <c r="E111" s="86" t="n">
        <v>5701.66</v>
      </c>
      <c r="F111" s="87" t="n">
        <v>0.0001</v>
      </c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</row>
    <row r="112" customFormat="false" ht="15" hidden="false" customHeight="false" outlineLevel="0" collapsed="false">
      <c r="A112" s="80" t="n">
        <v>46267</v>
      </c>
      <c r="B112" s="86" t="n">
        <v>5738.08</v>
      </c>
      <c r="C112" s="86" t="n">
        <v>5634.58</v>
      </c>
      <c r="D112" s="86" t="n">
        <v>5741.77</v>
      </c>
      <c r="E112" s="86" t="n">
        <v>5626.38</v>
      </c>
      <c r="F112" s="87" t="n">
        <v>-0.0148</v>
      </c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</row>
    <row r="113" customFormat="false" ht="15" hidden="false" customHeight="false" outlineLevel="0" collapsed="false">
      <c r="A113" s="80" t="n">
        <v>46268</v>
      </c>
      <c r="B113" s="86" t="n">
        <v>5631.89</v>
      </c>
      <c r="C113" s="86" t="n">
        <v>5635.06</v>
      </c>
      <c r="D113" s="86" t="n">
        <v>5704.93</v>
      </c>
      <c r="E113" s="86" t="n">
        <v>5626.8</v>
      </c>
      <c r="F113" s="87" t="n">
        <v>0.0001</v>
      </c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</row>
    <row r="114" customFormat="false" ht="15" hidden="false" customHeight="false" outlineLevel="0" collapsed="false">
      <c r="A114" s="80" t="n">
        <v>46269</v>
      </c>
      <c r="B114" s="86" t="n">
        <v>5638.06</v>
      </c>
      <c r="C114" s="86" t="n">
        <v>5648.28</v>
      </c>
      <c r="D114" s="86" t="n">
        <v>5681.67</v>
      </c>
      <c r="E114" s="86" t="n">
        <v>5630.55</v>
      </c>
      <c r="F114" s="87" t="n">
        <v>0.0023</v>
      </c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</row>
    <row r="115" customFormat="false" ht="15" hidden="false" customHeight="false" outlineLevel="0" collapsed="false">
      <c r="A115" s="80" t="n">
        <v>46272</v>
      </c>
      <c r="B115" s="86" t="n">
        <v>5642.48</v>
      </c>
      <c r="C115" s="86" t="n">
        <v>5580.21</v>
      </c>
      <c r="D115" s="86" t="n">
        <v>5650.83</v>
      </c>
      <c r="E115" s="86" t="n">
        <v>5555.28</v>
      </c>
      <c r="F115" s="87" t="n">
        <v>-0.0121</v>
      </c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</row>
    <row r="116" customFormat="false" ht="15" hidden="false" customHeight="false" outlineLevel="0" collapsed="false">
      <c r="A116" s="80" t="n">
        <v>46273</v>
      </c>
      <c r="B116" s="86" t="n">
        <v>5588.65</v>
      </c>
      <c r="C116" s="86" t="n">
        <v>5652.8</v>
      </c>
      <c r="D116" s="86" t="n">
        <v>5658.43</v>
      </c>
      <c r="E116" s="86" t="n">
        <v>5588.22</v>
      </c>
      <c r="F116" s="87" t="n">
        <v>0.013</v>
      </c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</row>
    <row r="117" customFormat="false" ht="15" hidden="false" customHeight="false" outlineLevel="0" collapsed="false">
      <c r="A117" s="80" t="n">
        <v>46274</v>
      </c>
      <c r="B117" s="86" t="n">
        <v>5647.96</v>
      </c>
      <c r="C117" s="86" t="n">
        <v>5716</v>
      </c>
      <c r="D117" s="86" t="n">
        <v>5721.97</v>
      </c>
      <c r="E117" s="86" t="n">
        <v>5627.72</v>
      </c>
      <c r="F117" s="87" t="n">
        <v>0.0112</v>
      </c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</row>
    <row r="118" customFormat="false" ht="15" hidden="false" customHeight="false" outlineLevel="0" collapsed="false">
      <c r="A118" s="80" t="n">
        <v>46275</v>
      </c>
      <c r="B118" s="86" t="n">
        <v>5714.53</v>
      </c>
      <c r="C118" s="86" t="n">
        <v>5677.09</v>
      </c>
      <c r="D118" s="86" t="n">
        <v>5719.17</v>
      </c>
      <c r="E118" s="86" t="n">
        <v>5670.21</v>
      </c>
      <c r="F118" s="87" t="n">
        <v>-0.0068</v>
      </c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</row>
    <row r="119" customFormat="false" ht="15" hidden="false" customHeight="false" outlineLevel="0" collapsed="false">
      <c r="A119" s="80" t="n">
        <v>46276</v>
      </c>
      <c r="B119" s="86" t="n">
        <v>5665.33</v>
      </c>
      <c r="C119" s="86" t="n">
        <v>5580.28</v>
      </c>
      <c r="D119" s="86" t="n">
        <v>5667.2</v>
      </c>
      <c r="E119" s="86" t="n">
        <v>5570.67</v>
      </c>
      <c r="F119" s="87" t="n">
        <v>-0.0171</v>
      </c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</row>
    <row r="120" customFormat="false" ht="15" hidden="false" customHeight="false" outlineLevel="0" collapsed="false">
      <c r="A120" s="80" t="n">
        <v>46279</v>
      </c>
      <c r="B120" s="86" t="n">
        <v>5572.52</v>
      </c>
      <c r="C120" s="86" t="n">
        <v>5568.76</v>
      </c>
      <c r="D120" s="86" t="n">
        <v>5609.87</v>
      </c>
      <c r="E120" s="86" t="n">
        <v>5552.13</v>
      </c>
      <c r="F120" s="87" t="n">
        <v>-0.0021</v>
      </c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</row>
    <row r="121" customFormat="false" ht="15" hidden="false" customHeight="false" outlineLevel="0" collapsed="false">
      <c r="A121" s="80" t="n">
        <v>46280</v>
      </c>
      <c r="B121" s="86" t="n">
        <v>5568.76</v>
      </c>
      <c r="C121" s="86" t="n">
        <v>5534.25</v>
      </c>
      <c r="D121" s="86" t="n">
        <v>5573.73</v>
      </c>
      <c r="E121" s="86" t="n">
        <v>5525.24</v>
      </c>
      <c r="F121" s="87" t="n">
        <v>-0.0062</v>
      </c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</row>
    <row r="122" customFormat="false" ht="15" hidden="false" customHeight="false" outlineLevel="0" collapsed="false">
      <c r="A122" s="80" t="n">
        <v>46281</v>
      </c>
      <c r="B122" s="86" t="n">
        <v>5532.22</v>
      </c>
      <c r="C122" s="86" t="n">
        <v>5503.7</v>
      </c>
      <c r="D122" s="86" t="n">
        <v>5539.18</v>
      </c>
      <c r="E122" s="86" t="n">
        <v>5465.45</v>
      </c>
      <c r="F122" s="87" t="n">
        <v>-0.0055</v>
      </c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</row>
    <row r="123" customFormat="false" ht="15" hidden="false" customHeight="false" outlineLevel="0" collapsed="false">
      <c r="A123" s="80" t="n">
        <v>46282</v>
      </c>
      <c r="B123" s="86" t="n">
        <v>5486.76</v>
      </c>
      <c r="C123" s="86" t="n">
        <v>5473.85</v>
      </c>
      <c r="D123" s="86" t="n">
        <v>5494.95</v>
      </c>
      <c r="E123" s="86" t="n">
        <v>5452.58</v>
      </c>
      <c r="F123" s="87" t="n">
        <v>-0.0054</v>
      </c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</row>
    <row r="124" customFormat="false" ht="15" hidden="false" customHeight="false" outlineLevel="0" collapsed="false">
      <c r="A124" s="80" t="n">
        <v>46283</v>
      </c>
      <c r="B124" s="86" t="n">
        <v>5462.98</v>
      </c>
      <c r="C124" s="86" t="n">
        <v>5461.76</v>
      </c>
      <c r="D124" s="86" t="n">
        <v>5492.41</v>
      </c>
      <c r="E124" s="86" t="n">
        <v>5445.68</v>
      </c>
      <c r="F124" s="87" t="n">
        <v>-0.0022</v>
      </c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</row>
    <row r="125" customFormat="false" ht="15" hidden="false" customHeight="false" outlineLevel="0" collapsed="false">
      <c r="A125" s="80" t="n">
        <v>46286</v>
      </c>
      <c r="B125" s="86" t="n">
        <v>5454.59</v>
      </c>
      <c r="C125" s="86" t="n">
        <v>5527.38</v>
      </c>
      <c r="D125" s="86" t="n">
        <v>5530.24</v>
      </c>
      <c r="E125" s="86" t="n">
        <v>5440.82</v>
      </c>
      <c r="F125" s="87" t="n">
        <v>0.012</v>
      </c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</row>
    <row r="126" customFormat="false" ht="15" hidden="false" customHeight="false" outlineLevel="0" collapsed="false">
      <c r="A126" s="80" t="n">
        <v>46287</v>
      </c>
      <c r="B126" s="86" t="n">
        <v>5510.96</v>
      </c>
      <c r="C126" s="86" t="n">
        <v>5527.97</v>
      </c>
      <c r="D126" s="86" t="n">
        <v>5534.65</v>
      </c>
      <c r="E126" s="86" t="n">
        <v>5485.99</v>
      </c>
      <c r="F126" s="87" t="n">
        <v>0.0001</v>
      </c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</row>
    <row r="127" customFormat="false" ht="15" hidden="false" customHeight="false" outlineLevel="0" collapsed="false">
      <c r="A127" s="80" t="n">
        <v>46288</v>
      </c>
      <c r="B127" s="86" t="n">
        <v>5515.56</v>
      </c>
      <c r="C127" s="86" t="n">
        <v>5484.03</v>
      </c>
      <c r="D127" s="86" t="n">
        <v>5529.23</v>
      </c>
      <c r="E127" s="86" t="n">
        <v>5483.17</v>
      </c>
      <c r="F127" s="87" t="n">
        <v>-0.0079</v>
      </c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</row>
    <row r="128" customFormat="false" ht="15" hidden="false" customHeight="false" outlineLevel="0" collapsed="false">
      <c r="A128" s="80" t="n">
        <v>46289</v>
      </c>
      <c r="B128" s="86" t="n">
        <v>5475.63</v>
      </c>
      <c r="C128" s="86" t="n">
        <v>5469.4</v>
      </c>
      <c r="D128" s="86" t="n">
        <v>5512.85</v>
      </c>
      <c r="E128" s="86" t="n">
        <v>5459.98</v>
      </c>
      <c r="F128" s="87" t="n">
        <v>-0.0027</v>
      </c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</row>
    <row r="129" customFormat="false" ht="15" hidden="false" customHeight="false" outlineLevel="0" collapsed="false">
      <c r="A129" s="80" t="n">
        <v>46293</v>
      </c>
      <c r="B129" s="86" t="n">
        <v>5458.98</v>
      </c>
      <c r="C129" s="86" t="n">
        <v>5439.6</v>
      </c>
      <c r="D129" s="86" t="n">
        <v>5462.48</v>
      </c>
      <c r="E129" s="86" t="n">
        <v>5415.72</v>
      </c>
      <c r="F129" s="87" t="n">
        <v>-0.0054</v>
      </c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</row>
    <row r="130" customFormat="false" ht="15" hidden="false" customHeight="false" outlineLevel="0" collapsed="false">
      <c r="A130" s="80" t="n">
        <v>46294</v>
      </c>
      <c r="B130" s="86" t="n">
        <v>5432.77</v>
      </c>
      <c r="C130" s="86" t="n">
        <v>5428.67</v>
      </c>
      <c r="D130" s="86" t="n">
        <v>5445.21</v>
      </c>
      <c r="E130" s="86" t="n">
        <v>5386.04</v>
      </c>
      <c r="F130" s="87" t="n">
        <v>-0.002</v>
      </c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</row>
    <row r="131" customFormat="false" ht="15" hidden="false" customHeight="false" outlineLevel="0" collapsed="false">
      <c r="A131" s="80" t="n">
        <v>46295</v>
      </c>
      <c r="B131" s="86" t="n">
        <v>5427.48</v>
      </c>
      <c r="C131" s="86" t="n">
        <v>5493.34</v>
      </c>
      <c r="D131" s="86" t="n">
        <v>5505.19</v>
      </c>
      <c r="E131" s="86" t="n">
        <v>5427.11</v>
      </c>
      <c r="F131" s="87" t="n">
        <v>0.0119</v>
      </c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</row>
    <row r="132" customFormat="false" ht="15" hidden="false" customHeight="false" outlineLevel="0" collapsed="false">
      <c r="A132" s="80" t="n">
        <v>46303</v>
      </c>
      <c r="B132" s="86" t="n">
        <v>5500.65</v>
      </c>
      <c r="C132" s="86" t="n">
        <v>5556.01</v>
      </c>
      <c r="D132" s="86" t="n">
        <v>5568.49</v>
      </c>
      <c r="E132" s="86" t="n">
        <v>5499.83</v>
      </c>
      <c r="F132" s="87" t="n">
        <v>0.0114</v>
      </c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</row>
    <row r="133" customFormat="false" ht="15" hidden="false" customHeight="false" outlineLevel="0" collapsed="false">
      <c r="A133" s="80" t="n">
        <v>46304</v>
      </c>
      <c r="B133" s="86" t="n">
        <v>5562.17</v>
      </c>
      <c r="C133" s="86" t="n">
        <v>5601.34</v>
      </c>
      <c r="D133" s="86" t="n">
        <v>5620.73</v>
      </c>
      <c r="E133" s="86" t="n">
        <v>5562.17</v>
      </c>
      <c r="F133" s="87" t="n">
        <v>0.0082</v>
      </c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</row>
    <row r="134" customFormat="false" ht="15" hidden="false" customHeight="false" outlineLevel="0" collapsed="false">
      <c r="A134" s="80" t="n">
        <v>46307</v>
      </c>
      <c r="B134" s="86" t="n">
        <v>5612.23</v>
      </c>
      <c r="C134" s="86" t="n">
        <v>5618.87</v>
      </c>
      <c r="D134" s="86" t="n">
        <v>5656.61</v>
      </c>
      <c r="E134" s="86" t="n">
        <v>5600.3</v>
      </c>
      <c r="F134" s="87" t="n">
        <v>0.0031</v>
      </c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</row>
    <row r="135" customFormat="false" ht="15" hidden="false" customHeight="false" outlineLevel="0" collapsed="false">
      <c r="A135" s="80" t="n">
        <v>46308</v>
      </c>
      <c r="B135" s="86" t="n">
        <v>5610.45</v>
      </c>
      <c r="C135" s="86" t="n">
        <v>5624.5</v>
      </c>
      <c r="D135" s="86" t="n">
        <v>5645.41</v>
      </c>
      <c r="E135" s="86" t="n">
        <v>5593.94</v>
      </c>
      <c r="F135" s="87" t="n">
        <v>0.001</v>
      </c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</row>
    <row r="136" customFormat="false" ht="15" hidden="false" customHeight="false" outlineLevel="0" collapsed="false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</row>
    <row r="137" customFormat="false" ht="15" hidden="false" customHeight="false" outlineLevel="0" collapsed="false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</row>
    <row r="138" customFormat="false" ht="15" hidden="false" customHeight="false" outlineLevel="0" collapsed="false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</row>
    <row r="139" customFormat="false" ht="15" hidden="false" customHeight="false" outlineLevel="0" collapsed="false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</row>
    <row r="140" customFormat="false" ht="15" hidden="false" customHeight="false" outlineLevel="0" collapsed="false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</row>
  </sheetData>
  <mergeCells count="3">
    <mergeCell ref="A1:AI1"/>
    <mergeCell ref="A2:AI2"/>
    <mergeCell ref="A108:F108"/>
  </mergeCells>
  <conditionalFormatting sqref="I4:I103">
    <cfRule type="cellIs" priority="2" operator="lessThan" aboveAverage="0" equalAverage="0" bottom="0" percent="0" rank="0" text="" dxfId="7">
      <formula>0</formula>
    </cfRule>
  </conditionalFormatting>
  <conditionalFormatting sqref="K4:K103">
    <cfRule type="cellIs" priority="3" operator="lessThan" aboveAverage="0" equalAverage="0" bottom="0" percent="0" rank="0" text="" dxfId="8">
      <formula>0</formula>
    </cfRule>
  </conditionalFormatting>
  <conditionalFormatting sqref="V4:V103">
    <cfRule type="cellIs" priority="4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EADBA"/>
    <pageSetUpPr fitToPage="false"/>
  </sheetPr>
  <dimension ref="A1:J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34"/>
    <col collapsed="false" customWidth="true" hidden="false" outlineLevel="0" max="10" min="10" style="0" width="48"/>
  </cols>
  <sheetData>
    <row r="1" customFormat="false" ht="30" hidden="false" customHeight="true" outlineLevel="0" collapsed="false">
      <c r="A1" s="72" t="s">
        <v>553</v>
      </c>
      <c r="B1" s="72" t="s">
        <v>553</v>
      </c>
      <c r="C1" s="72" t="s">
        <v>553</v>
      </c>
      <c r="D1" s="72" t="s">
        <v>553</v>
      </c>
      <c r="E1" s="72" t="s">
        <v>553</v>
      </c>
      <c r="F1" s="72" t="s">
        <v>553</v>
      </c>
      <c r="G1" s="72" t="s">
        <v>553</v>
      </c>
      <c r="H1" s="72" t="s">
        <v>553</v>
      </c>
      <c r="I1" s="72" t="s">
        <v>553</v>
      </c>
      <c r="J1" s="72" t="s">
        <v>553</v>
      </c>
    </row>
    <row r="2" customFormat="false" ht="13.4" hidden="false" customHeight="false" outlineLevel="0" collapsed="false">
      <c r="A2" s="73" t="s">
        <v>554</v>
      </c>
      <c r="B2" s="73" t="s">
        <v>554</v>
      </c>
      <c r="C2" s="73" t="s">
        <v>554</v>
      </c>
      <c r="D2" s="73" t="s">
        <v>554</v>
      </c>
      <c r="E2" s="73" t="s">
        <v>554</v>
      </c>
      <c r="F2" s="73" t="s">
        <v>554</v>
      </c>
      <c r="G2" s="73" t="s">
        <v>554</v>
      </c>
      <c r="H2" s="73" t="s">
        <v>554</v>
      </c>
      <c r="I2" s="73" t="s">
        <v>554</v>
      </c>
      <c r="J2" s="73" t="s">
        <v>554</v>
      </c>
    </row>
    <row r="3" customFormat="false" ht="15" hidden="false" customHeight="false" outlineLevel="0" collapsed="false">
      <c r="A3" s="55"/>
      <c r="B3" s="55"/>
      <c r="C3" s="55"/>
      <c r="D3" s="55"/>
      <c r="E3" s="55"/>
      <c r="F3" s="55"/>
      <c r="G3" s="55"/>
      <c r="H3" s="55"/>
      <c r="I3" s="55"/>
      <c r="J3" s="55"/>
    </row>
    <row r="4" customFormat="false" ht="22" hidden="false" customHeight="true" outlineLevel="0" collapsed="false">
      <c r="A4" s="63" t="s">
        <v>555</v>
      </c>
      <c r="B4" s="63" t="s">
        <v>555</v>
      </c>
      <c r="C4" s="63" t="s">
        <v>555</v>
      </c>
      <c r="D4" s="63" t="s">
        <v>555</v>
      </c>
      <c r="E4" s="55"/>
      <c r="F4" s="55"/>
      <c r="G4" s="55"/>
      <c r="H4" s="55"/>
      <c r="I4" s="55"/>
      <c r="J4" s="55"/>
    </row>
    <row r="5" customFormat="false" ht="15" hidden="false" customHeight="false" outlineLevel="0" collapsed="false">
      <c r="A5" s="15" t="s">
        <v>556</v>
      </c>
      <c r="B5" s="16" t="s">
        <v>557</v>
      </c>
      <c r="C5" s="17" t="s">
        <v>558</v>
      </c>
      <c r="D5" s="55"/>
      <c r="E5" s="55"/>
      <c r="F5" s="55"/>
      <c r="G5" s="55"/>
      <c r="H5" s="55"/>
      <c r="I5" s="55"/>
      <c r="J5" s="55"/>
    </row>
    <row r="6" customFormat="false" ht="15" hidden="false" customHeight="false" outlineLevel="0" collapsed="false">
      <c r="A6" s="55" t="s">
        <v>559</v>
      </c>
      <c r="B6" s="88" t="n">
        <v>5100</v>
      </c>
      <c r="C6" s="69" t="s">
        <v>560</v>
      </c>
      <c r="D6" s="55"/>
      <c r="E6" s="55"/>
      <c r="F6" s="55"/>
      <c r="G6" s="55"/>
      <c r="H6" s="55"/>
      <c r="I6" s="55"/>
      <c r="J6" s="55"/>
    </row>
    <row r="7" customFormat="false" ht="15" hidden="false" customHeight="false" outlineLevel="0" collapsed="false">
      <c r="A7" s="55" t="s">
        <v>561</v>
      </c>
      <c r="B7" s="88" t="n">
        <v>6100</v>
      </c>
      <c r="C7" s="69" t="s">
        <v>560</v>
      </c>
      <c r="D7" s="55"/>
      <c r="E7" s="55"/>
      <c r="F7" s="55"/>
      <c r="G7" s="55"/>
      <c r="H7" s="55"/>
      <c r="I7" s="55"/>
      <c r="J7" s="55"/>
    </row>
    <row r="8" customFormat="false" ht="15" hidden="false" customHeight="false" outlineLevel="0" collapsed="false">
      <c r="A8" s="55" t="s">
        <v>562</v>
      </c>
      <c r="B8" s="89" t="n">
        <f aca="false">SUMPRODUCT('100只成分明细'!$D$4:$D$103,'100只成分明细'!$G$4:$G$103)/SUM('100只成分明细'!$D$4:$D$103)</f>
        <v>0.0455553860471344</v>
      </c>
      <c r="C8" s="69" t="s">
        <v>563</v>
      </c>
      <c r="D8" s="55"/>
      <c r="E8" s="55"/>
      <c r="F8" s="55"/>
      <c r="G8" s="55"/>
      <c r="H8" s="55"/>
      <c r="I8" s="55"/>
      <c r="J8" s="55"/>
    </row>
    <row r="9" customFormat="false" ht="15" hidden="false" customHeight="false" outlineLevel="0" collapsed="false">
      <c r="A9" s="55" t="s">
        <v>564</v>
      </c>
      <c r="B9" s="89" t="n">
        <f aca="false">SUM('100只成分明细'!$H$4:$H$103)/SUM('100只成分明细'!$I$4:$I$103)-1</f>
        <v>0.0627952093874462</v>
      </c>
      <c r="C9" s="69" t="s">
        <v>565</v>
      </c>
      <c r="D9" s="55"/>
      <c r="E9" s="55"/>
      <c r="F9" s="55"/>
      <c r="G9" s="55"/>
      <c r="H9" s="55"/>
      <c r="I9" s="55"/>
      <c r="J9" s="55"/>
    </row>
    <row r="10" customFormat="false" ht="15" hidden="false" customHeight="false" outlineLevel="0" collapsed="false">
      <c r="A10" s="55" t="s">
        <v>566</v>
      </c>
      <c r="B10" s="89" t="n">
        <f aca="false">COUNTIF('100只成分明细'!$K$4:$K$103,"&gt;0")/COUNT('100只成分明细'!$K$4:$K$103)</f>
        <v>0.58</v>
      </c>
      <c r="C10" s="69" t="s">
        <v>567</v>
      </c>
      <c r="D10" s="55"/>
      <c r="E10" s="55"/>
      <c r="F10" s="55"/>
      <c r="G10" s="55"/>
      <c r="H10" s="55"/>
      <c r="I10" s="55"/>
      <c r="J10" s="55"/>
    </row>
    <row r="11" customFormat="false" ht="15" hidden="false" customHeight="false" outlineLevel="0" collapsed="false">
      <c r="A11" s="55"/>
      <c r="B11" s="55"/>
      <c r="C11" s="55"/>
      <c r="D11" s="55"/>
      <c r="E11" s="55"/>
      <c r="F11" s="55"/>
      <c r="G11" s="55"/>
      <c r="H11" s="55"/>
      <c r="I11" s="55"/>
      <c r="J11" s="55"/>
    </row>
    <row r="12" customFormat="false" ht="15" hidden="false" customHeight="false" outlineLevel="0" collapsed="false">
      <c r="A12" s="15" t="s">
        <v>9</v>
      </c>
      <c r="B12" s="16" t="s">
        <v>568</v>
      </c>
      <c r="C12" s="16" t="s">
        <v>569</v>
      </c>
      <c r="D12" s="17" t="s">
        <v>570</v>
      </c>
      <c r="E12" s="55"/>
      <c r="F12" s="55"/>
      <c r="G12" s="55"/>
      <c r="H12" s="55"/>
      <c r="I12" s="55"/>
      <c r="J12" s="55"/>
    </row>
    <row r="13" customFormat="false" ht="15" hidden="false" customHeight="false" outlineLevel="0" collapsed="false">
      <c r="A13" s="55" t="s">
        <v>571</v>
      </c>
      <c r="B13" s="78" t="n">
        <f aca="false">MIN($B$8,$B$9)</f>
        <v>0.0455553860471344</v>
      </c>
      <c r="C13" s="90" t="n">
        <f aca="false">$B$6*(1+B13)</f>
        <v>5332.33246884039</v>
      </c>
      <c r="D13" s="90" t="n">
        <f aca="false">$B$7*(1+B13)</f>
        <v>6377.88785488752</v>
      </c>
      <c r="E13" s="55"/>
      <c r="F13" s="55"/>
      <c r="G13" s="55"/>
      <c r="H13" s="55"/>
      <c r="I13" s="55"/>
      <c r="J13" s="55"/>
    </row>
    <row r="14" customFormat="false" ht="15" hidden="false" customHeight="false" outlineLevel="0" collapsed="false">
      <c r="A14" s="55" t="s">
        <v>572</v>
      </c>
      <c r="B14" s="78" t="n">
        <f aca="false">AVERAGE($B$8,$B$9)</f>
        <v>0.0541752977172903</v>
      </c>
      <c r="C14" s="90" t="n">
        <f aca="false">$B$6*(1+B14)</f>
        <v>5376.29401835818</v>
      </c>
      <c r="D14" s="90" t="n">
        <f aca="false">$B$7*(1+B14)</f>
        <v>6430.46931607547</v>
      </c>
      <c r="E14" s="55"/>
      <c r="F14" s="55"/>
      <c r="G14" s="55"/>
      <c r="H14" s="55"/>
      <c r="I14" s="55"/>
      <c r="J14" s="55"/>
    </row>
    <row r="15" customFormat="false" ht="15" hidden="false" customHeight="false" outlineLevel="0" collapsed="false">
      <c r="A15" s="55" t="s">
        <v>573</v>
      </c>
      <c r="B15" s="78" t="n">
        <f aca="false">MAX($B$8,$B$9)</f>
        <v>0.0627952093874462</v>
      </c>
      <c r="C15" s="90" t="n">
        <f aca="false">$B$6*(1+B15)</f>
        <v>5420.25556787598</v>
      </c>
      <c r="D15" s="90" t="n">
        <f aca="false">$B$7*(1+B15)</f>
        <v>6483.05077726342</v>
      </c>
      <c r="E15" s="55"/>
      <c r="F15" s="55"/>
      <c r="G15" s="55"/>
      <c r="H15" s="55"/>
      <c r="I15" s="55"/>
      <c r="J15" s="55"/>
    </row>
    <row r="16" customFormat="false" ht="15" hidden="false" customHeight="false" outlineLevel="0" collapsed="false">
      <c r="A16" s="55"/>
      <c r="B16" s="55"/>
      <c r="C16" s="55"/>
      <c r="D16" s="55"/>
      <c r="E16" s="55"/>
      <c r="F16" s="55"/>
      <c r="G16" s="55"/>
      <c r="H16" s="55"/>
      <c r="I16" s="55"/>
      <c r="J16" s="55"/>
    </row>
    <row r="17" customFormat="false" ht="15" hidden="false" customHeight="false" outlineLevel="0" collapsed="false">
      <c r="A17" s="55"/>
      <c r="B17" s="55"/>
      <c r="C17" s="55"/>
      <c r="D17" s="55"/>
      <c r="E17" s="55"/>
      <c r="F17" s="55"/>
      <c r="G17" s="55"/>
      <c r="H17" s="55"/>
      <c r="I17" s="55"/>
      <c r="J17" s="55"/>
    </row>
    <row r="18" customFormat="false" ht="22" hidden="false" customHeight="true" outlineLevel="0" collapsed="false">
      <c r="A18" s="63" t="s">
        <v>574</v>
      </c>
      <c r="B18" s="63" t="s">
        <v>574</v>
      </c>
      <c r="C18" s="63" t="s">
        <v>574</v>
      </c>
      <c r="D18" s="63" t="s">
        <v>574</v>
      </c>
      <c r="E18" s="55"/>
      <c r="F18" s="63" t="s">
        <v>575</v>
      </c>
      <c r="G18" s="63" t="s">
        <v>575</v>
      </c>
      <c r="H18" s="63" t="s">
        <v>575</v>
      </c>
      <c r="I18" s="63" t="s">
        <v>575</v>
      </c>
      <c r="J18" s="55"/>
    </row>
    <row r="19" customFormat="false" ht="15" hidden="false" customHeight="false" outlineLevel="0" collapsed="false">
      <c r="A19" s="15" t="s">
        <v>576</v>
      </c>
      <c r="B19" s="16" t="s">
        <v>29</v>
      </c>
      <c r="C19" s="16" t="s">
        <v>577</v>
      </c>
      <c r="D19" s="17" t="s">
        <v>578</v>
      </c>
      <c r="E19" s="55"/>
      <c r="F19" s="15" t="s">
        <v>576</v>
      </c>
      <c r="G19" s="16" t="s">
        <v>29</v>
      </c>
      <c r="H19" s="16" t="s">
        <v>577</v>
      </c>
      <c r="I19" s="17" t="s">
        <v>579</v>
      </c>
      <c r="J19" s="55"/>
    </row>
    <row r="20" customFormat="false" ht="15" hidden="false" customHeight="false" outlineLevel="0" collapsed="false">
      <c r="A20" s="55" t="s">
        <v>580</v>
      </c>
      <c r="B20" s="91" t="n">
        <v>0.2</v>
      </c>
      <c r="C20" s="55" t="s">
        <v>581</v>
      </c>
      <c r="D20" s="55" t="s">
        <v>582</v>
      </c>
      <c r="E20" s="55"/>
      <c r="F20" s="55" t="s">
        <v>33</v>
      </c>
      <c r="G20" s="91" t="n">
        <v>0.2</v>
      </c>
      <c r="H20" s="55" t="s">
        <v>583</v>
      </c>
      <c r="I20" s="55" t="s">
        <v>584</v>
      </c>
      <c r="J20" s="55"/>
    </row>
    <row r="21" customFormat="false" ht="15" hidden="false" customHeight="false" outlineLevel="0" collapsed="false">
      <c r="A21" s="55" t="s">
        <v>489</v>
      </c>
      <c r="B21" s="91" t="n">
        <v>0.25</v>
      </c>
      <c r="C21" s="55" t="s">
        <v>581</v>
      </c>
      <c r="D21" s="55" t="s">
        <v>585</v>
      </c>
      <c r="E21" s="55"/>
      <c r="F21" s="55" t="s">
        <v>34</v>
      </c>
      <c r="G21" s="91" t="n">
        <v>0.3</v>
      </c>
      <c r="H21" s="55" t="s">
        <v>583</v>
      </c>
      <c r="I21" s="55" t="s">
        <v>586</v>
      </c>
      <c r="J21" s="55"/>
    </row>
    <row r="22" customFormat="false" ht="15" hidden="false" customHeight="false" outlineLevel="0" collapsed="false">
      <c r="A22" s="55" t="s">
        <v>5</v>
      </c>
      <c r="B22" s="91" t="n">
        <v>0.15</v>
      </c>
      <c r="C22" s="55" t="s">
        <v>587</v>
      </c>
      <c r="D22" s="55" t="s">
        <v>588</v>
      </c>
      <c r="E22" s="55"/>
      <c r="F22" s="55" t="s">
        <v>589</v>
      </c>
      <c r="G22" s="91" t="n">
        <v>0.15</v>
      </c>
      <c r="H22" s="55" t="s">
        <v>590</v>
      </c>
      <c r="I22" s="55" t="s">
        <v>591</v>
      </c>
      <c r="J22" s="55"/>
    </row>
    <row r="23" customFormat="false" ht="15" hidden="false" customHeight="false" outlineLevel="0" collapsed="false">
      <c r="A23" s="55" t="s">
        <v>592</v>
      </c>
      <c r="B23" s="91" t="n">
        <v>0.1</v>
      </c>
      <c r="C23" s="55" t="s">
        <v>593</v>
      </c>
      <c r="D23" s="55" t="s">
        <v>594</v>
      </c>
      <c r="E23" s="55"/>
      <c r="F23" s="55" t="s">
        <v>36</v>
      </c>
      <c r="G23" s="91" t="n">
        <v>0.2</v>
      </c>
      <c r="H23" s="55" t="s">
        <v>595</v>
      </c>
      <c r="I23" s="55" t="s">
        <v>596</v>
      </c>
      <c r="J23" s="55"/>
    </row>
    <row r="24" customFormat="false" ht="15" hidden="false" customHeight="false" outlineLevel="0" collapsed="false">
      <c r="A24" s="55" t="s">
        <v>36</v>
      </c>
      <c r="B24" s="91" t="n">
        <v>0.15</v>
      </c>
      <c r="C24" s="55" t="s">
        <v>597</v>
      </c>
      <c r="D24" s="55" t="s">
        <v>598</v>
      </c>
      <c r="E24" s="55"/>
      <c r="F24" s="55" t="s">
        <v>39</v>
      </c>
      <c r="G24" s="91" t="n">
        <v>0.15</v>
      </c>
      <c r="H24" s="55" t="s">
        <v>590</v>
      </c>
      <c r="I24" s="55" t="s">
        <v>599</v>
      </c>
      <c r="J24" s="55"/>
    </row>
    <row r="25" customFormat="false" ht="15" hidden="false" customHeight="false" outlineLevel="0" collapsed="false">
      <c r="A25" s="55" t="s">
        <v>501</v>
      </c>
      <c r="B25" s="91" t="n">
        <v>0.15</v>
      </c>
      <c r="C25" s="55" t="s">
        <v>600</v>
      </c>
      <c r="D25" s="55" t="s">
        <v>601</v>
      </c>
      <c r="E25" s="55"/>
      <c r="F25" s="55"/>
      <c r="G25" s="55"/>
      <c r="H25" s="55"/>
      <c r="I25" s="55"/>
      <c r="J25" s="55"/>
    </row>
    <row r="26" customFormat="false" ht="15" hidden="false" customHeight="false" outlineLevel="0" collapsed="false">
      <c r="A26" s="55"/>
      <c r="B26" s="55"/>
      <c r="C26" s="55"/>
      <c r="D26" s="55"/>
      <c r="E26" s="55"/>
      <c r="F26" s="55"/>
      <c r="G26" s="55"/>
      <c r="H26" s="55"/>
      <c r="I26" s="55"/>
      <c r="J26" s="55"/>
    </row>
    <row r="27" customFormat="false" ht="15" hidden="false" customHeight="false" outlineLevel="0" collapsed="false">
      <c r="A27" s="55"/>
      <c r="B27" s="55"/>
      <c r="C27" s="55"/>
      <c r="D27" s="55"/>
      <c r="E27" s="55"/>
      <c r="F27" s="55"/>
      <c r="G27" s="55"/>
      <c r="H27" s="55"/>
      <c r="I27" s="55"/>
      <c r="J27" s="55"/>
    </row>
    <row r="28" customFormat="false" ht="22" hidden="false" customHeight="true" outlineLevel="0" collapsed="false">
      <c r="A28" s="63" t="s">
        <v>602</v>
      </c>
      <c r="B28" s="63" t="s">
        <v>602</v>
      </c>
      <c r="C28" s="63" t="s">
        <v>602</v>
      </c>
      <c r="D28" s="63" t="s">
        <v>602</v>
      </c>
      <c r="E28" s="63" t="s">
        <v>602</v>
      </c>
      <c r="F28" s="63" t="s">
        <v>602</v>
      </c>
      <c r="G28" s="63" t="s">
        <v>602</v>
      </c>
      <c r="H28" s="63" t="s">
        <v>602</v>
      </c>
      <c r="I28" s="63" t="s">
        <v>602</v>
      </c>
      <c r="J28" s="63" t="s">
        <v>602</v>
      </c>
    </row>
    <row r="29" customFormat="false" ht="24" hidden="false" customHeight="true" outlineLevel="0" collapsed="false">
      <c r="A29" s="92" t="s">
        <v>43</v>
      </c>
      <c r="B29" s="93" t="s">
        <v>603</v>
      </c>
      <c r="C29" s="93"/>
      <c r="D29" s="93"/>
      <c r="E29" s="93"/>
      <c r="F29" s="93"/>
      <c r="G29" s="93"/>
      <c r="H29" s="93"/>
      <c r="I29" s="93"/>
      <c r="J29" s="93"/>
    </row>
    <row r="30" customFormat="false" ht="24" hidden="false" customHeight="true" outlineLevel="0" collapsed="false">
      <c r="A30" s="92" t="s">
        <v>604</v>
      </c>
      <c r="B30" s="93" t="s">
        <v>605</v>
      </c>
      <c r="C30" s="93"/>
      <c r="D30" s="93"/>
      <c r="E30" s="93"/>
      <c r="F30" s="93"/>
      <c r="G30" s="93"/>
      <c r="H30" s="93"/>
      <c r="I30" s="93"/>
      <c r="J30" s="93"/>
    </row>
    <row r="31" customFormat="false" ht="24" hidden="false" customHeight="true" outlineLevel="0" collapsed="false">
      <c r="A31" s="92" t="s">
        <v>606</v>
      </c>
      <c r="B31" s="93" t="s">
        <v>607</v>
      </c>
      <c r="C31" s="93"/>
      <c r="D31" s="93"/>
      <c r="E31" s="93"/>
      <c r="F31" s="93"/>
      <c r="G31" s="93"/>
      <c r="H31" s="93"/>
      <c r="I31" s="93"/>
      <c r="J31" s="93"/>
    </row>
    <row r="32" customFormat="false" ht="24" hidden="false" customHeight="true" outlineLevel="0" collapsed="false">
      <c r="A32" s="92" t="s">
        <v>608</v>
      </c>
      <c r="B32" s="93" t="s">
        <v>609</v>
      </c>
      <c r="C32" s="93"/>
      <c r="D32" s="93"/>
      <c r="E32" s="93"/>
      <c r="F32" s="93"/>
      <c r="G32" s="93"/>
      <c r="H32" s="93"/>
      <c r="I32" s="93"/>
      <c r="J32" s="93"/>
    </row>
    <row r="33" customFormat="false" ht="24" hidden="false" customHeight="true" outlineLevel="0" collapsed="false">
      <c r="A33" s="92" t="s">
        <v>610</v>
      </c>
      <c r="B33" s="93" t="s">
        <v>611</v>
      </c>
      <c r="C33" s="93"/>
      <c r="D33" s="93"/>
      <c r="E33" s="93"/>
      <c r="F33" s="93"/>
      <c r="G33" s="93"/>
      <c r="H33" s="93"/>
      <c r="I33" s="93"/>
      <c r="J33" s="93"/>
    </row>
    <row r="34" customFormat="false" ht="24" hidden="false" customHeight="true" outlineLevel="0" collapsed="false">
      <c r="A34" s="92" t="s">
        <v>612</v>
      </c>
      <c r="B34" s="93" t="s">
        <v>613</v>
      </c>
      <c r="C34" s="93"/>
      <c r="D34" s="93"/>
      <c r="E34" s="93"/>
      <c r="F34" s="93"/>
      <c r="G34" s="93"/>
      <c r="H34" s="93"/>
      <c r="I34" s="93"/>
      <c r="J34" s="93"/>
    </row>
    <row r="35" customFormat="false" ht="15" hidden="false" customHeight="false" outlineLevel="0" collapsed="false">
      <c r="A35" s="55"/>
      <c r="B35" s="55"/>
      <c r="C35" s="55"/>
      <c r="D35" s="55"/>
      <c r="E35" s="55"/>
      <c r="F35" s="55"/>
      <c r="G35" s="55"/>
      <c r="H35" s="55"/>
      <c r="I35" s="55"/>
      <c r="J35" s="55"/>
    </row>
    <row r="36" customFormat="false" ht="22" hidden="false" customHeight="true" outlineLevel="0" collapsed="false">
      <c r="A36" s="63" t="s">
        <v>614</v>
      </c>
      <c r="B36" s="63" t="s">
        <v>614</v>
      </c>
      <c r="C36" s="63" t="s">
        <v>614</v>
      </c>
      <c r="D36" s="55"/>
      <c r="E36" s="55"/>
      <c r="F36" s="55"/>
      <c r="G36" s="55"/>
      <c r="H36" s="55"/>
      <c r="I36" s="55"/>
      <c r="J36" s="55"/>
    </row>
    <row r="37" customFormat="false" ht="15" hidden="false" customHeight="false" outlineLevel="0" collapsed="false">
      <c r="A37" s="15" t="s">
        <v>485</v>
      </c>
      <c r="B37" s="16" t="s">
        <v>483</v>
      </c>
      <c r="C37" s="17" t="s">
        <v>615</v>
      </c>
      <c r="D37" s="55"/>
      <c r="E37" s="55"/>
      <c r="F37" s="55"/>
      <c r="G37" s="55"/>
      <c r="H37" s="55"/>
      <c r="I37" s="55"/>
      <c r="J37" s="55"/>
    </row>
    <row r="38" customFormat="false" ht="28" hidden="false" customHeight="true" outlineLevel="0" collapsed="false">
      <c r="A38" s="69" t="s">
        <v>528</v>
      </c>
      <c r="B38" s="69" t="s">
        <v>21</v>
      </c>
      <c r="C38" s="69"/>
      <c r="D38" s="55"/>
      <c r="E38" s="55"/>
      <c r="F38" s="55"/>
      <c r="G38" s="55"/>
      <c r="H38" s="55"/>
      <c r="I38" s="55"/>
      <c r="J38" s="55"/>
    </row>
    <row r="39" customFormat="false" ht="28" hidden="false" customHeight="true" outlineLevel="0" collapsed="false">
      <c r="A39" s="69" t="s">
        <v>616</v>
      </c>
      <c r="B39" s="69" t="s">
        <v>22</v>
      </c>
      <c r="C39" s="69"/>
      <c r="D39" s="55"/>
      <c r="E39" s="55"/>
      <c r="F39" s="55"/>
      <c r="G39" s="55"/>
      <c r="H39" s="55"/>
      <c r="I39" s="55"/>
      <c r="J39" s="55"/>
    </row>
    <row r="40" customFormat="false" ht="28" hidden="false" customHeight="true" outlineLevel="0" collapsed="false">
      <c r="A40" s="69" t="s">
        <v>617</v>
      </c>
      <c r="B40" s="69" t="s">
        <v>46</v>
      </c>
      <c r="C40" s="69"/>
      <c r="D40" s="55"/>
      <c r="E40" s="55"/>
      <c r="F40" s="55"/>
      <c r="G40" s="55"/>
      <c r="H40" s="55"/>
      <c r="I40" s="55"/>
      <c r="J40" s="55"/>
    </row>
    <row r="41" customFormat="false" ht="28" hidden="false" customHeight="true" outlineLevel="0" collapsed="false">
      <c r="A41" s="69" t="s">
        <v>618</v>
      </c>
      <c r="B41" s="69" t="s">
        <v>48</v>
      </c>
      <c r="C41" s="69"/>
      <c r="D41" s="55"/>
      <c r="E41" s="55"/>
      <c r="F41" s="55"/>
      <c r="G41" s="55"/>
      <c r="H41" s="55"/>
      <c r="I41" s="55"/>
      <c r="J41" s="55"/>
    </row>
    <row r="42" customFormat="false" ht="28" hidden="false" customHeight="true" outlineLevel="0" collapsed="false">
      <c r="A42" s="69" t="s">
        <v>619</v>
      </c>
      <c r="B42" s="69" t="s">
        <v>55</v>
      </c>
      <c r="C42" s="69"/>
      <c r="D42" s="55"/>
      <c r="E42" s="55"/>
      <c r="F42" s="55"/>
      <c r="G42" s="55"/>
      <c r="H42" s="55"/>
      <c r="I42" s="55"/>
      <c r="J42" s="55"/>
    </row>
    <row r="43" customFormat="false" ht="28" hidden="false" customHeight="true" outlineLevel="0" collapsed="false">
      <c r="A43" s="69" t="s">
        <v>511</v>
      </c>
      <c r="B43" s="69" t="s">
        <v>620</v>
      </c>
      <c r="C43" s="69" t="s">
        <v>621</v>
      </c>
      <c r="D43" s="55"/>
      <c r="E43" s="55"/>
      <c r="F43" s="55"/>
      <c r="G43" s="55"/>
      <c r="H43" s="55"/>
      <c r="I43" s="55"/>
      <c r="J43" s="55"/>
    </row>
    <row r="44" customFormat="false" ht="28" hidden="false" customHeight="true" outlineLevel="0" collapsed="false">
      <c r="A44" s="69" t="s">
        <v>622</v>
      </c>
      <c r="B44" s="69" t="s">
        <v>51</v>
      </c>
      <c r="C44" s="69"/>
      <c r="D44" s="55"/>
      <c r="E44" s="55"/>
      <c r="F44" s="55"/>
      <c r="G44" s="55"/>
      <c r="H44" s="55"/>
      <c r="I44" s="55"/>
      <c r="J44" s="55"/>
    </row>
    <row r="45" customFormat="false" ht="28" hidden="false" customHeight="true" outlineLevel="0" collapsed="false">
      <c r="A45" s="69" t="s">
        <v>623</v>
      </c>
      <c r="B45" s="69" t="s">
        <v>52</v>
      </c>
      <c r="C45" s="69"/>
      <c r="D45" s="55"/>
      <c r="E45" s="55"/>
      <c r="F45" s="55"/>
      <c r="G45" s="55"/>
      <c r="H45" s="55"/>
      <c r="I45" s="55"/>
      <c r="J45" s="55"/>
    </row>
    <row r="46" customFormat="false" ht="28" hidden="false" customHeight="true" outlineLevel="0" collapsed="false">
      <c r="A46" s="69" t="s">
        <v>624</v>
      </c>
      <c r="B46" s="69" t="s">
        <v>54</v>
      </c>
      <c r="C46" s="69"/>
      <c r="D46" s="55"/>
      <c r="E46" s="55"/>
      <c r="F46" s="55"/>
      <c r="G46" s="55"/>
      <c r="H46" s="55"/>
      <c r="I46" s="55"/>
      <c r="J46" s="55"/>
    </row>
    <row r="47" customFormat="false" ht="28" hidden="false" customHeight="true" outlineLevel="0" collapsed="false">
      <c r="A47" s="69" t="s">
        <v>625</v>
      </c>
      <c r="B47" s="69" t="s">
        <v>57</v>
      </c>
      <c r="C47" s="69"/>
      <c r="D47" s="55"/>
      <c r="E47" s="55"/>
      <c r="F47" s="55"/>
      <c r="G47" s="55"/>
      <c r="H47" s="55"/>
      <c r="I47" s="55"/>
      <c r="J47" s="55"/>
    </row>
    <row r="48" customFormat="false" ht="28" hidden="false" customHeight="true" outlineLevel="0" collapsed="false">
      <c r="A48" s="69" t="s">
        <v>626</v>
      </c>
      <c r="B48" s="69" t="s">
        <v>49</v>
      </c>
      <c r="C48" s="69"/>
      <c r="D48" s="55"/>
      <c r="E48" s="55"/>
      <c r="F48" s="55"/>
      <c r="G48" s="55"/>
      <c r="H48" s="55"/>
      <c r="I48" s="55"/>
      <c r="J48" s="55"/>
    </row>
    <row r="49" customFormat="false" ht="28" hidden="false" customHeight="true" outlineLevel="0" collapsed="false">
      <c r="A49" s="69" t="s">
        <v>627</v>
      </c>
      <c r="B49" s="69" t="s">
        <v>56</v>
      </c>
      <c r="C49" s="69"/>
      <c r="D49" s="55"/>
      <c r="E49" s="55"/>
      <c r="F49" s="55"/>
      <c r="G49" s="55"/>
      <c r="H49" s="55"/>
      <c r="I49" s="55"/>
      <c r="J49" s="55"/>
    </row>
    <row r="50" customFormat="false" ht="28" hidden="false" customHeight="true" outlineLevel="0" collapsed="false">
      <c r="A50" s="69" t="s">
        <v>628</v>
      </c>
      <c r="B50" s="69" t="s">
        <v>50</v>
      </c>
      <c r="C50" s="69"/>
      <c r="D50" s="55"/>
      <c r="E50" s="55"/>
      <c r="F50" s="55"/>
      <c r="G50" s="55"/>
      <c r="H50" s="55"/>
      <c r="I50" s="55"/>
      <c r="J50" s="55"/>
    </row>
    <row r="51" customFormat="false" ht="28" hidden="false" customHeight="true" outlineLevel="0" collapsed="false">
      <c r="A51" s="69" t="s">
        <v>629</v>
      </c>
      <c r="B51" s="69" t="s">
        <v>47</v>
      </c>
      <c r="C51" s="69"/>
      <c r="D51" s="55"/>
      <c r="E51" s="55"/>
      <c r="F51" s="55"/>
      <c r="G51" s="55"/>
      <c r="H51" s="55"/>
      <c r="I51" s="55"/>
      <c r="J51" s="55"/>
    </row>
    <row r="52" customFormat="false" ht="28" hidden="false" customHeight="true" outlineLevel="0" collapsed="false">
      <c r="A52" s="69" t="s">
        <v>630</v>
      </c>
      <c r="B52" s="69" t="s">
        <v>53</v>
      </c>
      <c r="C52" s="69"/>
      <c r="D52" s="55"/>
      <c r="E52" s="55"/>
      <c r="F52" s="55"/>
      <c r="G52" s="55"/>
      <c r="H52" s="55"/>
      <c r="I52" s="55"/>
      <c r="J52" s="55"/>
    </row>
    <row r="53" customFormat="false" ht="15" hidden="false" customHeight="false" outlineLevel="0" collapsed="false">
      <c r="A53" s="55"/>
      <c r="B53" s="55"/>
      <c r="C53" s="55"/>
      <c r="D53" s="55"/>
      <c r="E53" s="55"/>
      <c r="F53" s="55"/>
      <c r="G53" s="55"/>
      <c r="H53" s="55"/>
      <c r="I53" s="55"/>
      <c r="J53" s="55"/>
    </row>
    <row r="54" customFormat="false" ht="15" hidden="false" customHeight="false" outlineLevel="0" collapsed="false">
      <c r="A54" s="55"/>
      <c r="B54" s="55"/>
      <c r="C54" s="55"/>
      <c r="D54" s="55"/>
      <c r="E54" s="55"/>
      <c r="F54" s="55"/>
      <c r="G54" s="55"/>
      <c r="H54" s="55"/>
      <c r="I54" s="55"/>
      <c r="J54" s="55"/>
    </row>
    <row r="55" customFormat="false" ht="15" hidden="false" customHeight="false" outlineLevel="0" collapsed="false">
      <c r="A55" s="55"/>
      <c r="B55" s="55"/>
      <c r="C55" s="55"/>
      <c r="D55" s="55"/>
      <c r="E55" s="55"/>
      <c r="F55" s="55"/>
      <c r="G55" s="55"/>
      <c r="H55" s="55"/>
      <c r="I55" s="55"/>
      <c r="J55" s="55"/>
    </row>
    <row r="56" customFormat="false" ht="15" hidden="false" customHeight="false" outlineLevel="0" collapsed="false">
      <c r="A56" s="55"/>
      <c r="B56" s="55"/>
      <c r="C56" s="55"/>
      <c r="D56" s="55"/>
      <c r="E56" s="55"/>
      <c r="F56" s="55"/>
      <c r="G56" s="55"/>
      <c r="H56" s="55"/>
      <c r="I56" s="55"/>
      <c r="J56" s="55"/>
    </row>
    <row r="57" customFormat="false" ht="15" hidden="false" customHeight="false" outlineLevel="0" collapsed="false">
      <c r="A57" s="55"/>
      <c r="B57" s="55"/>
      <c r="C57" s="55"/>
      <c r="D57" s="55"/>
      <c r="E57" s="55"/>
      <c r="F57" s="55"/>
      <c r="G57" s="55"/>
      <c r="H57" s="55"/>
      <c r="I57" s="55"/>
      <c r="J57" s="55"/>
    </row>
    <row r="58" customFormat="false" ht="15" hidden="false" customHeight="false" outlineLevel="0" collapsed="false">
      <c r="A58" s="55"/>
      <c r="B58" s="55"/>
      <c r="C58" s="55"/>
      <c r="D58" s="55"/>
      <c r="E58" s="55"/>
      <c r="F58" s="55"/>
      <c r="G58" s="55"/>
      <c r="H58" s="55"/>
      <c r="I58" s="55"/>
      <c r="J58" s="55"/>
    </row>
    <row r="59" customFormat="false" ht="15" hidden="false" customHeight="false" outlineLevel="0" collapsed="false">
      <c r="A59" s="55"/>
      <c r="B59" s="55"/>
      <c r="C59" s="55"/>
      <c r="D59" s="55"/>
      <c r="E59" s="55"/>
      <c r="F59" s="55"/>
      <c r="G59" s="55"/>
      <c r="H59" s="55"/>
      <c r="I59" s="55"/>
      <c r="J59" s="55"/>
    </row>
    <row r="60" customFormat="false" ht="15" hidden="false" customHeight="false" outlineLevel="0" collapsed="false">
      <c r="A60" s="55"/>
      <c r="B60" s="55"/>
      <c r="C60" s="55"/>
      <c r="D60" s="55"/>
      <c r="E60" s="55"/>
      <c r="F60" s="55"/>
      <c r="G60" s="55"/>
      <c r="H60" s="55"/>
      <c r="I60" s="55"/>
      <c r="J60" s="55"/>
    </row>
    <row r="61" customFormat="false" ht="15" hidden="false" customHeight="false" outlineLevel="0" collapsed="false">
      <c r="A61" s="55"/>
      <c r="B61" s="55"/>
      <c r="C61" s="55"/>
      <c r="D61" s="55"/>
      <c r="E61" s="55"/>
      <c r="F61" s="55"/>
      <c r="G61" s="55"/>
      <c r="H61" s="55"/>
      <c r="I61" s="55"/>
      <c r="J61" s="55"/>
    </row>
    <row r="62" customFormat="false" ht="15" hidden="false" customHeight="false" outlineLevel="0" collapsed="false">
      <c r="A62" s="55"/>
      <c r="B62" s="55"/>
      <c r="C62" s="55"/>
      <c r="D62" s="55"/>
      <c r="E62" s="55"/>
      <c r="F62" s="55"/>
      <c r="G62" s="55"/>
      <c r="H62" s="55"/>
      <c r="I62" s="55"/>
      <c r="J62" s="55"/>
    </row>
    <row r="63" customFormat="false" ht="15" hidden="false" customHeight="false" outlineLevel="0" collapsed="false">
      <c r="A63" s="55"/>
      <c r="B63" s="55"/>
      <c r="C63" s="55"/>
      <c r="D63" s="55"/>
      <c r="E63" s="55"/>
      <c r="F63" s="55"/>
      <c r="G63" s="55"/>
      <c r="H63" s="55"/>
      <c r="I63" s="55"/>
      <c r="J63" s="55"/>
    </row>
    <row r="64" customFormat="false" ht="15" hidden="false" customHeight="false" outlineLevel="0" collapsed="false">
      <c r="A64" s="55"/>
      <c r="B64" s="55"/>
      <c r="C64" s="55"/>
      <c r="D64" s="55"/>
      <c r="E64" s="55"/>
      <c r="F64" s="55"/>
      <c r="G64" s="55"/>
      <c r="H64" s="55"/>
      <c r="I64" s="55"/>
      <c r="J64" s="55"/>
    </row>
    <row r="65" customFormat="false" ht="15" hidden="false" customHeight="false" outlineLevel="0" collapsed="false">
      <c r="A65" s="55"/>
      <c r="B65" s="55"/>
      <c r="C65" s="55"/>
      <c r="D65" s="55"/>
      <c r="E65" s="55"/>
      <c r="F65" s="55"/>
      <c r="G65" s="55"/>
      <c r="H65" s="55"/>
      <c r="I65" s="55"/>
      <c r="J65" s="55"/>
    </row>
    <row r="66" customFormat="false" ht="15" hidden="false" customHeight="false" outlineLevel="0" collapsed="false">
      <c r="A66" s="55"/>
      <c r="B66" s="55"/>
      <c r="C66" s="55"/>
      <c r="D66" s="55"/>
      <c r="E66" s="55"/>
      <c r="F66" s="55"/>
      <c r="G66" s="55"/>
      <c r="H66" s="55"/>
      <c r="I66" s="55"/>
      <c r="J66" s="55"/>
    </row>
    <row r="67" customFormat="false" ht="15" hidden="false" customHeight="false" outlineLevel="0" collapsed="false">
      <c r="A67" s="55"/>
      <c r="B67" s="55"/>
      <c r="C67" s="55"/>
      <c r="D67" s="55"/>
      <c r="E67" s="55"/>
      <c r="F67" s="55"/>
      <c r="G67" s="55"/>
      <c r="H67" s="55"/>
      <c r="I67" s="55"/>
      <c r="J67" s="55"/>
    </row>
    <row r="68" customFormat="false" ht="15" hidden="false" customHeight="false" outlineLevel="0" collapsed="false">
      <c r="A68" s="55"/>
      <c r="B68" s="55"/>
      <c r="C68" s="55"/>
      <c r="D68" s="55"/>
      <c r="E68" s="55"/>
      <c r="F68" s="55"/>
      <c r="G68" s="55"/>
      <c r="H68" s="55"/>
      <c r="I68" s="55"/>
      <c r="J68" s="55"/>
    </row>
    <row r="69" customFormat="false" ht="15" hidden="false" customHeight="false" outlineLevel="0" collapsed="false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customFormat="false" ht="15" hidden="false" customHeight="false" outlineLevel="0" collapsed="false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customFormat="false" ht="15" hidden="false" customHeight="false" outlineLevel="0" collapsed="false">
      <c r="A71" s="55"/>
      <c r="B71" s="55"/>
      <c r="C71" s="55"/>
      <c r="D71" s="55"/>
      <c r="E71" s="55"/>
      <c r="F71" s="55"/>
      <c r="G71" s="55"/>
      <c r="H71" s="55"/>
      <c r="I71" s="55"/>
      <c r="J71" s="55"/>
    </row>
    <row r="72" customFormat="false" ht="15" hidden="false" customHeight="false" outlineLevel="0" collapsed="false">
      <c r="A72" s="55"/>
      <c r="B72" s="55"/>
      <c r="C72" s="55"/>
      <c r="D72" s="55"/>
      <c r="E72" s="55"/>
      <c r="F72" s="55"/>
      <c r="G72" s="55"/>
      <c r="H72" s="55"/>
      <c r="I72" s="55"/>
      <c r="J72" s="55"/>
    </row>
    <row r="73" customFormat="false" ht="15" hidden="false" customHeight="false" outlineLevel="0" collapsed="false">
      <c r="A73" s="55"/>
      <c r="B73" s="55"/>
      <c r="C73" s="55"/>
      <c r="D73" s="55"/>
      <c r="E73" s="55"/>
      <c r="F73" s="55"/>
      <c r="G73" s="55"/>
      <c r="H73" s="55"/>
      <c r="I73" s="55"/>
      <c r="J73" s="55"/>
    </row>
    <row r="74" customFormat="false" ht="15" hidden="false" customHeight="false" outlineLevel="0" collapsed="false">
      <c r="A74" s="55"/>
      <c r="B74" s="55"/>
      <c r="C74" s="55"/>
      <c r="D74" s="55"/>
      <c r="E74" s="55"/>
      <c r="F74" s="55"/>
      <c r="G74" s="55"/>
      <c r="H74" s="55"/>
      <c r="I74" s="55"/>
      <c r="J74" s="55"/>
    </row>
    <row r="75" customFormat="false" ht="15" hidden="false" customHeight="false" outlineLevel="0" collapsed="false">
      <c r="A75" s="55"/>
      <c r="B75" s="55"/>
      <c r="C75" s="55"/>
      <c r="D75" s="55"/>
      <c r="E75" s="55"/>
      <c r="F75" s="55"/>
      <c r="G75" s="55"/>
      <c r="H75" s="55"/>
      <c r="I75" s="55"/>
      <c r="J75" s="55"/>
    </row>
    <row r="76" customFormat="false" ht="15" hidden="false" customHeight="false" outlineLevel="0" collapsed="false">
      <c r="A76" s="55"/>
      <c r="B76" s="55"/>
      <c r="C76" s="55"/>
      <c r="D76" s="55"/>
      <c r="E76" s="55"/>
      <c r="F76" s="55"/>
      <c r="G76" s="55"/>
      <c r="H76" s="55"/>
      <c r="I76" s="55"/>
      <c r="J76" s="55"/>
    </row>
    <row r="77" customFormat="false" ht="15" hidden="false" customHeight="false" outlineLevel="0" collapsed="false">
      <c r="A77" s="55"/>
      <c r="B77" s="55"/>
      <c r="C77" s="55"/>
      <c r="D77" s="55"/>
      <c r="E77" s="55"/>
      <c r="F77" s="55"/>
      <c r="G77" s="55"/>
      <c r="H77" s="55"/>
      <c r="I77" s="55"/>
      <c r="J77" s="55"/>
    </row>
    <row r="78" customFormat="false" ht="15" hidden="false" customHeight="false" outlineLevel="0" collapsed="false">
      <c r="A78" s="55"/>
      <c r="B78" s="55"/>
      <c r="C78" s="55"/>
      <c r="D78" s="55"/>
      <c r="E78" s="55"/>
      <c r="F78" s="55"/>
      <c r="G78" s="55"/>
      <c r="H78" s="55"/>
      <c r="I78" s="55"/>
      <c r="J78" s="55"/>
    </row>
    <row r="79" customFormat="false" ht="15" hidden="false" customHeight="false" outlineLevel="0" collapsed="false">
      <c r="A79" s="55"/>
      <c r="B79" s="55"/>
      <c r="C79" s="55"/>
      <c r="D79" s="55"/>
      <c r="E79" s="55"/>
      <c r="F79" s="55"/>
      <c r="G79" s="55"/>
      <c r="H79" s="55"/>
      <c r="I79" s="55"/>
      <c r="J79" s="55"/>
    </row>
    <row r="80" customFormat="false" ht="15" hidden="false" customHeight="false" outlineLevel="0" collapsed="false">
      <c r="A80" s="55"/>
      <c r="B80" s="55"/>
      <c r="C80" s="55"/>
      <c r="D80" s="55"/>
      <c r="E80" s="55"/>
      <c r="F80" s="55"/>
      <c r="G80" s="55"/>
      <c r="H80" s="55"/>
      <c r="I80" s="55"/>
      <c r="J80" s="55"/>
    </row>
  </sheetData>
  <mergeCells count="13">
    <mergeCell ref="A1:J1"/>
    <mergeCell ref="A2:J2"/>
    <mergeCell ref="A4:D4"/>
    <mergeCell ref="A18:D18"/>
    <mergeCell ref="F18:I18"/>
    <mergeCell ref="A28:J28"/>
    <mergeCell ref="B29:J29"/>
    <mergeCell ref="B30:J30"/>
    <mergeCell ref="B31:J31"/>
    <mergeCell ref="B32:J32"/>
    <mergeCell ref="B33:J33"/>
    <mergeCell ref="B34:J34"/>
    <mergeCell ref="A36:C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2026-10-13T14:50:40Z</dcterms:modified>
  <cp:revision>1</cp:revision>
  <dc:subject/>
  <dc:title/>
</cp:coreProperties>
</file>