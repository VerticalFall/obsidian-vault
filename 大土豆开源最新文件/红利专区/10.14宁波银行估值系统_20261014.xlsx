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drawings/charts/chart8.xml" ContentType="application/vnd.openxmlformats-officedocument.drawingml.chart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drawings/charts/chart9.xml" ContentType="application/vnd.openxmlformats-officedocument.drawingml.char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be6a507d6d43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一图流" sheetId="1" r:id="Rb0919360c0774e24"/>
    <x:sheet xmlns:r="http://schemas.openxmlformats.org/officeDocument/2006/relationships" name="投资结论" sheetId="2" r:id="Rb16408ffa07742f4"/>
    <x:sheet xmlns:r="http://schemas.openxmlformats.org/officeDocument/2006/relationships" name="估值系统" sheetId="3" r:id="R75bc37a6ca9d4b6f"/>
    <x:sheet xmlns:r="http://schemas.openxmlformats.org/officeDocument/2006/relationships" name="估值敏感性" sheetId="4" r:id="R6c9c9f4d97224a0c"/>
    <x:sheet xmlns:r="http://schemas.openxmlformats.org/officeDocument/2006/relationships" name="股息估值" sheetId="5" r:id="R75759ffe7f4142ad"/>
    <x:sheet xmlns:r="http://schemas.openxmlformats.org/officeDocument/2006/relationships" name="财务十年" sheetId="6" r:id="R6769fa3956264b1f"/>
    <x:sheet xmlns:r="http://schemas.openxmlformats.org/officeDocument/2006/relationships" name="资产质量" sheetId="7" r:id="R521892dee04a40a4"/>
    <x:sheet xmlns:r="http://schemas.openxmlformats.org/officeDocument/2006/relationships" name="同业比较" sheetId="8" r:id="R1772d43316cf4b38"/>
    <x:sheet xmlns:r="http://schemas.openxmlformats.org/officeDocument/2006/relationships" name="巴菲特框架" sheetId="9" r:id="R40a19dc8d7b64b1b"/>
    <x:sheet xmlns:r="http://schemas.openxmlformats.org/officeDocument/2006/relationships" name="数据与来源" sheetId="10" r:id="R90058d7e8f9246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0"/>
    <x:numFmt numFmtId="201" formatCode="0.0%"/>
    <x:numFmt numFmtId="202" formatCode="0.00x"/>
    <x:numFmt numFmtId="203" formatCode="0.00%"/>
    <x:numFmt numFmtId="204" formatCode="0%"/>
    <x:numFmt numFmtId="205" formatCode="0.000x"/>
    <x:numFmt numFmtId="206" formatCode="0.000"/>
    <x:numFmt numFmtId="207" formatCode="0"/>
    <x:numFmt numFmtId="208" formatCode="0.0"/>
  </x:numFmts>
  <x:fonts count="15">
    <x:font>
      <x:sz val="11"/>
      <x:name val="Carlito"/>
    </x:font>
    <x:font>
      <x:sz val="10"/>
      <x:color rgb="FF1F1F1F"/>
      <x:name val="Microsoft YaHei"/>
    </x:font>
    <x:font>
      <x:b/>
      <x:sz val="18"/>
      <x:color rgb="FF17365D"/>
      <x:name val="Microsoft YaHei"/>
    </x:font>
    <x:font>
      <x:i/>
      <x:sz val="9"/>
      <x:color rgb="FF666666"/>
      <x:name val="Microsoft YaHei"/>
    </x:font>
    <x:font>
      <x:b/>
      <x:sz val="11"/>
      <x:color rgb="FFFFFFFF"/>
      <x:name val="Microsoft YaHei"/>
    </x:font>
    <x:font>
      <x:b/>
      <x:sz val="10"/>
      <x:color rgb="FFFFFFFF"/>
      <x:name val="Microsoft YaHei"/>
    </x:font>
    <x:font>
      <x:b/>
      <x:sz val="16"/>
      <x:color rgb="FF17365D"/>
      <x:name val="Microsoft YaHei"/>
    </x:font>
    <x:font>
      <x:b/>
      <x:sz val="15"/>
      <x:color rgb="FF17365D"/>
      <x:name val="Microsoft YaHei"/>
    </x:font>
    <x:font>
      <x:b/>
      <x:sz val="13"/>
      <x:color rgb="FF17365D"/>
      <x:name val="Microsoft YaHei"/>
    </x:font>
    <x:font>
      <x:i/>
      <x:sz val="10"/>
      <x:color rgb="FF0000FF"/>
      <x:name val="Microsoft YaHei"/>
    </x:font>
    <x:font>
      <x:i/>
      <x:sz val="10"/>
      <x:color rgb="FF666666"/>
      <x:name val="Microsoft YaHei"/>
    </x:font>
    <x:font>
      <x:b/>
      <x:sz val="10"/>
      <x:color rgb="FF17365D"/>
      <x:name val="Microsoft YaHei"/>
    </x:font>
    <x:font>
      <x:sz val="9"/>
      <x:color rgb="FF1F1F1F"/>
      <x:name val="Microsoft YaHei"/>
    </x:font>
    <x:font>
      <x:u val="single"/>
      <x:sz val="8"/>
      <x:color rgb="FF0563C1"/>
      <x:name val="Microsoft YaHei"/>
    </x:font>
    <x:font>
      <x:b/>
      <x:sz val="9"/>
      <x:color rgb="FFFFFFFF"/>
      <x:name val="Microsoft YaHei"/>
    </x:font>
  </x:fonts>
  <x:fills count="1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EAF3F8"/>
      </x:patternFill>
    </x:fill>
    <x:fill>
      <x:patternFill patternType="solid">
        <x:fgColor rgb="FFF2F2F2"/>
      </x:patternFill>
    </x:fill>
  </x:fills>
  <x:borders count="2">
    <x:border>
      <x:left/>
      <x:right/>
      <x:top/>
      <x:bottom/>
      <x:diagonal/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  <x:diagonal/>
    </x:border>
  </x:borders>
  <x:cellStyleXfs count="1">
    <x:xf numFmtId="0" fontId="0" fillId="0" borderId="0"/>
  </x:cellStyleXfs>
  <x:cellXfs count="8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200" fontId="6" fillId="4" borderId="0" xfId="0" applyNumberFormat="1" applyFont="1" applyFill="1" applyBorder="1" applyAlignment="1">
      <x:alignment horizontal="center" vertical="center" wrapText="1"/>
    </x:xf>
    <x:xf numFmtId="201" fontId="6" fillId="4" borderId="0" xfId="0" applyNumberFormat="1" applyFont="1" applyFill="1" applyBorder="1" applyAlignment="1">
      <x:alignment horizontal="center" vertical="center" wrapText="1"/>
    </x:xf>
    <x:xf numFmtId="202" fontId="6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horizontal="center" vertical="center"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0" fontId="7" fillId="4" borderId="0" xfId="0" applyNumberFormat="1" applyFont="1" applyFill="1" applyBorder="1" applyAlignment="1">
      <x:alignment horizontal="center" vertical="center" wrapText="1"/>
    </x:xf>
    <x:xf numFmtId="203" fontId="7" fillId="4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8" fillId="5" borderId="0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9" fillId="7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200" fontId="1" fillId="4" borderId="1" xfId="0" applyNumberFormat="1" applyFont="1" applyFill="1" applyBorder="1" applyAlignment="1">
      <x:alignment horizontal="center" vertical="center" wrapText="1"/>
    </x:xf>
    <x:xf numFmtId="201" fontId="1" fillId="4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10" fillId="9" borderId="0" xfId="0" applyNumberFormat="1" applyFont="1" applyFill="1" applyBorder="1" applyAlignment="1">
      <x:alignment horizontal="center" vertical="center" wrapText="1"/>
    </x:xf>
    <x:xf numFmtId="200" fontId="1" fillId="6" borderId="1" xfId="0" applyNumberFormat="1" applyFont="1" applyFill="1" applyBorder="1" applyAlignment="1">
      <x:alignment horizontal="center" vertical="center" wrapText="1"/>
    </x:xf>
    <x:xf numFmtId="202" fontId="1" fillId="4" borderId="1" xfId="0" applyNumberFormat="1" applyFont="1" applyFill="1" applyBorder="1" applyAlignment="1">
      <x:alignment horizontal="center" vertical="center" wrapText="1"/>
    </x:xf>
    <x:xf numFmtId="201" fontId="9" fillId="7" borderId="1" xfId="0" applyNumberFormat="1" applyFont="1" applyFill="1" applyBorder="1" applyAlignment="1">
      <x:alignment horizontal="center" vertical="center" wrapText="1"/>
    </x:xf>
    <x:xf numFmtId="202" fontId="9" fillId="7" borderId="1" xfId="0" applyNumberFormat="1" applyFont="1" applyFill="1" applyBorder="1" applyAlignment="1">
      <x:alignment horizontal="center" vertical="center" wrapText="1"/>
    </x:xf>
    <x:xf numFmtId="204" fontId="9" fillId="7" borderId="1" xfId="0" applyNumberFormat="1" applyFont="1" applyFill="1" applyBorder="1" applyAlignment="1">
      <x:alignment horizontal="center" vertical="center" wrapText="1"/>
    </x:xf>
    <x:xf numFmtId="0" fontId="11" fillId="0" borderId="1" xfId="0" applyNumberFormat="1" applyFont="1" applyFill="1" applyBorder="1" applyAlignment="1">
      <x:alignment horizontal="center" vertical="center" wrapText="1"/>
    </x:xf>
    <x:xf numFmtId="200" fontId="11" fillId="4" borderId="1" xfId="0" applyNumberFormat="1" applyFont="1" applyFill="1" applyBorder="1" applyAlignment="1">
      <x:alignment horizontal="center" vertical="center" wrapText="1"/>
    </x:xf>
    <x:xf numFmtId="201" fontId="11" fillId="4" borderId="1" xfId="0" applyNumberFormat="1" applyFont="1" applyFill="1" applyBorder="1" applyAlignment="1">
      <x:alignment horizontal="center" vertical="center" wrapText="1"/>
    </x:xf>
    <x:xf numFmtId="0" fontId="11" fillId="4" borderId="1" xfId="0" applyNumberFormat="1" applyFont="1" applyFill="1" applyBorder="1" applyAlignment="1">
      <x:alignment horizontal="center" vertical="center" wrapText="1"/>
    </x:xf>
    <x:xf numFmtId="0" fontId="9" fillId="4" borderId="1" xfId="0" applyNumberFormat="1" applyFont="1" applyFill="1" applyBorder="1" applyAlignment="1">
      <x:alignment horizontal="center" vertical="center" wrapText="1"/>
    </x:xf>
    <x:xf numFmtId="201" fontId="9" fillId="4" borderId="1" xfId="0" applyNumberFormat="1" applyFont="1" applyFill="1" applyBorder="1" applyAlignment="1">
      <x:alignment horizontal="center" vertical="center" wrapText="1"/>
    </x:xf>
    <x:xf numFmtId="200" fontId="9" fillId="7" borderId="1" xfId="0" applyNumberFormat="1" applyFont="1" applyFill="1" applyBorder="1" applyAlignment="1">
      <x:alignment horizontal="center" vertical="center" wrapText="1"/>
    </x:xf>
    <x:xf numFmtId="201" fontId="1" fillId="0" borderId="1" xfId="0" applyNumberFormat="1" applyFont="1" applyFill="1" applyBorder="1" applyAlignment="1">
      <x:alignment horizontal="center" vertical="center" wrapText="1"/>
    </x:xf>
    <x:xf numFmtId="201" fontId="5" fillId="3" borderId="1" xfId="0" applyNumberFormat="1" applyFont="1" applyFill="1" applyBorder="1" applyAlignment="1">
      <x:alignment horizontal="center" vertical="center" wrapText="1"/>
    </x:xf>
    <x:xf numFmtId="205" fontId="1" fillId="4" borderId="1" xfId="0" applyNumberFormat="1" applyFont="1" applyFill="1" applyBorder="1" applyAlignment="1">
      <x:alignment horizontal="center" vertical="center" wrapText="1"/>
    </x:xf>
    <x:xf numFmtId="200" fontId="5" fillId="3" borderId="1" xfId="0" applyNumberFormat="1" applyFont="1" applyFill="1" applyBorder="1" applyAlignment="1">
      <x:alignment horizontal="center" vertical="center" wrapText="1"/>
    </x:xf>
    <x:xf numFmtId="203" fontId="1" fillId="0" borderId="1" xfId="0" applyNumberFormat="1" applyFont="1" applyFill="1" applyBorder="1" applyAlignment="1">
      <x:alignment horizontal="center" vertical="center" wrapText="1"/>
    </x:xf>
    <x:xf numFmtId="203" fontId="1" fillId="6" borderId="1" xfId="0" applyNumberFormat="1" applyFont="1" applyFill="1" applyBorder="1" applyAlignment="1">
      <x:alignment horizontal="center" vertical="center" wrapText="1"/>
    </x:xf>
    <x:xf numFmtId="203" fontId="1" fillId="4" borderId="1" xfId="0" applyNumberFormat="1" applyFont="1" applyFill="1" applyBorder="1" applyAlignment="1">
      <x:alignment horizontal="center" vertical="center" wrapText="1"/>
    </x:xf>
    <x:xf numFmtId="206" fontId="1" fillId="4" borderId="1" xfId="0" applyNumberFormat="1" applyFont="1" applyFill="1" applyBorder="1" applyAlignment="1">
      <x:alignment horizontal="center" vertical="center" wrapText="1"/>
    </x:xf>
    <x:xf numFmtId="202" fontId="1" fillId="0" borderId="1" xfId="0" applyNumberFormat="1" applyFont="1" applyFill="1" applyBorder="1" applyAlignment="1">
      <x:alignment horizontal="center" vertical="center" wrapText="1"/>
    </x:xf>
    <x:xf numFmtId="201" fontId="1" fillId="6" borderId="1" xfId="0" applyNumberFormat="1" applyFont="1" applyFill="1" applyBorder="1" applyAlignment="1">
      <x:alignment horizontal="center" vertical="center" wrapText="1"/>
    </x:xf>
    <x:xf numFmtId="202" fontId="1" fillId="6" borderId="1" xfId="0" applyNumberFormat="1" applyFont="1" applyFill="1" applyBorder="1" applyAlignment="1">
      <x:alignment horizontal="center" vertical="center" wrapText="1"/>
    </x:xf>
    <x:xf numFmtId="200" fontId="1" fillId="7" borderId="1" xfId="0" applyNumberFormat="1" applyFont="1" applyFill="1" applyBorder="1" applyAlignment="1">
      <x:alignment horizontal="center" vertical="center" wrapText="1"/>
    </x:xf>
    <x:xf numFmtId="201" fontId="1" fillId="7" borderId="1" xfId="0" applyNumberFormat="1" applyFont="1" applyFill="1" applyBorder="1" applyAlignment="1">
      <x:alignment horizontal="center" vertical="center" wrapText="1"/>
    </x:xf>
    <x:xf numFmtId="203" fontId="1" fillId="7" borderId="1" xfId="0" applyNumberFormat="1" applyFont="1" applyFill="1" applyBorder="1" applyAlignment="1">
      <x:alignment horizontal="center" vertical="center" wrapText="1"/>
    </x:xf>
    <x:xf numFmtId="202" fontId="1" fillId="7" borderId="1" xfId="0" applyNumberFormat="1" applyFont="1" applyFill="1" applyBorder="1" applyAlignment="1">
      <x:alignment horizontal="center" vertical="center" wrapText="1"/>
    </x:xf>
    <x:xf numFmtId="207" fontId="1" fillId="6" borderId="1" xfId="0" applyNumberFormat="1" applyFont="1" applyFill="1" applyBorder="1" applyAlignment="1">
      <x:alignment horizontal="center" vertical="center" wrapText="1"/>
    </x:xf>
    <x:xf numFmtId="208" fontId="9" fillId="7" borderId="1" xfId="0" applyNumberFormat="1" applyFont="1" applyFill="1" applyBorder="1" applyAlignment="1">
      <x:alignment horizontal="center" vertical="center" wrapText="1"/>
    </x:xf>
    <x:xf numFmtId="208" fontId="1" fillId="0" borderId="1" xfId="0" applyNumberFormat="1" applyFont="1" applyFill="1" applyBorder="1" applyAlignment="1">
      <x:alignment horizontal="center" vertical="center" wrapText="1"/>
    </x:xf>
    <x:xf numFmtId="204" fontId="1" fillId="0" borderId="1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 applyAlignment="1">
      <x:alignment horizontal="center" vertical="center" wrapText="1"/>
    </x:xf>
    <x:xf numFmtId="0" fontId="12" fillId="2" borderId="0" xfId="0" applyNumberFormat="1" applyFont="1" applyFill="1" applyBorder="1" applyAlignment="1">
      <x:alignment horizontal="center" vertical="center" wrapText="1"/>
    </x:xf>
    <x:xf numFmtId="0" fontId="12" fillId="3" borderId="0" xfId="0" applyNumberFormat="1" applyFont="1" applyFill="1" applyBorder="1" applyAlignment="1">
      <x:alignment horizontal="center" vertical="center" wrapText="1"/>
    </x:xf>
    <x:xf numFmtId="0" fontId="12" fillId="0" borderId="1" xfId="0" applyNumberFormat="1" applyFont="1" applyFill="1" applyBorder="1" applyAlignment="1">
      <x:alignment horizontal="center" vertical="center" wrapText="1"/>
    </x:xf>
    <x:xf numFmtId="0" fontId="12" fillId="6" borderId="1" xfId="0" applyNumberFormat="1" applyFont="1" applyFill="1" applyBorder="1" applyAlignment="1">
      <x:alignment horizontal="center" vertical="center" wrapText="1"/>
    </x:xf>
    <x:xf numFmtId="0" fontId="13" fillId="6" borderId="1" xfId="0" applyNumberFormat="1" applyFont="1" applyFill="1" applyBorder="1" applyAlignment="1">
      <x:alignment horizontal="center" vertical="center" wrapText="1"/>
    </x:xf>
    <x:xf numFmtId="0" fontId="12" fillId="7" borderId="1" xfId="0" applyNumberFormat="1" applyFont="1" applyFill="1" applyBorder="1" applyAlignment="1">
      <x:alignment horizontal="center" vertical="center" wrapText="1"/>
    </x:xf>
    <x:xf numFmtId="0" fontId="12" fillId="9" borderId="0" xfId="0" applyNumberFormat="1" applyFont="1" applyFill="1" applyBorder="1" applyAlignment="1">
      <x:alignment horizontal="center" vertical="center" wrapText="1"/>
    </x:xf>
    <x:xf numFmtId="0" fontId="12" fillId="4" borderId="1" xfId="0" applyNumberFormat="1" applyFont="1" applyFill="1" applyBorder="1" applyAlignment="1">
      <x:alignment horizontal="center" vertical="center" wrapText="1"/>
    </x:xf>
    <x:xf numFmtId="0" fontId="12" fillId="5" borderId="1" xfId="0" applyNumberFormat="1" applyFont="1" applyFill="1" applyBorder="1" applyAlignment="1">
      <x:alignment horizontal="center" vertical="center" wrapText="1"/>
    </x:xf>
    <x:xf numFmtId="0" fontId="12" fillId="9" borderId="1" xfId="0" applyNumberFormat="1" applyFont="1" applyFill="1" applyBorder="1" applyAlignment="1">
      <x:alignment horizontal="center" vertical="center" wrapText="1"/>
    </x:xf>
    <x:xf numFmtId="0" fontId="12" fillId="3" borderId="1" xfId="0" applyNumberFormat="1" applyFont="1" applyFill="1" applyBorder="1" applyAlignment="1">
      <x:alignment horizontal="center" vertical="center" wrapText="1"/>
    </x:xf>
    <x:xf numFmtId="0" fontId="14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caacd750134bdc" /><Relationship Type="http://schemas.openxmlformats.org/officeDocument/2006/relationships/theme" Target="/xl/theme/theme1.xml" Id="Rec7cfaf15fb94641" /><Relationship Type="http://schemas.openxmlformats.org/officeDocument/2006/relationships/sharedStrings" Target="/xl/sharedStrings.xml" Id="Rd700d76ab9514604" /><Relationship Type="http://schemas.openxmlformats.org/officeDocument/2006/relationships/worksheet" Target="/xl/worksheets/sheet1.xml" Id="Rb0919360c0774e24" /><Relationship Type="http://schemas.openxmlformats.org/officeDocument/2006/relationships/worksheet" Target="/xl/worksheets/sheet2.xml" Id="Rb16408ffa07742f4" /><Relationship Type="http://schemas.openxmlformats.org/officeDocument/2006/relationships/worksheet" Target="/xl/worksheets/sheet3.xml" Id="R75bc37a6ca9d4b6f" /><Relationship Type="http://schemas.openxmlformats.org/officeDocument/2006/relationships/worksheet" Target="/xl/worksheets/sheet4.xml" Id="R6c9c9f4d97224a0c" /><Relationship Type="http://schemas.openxmlformats.org/officeDocument/2006/relationships/worksheet" Target="/xl/worksheets/sheet5.xml" Id="R75759ffe7f4142ad" /><Relationship Type="http://schemas.openxmlformats.org/officeDocument/2006/relationships/worksheet" Target="/xl/worksheets/sheet6.xml" Id="R6769fa3956264b1f" /><Relationship Type="http://schemas.openxmlformats.org/officeDocument/2006/relationships/worksheet" Target="/xl/worksheets/sheet7.xml" Id="R521892dee04a40a4" /><Relationship Type="http://schemas.openxmlformats.org/officeDocument/2006/relationships/worksheet" Target="/xl/worksheets/sheet8.xml" Id="R1772d43316cf4b38" /><Relationship Type="http://schemas.openxmlformats.org/officeDocument/2006/relationships/worksheet" Target="/xl/worksheets/sheet9.xml" Id="R40a19dc8d7b64b1b" /><Relationship Type="http://schemas.openxmlformats.org/officeDocument/2006/relationships/worksheet" Target="/xl/worksheets/sheet10.xml" Id="R90058d7e8f92463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e1ca1da79774728" /><Relationship Type="http://schemas.openxmlformats.org/officeDocument/2006/relationships/chart" Target="/xl/drawings/charts/chart2.xml" Id="R617d0344ecac427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0363257b3851411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030a47245a824e06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5b68b17d2a1a4856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6cc9480a7f8245e9" /><Relationship Type="http://schemas.openxmlformats.org/officeDocument/2006/relationships/chart" Target="/xl/drawings/charts/chart7.xml" Id="R93ec185f8d854612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27d3788921734659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64f9a8ea32f04d9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营业收入与归母净利润（亿元）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营业收入（亿元）</c:v>
          </c:tx>
          <c:marker>
            <c:symbol val="none"/>
          </c:marker>
          <c:cat>
            <c:strRef>
              <c:f>'一图流'!$A$19:$A$23</c:f>
              <c:strCache>
                <c:ptCount val="0"/>
              </c:strCache>
            </c:strRef>
          </c:cat>
          <c:val>
            <c:numRef>
              <c:f>'一图流'!$B$19:$B$23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归母净利润（亿元）</c:v>
          </c:tx>
          <c:marker>
            <c:symbol val="none"/>
          </c:marker>
          <c:cat>
            <c:strRef>
              <c:f>'一图流'!$A$19:$A$23</c:f>
              <c:strCache>
                <c:ptCount val="0"/>
              </c:strCache>
            </c:strRef>
          </c:cat>
          <c:val>
            <c:numRef>
              <c:f>'一图流'!$C$19:$C$23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各估值法与市场价格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每股价值（元）</c:v>
          </c:tx>
          <c:invertIfNegative val="0"/>
          <c:cat>
            <c:strRef>
              <c:f>'一图流'!$I$19:$I$24</c:f>
              <c:strCache>
                <c:ptCount val="0"/>
              </c:strCache>
            </c:strRef>
          </c:cat>
          <c:val>
            <c:numRef>
              <c:f>'一图流'!$J$19:$J$24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估值方法结果（元/股）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每股价值</c:v>
          </c:tx>
          <c:invertIfNegative val="0"/>
          <c:cat>
            <c:strRef>
              <c:f>'估值系统'!$J$7:$J$12</c:f>
              <c:strCache>
                <c:ptCount val="0"/>
              </c:strCache>
            </c:strRef>
          </c:cat>
          <c:val>
            <c:numRef>
              <c:f>'估值系统'!$L$7:$L$12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三情景每股价值（元）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情景价值</c:v>
          </c:tx>
          <c:invertIfNegative val="0"/>
          <c:cat>
            <c:strRef>
              <c:f>'估值敏感性'!$A$18:$A$20</c:f>
              <c:strCache>
                <c:ptCount val="0"/>
              </c:strCache>
            </c:strRef>
          </c:cat>
          <c:val>
            <c:numRef>
              <c:f>'估值敏感性'!$G$18:$G$20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每股现金分红历史（元）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DPS（元）</c:v>
          </c:tx>
          <c:marker>
            <c:symbol val="none"/>
          </c:marker>
          <c:cat>
            <c:strRef>
              <c:f>'股息估值'!$A$7:$A$16</c:f>
              <c:strCache>
                <c:ptCount val="0"/>
              </c:strCache>
            </c:strRef>
          </c:cat>
          <c:val>
            <c:numRef>
              <c:f>'股息估值'!$B$7:$B$16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营业收入与归母净利润（亿元）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营业收入(亿元)</c:v>
          </c:tx>
          <c:marker>
            <c:symbol val="none"/>
          </c:marker>
          <c:cat>
            <c:strRef>
              <c:f>'财务十年'!$A$6:$A$15</c:f>
              <c:strCache>
                <c:ptCount val="0"/>
              </c:strCache>
            </c:strRef>
          </c:cat>
          <c:val>
            <c:numRef>
              <c:f>'财务十年'!$B$6:$B$15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归母净利(亿元)</c:v>
          </c:tx>
          <c:marker>
            <c:symbol val="none"/>
          </c:marker>
          <c:cat>
            <c:strRef>
              <c:f>'财务十年'!$A$6:$A$15</c:f>
              <c:strCache>
                <c:ptCount val="0"/>
              </c:strCache>
            </c:strRef>
          </c:cat>
          <c:val>
            <c:numRef>
              <c:f>'财务十年'!$D$6:$D$15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ROE与净息差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ROE(年化)</c:v>
          </c:tx>
          <c:marker>
            <c:symbol val="none"/>
          </c:marker>
          <c:cat>
            <c:strRef>
              <c:f>'财务十年'!$A$6:$A$15</c:f>
              <c:strCache>
                <c:ptCount val="0"/>
              </c:strCache>
            </c:strRef>
          </c:cat>
          <c:val>
            <c:numRef>
              <c:f>'财务十年'!$H$6:$H$15</c:f>
              <c:numCache>
                <c:formatCode>0.00%</c:formatCode>
                <c:ptCount val="0"/>
              </c:numCache>
            </c:numRef>
          </c:val>
          <c:smooth val="0"/>
        </c:ser>
        <c:ser>
          <c:idx val="1"/>
          <c:order val="1"/>
          <c:tx>
            <c:v>NIM</c:v>
          </c:tx>
          <c:marker>
            <c:symbol val="none"/>
          </c:marker>
          <c:cat>
            <c:strRef>
              <c:f>'财务十年'!$A$6:$A$15</c:f>
              <c:strCache>
                <c:ptCount val="0"/>
              </c:strCache>
            </c:strRef>
          </c:cat>
          <c:val>
            <c:numRef>
              <c:f>'财务十年'!$I$6:$I$15</c:f>
              <c:numCache>
                <c:formatCode>0.00%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贷款分类余额（亿元）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余额(亿元)</c:v>
          </c:tx>
          <c:invertIfNegative val="0"/>
          <c:cat>
            <c:strRef>
              <c:f>'资产质量'!$A$18:$A$23</c:f>
              <c:strCache>
                <c:ptCount val="0"/>
              </c:strCache>
            </c:strRef>
          </c:cat>
          <c:val>
            <c:numRef>
              <c:f>'资产质量'!$B$18:$B$23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PB横向比较（倍）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PB</c:v>
          </c:tx>
          <c:invertIfNegative val="0"/>
          <c:cat>
            <c:strRef>
              <c:f>'同业比较'!$A$7:$A$12</c:f>
              <c:strCache>
                <c:ptCount val="0"/>
              </c:strCache>
            </c:strRef>
          </c:cat>
          <c:val>
            <c:numRef>
              <c:f>'同业比较'!$E$7:$E$12</c:f>
              <c:numCache>
                <c:formatCode>0.00x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x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17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1ca1da79774728"/>
        </a:graphicData>
      </a:graphic>
    </xdr:graphicFrame>
    <xdr:clientData/>
  </xdr:twoCellAnchor>
  <xdr:twoCellAnchor>
    <xdr:from>
      <xdr:col>10</xdr:col>
      <xdr:colOff>0</xdr:colOff>
      <xdr:row>17</xdr:row>
      <xdr:rowOff>0</xdr:rowOff>
    </xdr:from>
    <xdr:to>
      <xdr:col>17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7d0344ecac427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14</xdr:col>
      <xdr:colOff>0</xdr:colOff>
      <xdr:row>4</xdr:row>
      <xdr:rowOff>0</xdr:rowOff>
    </xdr:from>
    <xdr:to>
      <xdr:col>22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363257b385141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15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30a47245a824e0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5</xdr:col>
      <xdr:colOff>0</xdr:colOff>
      <xdr:row>5</xdr:row>
      <xdr:rowOff>0</xdr:rowOff>
    </xdr:from>
    <xdr:to>
      <xdr:col>15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68b17d2a1a485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18</xdr:col>
      <xdr:colOff>0</xdr:colOff>
      <xdr:row>4</xdr:row>
      <xdr:rowOff>0</xdr:rowOff>
    </xdr:from>
    <xdr:to>
      <xdr:col>27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cc9480a7f8245e9"/>
        </a:graphicData>
      </a:graphic>
    </xdr:graphicFrame>
    <xdr:clientData/>
  </xdr:twoCellAnchor>
  <xdr:twoCellAnchor>
    <xdr:from>
      <xdr:col>18</xdr:col>
      <xdr:colOff>0</xdr:colOff>
      <xdr:row>18</xdr:row>
      <xdr:rowOff>0</xdr:rowOff>
    </xdr:from>
    <xdr:to>
      <xdr:col>27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3ec185f8d85461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8</xdr:col>
      <xdr:colOff>0</xdr:colOff>
      <xdr:row>15</xdr:row>
      <xdr:rowOff>0</xdr:rowOff>
    </xdr:from>
    <xdr:to>
      <xdr:col>14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d3788921734659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9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f9a8ea32f04d9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c47514c33234b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00d25b325b1541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09335999897447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2c86dcd5627743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5d812328c1a14c2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323387ce79c942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7.xml" Id="R564de7e60aa4418d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2" hidden="0" customWidth="1"/>
    <x:col min="4" max="4" width="12" hidden="0" customWidth="1"/>
    <x:col min="5" max="5" width="11" hidden="0" customWidth="1"/>
    <x:col min="6" max="6" width="11" hidden="0" customWidth="1"/>
    <x:col min="7" max="7" width="18" hidden="0" customWidth="1"/>
    <x:col min="8" max="8" width="3" hidden="0" customWidth="1"/>
    <x:col min="9" max="9" width="15" hidden="0" customWidth="1"/>
    <x:col min="10" max="10" width="12" hidden="0" customWidth="1"/>
    <x:col min="11" max="11" width="13" hidden="0" customWidth="1"/>
    <x:col min="12" max="12" width="12" hidden="0" customWidth="1"/>
    <x:col min="13" max="13" width="13" hidden="0" customWidth="1"/>
    <x:col min="14" max="14" width="12" hidden="0" customWidth="1"/>
    <x:col min="15" max="15" width="13" hidden="0" customWidth="1"/>
    <x:col min="16" max="16" width="12" hidden="0" customWidth="1"/>
    <x:col min="17" max="17" width="12" hidden="0" customWidth="1"/>
  </x:cols>
  <x:sheetData>
    <x:row r="1" ht="34" customHeight="1">
      <x:c r="A1" s="6" t="str">
        <x:v>宁波银行（002142.SZ）— 一图流</x:v>
      </x:c>
      <x:c r="B1" s="6" t="str">
        <x:v>宁波银行（002142.SZ）— 一图流</x:v>
      </x:c>
      <x:c r="C1" s="6" t="str">
        <x:v>宁波银行（002142.SZ）— 一图流</x:v>
      </x:c>
      <x:c r="D1" s="6" t="str">
        <x:v>宁波银行（002142.SZ）— 一图流</x:v>
      </x:c>
      <x:c r="E1" s="6" t="str">
        <x:v>宁波银行（002142.SZ）— 一图流</x:v>
      </x:c>
      <x:c r="F1" s="6" t="str">
        <x:v>宁波银行（002142.SZ）— 一图流</x:v>
      </x:c>
      <x:c r="G1" s="6" t="str">
        <x:v>宁波银行（002142.SZ）— 一图流</x:v>
      </x:c>
      <x:c r="H1" s="6" t="str">
        <x:v>宁波银行（002142.SZ）— 一图流</x:v>
      </x:c>
      <x:c r="I1" s="6" t="str">
        <x:v>宁波银行（002142.SZ）— 一图流</x:v>
      </x:c>
      <x:c r="J1" s="6" t="str">
        <x:v>宁波银行（002142.SZ）— 一图流</x:v>
      </x:c>
      <x:c r="K1" s="6" t="str">
        <x:v>宁波银行（002142.SZ）— 一图流</x:v>
      </x:c>
      <x:c r="L1" s="6" t="str">
        <x:v>宁波银行（002142.SZ）— 一图流</x:v>
      </x:c>
      <x:c r="M1" s="6" t="str">
        <x:v>宁波银行（002142.SZ）— 一图流</x:v>
      </x:c>
      <x:c r="N1" s="6" t="str">
        <x:v>宁波银行（002142.SZ）— 一图流</x:v>
      </x:c>
      <x:c r="O1" s="6" t="str">
        <x:v>宁波银行（002142.SZ）— 一图流</x:v>
      </x:c>
      <x:c r="P1" s="6" t="str">
        <x:v>宁波银行（002142.SZ）— 一图流</x:v>
      </x:c>
      <x:c r="Q1" s="6" t="str">
        <x:v>宁波银行（002142.SZ）— 一图流</x:v>
      </x:c>
    </x:row>
    <x:row r="2" ht="34" customHeight="1">
      <x:c r="A2" s="6" t="str">
        <x:v>宁波银行（002142.SZ）— 一图流</x:v>
      </x:c>
      <x:c r="B2" s="6" t="str">
        <x:v>宁波银行（002142.SZ）— 一图流</x:v>
      </x:c>
      <x:c r="C2" s="6" t="str">
        <x:v>宁波银行（002142.SZ）— 一图流</x:v>
      </x:c>
      <x:c r="D2" s="6" t="str">
        <x:v>宁波银行（002142.SZ）— 一图流</x:v>
      </x:c>
      <x:c r="E2" s="6" t="str">
        <x:v>宁波银行（002142.SZ）— 一图流</x:v>
      </x:c>
      <x:c r="F2" s="6" t="str">
        <x:v>宁波银行（002142.SZ）— 一图流</x:v>
      </x:c>
      <x:c r="G2" s="6" t="str">
        <x:v>宁波银行（002142.SZ）— 一图流</x:v>
      </x:c>
      <x:c r="H2" s="6" t="str">
        <x:v>宁波银行（002142.SZ）— 一图流</x:v>
      </x:c>
      <x:c r="I2" s="6" t="str">
        <x:v>宁波银行（002142.SZ）— 一图流</x:v>
      </x:c>
      <x:c r="J2" s="6" t="str">
        <x:v>宁波银行（002142.SZ）— 一图流</x:v>
      </x:c>
      <x:c r="K2" s="6" t="str">
        <x:v>宁波银行（002142.SZ）— 一图流</x:v>
      </x:c>
      <x:c r="L2" s="6" t="str">
        <x:v>宁波银行（002142.SZ）— 一图流</x:v>
      </x:c>
      <x:c r="M2" s="6" t="str">
        <x:v>宁波银行（002142.SZ）— 一图流</x:v>
      </x:c>
      <x:c r="N2" s="6" t="str">
        <x:v>宁波银行（002142.SZ）— 一图流</x:v>
      </x:c>
      <x:c r="O2" s="6" t="str">
        <x:v>宁波银行（002142.SZ）— 一图流</x:v>
      </x:c>
      <x:c r="P2" s="6" t="str">
        <x:v>宁波银行（002142.SZ）— 一图流</x:v>
      </x:c>
      <x:c r="Q2" s="6" t="str">
        <x:v>宁波银行（002142.SZ）— 一图流</x:v>
      </x:c>
    </x:row>
    <x:row r="3" ht="24" customHeight="1">
      <x:c r="A3" s="7" t="str">
        <x:v>经营数据截至 2026-06-30 ｜ 股价截至 2026-10-13 收盘 ｜ 币种：人民币</x:v>
      </x:c>
      <x:c r="B3" s="7" t="str">
        <x:v>经营数据截至 2026-06-30 ｜ 股价截至 2026-10-13 收盘 ｜ 币种：人民币</x:v>
      </x:c>
      <x:c r="C3" s="7" t="str">
        <x:v>经营数据截至 2026-06-30 ｜ 股价截至 2026-10-13 收盘 ｜ 币种：人民币</x:v>
      </x:c>
      <x:c r="D3" s="7" t="str">
        <x:v>经营数据截至 2026-06-30 ｜ 股价截至 2026-10-13 收盘 ｜ 币种：人民币</x:v>
      </x:c>
      <x:c r="E3" s="7" t="str">
        <x:v>经营数据截至 2026-06-30 ｜ 股价截至 2026-10-13 收盘 ｜ 币种：人民币</x:v>
      </x:c>
      <x:c r="F3" s="7" t="str">
        <x:v>经营数据截至 2026-06-30 ｜ 股价截至 2026-10-13 收盘 ｜ 币种：人民币</x:v>
      </x:c>
      <x:c r="G3" s="7" t="str">
        <x:v>经营数据截至 2026-06-30 ｜ 股价截至 2026-10-13 收盘 ｜ 币种：人民币</x:v>
      </x:c>
      <x:c r="H3" s="7" t="str">
        <x:v>经营数据截至 2026-06-30 ｜ 股价截至 2026-10-13 收盘 ｜ 币种：人民币</x:v>
      </x:c>
      <x:c r="I3" s="7" t="str">
        <x:v>经营数据截至 2026-06-30 ｜ 股价截至 2026-10-13 收盘 ｜ 币种：人民币</x:v>
      </x:c>
      <x:c r="J3" s="7" t="str">
        <x:v>经营数据截至 2026-06-30 ｜ 股价截至 2026-10-13 收盘 ｜ 币种：人民币</x:v>
      </x:c>
      <x:c r="K3" s="7" t="str">
        <x:v>经营数据截至 2026-06-30 ｜ 股价截至 2026-10-13 收盘 ｜ 币种：人民币</x:v>
      </x:c>
      <x:c r="L3" s="7" t="str">
        <x:v>经营数据截至 2026-06-30 ｜ 股价截至 2026-10-13 收盘 ｜ 币种：人民币</x:v>
      </x:c>
      <x:c r="M3" s="7" t="str">
        <x:v>经营数据截至 2026-06-30 ｜ 股价截至 2026-10-13 收盘 ｜ 币种：人民币</x:v>
      </x:c>
      <x:c r="N3" s="7" t="str">
        <x:v>经营数据截至 2026-06-30 ｜ 股价截至 2026-10-13 收盘 ｜ 币种：人民币</x:v>
      </x:c>
      <x:c r="O3" s="7" t="str">
        <x:v>经营数据截至 2026-06-30 ｜ 股价截至 2026-10-13 收盘 ｜ 币种：人民币</x:v>
      </x:c>
      <x:c r="P3" s="7" t="str">
        <x:v>经营数据截至 2026-06-30 ｜ 股价截至 2026-10-13 收盘 ｜ 币种：人民币</x:v>
      </x:c>
      <x:c r="Q3" s="7" t="str">
        <x:v>经营数据截至 2026-06-30 ｜ 股价截至 2026-10-13 收盘 ｜ 币种：人民币</x:v>
      </x:c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 ht="23" customHeight="1">
      <x:c r="A5" s="9" t="str">
        <x:v>核心结论</x:v>
      </x:c>
      <x:c r="B5" s="9" t="str">
        <x:v>核心结论</x:v>
      </x:c>
      <x:c r="C5" s="9" t="str">
        <x:v>核心结论</x:v>
      </x:c>
      <x:c r="D5" s="9" t="str">
        <x:v>核心结论</x:v>
      </x:c>
      <x:c r="E5" s="9" t="str">
        <x:v>核心结论</x:v>
      </x:c>
      <x:c r="F5" s="9" t="str">
        <x:v>核心结论</x:v>
      </x:c>
      <x:c r="G5" s="9" t="str">
        <x:v>核心结论</x:v>
      </x:c>
      <x:c r="H5" s="9" t="str">
        <x:v>核心结论</x:v>
      </x:c>
      <x:c r="I5" s="9" t="str">
        <x:v>核心结论</x:v>
      </x:c>
      <x:c r="J5" s="9" t="str">
        <x:v>核心结论</x:v>
      </x:c>
      <x:c r="K5" s="9" t="str">
        <x:v>核心结论</x:v>
      </x:c>
      <x:c r="L5" s="9" t="str">
        <x:v>核心结论</x:v>
      </x:c>
      <x:c r="M5" s="9" t="str">
        <x:v>核心结论</x:v>
      </x:c>
      <x:c r="N5" s="9" t="str">
        <x:v>核心结论</x:v>
      </x:c>
      <x:c r="O5" s="9" t="str">
        <x:v>核心结论</x:v>
      </x:c>
      <x:c r="P5" s="9" t="str">
        <x:v>核心结论</x:v>
      </x:c>
      <x:c r="Q5" s="9" t="str">
        <x:v>核心结论</x:v>
      </x:c>
    </x:row>
    <x:row r="6" ht="23" customHeight="1">
      <x:c r="A6" s="11" t="str">
        <x:v>当前股价</x:v>
      </x:c>
      <x:c r="B6" s="11"/>
      <x:c r="C6" s="11" t="str">
        <x:v>核心合理区间</x:v>
      </x:c>
      <x:c r="D6" s="11"/>
      <x:c r="E6" s="11"/>
      <x:c r="F6" s="11" t="str">
        <x:v>加权估值中枢</x:v>
      </x:c>
      <x:c r="G6" s="11"/>
      <x:c r="H6" s="11" t="str">
        <x:v>相对安全边际</x:v>
      </x:c>
      <x:c r="I6" s="11"/>
      <x:c r="J6" s="11" t="str">
        <x:v>审慎价值</x:v>
      </x:c>
      <x:c r="K6" s="11"/>
      <x:c r="L6" s="11" t="str">
        <x:v>审慎安全边际</x:v>
      </x:c>
      <x:c r="M6" s="11"/>
      <x:c r="N6" s="11" t="str">
        <x:v>当前PB</x:v>
      </x:c>
      <x:c r="O6" s="11"/>
      <x:c r="P6" s="11" t="str">
        <x:v>LTM PE</x:v>
      </x:c>
      <x:c r="Q6" s="11"/>
    </x:row>
    <x:row r="7">
      <x:c r="A7" s="14" t="n">
        <x:f>'估值系统'!$B$7</x:f>
        <x:v>35.5</x:v>
      </x:c>
      <x:c r="B7" s="14"/>
      <x:c r="C7" s="14" t="n">
        <x:f>'估值系统'!$L$15</x:f>
        <x:v>34.12854673453594</x:v>
      </x:c>
      <x:c r="D7" s="14"/>
      <x:c r="E7" s="14" t="n">
        <x:f>'估值系统'!$L$16</x:f>
        <x:v>40.7028721091635</x:v>
      </x:c>
      <x:c r="F7" s="14" t="n">
        <x:f>'估值系统'!$L$13</x:f>
        <x:v>40.7028721091635</x:v>
      </x:c>
      <x:c r="G7" s="14"/>
      <x:c r="H7" s="15" t="n">
        <x:f>'估值系统'!$L$17</x:f>
        <x:v>0.1465597777229155</x:v>
      </x:c>
      <x:c r="I7" s="15"/>
      <x:c r="J7" s="14" t="n">
        <x:f>'估值系统'!$L$14</x:f>
        <x:v>27.51529953988137</x:v>
      </x:c>
      <x:c r="K7" s="14"/>
      <x:c r="L7" s="15" t="n">
        <x:f>'估值系统'!$L$18</x:f>
        <x:v>-0.22492113972165162</x:v>
      </x:c>
      <x:c r="M7" s="15"/>
      <x:c r="N7" s="16" t="n">
        <x:f>'估值系统'!$B$13</x:f>
        <x:v>0.9657236126224157</x:v>
      </x:c>
      <x:c r="O7" s="16"/>
      <x:c r="P7" s="16" t="n">
        <x:f>'估值系统'!$B$14</x:f>
        <x:v>7.785087719298247</x:v>
      </x:c>
      <x:c r="Q7" s="16"/>
    </x:row>
    <x:row r="8">
      <x:c r="A8" s="14"/>
      <x:c r="B8" s="14"/>
      <x:c r="C8" s="14"/>
      <x:c r="D8" s="14"/>
      <x:c r="E8" s="14"/>
      <x:c r="F8" s="14"/>
      <x:c r="G8" s="14"/>
      <x:c r="H8" s="15"/>
      <x:c r="I8" s="15"/>
      <x:c r="J8" s="14"/>
      <x:c r="K8" s="14"/>
      <x:c r="L8" s="15"/>
      <x:c r="M8" s="15"/>
      <x:c r="N8" s="16"/>
      <x:c r="O8" s="16"/>
      <x:c r="P8" s="16"/>
      <x:c r="Q8" s="16"/>
    </x:row>
    <x:row r="9" ht="30" customHeight="1">
      <x:c r="A9" s="17" t="str">
        <x:v>判断：盈利与资产质量仍属优质城商行，但当前价格已接近股息折现价值；同业折价压力仍在，安全边际更多来自盈利兑现而非低估本身。</x:v>
      </x:c>
      <x:c r="B9" s="17" t="str">
        <x:v>判断：盈利与资产质量仍属优质城商行，但当前价格已接近股息折现价值；同业折价压力仍在，安全边际更多来自盈利兑现而非低估本身。</x:v>
      </x:c>
      <x:c r="C9" s="17" t="str">
        <x:v>判断：盈利与资产质量仍属优质城商行，但当前价格已接近股息折现价值；同业折价压力仍在，安全边际更多来自盈利兑现而非低估本身。</x:v>
      </x:c>
      <x:c r="D9" s="17" t="str">
        <x:v>判断：盈利与资产质量仍属优质城商行，但当前价格已接近股息折现价值；同业折价压力仍在，安全边际更多来自盈利兑现而非低估本身。</x:v>
      </x:c>
      <x:c r="E9" s="17" t="str">
        <x:v>判断：盈利与资产质量仍属优质城商行，但当前价格已接近股息折现价值；同业折价压力仍在，安全边际更多来自盈利兑现而非低估本身。</x:v>
      </x:c>
      <x:c r="F9" s="17" t="str">
        <x:v>判断：盈利与资产质量仍属优质城商行，但当前价格已接近股息折现价值；同业折价压力仍在，安全边际更多来自盈利兑现而非低估本身。</x:v>
      </x:c>
      <x:c r="G9" s="17" t="str">
        <x:v>判断：盈利与资产质量仍属优质城商行，但当前价格已接近股息折现价值；同业折价压力仍在，安全边际更多来自盈利兑现而非低估本身。</x:v>
      </x:c>
      <x:c r="H9" s="17" t="str">
        <x:v>判断：盈利与资产质量仍属优质城商行，但当前价格已接近股息折现价值；同业折价压力仍在，安全边际更多来自盈利兑现而非低估本身。</x:v>
      </x:c>
      <x:c r="I9" s="17" t="str">
        <x:v>判断：盈利与资产质量仍属优质城商行，但当前价格已接近股息折现价值；同业折价压力仍在，安全边际更多来自盈利兑现而非低估本身。</x:v>
      </x:c>
      <x:c r="J9" s="17" t="str">
        <x:v>判断：盈利与资产质量仍属优质城商行，但当前价格已接近股息折现价值；同业折价压力仍在，安全边际更多来自盈利兑现而非低估本身。</x:v>
      </x:c>
      <x:c r="K9" s="17" t="str">
        <x:v>判断：盈利与资产质量仍属优质城商行，但当前价格已接近股息折现价值；同业折价压力仍在，安全边际更多来自盈利兑现而非低估本身。</x:v>
      </x:c>
      <x:c r="L9" s="17" t="str">
        <x:v>判断：盈利与资产质量仍属优质城商行，但当前价格已接近股息折现价值；同业折价压力仍在，安全边际更多来自盈利兑现而非低估本身。</x:v>
      </x:c>
      <x:c r="M9" s="17" t="str">
        <x:v>判断：盈利与资产质量仍属优质城商行，但当前价格已接近股息折现价值；同业折价压力仍在，安全边际更多来自盈利兑现而非低估本身。</x:v>
      </x:c>
      <x:c r="N9" s="17" t="str">
        <x:v>判断：盈利与资产质量仍属优质城商行，但当前价格已接近股息折现价值；同业折价压力仍在，安全边际更多来自盈利兑现而非低估本身。</x:v>
      </x:c>
      <x:c r="O9" s="17" t="str">
        <x:v>判断：盈利与资产质量仍属优质城商行，但当前价格已接近股息折现价值；同业折价压力仍在，安全边际更多来自盈利兑现而非低估本身。</x:v>
      </x:c>
      <x:c r="P9" s="17" t="str">
        <x:v>判断：盈利与资产质量仍属优质城商行，但当前价格已接近股息折现价值；同业折价压力仍在，安全边际更多来自盈利兑现而非低估本身。</x:v>
      </x:c>
      <x:c r="Q9" s="17" t="str">
        <x:v>判断：盈利与资产质量仍属优质城商行，但当前价格已接近股息折现价值；同业折价压力仍在，安全边际更多来自盈利兑现而非低估本身。</x:v>
      </x:c>
    </x:row>
    <x:row r="10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</x:row>
    <x:row r="11" ht="23" customHeight="1">
      <x:c r="A11" s="9" t="str">
        <x:v>公司全貌</x:v>
      </x:c>
      <x:c r="B11" s="9" t="str">
        <x:v>公司全貌</x:v>
      </x:c>
      <x:c r="C11" s="9" t="str">
        <x:v>公司全貌</x:v>
      </x:c>
      <x:c r="D11" s="9" t="str">
        <x:v>公司全貌</x:v>
      </x:c>
      <x:c r="E11" s="9" t="str">
        <x:v>公司全貌</x:v>
      </x:c>
      <x:c r="F11" s="9" t="str">
        <x:v>公司全貌</x:v>
      </x:c>
      <x:c r="G11" s="9" t="str">
        <x:v>公司全貌</x:v>
      </x:c>
      <x:c r="H11" s="9" t="str">
        <x:v>公司全貌</x:v>
      </x:c>
      <x:c r="I11" s="9" t="str">
        <x:v>公司全貌</x:v>
      </x:c>
      <x:c r="J11" s="9" t="str">
        <x:v>公司全貌</x:v>
      </x:c>
      <x:c r="K11" s="9" t="str">
        <x:v>公司全貌</x:v>
      </x:c>
      <x:c r="L11" s="9" t="str">
        <x:v>公司全貌</x:v>
      </x:c>
      <x:c r="M11" s="9" t="str">
        <x:v>公司全貌</x:v>
      </x:c>
      <x:c r="N11" s="9" t="str">
        <x:v>公司全貌</x:v>
      </x:c>
      <x:c r="O11" s="9" t="str">
        <x:v>公司全貌</x:v>
      </x:c>
      <x:c r="P11" s="9" t="str">
        <x:v>公司全貌</x:v>
      </x:c>
      <x:c r="Q11" s="9" t="str">
        <x:v>公司全貌</x:v>
      </x:c>
    </x:row>
    <x:row r="12" ht="23" customHeight="1">
      <x:c r="A12" s="11" t="str">
        <x:v>商业模式</x:v>
      </x:c>
      <x:c r="B12" s="11"/>
      <x:c r="C12" s="11"/>
      <x:c r="D12" s="11"/>
      <x:c r="E12" s="11" t="str">
        <x:v>竞争优势</x:v>
      </x:c>
      <x:c r="F12" s="11"/>
      <x:c r="G12" s="11"/>
      <x:c r="H12" s="11"/>
      <x:c r="I12" s="11" t="str">
        <x:v>经营质量</x:v>
      </x:c>
      <x:c r="J12" s="11"/>
      <x:c r="K12" s="11"/>
      <x:c r="L12" s="11"/>
      <x:c r="M12" s="11" t="str">
        <x:v>主要风险</x:v>
      </x:c>
      <x:c r="N12" s="11"/>
      <x:c r="O12" s="11"/>
      <x:c r="P12" s="11"/>
      <x:c r="Q12" s="11"/>
    </x:row>
    <x:row r="13" ht="26" customHeight="1">
      <x:c r="A13" s="18" t="str">
        <x:v>总部位于宁波的全国性城商行
对公+零售+财富管理+金融市场多轮驱动</x:v>
      </x:c>
      <x:c r="B13" s="18"/>
      <x:c r="C13" s="18"/>
      <x:c r="D13" s="18"/>
      <x:c r="E13" s="12" t="str">
        <x:v>存款成本下降39bp；手续费净收入增长53.9%
资产质量长期稳定、区域经济基础强</x:v>
      </x:c>
      <x:c r="F13" s="12"/>
      <x:c r="G13" s="12"/>
      <x:c r="H13" s="12"/>
      <x:c r="I13" s="12" t="str">
        <x:v>1H26营收+11.54%，归母净利+12.12%
NPL 0.76%，拨备覆盖率373.35%</x:v>
      </x:c>
      <x:c r="J13" s="12"/>
      <x:c r="K13" s="12"/>
      <x:c r="L13" s="12"/>
      <x:c r="M13" s="17" t="str">
        <x:v>零售经营贷NPL 3.81%
CET1 9.53%，资本约束与NIM仍需跟踪</x:v>
      </x:c>
      <x:c r="N13" s="17"/>
      <x:c r="O13" s="17"/>
      <x:c r="P13" s="17"/>
      <x:c r="Q13" s="17"/>
    </x:row>
    <x:row r="14" ht="26" customHeight="1">
      <x:c r="A14" s="18"/>
      <x:c r="B14" s="18"/>
      <x:c r="C14" s="18"/>
      <x:c r="D14" s="18"/>
      <x:c r="E14" s="12"/>
      <x:c r="F14" s="12"/>
      <x:c r="G14" s="12"/>
      <x:c r="H14" s="12"/>
      <x:c r="I14" s="12"/>
      <x:c r="J14" s="12"/>
      <x:c r="K14" s="12"/>
      <x:c r="L14" s="12"/>
      <x:c r="M14" s="17"/>
      <x:c r="N14" s="17"/>
      <x:c r="O14" s="17"/>
      <x:c r="P14" s="17"/>
      <x:c r="Q14" s="17"/>
    </x:row>
    <x:row r="15" ht="26" customHeight="1">
      <x:c r="A15" s="18"/>
      <x:c r="B15" s="18"/>
      <x:c r="C15" s="18"/>
      <x:c r="D15" s="18"/>
      <x:c r="E15" s="12"/>
      <x:c r="F15" s="12"/>
      <x:c r="G15" s="12"/>
      <x:c r="H15" s="12"/>
      <x:c r="I15" s="12"/>
      <x:c r="J15" s="12"/>
      <x:c r="K15" s="12"/>
      <x:c r="L15" s="12"/>
      <x:c r="M15" s="17"/>
      <x:c r="N15" s="17"/>
      <x:c r="O15" s="17"/>
      <x:c r="P15" s="17"/>
      <x:c r="Q15" s="17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</x:row>
    <x:row r="17" ht="23" customHeight="1">
      <x:c r="A17" s="9" t="str">
        <x:v>近五年经营趋势</x:v>
      </x:c>
      <x:c r="B17" s="9" t="str">
        <x:v>近五年经营趋势</x:v>
      </x:c>
      <x:c r="C17" s="9" t="str">
        <x:v>近五年经营趋势</x:v>
      </x:c>
      <x:c r="D17" s="9" t="str">
        <x:v>近五年经营趋势</x:v>
      </x:c>
      <x:c r="E17" s="9" t="str">
        <x:v>近五年经营趋势</x:v>
      </x:c>
      <x:c r="F17" s="9" t="str">
        <x:v>近五年经营趋势</x:v>
      </x:c>
      <x:c r="G17" s="9" t="str">
        <x:v>近五年经营趋势</x:v>
      </x:c>
      <x:c r="H17" s="9" t="str">
        <x:v>近五年经营趋势</x:v>
      </x:c>
      <x:c r="I17" s="9" t="str">
        <x:v>六种估值方法</x:v>
      </x:c>
      <x:c r="J17" s="9" t="str">
        <x:v>六种估值方法</x:v>
      </x:c>
      <x:c r="K17" s="9" t="str">
        <x:v>六种估值方法</x:v>
      </x:c>
      <x:c r="L17" s="9" t="str">
        <x:v>六种估值方法</x:v>
      </x:c>
      <x:c r="M17" s="9" t="str">
        <x:v>六种估值方法</x:v>
      </x:c>
      <x:c r="N17" s="9" t="str">
        <x:v>六种估值方法</x:v>
      </x:c>
      <x:c r="O17" s="9" t="str">
        <x:v>六种估值方法</x:v>
      </x:c>
      <x:c r="P17" s="9" t="str">
        <x:v>六种估值方法</x:v>
      </x:c>
      <x:c r="Q17" s="9" t="str">
        <x:v>六种估值方法</x:v>
      </x:c>
    </x:row>
    <x:row r="18" ht="23" customHeight="1">
      <x:c r="A18" s="11" t="str">
        <x:v>年份</x:v>
      </x:c>
      <x:c r="B18" s="11" t="str">
        <x:v>营业收入（亿元）</x:v>
      </x:c>
      <x:c r="C18" s="11" t="str">
        <x:v>归母净利润（亿元）</x:v>
      </x:c>
      <x:c r="D18" s="4"/>
      <x:c r="E18" s="4"/>
      <x:c r="F18" s="4"/>
      <x:c r="G18" s="4"/>
      <x:c r="H18" s="4"/>
      <x:c r="I18" s="11" t="str">
        <x:v>方法</x:v>
      </x:c>
      <x:c r="J18" s="11" t="str">
        <x:v>每股价值（元）</x:v>
      </x:c>
      <x:c r="K18" s="4"/>
      <x:c r="L18" s="4"/>
      <x:c r="M18" s="4"/>
      <x:c r="N18" s="4"/>
      <x:c r="O18" s="4"/>
      <x:c r="P18" s="4"/>
      <x:c r="Q18" s="4"/>
    </x:row>
    <x:row r="19">
      <x:c r="A19" s="19" t="n">
        <x:v>2021</x:v>
      </x:c>
      <x:c r="B19" s="20" t="n">
        <x:v>527.74</x:v>
      </x:c>
      <x:c r="C19" s="20" t="n">
        <x:v>195.46</x:v>
      </x:c>
      <x:c r="D19" s="4"/>
      <x:c r="E19" s="4"/>
      <x:c r="F19" s="4"/>
      <x:c r="G19" s="4"/>
      <x:c r="H19" s="4"/>
      <x:c r="I19" s="19" t="str">
        <x:v>剩余收益模型</x:v>
      </x:c>
      <x:c r="J19" s="20" t="n">
        <x:f>'估值系统'!L7</x:f>
        <x:v>47.5271340192178</x:v>
      </x:c>
      <x:c r="K19" s="4"/>
      <x:c r="L19" s="4"/>
      <x:c r="M19" s="4"/>
      <x:c r="N19" s="4"/>
      <x:c r="O19" s="4"/>
      <x:c r="P19" s="4"/>
      <x:c r="Q19" s="4"/>
    </x:row>
    <x:row r="20">
      <x:c r="A20" s="19" t="n">
        <x:v>2022</x:v>
      </x:c>
      <x:c r="B20" s="20" t="n">
        <x:v>578.79</x:v>
      </x:c>
      <x:c r="C20" s="20" t="n">
        <x:v>230.75</x:v>
      </x:c>
      <x:c r="D20" s="4"/>
      <x:c r="E20" s="4"/>
      <x:c r="F20" s="4"/>
      <x:c r="G20" s="4"/>
      <x:c r="H20" s="4"/>
      <x:c r="I20" s="19" t="str">
        <x:v>PB-ROE模型</x:v>
      </x:c>
      <x:c r="J20" s="20" t="n">
        <x:f>'估值系统'!L8</x:f>
        <x:v>50.89846153846153</x:v>
      </x:c>
      <x:c r="K20" s="4"/>
      <x:c r="L20" s="4"/>
      <x:c r="M20" s="4"/>
      <x:c r="N20" s="4"/>
      <x:c r="O20" s="4"/>
      <x:c r="P20" s="4"/>
      <x:c r="Q20" s="4"/>
    </x:row>
    <x:row r="21">
      <x:c r="A21" s="19" t="n">
        <x:v>2023</x:v>
      </x:c>
      <x:c r="B21" s="20" t="n">
        <x:v>615.85</x:v>
      </x:c>
      <x:c r="C21" s="20" t="n">
        <x:v>255.35</x:v>
      </x:c>
      <x:c r="D21" s="4"/>
      <x:c r="E21" s="4"/>
      <x:c r="F21" s="4"/>
      <x:c r="G21" s="4"/>
      <x:c r="H21" s="4"/>
      <x:c r="I21" s="19" t="str">
        <x:v>十年历史PB</x:v>
      </x:c>
      <x:c r="J21" s="20" t="n">
        <x:f>'估值系统'!L9</x:f>
        <x:v>57.52540602598612</x:v>
      </x:c>
      <x:c r="K21" s="4"/>
      <x:c r="L21" s="4"/>
      <x:c r="M21" s="4"/>
      <x:c r="N21" s="4"/>
      <x:c r="O21" s="4"/>
      <x:c r="P21" s="4"/>
      <x:c r="Q21" s="4"/>
    </x:row>
    <x:row r="22">
      <x:c r="A22" s="19" t="n">
        <x:v>2024</x:v>
      </x:c>
      <x:c r="B22" s="20" t="n">
        <x:v>666.31</x:v>
      </x:c>
      <x:c r="C22" s="20" t="n">
        <x:v>271.27</x:v>
      </x:c>
      <x:c r="D22" s="4"/>
      <x:c r="E22" s="4"/>
      <x:c r="F22" s="4"/>
      <x:c r="G22" s="4"/>
      <x:c r="H22" s="4"/>
      <x:c r="I22" s="19" t="str">
        <x:v>十年历史PE</x:v>
      </x:c>
      <x:c r="J22" s="20" t="n">
        <x:f>'估值系统'!L10</x:f>
        <x:v>44.44868244575936</x:v>
      </x:c>
      <x:c r="K22" s="4"/>
      <x:c r="L22" s="4"/>
      <x:c r="M22" s="4"/>
      <x:c r="N22" s="4"/>
      <x:c r="O22" s="4"/>
      <x:c r="P22" s="4"/>
      <x:c r="Q22" s="4"/>
    </x:row>
    <x:row r="23">
      <x:c r="A23" s="19" t="n">
        <x:v>2025</x:v>
      </x:c>
      <x:c r="B23" s="20" t="n">
        <x:v>719.69</x:v>
      </x:c>
      <x:c r="C23" s="20" t="n">
        <x:v>293.33</x:v>
      </x:c>
      <x:c r="D23" s="4"/>
      <x:c r="E23" s="4"/>
      <x:c r="F23" s="4"/>
      <x:c r="G23" s="4"/>
      <x:c r="H23" s="4"/>
      <x:c r="I23" s="19" t="str">
        <x:v>同业ROE调整PB</x:v>
      </x:c>
      <x:c r="J23" s="20" t="n">
        <x:f>'估值系统'!L11</x:f>
        <x:v>27.51529953988137</x:v>
      </x:c>
      <x:c r="K23" s="4"/>
      <x:c r="L23" s="4"/>
      <x:c r="M23" s="4"/>
      <x:c r="N23" s="4"/>
      <x:c r="O23" s="4"/>
      <x:c r="P23" s="4"/>
      <x:c r="Q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19" t="str">
        <x:v>两阶段股息模型</x:v>
      </x:c>
      <x:c r="J24" s="20" t="n">
        <x:f>'估值系统'!L12</x:f>
        <x:v>34.12854673453594</x:v>
      </x:c>
      <x:c r="K24" s="4"/>
      <x:c r="L24" s="4"/>
      <x:c r="M24" s="4"/>
      <x:c r="N24" s="4"/>
      <x:c r="O24" s="4"/>
      <x:c r="P24" s="4"/>
      <x:c r="Q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</x:row>
    <x:row r="31" ht="23" customHeight="1">
      <x:c r="A31" s="9" t="str">
        <x:v>价格区间、观察指标与股息视角</x:v>
      </x:c>
      <x:c r="B31" s="9" t="str">
        <x:v>价格区间、观察指标与股息视角</x:v>
      </x:c>
      <x:c r="C31" s="9" t="str">
        <x:v>价格区间、观察指标与股息视角</x:v>
      </x:c>
      <x:c r="D31" s="9" t="str">
        <x:v>价格区间、观察指标与股息视角</x:v>
      </x:c>
      <x:c r="E31" s="9" t="str">
        <x:v>价格区间、观察指标与股息视角</x:v>
      </x:c>
      <x:c r="F31" s="9" t="str">
        <x:v>价格区间、观察指标与股息视角</x:v>
      </x:c>
      <x:c r="G31" s="9" t="str">
        <x:v>价格区间、观察指标与股息视角</x:v>
      </x:c>
      <x:c r="H31" s="9" t="str">
        <x:v>价格区间、观察指标与股息视角</x:v>
      </x:c>
      <x:c r="I31" s="9" t="str">
        <x:v>价格区间、观察指标与股息视角</x:v>
      </x:c>
      <x:c r="J31" s="9" t="str">
        <x:v>价格区间、观察指标与股息视角</x:v>
      </x:c>
      <x:c r="K31" s="9" t="str">
        <x:v>价格区间、观察指标与股息视角</x:v>
      </x:c>
      <x:c r="L31" s="9" t="str">
        <x:v>价格区间、观察指标与股息视角</x:v>
      </x:c>
      <x:c r="M31" s="9" t="str">
        <x:v>价格区间、观察指标与股息视角</x:v>
      </x:c>
      <x:c r="N31" s="9" t="str">
        <x:v>价格区间、观察指标与股息视角</x:v>
      </x:c>
      <x:c r="O31" s="9" t="str">
        <x:v>价格区间、观察指标与股息视角</x:v>
      </x:c>
      <x:c r="P31" s="9" t="str">
        <x:v>价格区间、观察指标与股息视角</x:v>
      </x:c>
      <x:c r="Q31" s="9" t="str">
        <x:v>价格区间、观察指标与股息视角</x:v>
      </x:c>
    </x:row>
    <x:row r="32" ht="23" customHeight="1">
      <x:c r="A32" s="11" t="str">
        <x:v>价格区间</x:v>
      </x:c>
      <x:c r="B32" s="11" t="str">
        <x:v>动作框架</x:v>
      </x:c>
      <x:c r="C32" s="11" t="str">
        <x:v>位置判断</x:v>
      </x:c>
      <x:c r="D32" s="11" t="str">
        <x:v>关键指标</x:v>
      </x:c>
      <x:c r="E32" s="11" t="str">
        <x:v>当前</x:v>
      </x:c>
      <x:c r="F32" s="11" t="str">
        <x:v>预警线</x:v>
      </x:c>
      <x:c r="G32" s="11" t="str">
        <x:v>验证动作</x:v>
      </x:c>
      <x:c r="H32" s="4"/>
      <x:c r="I32" s="11" t="str">
        <x:v>2025全年DPS</x:v>
      </x:c>
      <x:c r="J32" s="11"/>
      <x:c r="K32" s="11" t="str">
        <x:v>静态股息率</x:v>
      </x:c>
      <x:c r="L32" s="11"/>
      <x:c r="M32" s="11" t="str">
        <x:v>2026中期拟派息</x:v>
      </x:c>
      <x:c r="N32" s="11"/>
      <x:c r="O32" s="11" t="str">
        <x:v>LTM声明/拟派股息率</x:v>
      </x:c>
      <x:c r="P32" s="11"/>
      <x:c r="Q32" s="11"/>
    </x:row>
    <x:row r="33">
      <x:c r="A33" s="21" t="str">
        <x:v>≤27.5元</x:v>
      </x:c>
      <x:c r="B33" s="19" t="str">
        <x:v>重点研究</x:v>
      </x:c>
      <x:c r="C33" s="19" t="str">
        <x:v>同业压力测试附近</x:v>
      </x:c>
      <x:c r="D33" s="22" t="str">
        <x:v>净息差</x:v>
      </x:c>
      <x:c r="E33" s="22" t="str">
        <x:v>1.70%</x:v>
      </x:c>
      <x:c r="F33" s="22" t="str">
        <x:v>&lt;1.55%</x:v>
      </x:c>
      <x:c r="G33" s="22" t="str">
        <x:v>检查负债成本与资产收益率</x:v>
      </x:c>
      <x:c r="H33" s="4"/>
      <x:c r="I33" s="24" t="n">
        <x:f>'股息估值'!B18</x:f>
        <x:v>1.2</x:v>
      </x:c>
      <x:c r="J33" s="24"/>
      <x:c r="K33" s="25" t="n">
        <x:f>'股息估值'!B19</x:f>
        <x:v>0.03380281690140845</x:v>
      </x:c>
      <x:c r="L33" s="25"/>
      <x:c r="M33" s="24" t="n">
        <x:f>'股息估值'!B20</x:f>
        <x:v>0.4</x:v>
      </x:c>
      <x:c r="N33" s="24"/>
      <x:c r="O33" s="25" t="n">
        <x:f>'股息估值'!B22</x:f>
        <x:v>0.036619718309859155</x:v>
      </x:c>
      <x:c r="P33" s="25"/>
      <x:c r="Q33" s="25"/>
    </x:row>
    <x:row r="34">
      <x:c r="A34" s="21" t="str">
        <x:v>27.5—35元</x:v>
      </x:c>
      <x:c r="B34" s="19" t="str">
        <x:v>积极观察</x:v>
      </x:c>
      <x:c r="C34" s="19" t="str">
        <x:v>股息折现值下方</x:v>
      </x:c>
      <x:c r="D34" s="22" t="str">
        <x:v>零售经营贷NPL</x:v>
      </x:c>
      <x:c r="E34" s="22" t="str">
        <x:v>3.81%</x:v>
      </x:c>
      <x:c r="F34" s="22" t="str">
        <x:v>&gt;4.20%</x:v>
      </x:c>
      <x:c r="G34" s="22" t="str">
        <x:v>跟踪零售风险迁徙</x:v>
      </x:c>
      <x:c r="H34" s="4"/>
      <x:c r="I34" s="24"/>
      <x:c r="J34" s="24"/>
      <x:c r="K34" s="25"/>
      <x:c r="L34" s="25"/>
      <x:c r="M34" s="24"/>
      <x:c r="N34" s="24"/>
      <x:c r="O34" s="25"/>
      <x:c r="P34" s="25"/>
      <x:c r="Q34" s="25"/>
    </x:row>
    <x:row r="35">
      <x:c r="A35" s="21" t="str">
        <x:v>35—41元</x:v>
      </x:c>
      <x:c r="B35" s="19" t="str">
        <x:v>持有观察</x:v>
      </x:c>
      <x:c r="C35" s="19" t="str">
        <x:v>核心合理区间</x:v>
      </x:c>
      <x:c r="D35" s="22" t="str">
        <x:v>拨备覆盖率</x:v>
      </x:c>
      <x:c r="E35" s="22" t="str">
        <x:v>373.35%</x:v>
      </x:c>
      <x:c r="F35" s="22" t="str">
        <x:v>&lt;300%</x:v>
      </x:c>
      <x:c r="G35" s="22" t="str">
        <x:v>核查核销和拨备计提</x:v>
      </x:c>
      <x:c r="H35" s="4"/>
      <x:c r="I35" s="24"/>
      <x:c r="J35" s="24"/>
      <x:c r="K35" s="25"/>
      <x:c r="L35" s="25"/>
      <x:c r="M35" s="24"/>
      <x:c r="N35" s="24"/>
      <x:c r="O35" s="25"/>
      <x:c r="P35" s="25"/>
      <x:c r="Q35" s="25"/>
    </x:row>
    <x:row r="36">
      <x:c r="A36" s="21" t="str">
        <x:v>&gt;41元</x:v>
      </x:c>
      <x:c r="B36" s="19" t="str">
        <x:v>重新评估</x:v>
      </x:c>
      <x:c r="C36" s="19" t="str">
        <x:v>高于加权中枢</x:v>
      </x:c>
      <x:c r="D36" s="22" t="str">
        <x:v>核心一级资本率</x:v>
      </x:c>
      <x:c r="E36" s="22" t="str">
        <x:v>9.53%</x:v>
      </x:c>
      <x:c r="F36" s="22" t="str">
        <x:v>&lt;9.0%</x:v>
      </x:c>
      <x:c r="G36" s="22" t="str">
        <x:v>评估分红、扩表与资本补充</x:v>
      </x:c>
      <x:c r="H36" s="4"/>
      <x:c r="I36" s="17" t="str">
        <x:v>股息提示：2026年中期0.40元/股仍待股东会批准；LTM声明/拟派口径含2025末期0.90元与2026中期0.40元，仅作收益率观察。</x:v>
      </x:c>
      <x:c r="J36" s="17" t="str">
        <x:v>股息提示：2026年中期0.40元/股仍待股东会批准；LTM声明/拟派口径含2025末期0.90元与2026中期0.40元，仅作收益率观察。</x:v>
      </x:c>
      <x:c r="K36" s="17" t="str">
        <x:v>股息提示：2026年中期0.40元/股仍待股东会批准；LTM声明/拟派口径含2025末期0.90元与2026中期0.40元，仅作收益率观察。</x:v>
      </x:c>
      <x:c r="L36" s="17" t="str">
        <x:v>股息提示：2026年中期0.40元/股仍待股东会批准；LTM声明/拟派口径含2025末期0.90元与2026中期0.40元，仅作收益率观察。</x:v>
      </x:c>
      <x:c r="M36" s="17" t="str">
        <x:v>股息提示：2026年中期0.40元/股仍待股东会批准；LTM声明/拟派口径含2025末期0.90元与2026中期0.40元，仅作收益率观察。</x:v>
      </x:c>
      <x:c r="N36" s="17" t="str">
        <x:v>股息提示：2026年中期0.40元/股仍待股东会批准；LTM声明/拟派口径含2025末期0.90元与2026中期0.40元，仅作收益率观察。</x:v>
      </x:c>
      <x:c r="O36" s="17" t="str">
        <x:v>股息提示：2026年中期0.40元/股仍待股东会批准；LTM声明/拟派口径含2025末期0.90元与2026中期0.40元，仅作收益率观察。</x:v>
      </x:c>
      <x:c r="P36" s="17" t="str">
        <x:v>股息提示：2026年中期0.40元/股仍待股东会批准；LTM声明/拟派口径含2025末期0.90元与2026中期0.40元，仅作收益率观察。</x:v>
      </x:c>
      <x:c r="Q36" s="17" t="str">
        <x:v>股息提示：2026年中期0.40元/股仍待股东会批准；LTM声明/拟派口径含2025末期0.90元与2026中期0.40元，仅作收益率观察。</x:v>
      </x:c>
    </x:row>
    <x:row r="37">
      <x:c r="A37" s="4"/>
      <x:c r="B37" s="4"/>
      <x:c r="C37" s="4"/>
      <x:c r="D37" s="4"/>
      <x:c r="E37" s="4"/>
      <x:c r="F37" s="4"/>
      <x:c r="G37" s="4"/>
      <x:c r="H37" s="4"/>
      <x:c r="I37" s="17" t="str">
        <x:v>股息提示：2026年中期0.40元/股仍待股东会批准；LTM声明/拟派口径含2025末期0.90元与2026中期0.40元，仅作收益率观察。</x:v>
      </x:c>
      <x:c r="J37" s="17" t="str">
        <x:v>股息提示：2026年中期0.40元/股仍待股东会批准；LTM声明/拟派口径含2025末期0.90元与2026中期0.40元，仅作收益率观察。</x:v>
      </x:c>
      <x:c r="K37" s="17" t="str">
        <x:v>股息提示：2026年中期0.40元/股仍待股东会批准；LTM声明/拟派口径含2025末期0.90元与2026中期0.40元，仅作收益率观察。</x:v>
      </x:c>
      <x:c r="L37" s="17" t="str">
        <x:v>股息提示：2026年中期0.40元/股仍待股东会批准；LTM声明/拟派口径含2025末期0.90元与2026中期0.40元，仅作收益率观察。</x:v>
      </x:c>
      <x:c r="M37" s="17" t="str">
        <x:v>股息提示：2026年中期0.40元/股仍待股东会批准；LTM声明/拟派口径含2025末期0.90元与2026中期0.40元，仅作收益率观察。</x:v>
      </x:c>
      <x:c r="N37" s="17" t="str">
        <x:v>股息提示：2026年中期0.40元/股仍待股东会批准；LTM声明/拟派口径含2025末期0.90元与2026中期0.40元，仅作收益率观察。</x:v>
      </x:c>
      <x:c r="O37" s="17" t="str">
        <x:v>股息提示：2026年中期0.40元/股仍待股东会批准；LTM声明/拟派口径含2025末期0.90元与2026中期0.40元，仅作收益率观察。</x:v>
      </x:c>
      <x:c r="P37" s="17" t="str">
        <x:v>股息提示：2026年中期0.40元/股仍待股东会批准；LTM声明/拟派口径含2025末期0.90元与2026中期0.40元，仅作收益率观察。</x:v>
      </x:c>
      <x:c r="Q37" s="17" t="str">
        <x:v>股息提示：2026年中期0.40元/股仍待股东会批准；LTM声明/拟派口径含2025末期0.90元与2026中期0.40元，仅作收益率观察。</x:v>
      </x:c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</x:row>
    <x:row r="39">
      <x:c r="A39" s="27" t="str">
        <x:v>本表区分客观事实、模型假设与研究判断。合理区间不是价格预测；同业法27.5元是压力测试，股息模型约35元与加权中枢约41元构成核心观察区间。</x:v>
      </x:c>
      <x:c r="B39" s="27" t="str">
        <x:v>本表区分客观事实、模型假设与研究判断。合理区间不是价格预测；同业法27.5元是压力测试，股息模型约35元与加权中枢约41元构成核心观察区间。</x:v>
      </x:c>
      <x:c r="C39" s="27" t="str">
        <x:v>本表区分客观事实、模型假设与研究判断。合理区间不是价格预测；同业法27.5元是压力测试，股息模型约35元与加权中枢约41元构成核心观察区间。</x:v>
      </x:c>
      <x:c r="D39" s="27" t="str">
        <x:v>本表区分客观事实、模型假设与研究判断。合理区间不是价格预测；同业法27.5元是压力测试，股息模型约35元与加权中枢约41元构成核心观察区间。</x:v>
      </x:c>
      <x:c r="E39" s="27" t="str">
        <x:v>本表区分客观事实、模型假设与研究判断。合理区间不是价格预测；同业法27.5元是压力测试，股息模型约35元与加权中枢约41元构成核心观察区间。</x:v>
      </x:c>
      <x:c r="F39" s="27" t="str">
        <x:v>本表区分客观事实、模型假设与研究判断。合理区间不是价格预测；同业法27.5元是压力测试，股息模型约35元与加权中枢约41元构成核心观察区间。</x:v>
      </x:c>
      <x:c r="G39" s="27" t="str">
        <x:v>本表区分客观事实、模型假设与研究判断。合理区间不是价格预测；同业法27.5元是压力测试，股息模型约35元与加权中枢约41元构成核心观察区间。</x:v>
      </x:c>
      <x:c r="H39" s="27" t="str">
        <x:v>本表区分客观事实、模型假设与研究判断。合理区间不是价格预测；同业法27.5元是压力测试，股息模型约35元与加权中枢约41元构成核心观察区间。</x:v>
      </x:c>
      <x:c r="I39" s="27" t="str">
        <x:v>本表区分客观事实、模型假设与研究判断。合理区间不是价格预测；同业法27.5元是压力测试，股息模型约35元与加权中枢约41元构成核心观察区间。</x:v>
      </x:c>
      <x:c r="J39" s="27" t="str">
        <x:v>本表区分客观事实、模型假设与研究判断。合理区间不是价格预测；同业法27.5元是压力测试，股息模型约35元与加权中枢约41元构成核心观察区间。</x:v>
      </x:c>
      <x:c r="K39" s="27" t="str">
        <x:v>本表区分客观事实、模型假设与研究判断。合理区间不是价格预测；同业法27.5元是压力测试，股息模型约35元与加权中枢约41元构成核心观察区间。</x:v>
      </x:c>
      <x:c r="L39" s="27" t="str">
        <x:v>本表区分客观事实、模型假设与研究判断。合理区间不是价格预测；同业法27.5元是压力测试，股息模型约35元与加权中枢约41元构成核心观察区间。</x:v>
      </x:c>
      <x:c r="M39" s="27" t="str">
        <x:v>本表区分客观事实、模型假设与研究判断。合理区间不是价格预测；同业法27.5元是压力测试，股息模型约35元与加权中枢约41元构成核心观察区间。</x:v>
      </x:c>
      <x:c r="N39" s="27" t="str">
        <x:v>本表区分客观事实、模型假设与研究判断。合理区间不是价格预测；同业法27.5元是压力测试，股息模型约35元与加权中枢约41元构成核心观察区间。</x:v>
      </x:c>
      <x:c r="O39" s="27" t="str">
        <x:v>本表区分客观事实、模型假设与研究判断。合理区间不是价格预测；同业法27.5元是压力测试，股息模型约35元与加权中枢约41元构成核心观察区间。</x:v>
      </x:c>
      <x:c r="P39" s="27" t="str">
        <x:v>本表区分客观事实、模型假设与研究判断。合理区间不是价格预测；同业法27.5元是压力测试，股息模型约35元与加权中枢约41元构成核心观察区间。</x:v>
      </x:c>
      <x:c r="Q39" s="27" t="str">
        <x:v>本表区分客观事实、模型假设与研究判断。合理区间不是价格预测；同业法27.5元是压力测试，股息模型约35元与加权中枢约41元构成核心观察区间。</x:v>
      </x:c>
    </x:row>
    <x:row r="40">
      <x:c r="A40" s="27" t="str">
        <x:v>本表区分客观事实、模型假设与研究判断。合理区间不是价格预测；同业法27.5元是压力测试，股息模型约35元与加权中枢约41元构成核心观察区间。</x:v>
      </x:c>
      <x:c r="B40" s="27" t="str">
        <x:v>本表区分客观事实、模型假设与研究判断。合理区间不是价格预测；同业法27.5元是压力测试，股息模型约35元与加权中枢约41元构成核心观察区间。</x:v>
      </x:c>
      <x:c r="C40" s="27" t="str">
        <x:v>本表区分客观事实、模型假设与研究判断。合理区间不是价格预测；同业法27.5元是压力测试，股息模型约35元与加权中枢约41元构成核心观察区间。</x:v>
      </x:c>
      <x:c r="D40" s="27" t="str">
        <x:v>本表区分客观事实、模型假设与研究判断。合理区间不是价格预测；同业法27.5元是压力测试，股息模型约35元与加权中枢约41元构成核心观察区间。</x:v>
      </x:c>
      <x:c r="E40" s="27" t="str">
        <x:v>本表区分客观事实、模型假设与研究判断。合理区间不是价格预测；同业法27.5元是压力测试，股息模型约35元与加权中枢约41元构成核心观察区间。</x:v>
      </x:c>
      <x:c r="F40" s="27" t="str">
        <x:v>本表区分客观事实、模型假设与研究判断。合理区间不是价格预测；同业法27.5元是压力测试，股息模型约35元与加权中枢约41元构成核心观察区间。</x:v>
      </x:c>
      <x:c r="G40" s="27" t="str">
        <x:v>本表区分客观事实、模型假设与研究判断。合理区间不是价格预测；同业法27.5元是压力测试，股息模型约35元与加权中枢约41元构成核心观察区间。</x:v>
      </x:c>
      <x:c r="H40" s="27" t="str">
        <x:v>本表区分客观事实、模型假设与研究判断。合理区间不是价格预测；同业法27.5元是压力测试，股息模型约35元与加权中枢约41元构成核心观察区间。</x:v>
      </x:c>
      <x:c r="I40" s="27" t="str">
        <x:v>本表区分客观事实、模型假设与研究判断。合理区间不是价格预测；同业法27.5元是压力测试，股息模型约35元与加权中枢约41元构成核心观察区间。</x:v>
      </x:c>
      <x:c r="J40" s="27" t="str">
        <x:v>本表区分客观事实、模型假设与研究判断。合理区间不是价格预测；同业法27.5元是压力测试，股息模型约35元与加权中枢约41元构成核心观察区间。</x:v>
      </x:c>
      <x:c r="K40" s="27" t="str">
        <x:v>本表区分客观事实、模型假设与研究判断。合理区间不是价格预测；同业法27.5元是压力测试，股息模型约35元与加权中枢约41元构成核心观察区间。</x:v>
      </x:c>
      <x:c r="L40" s="27" t="str">
        <x:v>本表区分客观事实、模型假设与研究判断。合理区间不是价格预测；同业法27.5元是压力测试，股息模型约35元与加权中枢约41元构成核心观察区间。</x:v>
      </x:c>
      <x:c r="M40" s="27" t="str">
        <x:v>本表区分客观事实、模型假设与研究判断。合理区间不是价格预测；同业法27.5元是压力测试，股息模型约35元与加权中枢约41元构成核心观察区间。</x:v>
      </x:c>
      <x:c r="N40" s="27" t="str">
        <x:v>本表区分客观事实、模型假设与研究判断。合理区间不是价格预测；同业法27.5元是压力测试，股息模型约35元与加权中枢约41元构成核心观察区间。</x:v>
      </x:c>
      <x:c r="O40" s="27" t="str">
        <x:v>本表区分客观事实、模型假设与研究判断。合理区间不是价格预测；同业法27.5元是压力测试，股息模型约35元与加权中枢约41元构成核心观察区间。</x:v>
      </x:c>
      <x:c r="P40" s="27" t="str">
        <x:v>本表区分客观事实、模型假设与研究判断。合理区间不是价格预测；同业法27.5元是压力测试，股息模型约35元与加权中枢约41元构成核心观察区间。</x:v>
      </x:c>
      <x:c r="Q40" s="27" t="str">
        <x:v>本表区分客观事实、模型假设与研究判断。合理区间不是价格预测；同业法27.5元是压力测试，股息模型约35元与加权中枢约41元构成核心观察区间。</x:v>
      </x:c>
    </x:row>
    <x:row r="41">
      <x:c r="A41" s="27" t="str">
        <x:v>本表区分客观事实、模型假设与研究判断。合理区间不是价格预测；同业法27.5元是压力测试，股息模型约35元与加权中枢约41元构成核心观察区间。</x:v>
      </x:c>
      <x:c r="B41" s="27" t="str">
        <x:v>本表区分客观事实、模型假设与研究判断。合理区间不是价格预测；同业法27.5元是压力测试，股息模型约35元与加权中枢约41元构成核心观察区间。</x:v>
      </x:c>
      <x:c r="C41" s="27" t="str">
        <x:v>本表区分客观事实、模型假设与研究判断。合理区间不是价格预测；同业法27.5元是压力测试，股息模型约35元与加权中枢约41元构成核心观察区间。</x:v>
      </x:c>
      <x:c r="D41" s="27" t="str">
        <x:v>本表区分客观事实、模型假设与研究判断。合理区间不是价格预测；同业法27.5元是压力测试，股息模型约35元与加权中枢约41元构成核心观察区间。</x:v>
      </x:c>
      <x:c r="E41" s="27" t="str">
        <x:v>本表区分客观事实、模型假设与研究判断。合理区间不是价格预测；同业法27.5元是压力测试，股息模型约35元与加权中枢约41元构成核心观察区间。</x:v>
      </x:c>
      <x:c r="F41" s="27" t="str">
        <x:v>本表区分客观事实、模型假设与研究判断。合理区间不是价格预测；同业法27.5元是压力测试，股息模型约35元与加权中枢约41元构成核心观察区间。</x:v>
      </x:c>
      <x:c r="G41" s="27" t="str">
        <x:v>本表区分客观事实、模型假设与研究判断。合理区间不是价格预测；同业法27.5元是压力测试，股息模型约35元与加权中枢约41元构成核心观察区间。</x:v>
      </x:c>
      <x:c r="H41" s="27" t="str">
        <x:v>本表区分客观事实、模型假设与研究判断。合理区间不是价格预测；同业法27.5元是压力测试，股息模型约35元与加权中枢约41元构成核心观察区间。</x:v>
      </x:c>
      <x:c r="I41" s="27" t="str">
        <x:v>本表区分客观事实、模型假设与研究判断。合理区间不是价格预测；同业法27.5元是压力测试，股息模型约35元与加权中枢约41元构成核心观察区间。</x:v>
      </x:c>
      <x:c r="J41" s="27" t="str">
        <x:v>本表区分客观事实、模型假设与研究判断。合理区间不是价格预测；同业法27.5元是压力测试，股息模型约35元与加权中枢约41元构成核心观察区间。</x:v>
      </x:c>
      <x:c r="K41" s="27" t="str">
        <x:v>本表区分客观事实、模型假设与研究判断。合理区间不是价格预测；同业法27.5元是压力测试，股息模型约35元与加权中枢约41元构成核心观察区间。</x:v>
      </x:c>
      <x:c r="L41" s="27" t="str">
        <x:v>本表区分客观事实、模型假设与研究判断。合理区间不是价格预测；同业法27.5元是压力测试，股息模型约35元与加权中枢约41元构成核心观察区间。</x:v>
      </x:c>
      <x:c r="M41" s="27" t="str">
        <x:v>本表区分客观事实、模型假设与研究判断。合理区间不是价格预测；同业法27.5元是压力测试，股息模型约35元与加权中枢约41元构成核心观察区间。</x:v>
      </x:c>
      <x:c r="N41" s="27" t="str">
        <x:v>本表区分客观事实、模型假设与研究判断。合理区间不是价格预测；同业法27.5元是压力测试，股息模型约35元与加权中枢约41元构成核心观察区间。</x:v>
      </x:c>
      <x:c r="O41" s="27" t="str">
        <x:v>本表区分客观事实、模型假设与研究判断。合理区间不是价格预测；同业法27.5元是压力测试，股息模型约35元与加权中枢约41元构成核心观察区间。</x:v>
      </x:c>
      <x:c r="P41" s="27" t="str">
        <x:v>本表区分客观事实、模型假设与研究判断。合理区间不是价格预测；同业法27.5元是压力测试，股息模型约35元与加权中枢约41元构成核心观察区间。</x:v>
      </x:c>
      <x:c r="Q41" s="27" t="str">
        <x:v>本表区分客观事实、模型假设与研究判断。合理区间不是价格预测；同业法27.5元是压力测试，股息模型约35元与加权中枢约41元构成核心观察区间。</x:v>
      </x:c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</x:row>
  </x:sheetData>
  <x:mergeCells>
    <x:mergeCell ref="A1:Q2"/>
    <x:mergeCell ref="A3:Q3"/>
    <x:mergeCell ref="A5:Q5"/>
    <x:mergeCell ref="A6:B6"/>
    <x:mergeCell ref="C6:E6"/>
    <x:mergeCell ref="F6:G6"/>
    <x:mergeCell ref="H6:I6"/>
    <x:mergeCell ref="J6:K6"/>
    <x:mergeCell ref="L6:M6"/>
    <x:mergeCell ref="N6:O6"/>
    <x:mergeCell ref="P6:Q6"/>
    <x:mergeCell ref="A7:B8"/>
    <x:mergeCell ref="C7:D8"/>
    <x:mergeCell ref="E7:E8"/>
    <x:mergeCell ref="F7:G8"/>
    <x:mergeCell ref="H7:I8"/>
    <x:mergeCell ref="J7:K8"/>
    <x:mergeCell ref="L7:M8"/>
    <x:mergeCell ref="N7:O8"/>
    <x:mergeCell ref="P7:Q8"/>
    <x:mergeCell ref="A9:Q9"/>
    <x:mergeCell ref="A11:Q11"/>
    <x:mergeCell ref="A12:D12"/>
    <x:mergeCell ref="E12:H12"/>
    <x:mergeCell ref="I12:L12"/>
    <x:mergeCell ref="M12:Q12"/>
    <x:mergeCell ref="A13:D15"/>
    <x:mergeCell ref="E13:H15"/>
    <x:mergeCell ref="I13:L15"/>
    <x:mergeCell ref="M13:Q15"/>
    <x:mergeCell ref="A17:H17"/>
    <x:mergeCell ref="I17:Q17"/>
    <x:mergeCell ref="A31:Q31"/>
    <x:mergeCell ref="A32:B32"/>
    <x:mergeCell ref="C32:D32"/>
    <x:mergeCell ref="E32:F32"/>
    <x:mergeCell ref="I32:J32"/>
    <x:mergeCell ref="K32:L32"/>
    <x:mergeCell ref="M32:N32"/>
    <x:mergeCell ref="O32:Q32"/>
    <x:mergeCell ref="I33:J35"/>
    <x:mergeCell ref="K33:L35"/>
    <x:mergeCell ref="M33:N35"/>
    <x:mergeCell ref="O33:Q35"/>
    <x:mergeCell ref="I36:Q37"/>
    <x:mergeCell ref="A39:Q41"/>
  </x:mergeCells>
  <x:pageMargins left="0.7" right="0.7" top="0.75" bottom="0.75" header="0.3" footer="0.3"/>
  <x:drawing xmlns:r="http://schemas.openxmlformats.org/officeDocument/2006/relationships" r:id="R5c47514c33234b8d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14" hidden="0" customWidth="1"/>
    <x:col min="3" max="3" width="18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9" hidden="0" customWidth="1"/>
    <x:col min="9" max="9" width="14" hidden="0" customWidth="1"/>
    <x:col min="10" max="10" width="18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</x:cols>
  <x:sheetData>
    <x:row r="1" ht="34" customHeight="1">
      <x:c r="A1" s="6" t="str">
        <x:v>宁波银行投资结论</x:v>
      </x:c>
      <x:c r="B1" s="6" t="str">
        <x:v>宁波银行投资结论</x:v>
      </x:c>
      <x:c r="C1" s="6" t="str">
        <x:v>宁波银行投资结论</x:v>
      </x:c>
      <x:c r="D1" s="6" t="str">
        <x:v>宁波银行投资结论</x:v>
      </x:c>
      <x:c r="E1" s="6" t="str">
        <x:v>宁波银行投资结论</x:v>
      </x:c>
      <x:c r="F1" s="6" t="str">
        <x:v>宁波银行投资结论</x:v>
      </x:c>
      <x:c r="G1" s="6" t="str">
        <x:v>宁波银行投资结论</x:v>
      </x:c>
      <x:c r="H1" s="6" t="str">
        <x:v>宁波银行投资结论</x:v>
      </x:c>
      <x:c r="I1" s="6" t="str">
        <x:v>宁波银行投资结论</x:v>
      </x:c>
      <x:c r="J1" s="6" t="str">
        <x:v>宁波银行投资结论</x:v>
      </x:c>
      <x:c r="K1" s="6" t="str">
        <x:v>宁波银行投资结论</x:v>
      </x:c>
      <x:c r="L1" s="6" t="str">
        <x:v>宁波银行投资结论</x:v>
      </x:c>
      <x:c r="M1" s="6" t="str">
        <x:v>宁波银行投资结论</x:v>
      </x:c>
      <x:c r="N1" s="6" t="str">
        <x:v>宁波银行投资结论</x:v>
      </x:c>
    </x:row>
    <x:row r="2" ht="34" customHeight="1">
      <x:c r="A2" s="6" t="str">
        <x:v>宁波银行投资结论</x:v>
      </x:c>
      <x:c r="B2" s="6" t="str">
        <x:v>宁波银行投资结论</x:v>
      </x:c>
      <x:c r="C2" s="6" t="str">
        <x:v>宁波银行投资结论</x:v>
      </x:c>
      <x:c r="D2" s="6" t="str">
        <x:v>宁波银行投资结论</x:v>
      </x:c>
      <x:c r="E2" s="6" t="str">
        <x:v>宁波银行投资结论</x:v>
      </x:c>
      <x:c r="F2" s="6" t="str">
        <x:v>宁波银行投资结论</x:v>
      </x:c>
      <x:c r="G2" s="6" t="str">
        <x:v>宁波银行投资结论</x:v>
      </x:c>
      <x:c r="H2" s="6" t="str">
        <x:v>宁波银行投资结论</x:v>
      </x:c>
      <x:c r="I2" s="6" t="str">
        <x:v>宁波银行投资结论</x:v>
      </x:c>
      <x:c r="J2" s="6" t="str">
        <x:v>宁波银行投资结论</x:v>
      </x:c>
      <x:c r="K2" s="6" t="str">
        <x:v>宁波银行投资结论</x:v>
      </x:c>
      <x:c r="L2" s="6" t="str">
        <x:v>宁波银行投资结论</x:v>
      </x:c>
      <x:c r="M2" s="6" t="str">
        <x:v>宁波银行投资结论</x:v>
      </x:c>
      <x:c r="N2" s="6" t="str">
        <x:v>宁波银行投资结论</x:v>
      </x:c>
    </x:row>
    <x:row r="3" ht="24" customHeight="1">
      <x:c r="A3" s="7" t="str">
        <x:v>事实—假设—判断分层；不构成个性化投资建议</x:v>
      </x:c>
      <x:c r="B3" s="7" t="str">
        <x:v>事实—假设—判断分层；不构成个性化投资建议</x:v>
      </x:c>
      <x:c r="C3" s="7" t="str">
        <x:v>事实—假设—判断分层；不构成个性化投资建议</x:v>
      </x:c>
      <x:c r="D3" s="7" t="str">
        <x:v>事实—假设—判断分层；不构成个性化投资建议</x:v>
      </x:c>
      <x:c r="E3" s="7" t="str">
        <x:v>事实—假设—判断分层；不构成个性化投资建议</x:v>
      </x:c>
      <x:c r="F3" s="7" t="str">
        <x:v>事实—假设—判断分层；不构成个性化投资建议</x:v>
      </x:c>
      <x:c r="G3" s="7" t="str">
        <x:v>事实—假设—判断分层；不构成个性化投资建议</x:v>
      </x:c>
      <x:c r="H3" s="7" t="str">
        <x:v>事实—假设—判断分层；不构成个性化投资建议</x:v>
      </x:c>
      <x:c r="I3" s="7" t="str">
        <x:v>事实—假设—判断分层；不构成个性化投资建议</x:v>
      </x:c>
      <x:c r="J3" s="7" t="str">
        <x:v>事实—假设—判断分层；不构成个性化投资建议</x:v>
      </x:c>
      <x:c r="K3" s="7" t="str">
        <x:v>事实—假设—判断分层；不构成个性化投资建议</x:v>
      </x:c>
      <x:c r="L3" s="7" t="str">
        <x:v>事实—假设—判断分层；不构成个性化投资建议</x:v>
      </x:c>
      <x:c r="M3" s="7" t="str">
        <x:v>事实—假设—判断分层；不构成个性化投资建议</x:v>
      </x:c>
      <x:c r="N3" s="7" t="str">
        <x:v>事实—假设—判断分层；不构成个性化投资建议</x:v>
      </x:c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</x:row>
    <x:row r="5" ht="23" customHeight="1">
      <x:c r="A5" s="9" t="str">
        <x:v>一句话结论</x:v>
      </x:c>
      <x:c r="B5" s="9" t="str">
        <x:v>一句话结论</x:v>
      </x:c>
      <x:c r="C5" s="9" t="str">
        <x:v>一句话结论</x:v>
      </x:c>
      <x:c r="D5" s="9" t="str">
        <x:v>一句话结论</x:v>
      </x:c>
      <x:c r="E5" s="9" t="str">
        <x:v>一句话结论</x:v>
      </x:c>
      <x:c r="F5" s="9" t="str">
        <x:v>一句话结论</x:v>
      </x:c>
      <x:c r="G5" s="9" t="str">
        <x:v>一句话结论</x:v>
      </x:c>
      <x:c r="H5" s="9" t="str">
        <x:v>一句话结论</x:v>
      </x:c>
      <x:c r="I5" s="9" t="str">
        <x:v>一句话结论</x:v>
      </x:c>
      <x:c r="J5" s="9" t="str">
        <x:v>一句话结论</x:v>
      </x:c>
      <x:c r="K5" s="9" t="str">
        <x:v>一句话结论</x:v>
      </x:c>
      <x:c r="L5" s="9" t="str">
        <x:v>一句话结论</x:v>
      </x:c>
      <x:c r="M5" s="9" t="str">
        <x:v>一句话结论</x:v>
      </x:c>
      <x:c r="N5" s="9" t="str">
        <x:v>一句话结论</x:v>
      </x:c>
    </x:row>
    <x:row r="6">
      <x:c r="A6" s="28" t="str">
        <x:v>宁波银行的基本面仍在优质城商行第一梯队，1H26利润增长、存款成本与手续费收入改善形成支撑；但35.50元已接近两阶段股息价值，且相对区域同业存在显著溢价，预期回报更依赖ROE与分红持续兑现。</x:v>
      </x:c>
      <x:c r="B6" s="28" t="str">
        <x:v>宁波银行的基本面仍在优质城商行第一梯队，1H26利润增长、存款成本与手续费收入改善形成支撑；但35.50元已接近两阶段股息价值，且相对区域同业存在显著溢价，预期回报更依赖ROE与分红持续兑现。</x:v>
      </x:c>
      <x:c r="C6" s="28" t="str">
        <x:v>宁波银行的基本面仍在优质城商行第一梯队，1H26利润增长、存款成本与手续费收入改善形成支撑；但35.50元已接近两阶段股息价值，且相对区域同业存在显著溢价，预期回报更依赖ROE与分红持续兑现。</x:v>
      </x:c>
      <x:c r="D6" s="28" t="str">
        <x:v>宁波银行的基本面仍在优质城商行第一梯队，1H26利润增长、存款成本与手续费收入改善形成支撑；但35.50元已接近两阶段股息价值，且相对区域同业存在显著溢价，预期回报更依赖ROE与分红持续兑现。</x:v>
      </x:c>
      <x:c r="E6" s="28" t="str">
        <x:v>宁波银行的基本面仍在优质城商行第一梯队，1H26利润增长、存款成本与手续费收入改善形成支撑；但35.50元已接近两阶段股息价值，且相对区域同业存在显著溢价，预期回报更依赖ROE与分红持续兑现。</x:v>
      </x:c>
      <x:c r="F6" s="28" t="str">
        <x:v>宁波银行的基本面仍在优质城商行第一梯队，1H26利润增长、存款成本与手续费收入改善形成支撑；但35.50元已接近两阶段股息价值，且相对区域同业存在显著溢价，预期回报更依赖ROE与分红持续兑现。</x:v>
      </x:c>
      <x:c r="G6" s="28" t="str">
        <x:v>宁波银行的基本面仍在优质城商行第一梯队，1H26利润增长、存款成本与手续费收入改善形成支撑；但35.50元已接近两阶段股息价值，且相对区域同业存在显著溢价，预期回报更依赖ROE与分红持续兑现。</x:v>
      </x:c>
      <x:c r="H6" s="28" t="str">
        <x:v>宁波银行的基本面仍在优质城商行第一梯队，1H26利润增长、存款成本与手续费收入改善形成支撑；但35.50元已接近两阶段股息价值，且相对区域同业存在显著溢价，预期回报更依赖ROE与分红持续兑现。</x:v>
      </x:c>
      <x:c r="I6" s="28" t="str">
        <x:v>宁波银行的基本面仍在优质城商行第一梯队，1H26利润增长、存款成本与手续费收入改善形成支撑；但35.50元已接近两阶段股息价值，且相对区域同业存在显著溢价，预期回报更依赖ROE与分红持续兑现。</x:v>
      </x:c>
      <x:c r="J6" s="28" t="str">
        <x:v>宁波银行的基本面仍在优质城商行第一梯队，1H26利润增长、存款成本与手续费收入改善形成支撑；但35.50元已接近两阶段股息价值，且相对区域同业存在显著溢价，预期回报更依赖ROE与分红持续兑现。</x:v>
      </x:c>
      <x:c r="K6" s="28" t="str">
        <x:v>宁波银行的基本面仍在优质城商行第一梯队，1H26利润增长、存款成本与手续费收入改善形成支撑；但35.50元已接近两阶段股息价值，且相对区域同业存在显著溢价，预期回报更依赖ROE与分红持续兑现。</x:v>
      </x:c>
      <x:c r="L6" s="28" t="str">
        <x:v>宁波银行的基本面仍在优质城商行第一梯队，1H26利润增长、存款成本与手续费收入改善形成支撑；但35.50元已接近两阶段股息价值，且相对区域同业存在显著溢价，预期回报更依赖ROE与分红持续兑现。</x:v>
      </x:c>
      <x:c r="M6" s="28" t="str">
        <x:v>宁波银行的基本面仍在优质城商行第一梯队，1H26利润增长、存款成本与手续费收入改善形成支撑；但35.50元已接近两阶段股息价值，且相对区域同业存在显著溢价，预期回报更依赖ROE与分红持续兑现。</x:v>
      </x:c>
      <x:c r="N6" s="28" t="str">
        <x:v>宁波银行的基本面仍在优质城商行第一梯队，1H26利润增长、存款成本与手续费收入改善形成支撑；但35.50元已接近两阶段股息价值，且相对区域同业存在显著溢价，预期回报更依赖ROE与分红持续兑现。</x:v>
      </x:c>
    </x:row>
    <x:row r="7">
      <x:c r="A7" s="28" t="str">
        <x:v>宁波银行的基本面仍在优质城商行第一梯队，1H26利润增长、存款成本与手续费收入改善形成支撑；但35.50元已接近两阶段股息价值，且相对区域同业存在显著溢价，预期回报更依赖ROE与分红持续兑现。</x:v>
      </x:c>
      <x:c r="B7" s="28" t="str">
        <x:v>宁波银行的基本面仍在优质城商行第一梯队，1H26利润增长、存款成本与手续费收入改善形成支撑；但35.50元已接近两阶段股息价值，且相对区域同业存在显著溢价，预期回报更依赖ROE与分红持续兑现。</x:v>
      </x:c>
      <x:c r="C7" s="28" t="str">
        <x:v>宁波银行的基本面仍在优质城商行第一梯队，1H26利润增长、存款成本与手续费收入改善形成支撑；但35.50元已接近两阶段股息价值，且相对区域同业存在显著溢价，预期回报更依赖ROE与分红持续兑现。</x:v>
      </x:c>
      <x:c r="D7" s="28" t="str">
        <x:v>宁波银行的基本面仍在优质城商行第一梯队，1H26利润增长、存款成本与手续费收入改善形成支撑；但35.50元已接近两阶段股息价值，且相对区域同业存在显著溢价，预期回报更依赖ROE与分红持续兑现。</x:v>
      </x:c>
      <x:c r="E7" s="28" t="str">
        <x:v>宁波银行的基本面仍在优质城商行第一梯队，1H26利润增长、存款成本与手续费收入改善形成支撑；但35.50元已接近两阶段股息价值，且相对区域同业存在显著溢价，预期回报更依赖ROE与分红持续兑现。</x:v>
      </x:c>
      <x:c r="F7" s="28" t="str">
        <x:v>宁波银行的基本面仍在优质城商行第一梯队，1H26利润增长、存款成本与手续费收入改善形成支撑；但35.50元已接近两阶段股息价值，且相对区域同业存在显著溢价，预期回报更依赖ROE与分红持续兑现。</x:v>
      </x:c>
      <x:c r="G7" s="28" t="str">
        <x:v>宁波银行的基本面仍在优质城商行第一梯队，1H26利润增长、存款成本与手续费收入改善形成支撑；但35.50元已接近两阶段股息价值，且相对区域同业存在显著溢价，预期回报更依赖ROE与分红持续兑现。</x:v>
      </x:c>
      <x:c r="H7" s="28" t="str">
        <x:v>宁波银行的基本面仍在优质城商行第一梯队，1H26利润增长、存款成本与手续费收入改善形成支撑；但35.50元已接近两阶段股息价值，且相对区域同业存在显著溢价，预期回报更依赖ROE与分红持续兑现。</x:v>
      </x:c>
      <x:c r="I7" s="28" t="str">
        <x:v>宁波银行的基本面仍在优质城商行第一梯队，1H26利润增长、存款成本与手续费收入改善形成支撑；但35.50元已接近两阶段股息价值，且相对区域同业存在显著溢价，预期回报更依赖ROE与分红持续兑现。</x:v>
      </x:c>
      <x:c r="J7" s="28" t="str">
        <x:v>宁波银行的基本面仍在优质城商行第一梯队，1H26利润增长、存款成本与手续费收入改善形成支撑；但35.50元已接近两阶段股息价值，且相对区域同业存在显著溢价，预期回报更依赖ROE与分红持续兑现。</x:v>
      </x:c>
      <x:c r="K7" s="28" t="str">
        <x:v>宁波银行的基本面仍在优质城商行第一梯队，1H26利润增长、存款成本与手续费收入改善形成支撑；但35.50元已接近两阶段股息价值，且相对区域同业存在显著溢价，预期回报更依赖ROE与分红持续兑现。</x:v>
      </x:c>
      <x:c r="L7" s="28" t="str">
        <x:v>宁波银行的基本面仍在优质城商行第一梯队，1H26利润增长、存款成本与手续费收入改善形成支撑；但35.50元已接近两阶段股息价值，且相对区域同业存在显著溢价，预期回报更依赖ROE与分红持续兑现。</x:v>
      </x:c>
      <x:c r="M7" s="28" t="str">
        <x:v>宁波银行的基本面仍在优质城商行第一梯队，1H26利润增长、存款成本与手续费收入改善形成支撑；但35.50元已接近两阶段股息价值，且相对区域同业存在显著溢价，预期回报更依赖ROE与分红持续兑现。</x:v>
      </x:c>
      <x:c r="N7" s="28" t="str">
        <x:v>宁波银行的基本面仍在优质城商行第一梯队，1H26利润增长、存款成本与手续费收入改善形成支撑；但35.50元已接近两阶段股息价值，且相对区域同业存在显著溢价，预期回报更依赖ROE与分红持续兑现。</x:v>
      </x:c>
    </x:row>
    <x:row r="8">
      <x:c r="A8" s="28" t="str">
        <x:v>宁波银行的基本面仍在优质城商行第一梯队，1H26利润增长、存款成本与手续费收入改善形成支撑；但35.50元已接近两阶段股息价值，且相对区域同业存在显著溢价，预期回报更依赖ROE与分红持续兑现。</x:v>
      </x:c>
      <x:c r="B8" s="28" t="str">
        <x:v>宁波银行的基本面仍在优质城商行第一梯队，1H26利润增长、存款成本与手续费收入改善形成支撑；但35.50元已接近两阶段股息价值，且相对区域同业存在显著溢价，预期回报更依赖ROE与分红持续兑现。</x:v>
      </x:c>
      <x:c r="C8" s="28" t="str">
        <x:v>宁波银行的基本面仍在优质城商行第一梯队，1H26利润增长、存款成本与手续费收入改善形成支撑；但35.50元已接近两阶段股息价值，且相对区域同业存在显著溢价，预期回报更依赖ROE与分红持续兑现。</x:v>
      </x:c>
      <x:c r="D8" s="28" t="str">
        <x:v>宁波银行的基本面仍在优质城商行第一梯队，1H26利润增长、存款成本与手续费收入改善形成支撑；但35.50元已接近两阶段股息价值，且相对区域同业存在显著溢价，预期回报更依赖ROE与分红持续兑现。</x:v>
      </x:c>
      <x:c r="E8" s="28" t="str">
        <x:v>宁波银行的基本面仍在优质城商行第一梯队，1H26利润增长、存款成本与手续费收入改善形成支撑；但35.50元已接近两阶段股息价值，且相对区域同业存在显著溢价，预期回报更依赖ROE与分红持续兑现。</x:v>
      </x:c>
      <x:c r="F8" s="28" t="str">
        <x:v>宁波银行的基本面仍在优质城商行第一梯队，1H26利润增长、存款成本与手续费收入改善形成支撑；但35.50元已接近两阶段股息价值，且相对区域同业存在显著溢价，预期回报更依赖ROE与分红持续兑现。</x:v>
      </x:c>
      <x:c r="G8" s="28" t="str">
        <x:v>宁波银行的基本面仍在优质城商行第一梯队，1H26利润增长、存款成本与手续费收入改善形成支撑；但35.50元已接近两阶段股息价值，且相对区域同业存在显著溢价，预期回报更依赖ROE与分红持续兑现。</x:v>
      </x:c>
      <x:c r="H8" s="28" t="str">
        <x:v>宁波银行的基本面仍在优质城商行第一梯队，1H26利润增长、存款成本与手续费收入改善形成支撑；但35.50元已接近两阶段股息价值，且相对区域同业存在显著溢价，预期回报更依赖ROE与分红持续兑现。</x:v>
      </x:c>
      <x:c r="I8" s="28" t="str">
        <x:v>宁波银行的基本面仍在优质城商行第一梯队，1H26利润增长、存款成本与手续费收入改善形成支撑；但35.50元已接近两阶段股息价值，且相对区域同业存在显著溢价，预期回报更依赖ROE与分红持续兑现。</x:v>
      </x:c>
      <x:c r="J8" s="28" t="str">
        <x:v>宁波银行的基本面仍在优质城商行第一梯队，1H26利润增长、存款成本与手续费收入改善形成支撑；但35.50元已接近两阶段股息价值，且相对区域同业存在显著溢价，预期回报更依赖ROE与分红持续兑现。</x:v>
      </x:c>
      <x:c r="K8" s="28" t="str">
        <x:v>宁波银行的基本面仍在优质城商行第一梯队，1H26利润增长、存款成本与手续费收入改善形成支撑；但35.50元已接近两阶段股息价值，且相对区域同业存在显著溢价，预期回报更依赖ROE与分红持续兑现。</x:v>
      </x:c>
      <x:c r="L8" s="28" t="str">
        <x:v>宁波银行的基本面仍在优质城商行第一梯队，1H26利润增长、存款成本与手续费收入改善形成支撑；但35.50元已接近两阶段股息价值，且相对区域同业存在显著溢价，预期回报更依赖ROE与分红持续兑现。</x:v>
      </x:c>
      <x:c r="M8" s="28" t="str">
        <x:v>宁波银行的基本面仍在优质城商行第一梯队，1H26利润增长、存款成本与手续费收入改善形成支撑；但35.50元已接近两阶段股息价值，且相对区域同业存在显著溢价，预期回报更依赖ROE与分红持续兑现。</x:v>
      </x:c>
      <x:c r="N8" s="28" t="str">
        <x:v>宁波银行的基本面仍在优质城商行第一梯队，1H26利润增长、存款成本与手续费收入改善形成支撑；但35.50元已接近两阶段股息价值，且相对区域同业存在显著溢价，预期回报更依赖ROE与分红持续兑现。</x:v>
      </x:c>
    </x:row>
    <x:row r="9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</x:row>
    <x:row r="10" ht="23" customHeight="1">
      <x:c r="A10" s="9" t="str">
        <x:v>客观事实</x:v>
      </x:c>
      <x:c r="B10" s="9" t="str">
        <x:v>客观事实</x:v>
      </x:c>
      <x:c r="C10" s="9" t="str">
        <x:v>客观事实</x:v>
      </x:c>
      <x:c r="D10" s="9" t="str">
        <x:v>客观事实</x:v>
      </x:c>
      <x:c r="E10" s="9" t="str">
        <x:v>客观事实</x:v>
      </x:c>
      <x:c r="F10" s="9" t="str">
        <x:v>客观事实</x:v>
      </x:c>
      <x:c r="G10" s="9" t="str">
        <x:v>客观事实</x:v>
      </x:c>
      <x:c r="H10" s="9" t="str">
        <x:v>模型假设</x:v>
      </x:c>
      <x:c r="I10" s="9" t="str">
        <x:v>模型假设</x:v>
      </x:c>
      <x:c r="J10" s="9" t="str">
        <x:v>模型假设</x:v>
      </x:c>
      <x:c r="K10" s="9" t="str">
        <x:v>模型假设</x:v>
      </x:c>
      <x:c r="L10" s="9" t="str">
        <x:v>模型假设</x:v>
      </x:c>
      <x:c r="M10" s="9" t="str">
        <x:v>模型假设</x:v>
      </x:c>
      <x:c r="N10" s="9" t="str">
        <x:v>模型假设</x:v>
      </x:c>
    </x:row>
    <x:row r="11" ht="23" customHeight="1">
      <x:c r="A11" s="11" t="str">
        <x:v>维度</x:v>
      </x:c>
      <x:c r="B11" s="11" t="str">
        <x:v>1H26数据</x:v>
      </x:c>
      <x:c r="C11" s="11" t="str">
        <x:v>变化/判断</x:v>
      </x:c>
      <x:c r="D11" s="11" t="str">
        <x:v>来源</x:v>
      </x:c>
      <x:c r="E11" s="11"/>
      <x:c r="F11" s="11"/>
      <x:c r="G11" s="11"/>
      <x:c r="H11" s="11" t="str">
        <x:v>假设</x:v>
      </x:c>
      <x:c r="I11" s="11" t="str">
        <x:v>偏谨慎</x:v>
      </x:c>
      <x:c r="J11" s="11" t="str">
        <x:v>基准</x:v>
      </x:c>
      <x:c r="K11" s="11" t="str">
        <x:v>偏乐观</x:v>
      </x:c>
      <x:c r="L11" s="11"/>
      <x:c r="M11" s="11"/>
      <x:c r="N11" s="11"/>
    </x:row>
    <x:row r="12">
      <x:c r="A12" s="19" t="str">
        <x:v>收入</x:v>
      </x:c>
      <x:c r="B12" s="29" t="n">
        <x:v>414.5</x:v>
      </x:c>
      <x:c r="C12" s="29" t="str">
        <x:v>同比+11.54%</x:v>
      </x:c>
      <x:c r="D12" s="19" t="str">
        <x:v>2026中报p6</x:v>
      </x:c>
      <x:c r="E12" s="19"/>
      <x:c r="F12" s="19"/>
      <x:c r="G12" s="19"/>
      <x:c r="H12" s="19" t="str">
        <x:v>归一化ROE</x:v>
      </x:c>
      <x:c r="I12" s="30" t="str">
        <x:v>9.0%</x:v>
      </x:c>
      <x:c r="J12" s="30" t="str">
        <x:v>13.0%</x:v>
      </x:c>
      <x:c r="K12" s="30" t="str">
        <x:v>15.0%</x:v>
      </x:c>
      <x:c r="L12" s="19"/>
      <x:c r="M12" s="19"/>
      <x:c r="N12" s="19"/>
    </x:row>
    <x:row r="13">
      <x:c r="A13" s="19" t="str">
        <x:v>归母净利润</x:v>
      </x:c>
      <x:c r="B13" s="29" t="n">
        <x:v>165.62</x:v>
      </x:c>
      <x:c r="C13" s="29" t="str">
        <x:v>同比+12.12%</x:v>
      </x:c>
      <x:c r="D13" s="19" t="str">
        <x:v>2026中报p6</x:v>
      </x:c>
      <x:c r="E13" s="19"/>
      <x:c r="F13" s="19"/>
      <x:c r="G13" s="19"/>
      <x:c r="H13" s="19" t="str">
        <x:v>股权成本</x:v>
      </x:c>
      <x:c r="I13" s="30" t="str">
        <x:v>12.0%</x:v>
      </x:c>
      <x:c r="J13" s="30" t="str">
        <x:v>10.5%</x:v>
      </x:c>
      <x:c r="K13" s="30" t="str">
        <x:v>9.5%</x:v>
      </x:c>
      <x:c r="L13" s="19"/>
      <x:c r="M13" s="19"/>
      <x:c r="N13" s="19"/>
    </x:row>
    <x:row r="14">
      <x:c r="A14" s="19" t="str">
        <x:v>净息差</x:v>
      </x:c>
      <x:c r="B14" s="29" t="str">
        <x:v>1.70%</x:v>
      </x:c>
      <x:c r="C14" s="29" t="str">
        <x:v>同比-6bp</x:v>
      </x:c>
      <x:c r="D14" s="19" t="str">
        <x:v>2026中报p8</x:v>
      </x:c>
      <x:c r="E14" s="19"/>
      <x:c r="F14" s="19"/>
      <x:c r="G14" s="19"/>
      <x:c r="H14" s="19" t="str">
        <x:v>永续增长</x:v>
      </x:c>
      <x:c r="I14" s="30" t="str">
        <x:v>2.5%</x:v>
      </x:c>
      <x:c r="J14" s="30" t="str">
        <x:v>4.0%</x:v>
      </x:c>
      <x:c r="K14" s="30" t="str">
        <x:v>5.0%</x:v>
      </x:c>
      <x:c r="L14" s="19"/>
      <x:c r="M14" s="19"/>
      <x:c r="N14" s="19"/>
    </x:row>
    <x:row r="15">
      <x:c r="A15" s="19" t="str">
        <x:v>不良率/拨备</x:v>
      </x:c>
      <x:c r="B15" s="29" t="str">
        <x:v>0.76% / 373.35%</x:v>
      </x:c>
      <x:c r="C15" s="29" t="str">
        <x:v>总体稳定</x:v>
      </x:c>
      <x:c r="D15" s="19" t="str">
        <x:v>2026中报p8</x:v>
      </x:c>
      <x:c r="E15" s="19"/>
      <x:c r="F15" s="19"/>
      <x:c r="G15" s="19"/>
      <x:c r="H15" s="19" t="str">
        <x:v>终值ROE</x:v>
      </x:c>
      <x:c r="I15" s="30" t="str">
        <x:v>9.5%</x:v>
      </x:c>
      <x:c r="J15" s="30" t="str">
        <x:v>11.5%</x:v>
      </x:c>
      <x:c r="K15" s="30" t="str">
        <x:v>13.0%</x:v>
      </x:c>
      <x:c r="L15" s="19"/>
      <x:c r="M15" s="19"/>
      <x:c r="N15" s="19"/>
    </x:row>
    <x:row r="16">
      <x:c r="A16" s="19" t="str">
        <x:v>CET1</x:v>
      </x:c>
      <x:c r="B16" s="29" t="str">
        <x:v>9.53%</x:v>
      </x:c>
      <x:c r="C16" s="29" t="str">
        <x:v>较2025末+19bp</x:v>
      </x:c>
      <x:c r="D16" s="19" t="str">
        <x:v>2026中报p8</x:v>
      </x:c>
      <x:c r="E16" s="19"/>
      <x:c r="F16" s="19"/>
      <x:c r="G16" s="19"/>
      <x:c r="H16" s="19" t="str">
        <x:v>同业折溢价</x:v>
      </x:c>
      <x:c r="I16" s="30" t="str">
        <x:v>0.90x</x:v>
      </x:c>
      <x:c r="J16" s="30" t="str">
        <x:v>1.00x</x:v>
      </x:c>
      <x:c r="K16" s="30" t="str">
        <x:v>1.10x</x:v>
      </x:c>
      <x:c r="L16" s="19"/>
      <x:c r="M16" s="19"/>
      <x:c r="N16" s="19"/>
    </x:row>
    <x:row r="17">
      <x:c r="A17" s="19" t="str">
        <x:v>分红</x:v>
      </x:c>
      <x:c r="B17" s="29" t="str">
        <x:v>0.40元/股</x:v>
      </x:c>
      <x:c r="C17" s="29" t="str">
        <x:v>中期方案待股东会批准</x:v>
      </x:c>
      <x:c r="D17" s="19" t="str">
        <x:v>2026中报p38</x:v>
      </x:c>
      <x:c r="E17" s="19"/>
      <x:c r="F17" s="19"/>
      <x:c r="G17" s="19"/>
      <x:c r="H17" s="19" t="str">
        <x:v>情景价值</x:v>
      </x:c>
      <x:c r="I17" s="32" t="n">
        <x:f>'估值敏感性'!G18</x:f>
        <x:v>27.06582730554375</x:v>
      </x:c>
      <x:c r="J17" s="32" t="n">
        <x:f>'估值敏感性'!G19</x:f>
        <x:v>40.7028721091635</x:v>
      </x:c>
      <x:c r="K17" s="32" t="n">
        <x:f>'估值敏感性'!G20</x:f>
        <x:v>50.96284137631557</x:v>
      </x:c>
      <x:c r="L17" s="19"/>
      <x:c r="M17" s="19"/>
      <x:c r="N17" s="19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</x:row>
    <x:row r="19" ht="23" customHeight="1">
      <x:c r="A19" s="9" t="str">
        <x:v>估值结论与边际</x:v>
      </x:c>
      <x:c r="B19" s="9" t="str">
        <x:v>估值结论与边际</x:v>
      </x:c>
      <x:c r="C19" s="9" t="str">
        <x:v>估值结论与边际</x:v>
      </x:c>
      <x:c r="D19" s="9" t="str">
        <x:v>估值结论与边际</x:v>
      </x:c>
      <x:c r="E19" s="9" t="str">
        <x:v>估值结论与边际</x:v>
      </x:c>
      <x:c r="F19" s="9" t="str">
        <x:v>估值结论与边际</x:v>
      </x:c>
      <x:c r="G19" s="9" t="str">
        <x:v>估值结论与边际</x:v>
      </x:c>
      <x:c r="H19" s="9" t="str">
        <x:v>估值结论与边际</x:v>
      </x:c>
      <x:c r="I19" s="9" t="str">
        <x:v>估值结论与边际</x:v>
      </x:c>
      <x:c r="J19" s="9" t="str">
        <x:v>估值结论与边际</x:v>
      </x:c>
      <x:c r="K19" s="9" t="str">
        <x:v>估值结论与边际</x:v>
      </x:c>
      <x:c r="L19" s="9" t="str">
        <x:v>估值结论与边际</x:v>
      </x:c>
      <x:c r="M19" s="9" t="str">
        <x:v>估值结论与边际</x:v>
      </x:c>
      <x:c r="N19" s="9" t="str">
        <x:v>估值结论与边际</x:v>
      </x:c>
    </x:row>
    <x:row r="20" ht="23" customHeight="1">
      <x:c r="A20" s="11" t="str">
        <x:v>项目</x:v>
      </x:c>
      <x:c r="B20" s="11" t="str">
        <x:v>数值</x:v>
      </x:c>
      <x:c r="C20" s="11" t="str">
        <x:v>含义</x:v>
      </x:c>
      <x:c r="D20" s="11"/>
      <x:c r="E20" s="11"/>
      <x:c r="F20" s="11"/>
      <x:c r="G20" s="11"/>
      <x:c r="H20" s="11" t="str">
        <x:v>项目</x:v>
      </x:c>
      <x:c r="I20" s="11" t="str">
        <x:v>数值</x:v>
      </x:c>
      <x:c r="J20" s="11" t="str">
        <x:v>含义</x:v>
      </x:c>
      <x:c r="K20" s="11"/>
      <x:c r="L20" s="11"/>
      <x:c r="M20" s="11"/>
      <x:c r="N20" s="11"/>
    </x:row>
    <x:row r="21">
      <x:c r="A21" s="19" t="str">
        <x:v>当前价</x:v>
      </x:c>
      <x:c r="B21" s="32" t="n">
        <x:f>'估值系统'!B7</x:f>
        <x:v>35.5</x:v>
      </x:c>
      <x:c r="C21" s="19" t="str">
        <x:v>2026-10-13收盘</x:v>
      </x:c>
      <x:c r="D21" s="19"/>
      <x:c r="E21" s="19"/>
      <x:c r="F21" s="19"/>
      <x:c r="G21" s="19"/>
      <x:c r="H21" s="19" t="str">
        <x:v>加权中枢</x:v>
      </x:c>
      <x:c r="I21" s="32" t="n">
        <x:f>'估值系统'!L13</x:f>
        <x:v>40.7028721091635</x:v>
      </x:c>
      <x:c r="J21" s="19" t="str">
        <x:v>六法加权</x:v>
      </x:c>
      <x:c r="K21" s="19"/>
      <x:c r="L21" s="19"/>
      <x:c r="M21" s="19"/>
      <x:c r="N21" s="19"/>
    </x:row>
    <x:row r="22">
      <x:c r="A22" s="19" t="str">
        <x:v>核心区间下沿</x:v>
      </x:c>
      <x:c r="B22" s="32" t="n">
        <x:f>'估值系统'!L15</x:f>
        <x:v>34.12854673453594</x:v>
      </x:c>
      <x:c r="C22" s="19" t="str">
        <x:v>两阶段股息模型</x:v>
      </x:c>
      <x:c r="D22" s="19"/>
      <x:c r="E22" s="19"/>
      <x:c r="F22" s="19"/>
      <x:c r="G22" s="19"/>
      <x:c r="H22" s="19" t="str">
        <x:v>相对安全边际</x:v>
      </x:c>
      <x:c r="I22" s="33" t="n">
        <x:f>'估值系统'!L17</x:f>
        <x:v>0.1465597777229155</x:v>
      </x:c>
      <x:c r="J22" s="19" t="str">
        <x:v>中枢/股价-1</x:v>
      </x:c>
      <x:c r="K22" s="19"/>
      <x:c r="L22" s="19"/>
      <x:c r="M22" s="19"/>
      <x:c r="N22" s="19"/>
    </x:row>
    <x:row r="23">
      <x:c r="A23" s="19" t="str">
        <x:v>核心区间上沿</x:v>
      </x:c>
      <x:c r="B23" s="32" t="n">
        <x:f>'估值系统'!L16</x:f>
        <x:v>40.7028721091635</x:v>
      </x:c>
      <x:c r="C23" s="19" t="str">
        <x:v>加权中枢</x:v>
      </x:c>
      <x:c r="D23" s="19"/>
      <x:c r="E23" s="19"/>
      <x:c r="F23" s="19"/>
      <x:c r="G23" s="19"/>
      <x:c r="H23" s="19" t="str">
        <x:v>审慎价值</x:v>
      </x:c>
      <x:c r="I23" s="32" t="n">
        <x:f>'估值系统'!L14</x:f>
        <x:v>27.51529953988137</x:v>
      </x:c>
      <x:c r="J23" s="19" t="str">
        <x:v>同业压力测试</x:v>
      </x:c>
      <x:c r="K23" s="19"/>
      <x:c r="L23" s="19"/>
      <x:c r="M23" s="19"/>
      <x:c r="N23" s="19"/>
    </x:row>
    <x:row r="24">
      <x:c r="A24" s="19" t="str">
        <x:v>审慎安全边际</x:v>
      </x:c>
      <x:c r="B24" s="33" t="n">
        <x:f>'估值系统'!L18</x:f>
        <x:v>-0.22492113972165162</x:v>
      </x:c>
      <x:c r="C24" s="19" t="str">
        <x:v>压力测试/股价-1</x:v>
      </x:c>
      <x:c r="D24" s="19"/>
      <x:c r="E24" s="19"/>
      <x:c r="F24" s="19"/>
      <x:c r="G24" s="19"/>
      <x:c r="H24" s="19" t="str">
        <x:v>历史估值位置</x:v>
      </x:c>
      <x:c r="I24" s="33" t="n">
        <x:f>'估值系统'!B13/MEDIAN('财务十年'!P6:P15)-1</x:f>
        <x:v>-0.3828813657749156</x:v>
      </x:c>
      <x:c r="J24" s="19" t="str">
        <x:v>PB低于十年中位数</x:v>
      </x:c>
      <x:c r="K24" s="19"/>
      <x:c r="L24" s="19"/>
      <x:c r="M24" s="19"/>
      <x:c r="N24" s="19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</x:row>
    <x:row r="26" ht="23" customHeight="1">
      <x:c r="A26" s="9" t="str">
        <x:v>三条核心论据</x:v>
      </x:c>
      <x:c r="B26" s="9" t="str">
        <x:v>三条核心论据</x:v>
      </x:c>
      <x:c r="C26" s="9" t="str">
        <x:v>三条核心论据</x:v>
      </x:c>
      <x:c r="D26" s="9" t="str">
        <x:v>三条核心论据</x:v>
      </x:c>
      <x:c r="E26" s="9" t="str">
        <x:v>三条核心论据</x:v>
      </x:c>
      <x:c r="F26" s="9" t="str">
        <x:v>三条核心论据</x:v>
      </x:c>
      <x:c r="G26" s="9" t="str">
        <x:v>三条核心论据</x:v>
      </x:c>
      <x:c r="H26" s="9" t="str">
        <x:v>三条关键风险</x:v>
      </x:c>
      <x:c r="I26" s="9" t="str">
        <x:v>三条关键风险</x:v>
      </x:c>
      <x:c r="J26" s="9" t="str">
        <x:v>三条关键风险</x:v>
      </x:c>
      <x:c r="K26" s="9" t="str">
        <x:v>三条关键风险</x:v>
      </x:c>
      <x:c r="L26" s="9" t="str">
        <x:v>三条关键风险</x:v>
      </x:c>
      <x:c r="M26" s="9" t="str">
        <x:v>三条关键风险</x:v>
      </x:c>
      <x:c r="N26" s="9" t="str">
        <x:v>三条关键风险</x:v>
      </x:c>
    </x:row>
    <x:row r="27">
      <x:c r="A27" s="29" t="str">
        <x:v>1</x:v>
      </x:c>
      <x:c r="B27" s="29" t="str">
        <x:v>增长韧性</x:v>
      </x:c>
      <x:c r="C27" s="29" t="str">
        <x:v>1H26营收/归母净利分别+11.54%/+12.12%，PPOP +16.77%</x:v>
      </x:c>
      <x:c r="D27" s="29"/>
      <x:c r="E27" s="29"/>
      <x:c r="F27" s="29"/>
      <x:c r="G27" s="29"/>
      <x:c r="H27" s="34" t="str">
        <x:v>1</x:v>
      </x:c>
      <x:c r="I27" s="34" t="str">
        <x:v>零售信用风险</x:v>
      </x:c>
      <x:c r="J27" s="34" t="str">
        <x:v>消费贷NPL 1.78%、经营贷NPL 3.81%，显著高于全行</x:v>
      </x:c>
      <x:c r="K27" s="34"/>
      <x:c r="L27" s="34"/>
      <x:c r="M27" s="34"/>
      <x:c r="N27" s="34"/>
    </x:row>
    <x:row r="28">
      <x:c r="A28" s="29" t="str">
        <x:v>2</x:v>
      </x:c>
      <x:c r="B28" s="29" t="str">
        <x:v>负债改善</x:v>
      </x:c>
      <x:c r="C28" s="29" t="str">
        <x:v>存款成本率1.32%，同比下降39bp，缓冲资产端收益率下行</x:v>
      </x:c>
      <x:c r="D28" s="29"/>
      <x:c r="E28" s="29"/>
      <x:c r="F28" s="29"/>
      <x:c r="G28" s="29"/>
      <x:c r="H28" s="34" t="str">
        <x:v>2</x:v>
      </x:c>
      <x:c r="I28" s="34" t="str">
        <x:v>息差压力</x:v>
      </x:c>
      <x:c r="J28" s="34" t="str">
        <x:v>NIM 1.70%，资产收益率下行仍快于负债改善时会压低ROE</x:v>
      </x:c>
      <x:c r="K28" s="34"/>
      <x:c r="L28" s="34"/>
      <x:c r="M28" s="34"/>
      <x:c r="N28" s="34"/>
    </x:row>
    <x:row r="29">
      <x:c r="A29" s="29" t="str">
        <x:v>3</x:v>
      </x:c>
      <x:c r="B29" s="29" t="str">
        <x:v>非息修复</x:v>
      </x:c>
      <x:c r="C29" s="29" t="str">
        <x:v>手续费净收入43.17亿元，同比+53.90%</x:v>
      </x:c>
      <x:c r="D29" s="29"/>
      <x:c r="E29" s="29"/>
      <x:c r="F29" s="29"/>
      <x:c r="G29" s="29"/>
      <x:c r="H29" s="34" t="str">
        <x:v>3</x:v>
      </x:c>
      <x:c r="I29" s="34" t="str">
        <x:v>资本约束</x:v>
      </x:c>
      <x:c r="J29" s="34" t="str">
        <x:v>CET1 9.53%，持续扩表、分红与资本补充需要平衡</x:v>
      </x:c>
      <x:c r="K29" s="34"/>
      <x:c r="L29" s="34"/>
      <x:c r="M29" s="34"/>
      <x:c r="N29" s="34"/>
    </x:row>
    <x:row r="30">
      <x:c r="A30" s="29" t="str">
        <x:v>观察</x:v>
      </x:c>
      <x:c r="B30" s="29" t="str">
        <x:v>高质量指标</x:v>
      </x:c>
      <x:c r="C30" s="29" t="str">
        <x:v>NPL 0.76%、拨备覆盖373.35%、LCR 203.48%</x:v>
      </x:c>
      <x:c r="D30" s="29"/>
      <x:c r="E30" s="29"/>
      <x:c r="F30" s="29"/>
      <x:c r="G30" s="29"/>
      <x:c r="H30" s="34" t="str">
        <x:v>治理</x:v>
      </x:c>
      <x:c r="I30" s="34" t="str">
        <x:v>管理层过渡</x:v>
      </x:c>
      <x:c r="J30" s="34" t="str">
        <x:v>董事长、行长变更后的战略连续性与执行需观察</x:v>
      </x:c>
      <x:c r="K30" s="34"/>
      <x:c r="L30" s="34"/>
      <x:c r="M30" s="34"/>
      <x:c r="N30" s="34"/>
    </x:row>
    <x:row r="31">
      <x:c r="A31" s="29" t="str">
        <x:v>催化</x:v>
      </x:c>
      <x:c r="B31" s="29" t="str">
        <x:v>分红兑现</x:v>
      </x:c>
      <x:c r="C31" s="29" t="str">
        <x:v>中期0.40元/股若通过并持续提升常态分红，可改善估值锚</x:v>
      </x:c>
      <x:c r="D31" s="29"/>
      <x:c r="E31" s="29"/>
      <x:c r="F31" s="29"/>
      <x:c r="G31" s="29"/>
      <x:c r="H31" s="34" t="str">
        <x:v>估值</x:v>
      </x:c>
      <x:c r="I31" s="34" t="str">
        <x:v>同业溢价</x:v>
      </x:c>
      <x:c r="J31" s="34" t="str">
        <x:v>当前PB约0.97x，高于区域同业中位约0.84x</x:v>
      </x:c>
      <x:c r="K31" s="34"/>
      <x:c r="L31" s="34"/>
      <x:c r="M31" s="34"/>
      <x:c r="N31" s="34"/>
    </x:row>
    <x:row r="32">
      <x:c r="A32" s="29" t="str">
        <x:v>催化</x:v>
      </x:c>
      <x:c r="B32" s="29" t="str">
        <x:v>财富管理</x:v>
      </x:c>
      <x:c r="C32" s="29" t="str">
        <x:v>手续费增长若延续，可降低对息差的依赖</x:v>
      </x:c>
      <x:c r="D32" s="29"/>
      <x:c r="E32" s="29"/>
      <x:c r="F32" s="29"/>
      <x:c r="G32" s="29"/>
      <x:c r="H32" s="34" t="str">
        <x:v>宏观</x:v>
      </x:c>
      <x:c r="I32" s="34" t="str">
        <x:v>区域与地产</x:v>
      </x:c>
      <x:c r="J32" s="34" t="str">
        <x:v>浙江/江苏贷款集中度高；地产与按揭仍需穿透观察</x:v>
      </x:c>
      <x:c r="K32" s="34"/>
      <x:c r="L32" s="34"/>
      <x:c r="M32" s="34"/>
      <x:c r="N32" s="3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</x:row>
    <x:row r="34">
      <x:c r="A34" s="35" t="str">
        <x:v>验证清单：① NIM跌破1.55%；② 零售经营贷NPL升破4.20%；③ 拨备覆盖率跌破300%；④ CET1跌破9.0%；⑤ 分红政策弱于2025—2027现金分红承诺。任两项同时触发，应下调ROE或提高股权成本重新估值。</x:v>
      </x:c>
      <x:c r="B34" s="35" t="str">
        <x:v>验证清单：① NIM跌破1.55%；② 零售经营贷NPL升破4.20%；③ 拨备覆盖率跌破300%；④ CET1跌破9.0%；⑤ 分红政策弱于2025—2027现金分红承诺。任两项同时触发，应下调ROE或提高股权成本重新估值。</x:v>
      </x:c>
      <x:c r="C34" s="35" t="str">
        <x:v>验证清单：① NIM跌破1.55%；② 零售经营贷NPL升破4.20%；③ 拨备覆盖率跌破300%；④ CET1跌破9.0%；⑤ 分红政策弱于2025—2027现金分红承诺。任两项同时触发，应下调ROE或提高股权成本重新估值。</x:v>
      </x:c>
      <x:c r="D34" s="35" t="str">
        <x:v>验证清单：① NIM跌破1.55%；② 零售经营贷NPL升破4.20%；③ 拨备覆盖率跌破300%；④ CET1跌破9.0%；⑤ 分红政策弱于2025—2027现金分红承诺。任两项同时触发，应下调ROE或提高股权成本重新估值。</x:v>
      </x:c>
      <x:c r="E34" s="35" t="str">
        <x:v>验证清单：① NIM跌破1.55%；② 零售经营贷NPL升破4.20%；③ 拨备覆盖率跌破300%；④ CET1跌破9.0%；⑤ 分红政策弱于2025—2027现金分红承诺。任两项同时触发，应下调ROE或提高股权成本重新估值。</x:v>
      </x:c>
      <x:c r="F34" s="35" t="str">
        <x:v>验证清单：① NIM跌破1.55%；② 零售经营贷NPL升破4.20%；③ 拨备覆盖率跌破300%；④ CET1跌破9.0%；⑤ 分红政策弱于2025—2027现金分红承诺。任两项同时触发，应下调ROE或提高股权成本重新估值。</x:v>
      </x:c>
      <x:c r="G34" s="35" t="str">
        <x:v>验证清单：① NIM跌破1.55%；② 零售经营贷NPL升破4.20%；③ 拨备覆盖率跌破300%；④ CET1跌破9.0%；⑤ 分红政策弱于2025—2027现金分红承诺。任两项同时触发，应下调ROE或提高股权成本重新估值。</x:v>
      </x:c>
      <x:c r="H34" s="35" t="str">
        <x:v>验证清单：① NIM跌破1.55%；② 零售经营贷NPL升破4.20%；③ 拨备覆盖率跌破300%；④ CET1跌破9.0%；⑤ 分红政策弱于2025—2027现金分红承诺。任两项同时触发，应下调ROE或提高股权成本重新估值。</x:v>
      </x:c>
      <x:c r="I34" s="35" t="str">
        <x:v>验证清单：① NIM跌破1.55%；② 零售经营贷NPL升破4.20%；③ 拨备覆盖率跌破300%；④ CET1跌破9.0%；⑤ 分红政策弱于2025—2027现金分红承诺。任两项同时触发，应下调ROE或提高股权成本重新估值。</x:v>
      </x:c>
      <x:c r="J34" s="35" t="str">
        <x:v>验证清单：① NIM跌破1.55%；② 零售经营贷NPL升破4.20%；③ 拨备覆盖率跌破300%；④ CET1跌破9.0%；⑤ 分红政策弱于2025—2027现金分红承诺。任两项同时触发，应下调ROE或提高股权成本重新估值。</x:v>
      </x:c>
      <x:c r="K34" s="35" t="str">
        <x:v>验证清单：① NIM跌破1.55%；② 零售经营贷NPL升破4.20%；③ 拨备覆盖率跌破300%；④ CET1跌破9.0%；⑤ 分红政策弱于2025—2027现金分红承诺。任两项同时触发，应下调ROE或提高股权成本重新估值。</x:v>
      </x:c>
      <x:c r="L34" s="35" t="str">
        <x:v>验证清单：① NIM跌破1.55%；② 零售经营贷NPL升破4.20%；③ 拨备覆盖率跌破300%；④ CET1跌破9.0%；⑤ 分红政策弱于2025—2027现金分红承诺。任两项同时触发，应下调ROE或提高股权成本重新估值。</x:v>
      </x:c>
      <x:c r="M34" s="35" t="str">
        <x:v>验证清单：① NIM跌破1.55%；② 零售经营贷NPL升破4.20%；③ 拨备覆盖率跌破300%；④ CET1跌破9.0%；⑤ 分红政策弱于2025—2027现金分红承诺。任两项同时触发，应下调ROE或提高股权成本重新估值。</x:v>
      </x:c>
      <x:c r="N34" s="35" t="str">
        <x:v>验证清单：① NIM跌破1.55%；② 零售经营贷NPL升破4.20%；③ 拨备覆盖率跌破300%；④ CET1跌破9.0%；⑤ 分红政策弱于2025—2027现金分红承诺。任两项同时触发，应下调ROE或提高股权成本重新估值。</x:v>
      </x:c>
    </x:row>
    <x:row r="35">
      <x:c r="A35" s="35" t="str">
        <x:v>验证清单：① NIM跌破1.55%；② 零售经营贷NPL升破4.20%；③ 拨备覆盖率跌破300%；④ CET1跌破9.0%；⑤ 分红政策弱于2025—2027现金分红承诺。任两项同时触发，应下调ROE或提高股权成本重新估值。</x:v>
      </x:c>
      <x:c r="B35" s="35" t="str">
        <x:v>验证清单：① NIM跌破1.55%；② 零售经营贷NPL升破4.20%；③ 拨备覆盖率跌破300%；④ CET1跌破9.0%；⑤ 分红政策弱于2025—2027现金分红承诺。任两项同时触发，应下调ROE或提高股权成本重新估值。</x:v>
      </x:c>
      <x:c r="C35" s="35" t="str">
        <x:v>验证清单：① NIM跌破1.55%；② 零售经营贷NPL升破4.20%；③ 拨备覆盖率跌破300%；④ CET1跌破9.0%；⑤ 分红政策弱于2025—2027现金分红承诺。任两项同时触发，应下调ROE或提高股权成本重新估值。</x:v>
      </x:c>
      <x:c r="D35" s="35" t="str">
        <x:v>验证清单：① NIM跌破1.55%；② 零售经营贷NPL升破4.20%；③ 拨备覆盖率跌破300%；④ CET1跌破9.0%；⑤ 分红政策弱于2025—2027现金分红承诺。任两项同时触发，应下调ROE或提高股权成本重新估值。</x:v>
      </x:c>
      <x:c r="E35" s="35" t="str">
        <x:v>验证清单：① NIM跌破1.55%；② 零售经营贷NPL升破4.20%；③ 拨备覆盖率跌破300%；④ CET1跌破9.0%；⑤ 分红政策弱于2025—2027现金分红承诺。任两项同时触发，应下调ROE或提高股权成本重新估值。</x:v>
      </x:c>
      <x:c r="F35" s="35" t="str">
        <x:v>验证清单：① NIM跌破1.55%；② 零售经营贷NPL升破4.20%；③ 拨备覆盖率跌破300%；④ CET1跌破9.0%；⑤ 分红政策弱于2025—2027现金分红承诺。任两项同时触发，应下调ROE或提高股权成本重新估值。</x:v>
      </x:c>
      <x:c r="G35" s="35" t="str">
        <x:v>验证清单：① NIM跌破1.55%；② 零售经营贷NPL升破4.20%；③ 拨备覆盖率跌破300%；④ CET1跌破9.0%；⑤ 分红政策弱于2025—2027现金分红承诺。任两项同时触发，应下调ROE或提高股权成本重新估值。</x:v>
      </x:c>
      <x:c r="H35" s="35" t="str">
        <x:v>验证清单：① NIM跌破1.55%；② 零售经营贷NPL升破4.20%；③ 拨备覆盖率跌破300%；④ CET1跌破9.0%；⑤ 分红政策弱于2025—2027现金分红承诺。任两项同时触发，应下调ROE或提高股权成本重新估值。</x:v>
      </x:c>
      <x:c r="I35" s="35" t="str">
        <x:v>验证清单：① NIM跌破1.55%；② 零售经营贷NPL升破4.20%；③ 拨备覆盖率跌破300%；④ CET1跌破9.0%；⑤ 分红政策弱于2025—2027现金分红承诺。任两项同时触发，应下调ROE或提高股权成本重新估值。</x:v>
      </x:c>
      <x:c r="J35" s="35" t="str">
        <x:v>验证清单：① NIM跌破1.55%；② 零售经营贷NPL升破4.20%；③ 拨备覆盖率跌破300%；④ CET1跌破9.0%；⑤ 分红政策弱于2025—2027现金分红承诺。任两项同时触发，应下调ROE或提高股权成本重新估值。</x:v>
      </x:c>
      <x:c r="K35" s="35" t="str">
        <x:v>验证清单：① NIM跌破1.55%；② 零售经营贷NPL升破4.20%；③ 拨备覆盖率跌破300%；④ CET1跌破9.0%；⑤ 分红政策弱于2025—2027现金分红承诺。任两项同时触发，应下调ROE或提高股权成本重新估值。</x:v>
      </x:c>
      <x:c r="L35" s="35" t="str">
        <x:v>验证清单：① NIM跌破1.55%；② 零售经营贷NPL升破4.20%；③ 拨备覆盖率跌破300%；④ CET1跌破9.0%；⑤ 分红政策弱于2025—2027现金分红承诺。任两项同时触发，应下调ROE或提高股权成本重新估值。</x:v>
      </x:c>
      <x:c r="M35" s="35" t="str">
        <x:v>验证清单：① NIM跌破1.55%；② 零售经营贷NPL升破4.20%；③ 拨备覆盖率跌破300%；④ CET1跌破9.0%；⑤ 分红政策弱于2025—2027现金分红承诺。任两项同时触发，应下调ROE或提高股权成本重新估值。</x:v>
      </x:c>
      <x:c r="N35" s="35" t="str">
        <x:v>验证清单：① NIM跌破1.55%；② 零售经营贷NPL升破4.20%；③ 拨备覆盖率跌破300%；④ CET1跌破9.0%；⑤ 分红政策弱于2025—2027现金分红承诺。任两项同时触发，应下调ROE或提高股权成本重新估值。</x:v>
      </x:c>
    </x:row>
    <x:row r="36">
      <x:c r="A36" s="35" t="str">
        <x:v>验证清单：① NIM跌破1.55%；② 零售经营贷NPL升破4.20%；③ 拨备覆盖率跌破300%；④ CET1跌破9.0%；⑤ 分红政策弱于2025—2027现金分红承诺。任两项同时触发，应下调ROE或提高股权成本重新估值。</x:v>
      </x:c>
      <x:c r="B36" s="35" t="str">
        <x:v>验证清单：① NIM跌破1.55%；② 零售经营贷NPL升破4.20%；③ 拨备覆盖率跌破300%；④ CET1跌破9.0%；⑤ 分红政策弱于2025—2027现金分红承诺。任两项同时触发，应下调ROE或提高股权成本重新估值。</x:v>
      </x:c>
      <x:c r="C36" s="35" t="str">
        <x:v>验证清单：① NIM跌破1.55%；② 零售经营贷NPL升破4.20%；③ 拨备覆盖率跌破300%；④ CET1跌破9.0%；⑤ 分红政策弱于2025—2027现金分红承诺。任两项同时触发，应下调ROE或提高股权成本重新估值。</x:v>
      </x:c>
      <x:c r="D36" s="35" t="str">
        <x:v>验证清单：① NIM跌破1.55%；② 零售经营贷NPL升破4.20%；③ 拨备覆盖率跌破300%；④ CET1跌破9.0%；⑤ 分红政策弱于2025—2027现金分红承诺。任两项同时触发，应下调ROE或提高股权成本重新估值。</x:v>
      </x:c>
      <x:c r="E36" s="35" t="str">
        <x:v>验证清单：① NIM跌破1.55%；② 零售经营贷NPL升破4.20%；③ 拨备覆盖率跌破300%；④ CET1跌破9.0%；⑤ 分红政策弱于2025—2027现金分红承诺。任两项同时触发，应下调ROE或提高股权成本重新估值。</x:v>
      </x:c>
      <x:c r="F36" s="35" t="str">
        <x:v>验证清单：① NIM跌破1.55%；② 零售经营贷NPL升破4.20%；③ 拨备覆盖率跌破300%；④ CET1跌破9.0%；⑤ 分红政策弱于2025—2027现金分红承诺。任两项同时触发，应下调ROE或提高股权成本重新估值。</x:v>
      </x:c>
      <x:c r="G36" s="35" t="str">
        <x:v>验证清单：① NIM跌破1.55%；② 零售经营贷NPL升破4.20%；③ 拨备覆盖率跌破300%；④ CET1跌破9.0%；⑤ 分红政策弱于2025—2027现金分红承诺。任两项同时触发，应下调ROE或提高股权成本重新估值。</x:v>
      </x:c>
      <x:c r="H36" s="35" t="str">
        <x:v>验证清单：① NIM跌破1.55%；② 零售经营贷NPL升破4.20%；③ 拨备覆盖率跌破300%；④ CET1跌破9.0%；⑤ 分红政策弱于2025—2027现金分红承诺。任两项同时触发，应下调ROE或提高股权成本重新估值。</x:v>
      </x:c>
      <x:c r="I36" s="35" t="str">
        <x:v>验证清单：① NIM跌破1.55%；② 零售经营贷NPL升破4.20%；③ 拨备覆盖率跌破300%；④ CET1跌破9.0%；⑤ 分红政策弱于2025—2027现金分红承诺。任两项同时触发，应下调ROE或提高股权成本重新估值。</x:v>
      </x:c>
      <x:c r="J36" s="35" t="str">
        <x:v>验证清单：① NIM跌破1.55%；② 零售经营贷NPL升破4.20%；③ 拨备覆盖率跌破300%；④ CET1跌破9.0%；⑤ 分红政策弱于2025—2027现金分红承诺。任两项同时触发，应下调ROE或提高股权成本重新估值。</x:v>
      </x:c>
      <x:c r="K36" s="35" t="str">
        <x:v>验证清单：① NIM跌破1.55%；② 零售经营贷NPL升破4.20%；③ 拨备覆盖率跌破300%；④ CET1跌破9.0%；⑤ 分红政策弱于2025—2027现金分红承诺。任两项同时触发，应下调ROE或提高股权成本重新估值。</x:v>
      </x:c>
      <x:c r="L36" s="35" t="str">
        <x:v>验证清单：① NIM跌破1.55%；② 零售经营贷NPL升破4.20%；③ 拨备覆盖率跌破300%；④ CET1跌破9.0%；⑤ 分红政策弱于2025—2027现金分红承诺。任两项同时触发，应下调ROE或提高股权成本重新估值。</x:v>
      </x:c>
      <x:c r="M36" s="35" t="str">
        <x:v>验证清单：① NIM跌破1.55%；② 零售经营贷NPL升破4.20%；③ 拨备覆盖率跌破300%；④ CET1跌破9.0%；⑤ 分红政策弱于2025—2027现金分红承诺。任两项同时触发，应下调ROE或提高股权成本重新估值。</x:v>
      </x:c>
      <x:c r="N36" s="35" t="str">
        <x:v>验证清单：① NIM跌破1.55%；② 零售经营贷NPL升破4.20%；③ 拨备覆盖率跌破300%；④ CET1跌破9.0%；⑤ 分红政策弱于2025—2027现金分红承诺。任两项同时触发，应下调ROE或提高股权成本重新估值。</x:v>
      </x:c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</x:row>
  </x:sheetData>
  <x:mergeCells>
    <x:mergeCell ref="A1:N2"/>
    <x:mergeCell ref="A3:N3"/>
    <x:mergeCell ref="A5:N5"/>
    <x:mergeCell ref="A6:N8"/>
    <x:mergeCell ref="A10:G10"/>
    <x:mergeCell ref="H10:N10"/>
    <x:mergeCell ref="D11:G11"/>
    <x:mergeCell ref="D12:G12"/>
    <x:mergeCell ref="D13:G13"/>
    <x:mergeCell ref="D14:G14"/>
    <x:mergeCell ref="D15:G15"/>
    <x:mergeCell ref="D16:G16"/>
    <x:mergeCell ref="D17:G17"/>
    <x:mergeCell ref="K11:N11"/>
    <x:mergeCell ref="K12:N12"/>
    <x:mergeCell ref="K13:N13"/>
    <x:mergeCell ref="K14:N14"/>
    <x:mergeCell ref="K15:N15"/>
    <x:mergeCell ref="K16:N16"/>
    <x:mergeCell ref="K17:N17"/>
    <x:mergeCell ref="A19:N19"/>
    <x:mergeCell ref="C20:G20"/>
    <x:mergeCell ref="J20:N20"/>
    <x:mergeCell ref="C21:G21"/>
    <x:mergeCell ref="J21:N21"/>
    <x:mergeCell ref="C22:G22"/>
    <x:mergeCell ref="J22:N22"/>
    <x:mergeCell ref="C23:G23"/>
    <x:mergeCell ref="J23:N23"/>
    <x:mergeCell ref="C24:G24"/>
    <x:mergeCell ref="J24:N24"/>
    <x:mergeCell ref="A26:G26"/>
    <x:mergeCell ref="H26:N26"/>
    <x:mergeCell ref="C27:G27"/>
    <x:mergeCell ref="C28:G28"/>
    <x:mergeCell ref="C29:G29"/>
    <x:mergeCell ref="C30:G30"/>
    <x:mergeCell ref="C31:G31"/>
    <x:mergeCell ref="C32:G32"/>
    <x:mergeCell ref="J27:N27"/>
    <x:mergeCell ref="J28:N28"/>
    <x:mergeCell ref="J29:N29"/>
    <x:mergeCell ref="J30:N30"/>
    <x:mergeCell ref="J31:N31"/>
    <x:mergeCell ref="J32:N32"/>
    <x:mergeCell ref="A34:N3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25" hidden="0" customWidth="1"/>
    <x:col min="5" max="5" width="11" hidden="0" customWidth="1"/>
    <x:col min="6" max="6" width="11" hidden="0" customWidth="1"/>
    <x:col min="7" max="7" width="12" hidden="0" customWidth="1"/>
    <x:col min="8" max="8" width="3" hidden="0" customWidth="1"/>
    <x:col min="9" max="9" width="15" hidden="0" customWidth="1"/>
    <x:col min="10" max="10" width="18" hidden="0" customWidth="1"/>
    <x:col min="11" max="11" width="12" hidden="0" customWidth="1"/>
    <x:col min="12" max="12" width="14" hidden="0" customWidth="1"/>
    <x:col min="13" max="13" width="14" hidden="0" customWidth="1"/>
    <x:col min="14" max="14" width="3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</x:cols>
  <x:sheetData>
    <x:row r="1" ht="34" customHeight="1">
      <x:c r="A1" s="6" t="str">
        <x:v>宁波银行多维估值系统</x:v>
      </x:c>
      <x:c r="B1" s="6" t="str">
        <x:v>宁波银行多维估值系统</x:v>
      </x:c>
      <x:c r="C1" s="6" t="str">
        <x:v>宁波银行多维估值系统</x:v>
      </x:c>
      <x:c r="D1" s="6" t="str">
        <x:v>宁波银行多维估值系统</x:v>
      </x:c>
      <x:c r="E1" s="6" t="str">
        <x:v>宁波银行多维估值系统</x:v>
      </x:c>
      <x:c r="F1" s="6" t="str">
        <x:v>宁波银行多维估值系统</x:v>
      </x:c>
      <x:c r="G1" s="6" t="str">
        <x:v>宁波银行多维估值系统</x:v>
      </x:c>
      <x:c r="H1" s="6" t="str">
        <x:v>宁波银行多维估值系统</x:v>
      </x:c>
      <x:c r="I1" s="6" t="str">
        <x:v>宁波银行多维估值系统</x:v>
      </x:c>
      <x:c r="J1" s="6" t="str">
        <x:v>宁波银行多维估值系统</x:v>
      </x:c>
      <x:c r="K1" s="6" t="str">
        <x:v>宁波银行多维估值系统</x:v>
      </x:c>
      <x:c r="L1" s="6" t="str">
        <x:v>宁波银行多维估值系统</x:v>
      </x:c>
      <x:c r="M1" s="6" t="str">
        <x:v>宁波银行多维估值系统</x:v>
      </x:c>
      <x:c r="N1" s="6" t="str">
        <x:v>宁波银行多维估值系统</x:v>
      </x:c>
      <x:c r="O1" s="6" t="str">
        <x:v>宁波银行多维估值系统</x:v>
      </x:c>
      <x:c r="P1" s="6" t="str">
        <x:v>宁波银行多维估值系统</x:v>
      </x:c>
      <x:c r="Q1" s="6" t="str">
        <x:v>宁波银行多维估值系统</x:v>
      </x:c>
      <x:c r="R1" s="6" t="str">
        <x:v>宁波银行多维估值系统</x:v>
      </x:c>
      <x:c r="S1" s="6" t="str">
        <x:v>宁波银行多维估值系统</x:v>
      </x:c>
      <x:c r="T1" s="6" t="str">
        <x:v>宁波银行多维估值系统</x:v>
      </x:c>
      <x:c r="U1" s="6" t="str">
        <x:v>宁波银行多维估值系统</x:v>
      </x:c>
      <x:c r="V1" s="6" t="str">
        <x:v>宁波银行多维估值系统</x:v>
      </x:c>
    </x:row>
    <x:row r="2" ht="34" customHeight="1">
      <x:c r="A2" s="6" t="str">
        <x:v>宁波银行多维估值系统</x:v>
      </x:c>
      <x:c r="B2" s="6" t="str">
        <x:v>宁波银行多维估值系统</x:v>
      </x:c>
      <x:c r="C2" s="6" t="str">
        <x:v>宁波银行多维估值系统</x:v>
      </x:c>
      <x:c r="D2" s="6" t="str">
        <x:v>宁波银行多维估值系统</x:v>
      </x:c>
      <x:c r="E2" s="6" t="str">
        <x:v>宁波银行多维估值系统</x:v>
      </x:c>
      <x:c r="F2" s="6" t="str">
        <x:v>宁波银行多维估值系统</x:v>
      </x:c>
      <x:c r="G2" s="6" t="str">
        <x:v>宁波银行多维估值系统</x:v>
      </x:c>
      <x:c r="H2" s="6" t="str">
        <x:v>宁波银行多维估值系统</x:v>
      </x:c>
      <x:c r="I2" s="6" t="str">
        <x:v>宁波银行多维估值系统</x:v>
      </x:c>
      <x:c r="J2" s="6" t="str">
        <x:v>宁波银行多维估值系统</x:v>
      </x:c>
      <x:c r="K2" s="6" t="str">
        <x:v>宁波银行多维估值系统</x:v>
      </x:c>
      <x:c r="L2" s="6" t="str">
        <x:v>宁波银行多维估值系统</x:v>
      </x:c>
      <x:c r="M2" s="6" t="str">
        <x:v>宁波银行多维估值系统</x:v>
      </x:c>
      <x:c r="N2" s="6" t="str">
        <x:v>宁波银行多维估值系统</x:v>
      </x:c>
      <x:c r="O2" s="6" t="str">
        <x:v>宁波银行多维估值系统</x:v>
      </x:c>
      <x:c r="P2" s="6" t="str">
        <x:v>宁波银行多维估值系统</x:v>
      </x:c>
      <x:c r="Q2" s="6" t="str">
        <x:v>宁波银行多维估值系统</x:v>
      </x:c>
      <x:c r="R2" s="6" t="str">
        <x:v>宁波银行多维估值系统</x:v>
      </x:c>
      <x:c r="S2" s="6" t="str">
        <x:v>宁波银行多维估值系统</x:v>
      </x:c>
      <x:c r="T2" s="6" t="str">
        <x:v>宁波银行多维估值系统</x:v>
      </x:c>
      <x:c r="U2" s="6" t="str">
        <x:v>宁波银行多维估值系统</x:v>
      </x:c>
      <x:c r="V2" s="6" t="str">
        <x:v>宁波银行多维估值系统</x:v>
      </x:c>
    </x:row>
    <x:row r="3" ht="24" customHeight="1">
      <x:c r="A3" s="7" t="str">
        <x:v>六种独立估值法 + 两阶段ROE路径 + 可编辑关键假设</x:v>
      </x:c>
      <x:c r="B3" s="7" t="str">
        <x:v>六种独立估值法 + 两阶段ROE路径 + 可编辑关键假设</x:v>
      </x:c>
      <x:c r="C3" s="7" t="str">
        <x:v>六种独立估值法 + 两阶段ROE路径 + 可编辑关键假设</x:v>
      </x:c>
      <x:c r="D3" s="7" t="str">
        <x:v>六种独立估值法 + 两阶段ROE路径 + 可编辑关键假设</x:v>
      </x:c>
      <x:c r="E3" s="7" t="str">
        <x:v>六种独立估值法 + 两阶段ROE路径 + 可编辑关键假设</x:v>
      </x:c>
      <x:c r="F3" s="7" t="str">
        <x:v>六种独立估值法 + 两阶段ROE路径 + 可编辑关键假设</x:v>
      </x:c>
      <x:c r="G3" s="7" t="str">
        <x:v>六种独立估值法 + 两阶段ROE路径 + 可编辑关键假设</x:v>
      </x:c>
      <x:c r="H3" s="7" t="str">
        <x:v>六种独立估值法 + 两阶段ROE路径 + 可编辑关键假设</x:v>
      </x:c>
      <x:c r="I3" s="7" t="str">
        <x:v>六种独立估值法 + 两阶段ROE路径 + 可编辑关键假设</x:v>
      </x:c>
      <x:c r="J3" s="7" t="str">
        <x:v>六种独立估值法 + 两阶段ROE路径 + 可编辑关键假设</x:v>
      </x:c>
      <x:c r="K3" s="7" t="str">
        <x:v>六种独立估值法 + 两阶段ROE路径 + 可编辑关键假设</x:v>
      </x:c>
      <x:c r="L3" s="7" t="str">
        <x:v>六种独立估值法 + 两阶段ROE路径 + 可编辑关键假设</x:v>
      </x:c>
      <x:c r="M3" s="7" t="str">
        <x:v>六种独立估值法 + 两阶段ROE路径 + 可编辑关键假设</x:v>
      </x:c>
      <x:c r="N3" s="7" t="str">
        <x:v>六种独立估值法 + 两阶段ROE路径 + 可编辑关键假设</x:v>
      </x:c>
      <x:c r="O3" s="7" t="str">
        <x:v>六种独立估值法 + 两阶段ROE路径 + 可编辑关键假设</x:v>
      </x:c>
      <x:c r="P3" s="7" t="str">
        <x:v>六种独立估值法 + 两阶段ROE路径 + 可编辑关键假设</x:v>
      </x:c>
      <x:c r="Q3" s="7" t="str">
        <x:v>六种独立估值法 + 两阶段ROE路径 + 可编辑关键假设</x:v>
      </x:c>
      <x:c r="R3" s="7" t="str">
        <x:v>六种独立估值法 + 两阶段ROE路径 + 可编辑关键假设</x:v>
      </x:c>
      <x:c r="S3" s="7" t="str">
        <x:v>六种独立估值法 + 两阶段ROE路径 + 可编辑关键假设</x:v>
      </x:c>
      <x:c r="T3" s="7" t="str">
        <x:v>六种独立估值法 + 两阶段ROE路径 + 可编辑关键假设</x:v>
      </x:c>
      <x:c r="U3" s="7" t="str">
        <x:v>六种独立估值法 + 两阶段ROE路径 + 可编辑关键假设</x:v>
      </x:c>
      <x:c r="V3" s="7" t="str">
        <x:v>六种独立估值法 + 两阶段ROE路径 + 可编辑关键假设</x:v>
      </x:c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</x:row>
    <x:row r="5" ht="23" customHeight="1">
      <x:c r="A5" s="9" t="str">
        <x:v>当前输入与核心假设</x:v>
      </x:c>
      <x:c r="B5" s="9" t="str">
        <x:v>当前输入与核心假设</x:v>
      </x:c>
      <x:c r="C5" s="9" t="str">
        <x:v>当前输入与核心假设</x:v>
      </x:c>
      <x:c r="D5" s="9" t="str">
        <x:v>当前输入与核心假设</x:v>
      </x:c>
      <x:c r="E5" s="9" t="str">
        <x:v>当前输入与核心假设</x:v>
      </x:c>
      <x:c r="F5" s="9" t="str">
        <x:v>当前输入与核心假设</x:v>
      </x:c>
      <x:c r="G5" s="9" t="str">
        <x:v>当前输入与核心假设</x:v>
      </x:c>
      <x:c r="H5" s="9" t="str">
        <x:v>当前输入与核心假设</x:v>
      </x:c>
      <x:c r="I5" s="4"/>
      <x:c r="J5" s="9" t="str">
        <x:v>六种估值方法与权重</x:v>
      </x:c>
      <x:c r="K5" s="9" t="str">
        <x:v>六种估值方法与权重</x:v>
      </x:c>
      <x:c r="L5" s="9" t="str">
        <x:v>六种估值方法与权重</x:v>
      </x:c>
      <x:c r="M5" s="9" t="str">
        <x:v>六种估值方法与权重</x:v>
      </x:c>
      <x:c r="N5" s="4"/>
      <x:c r="O5" s="4"/>
      <x:c r="P5" s="4"/>
      <x:c r="Q5" s="4"/>
      <x:c r="R5" s="4"/>
      <x:c r="S5" s="4"/>
      <x:c r="T5" s="4"/>
      <x:c r="U5" s="4"/>
      <x:c r="V5" s="4"/>
    </x:row>
    <x:row r="6" ht="23" customHeight="1">
      <x:c r="A6" s="11" t="str">
        <x:v>项目</x:v>
      </x:c>
      <x:c r="B6" s="11" t="str">
        <x:v>数值</x:v>
      </x:c>
      <x:c r="C6" s="11" t="str">
        <x:v>单位</x:v>
      </x:c>
      <x:c r="D6" s="11" t="str">
        <x:v>说明</x:v>
      </x:c>
      <x:c r="E6" s="4"/>
      <x:c r="F6" s="4"/>
      <x:c r="G6" s="4"/>
      <x:c r="H6" s="4"/>
      <x:c r="I6" s="4"/>
      <x:c r="J6" s="11" t="str">
        <x:v>方法</x:v>
      </x:c>
      <x:c r="K6" s="11" t="str">
        <x:v>权重</x:v>
      </x:c>
      <x:c r="L6" s="11" t="str">
        <x:v>每股价值</x:v>
      </x:c>
      <x:c r="M6" s="11" t="str">
        <x:v>相对当前价</x:v>
      </x:c>
      <x:c r="N6" s="4"/>
      <x:c r="O6" s="4"/>
      <x:c r="P6" s="4"/>
      <x:c r="Q6" s="4"/>
      <x:c r="R6" s="4"/>
      <x:c r="S6" s="4"/>
      <x:c r="T6" s="4"/>
      <x:c r="U6" s="4"/>
      <x:c r="V6" s="4"/>
    </x:row>
    <x:row r="7">
      <x:c r="A7" s="19" t="str">
        <x:v>当前股价</x:v>
      </x:c>
      <x:c r="B7" s="36" t="n">
        <x:v>35.5</x:v>
      </x:c>
      <x:c r="C7" s="19" t="str">
        <x:v>元</x:v>
      </x:c>
      <x:c r="D7" s="19" t="str">
        <x:v>2026-10-13收盘</x:v>
      </x:c>
      <x:c r="E7" s="4"/>
      <x:c r="F7" s="4"/>
      <x:c r="G7" s="4"/>
      <x:c r="H7" s="4"/>
      <x:c r="I7" s="4"/>
      <x:c r="J7" s="19" t="str">
        <x:v>剩余收益模型</x:v>
      </x:c>
      <x:c r="K7" s="40" t="n">
        <x:v>0.15</x:v>
      </x:c>
      <x:c r="L7" s="32" t="n">
        <x:f>$G$39</x:f>
        <x:v>47.5271340192178</x:v>
      </x:c>
      <x:c r="M7" s="33" t="n">
        <x:f>L7/$B$7-1</x:f>
        <x:v>0.3387925075836</x:v>
      </x:c>
      <x:c r="N7" s="4"/>
      <x:c r="O7" s="4"/>
      <x:c r="P7" s="4"/>
      <x:c r="Q7" s="4"/>
      <x:c r="R7" s="4"/>
      <x:c r="S7" s="4"/>
      <x:c r="T7" s="4"/>
      <x:c r="U7" s="4"/>
      <x:c r="V7" s="4"/>
    </x:row>
    <x:row r="8">
      <x:c r="A8" s="19" t="str">
        <x:v>每股净资产</x:v>
      </x:c>
      <x:c r="B8" s="36" t="n">
        <x:v>36.76</x:v>
      </x:c>
      <x:c r="C8" s="19" t="str">
        <x:v>元</x:v>
      </x:c>
      <x:c r="D8" s="19" t="str">
        <x:v>2026-06-30</x:v>
      </x:c>
      <x:c r="E8" s="4"/>
      <x:c r="F8" s="4"/>
      <x:c r="G8" s="4"/>
      <x:c r="H8" s="4"/>
      <x:c r="I8" s="4"/>
      <x:c r="J8" s="19" t="str">
        <x:v>PB-ROE模型</x:v>
      </x:c>
      <x:c r="K8" s="40" t="n">
        <x:v>0.15</x:v>
      </x:c>
      <x:c r="L8" s="32" t="n">
        <x:f>$B$8*($B$17-$B$19)/($B$18-$B$19)</x:f>
        <x:v>50.89846153846153</x:v>
      </x:c>
      <x:c r="M8" s="33" t="n">
        <x:f>L8/$B$7-1</x:f>
        <x:v>0.43375947995666286</x:v>
      </x:c>
      <x:c r="N8" s="4"/>
      <x:c r="O8" s="4"/>
      <x:c r="P8" s="4"/>
      <x:c r="Q8" s="4"/>
      <x:c r="R8" s="4"/>
      <x:c r="S8" s="4"/>
      <x:c r="T8" s="4"/>
      <x:c r="U8" s="4"/>
      <x:c r="V8" s="4"/>
    </x:row>
    <x:row r="9">
      <x:c r="A9" s="19" t="str">
        <x:v>2025A EPS</x:v>
      </x:c>
      <x:c r="B9" s="36" t="n">
        <x:v>4.29</x:v>
      </x:c>
      <x:c r="C9" s="19" t="str">
        <x:v>元</x:v>
      </x:c>
      <x:c r="D9" s="19" t="str">
        <x:v>完整年度</x:v>
      </x:c>
      <x:c r="E9" s="4"/>
      <x:c r="F9" s="4"/>
      <x:c r="G9" s="4"/>
      <x:c r="H9" s="4"/>
      <x:c r="I9" s="4"/>
      <x:c r="J9" s="19" t="str">
        <x:v>十年历史PB</x:v>
      </x:c>
      <x:c r="K9" s="40" t="n">
        <x:v>0.1</x:v>
      </x:c>
      <x:c r="L9" s="32" t="n">
        <x:f>MEDIAN('财务十年'!P6:P15)*$B$8</x:f>
        <x:v>57.52540602598612</x:v>
      </x:c>
      <x:c r="M9" s="33" t="n">
        <x:f>L9/$B$7-1</x:f>
        <x:v>0.6204339725629893</x:v>
      </x:c>
      <x:c r="N9" s="4"/>
      <x:c r="O9" s="4"/>
      <x:c r="P9" s="4"/>
      <x:c r="Q9" s="4"/>
      <x:c r="R9" s="4"/>
      <x:c r="S9" s="4"/>
      <x:c r="T9" s="4"/>
      <x:c r="U9" s="4"/>
      <x:c r="V9" s="4"/>
    </x:row>
    <x:row r="10">
      <x:c r="A10" s="19" t="str">
        <x:v>1H26 EPS</x:v>
      </x:c>
      <x:c r="B10" s="36" t="n">
        <x:v>2.51</x:v>
      </x:c>
      <x:c r="C10" s="19" t="str">
        <x:v>元</x:v>
      </x:c>
      <x:c r="D10" s="19" t="str">
        <x:v>半年报</x:v>
      </x:c>
      <x:c r="E10" s="4"/>
      <x:c r="F10" s="4"/>
      <x:c r="G10" s="4"/>
      <x:c r="H10" s="4"/>
      <x:c r="I10" s="4"/>
      <x:c r="J10" s="19" t="str">
        <x:v>十年历史PE</x:v>
      </x:c>
      <x:c r="K10" s="40" t="n">
        <x:v>0.1</x:v>
      </x:c>
      <x:c r="L10" s="32" t="n">
        <x:f>MEDIAN('财务十年'!Q6:Q15)*$B$12</x:f>
        <x:v>44.44868244575936</x:v>
      </x:c>
      <x:c r="M10" s="33" t="n">
        <x:f>L10/$B$7-1</x:f>
        <x:v>0.25207556185237623</x:v>
      </x:c>
      <x:c r="N10" s="4"/>
      <x:c r="O10" s="4"/>
      <x:c r="P10" s="4"/>
      <x:c r="Q10" s="4"/>
      <x:c r="R10" s="4"/>
      <x:c r="S10" s="4"/>
      <x:c r="T10" s="4"/>
      <x:c r="U10" s="4"/>
      <x:c r="V10" s="4"/>
    </x:row>
    <x:row r="11">
      <x:c r="A11" s="19" t="str">
        <x:v>1H25 EPS</x:v>
      </x:c>
      <x:c r="B11" s="36" t="n">
        <x:v>2.24</x:v>
      </x:c>
      <x:c r="C11" s="19" t="str">
        <x:v>元</x:v>
      </x:c>
      <x:c r="D11" s="19" t="str">
        <x:v>半年报</x:v>
      </x:c>
      <x:c r="E11" s="4"/>
      <x:c r="F11" s="4"/>
      <x:c r="G11" s="4"/>
      <x:c r="H11" s="4"/>
      <x:c r="I11" s="4"/>
      <x:c r="J11" s="19" t="str">
        <x:v>同业ROE调整PB</x:v>
      </x:c>
      <x:c r="K11" s="40" t="n">
        <x:v>0.2</x:v>
      </x:c>
      <x:c r="L11" s="32" t="n">
        <x:f>'同业比较'!Q23</x:f>
        <x:v>27.51529953988137</x:v>
      </x:c>
      <x:c r="M11" s="33" t="n">
        <x:f>L11/$B$7-1</x:f>
        <x:v>-0.22492113972165162</x:v>
      </x:c>
      <x:c r="N11" s="4"/>
      <x:c r="O11" s="4"/>
      <x:c r="P11" s="4"/>
      <x:c r="Q11" s="4"/>
      <x:c r="R11" s="4"/>
      <x:c r="S11" s="4"/>
      <x:c r="T11" s="4"/>
      <x:c r="U11" s="4"/>
      <x:c r="V11" s="4"/>
    </x:row>
    <x:row r="12">
      <x:c r="A12" s="19" t="str">
        <x:v>LTM EPS</x:v>
      </x:c>
      <x:c r="B12" s="32" t="n">
        <x:f>B9+B10-B11</x:f>
        <x:v>4.56</x:v>
      </x:c>
      <x:c r="C12" s="19" t="str">
        <x:v>元</x:v>
      </x:c>
      <x:c r="D12" s="19" t="str">
        <x:v>2025A+1H26-1H25</x:v>
      </x:c>
      <x:c r="E12" s="4"/>
      <x:c r="F12" s="4"/>
      <x:c r="G12" s="4"/>
      <x:c r="H12" s="4"/>
      <x:c r="I12" s="4"/>
      <x:c r="J12" s="19" t="str">
        <x:v>两阶段股息模型</x:v>
      </x:c>
      <x:c r="K12" s="40" t="n">
        <x:v>0.3</x:v>
      </x:c>
      <x:c r="L12" s="32" t="n">
        <x:f>'股息估值'!G34</x:f>
        <x:v>34.12854673453594</x:v>
      </x:c>
      <x:c r="M12" s="33" t="n">
        <x:f>L12/$B$7-1</x:f>
        <x:v>-0.03863248635110039</x:v>
      </x:c>
      <x:c r="N12" s="4"/>
      <x:c r="O12" s="4"/>
      <x:c r="P12" s="4"/>
      <x:c r="Q12" s="4"/>
      <x:c r="R12" s="4"/>
      <x:c r="S12" s="4"/>
      <x:c r="T12" s="4"/>
      <x:c r="U12" s="4"/>
      <x:c r="V12" s="4"/>
    </x:row>
    <x:row r="13">
      <x:c r="A13" s="19" t="str">
        <x:v>当前PB</x:v>
      </x:c>
      <x:c r="B13" s="37" t="n">
        <x:f>B7/B8</x:f>
        <x:v>0.9657236126224157</x:v>
      </x:c>
      <x:c r="C13" s="19" t="str">
        <x:v>倍</x:v>
      </x:c>
      <x:c r="D13" s="19" t="str">
        <x:v>股价/每股净资产</x:v>
      </x:c>
      <x:c r="E13" s="4"/>
      <x:c r="F13" s="4"/>
      <x:c r="G13" s="4"/>
      <x:c r="H13" s="4"/>
      <x:c r="I13" s="4"/>
      <x:c r="J13" s="41" t="str">
        <x:v>加权估值中枢</x:v>
      </x:c>
      <x:c r="K13" s="41"/>
      <x:c r="L13" s="42" t="n">
        <x:f>K7*L7+K8*L8+K9*L9+K10*L10+K11*L11+K12*L12</x:f>
        <x:v>40.7028721091635</x:v>
      </x:c>
      <x:c r="M13" s="43" t="n">
        <x:f>L13/$B$7-1</x:f>
        <x:v>0.1465597777229155</x:v>
      </x:c>
      <x:c r="N13" s="4"/>
      <x:c r="O13" s="4"/>
      <x:c r="P13" s="4"/>
      <x:c r="Q13" s="4"/>
      <x:c r="R13" s="4"/>
      <x:c r="S13" s="4"/>
      <x:c r="T13" s="4"/>
      <x:c r="U13" s="4"/>
      <x:c r="V13" s="4"/>
    </x:row>
    <x:row r="14">
      <x:c r="A14" s="19" t="str">
        <x:v>当前LTM PE</x:v>
      </x:c>
      <x:c r="B14" s="37" t="n">
        <x:f>B7/B12</x:f>
        <x:v>7.785087719298247</x:v>
      </x:c>
      <x:c r="C14" s="19" t="str">
        <x:v>倍</x:v>
      </x:c>
      <x:c r="D14" s="19" t="str">
        <x:v>股价/LTM EPS</x:v>
      </x:c>
      <x:c r="E14" s="4"/>
      <x:c r="F14" s="4"/>
      <x:c r="G14" s="4"/>
      <x:c r="H14" s="4"/>
      <x:c r="I14" s="4"/>
      <x:c r="J14" s="41" t="str">
        <x:v>审慎价值</x:v>
      </x:c>
      <x:c r="K14" s="41"/>
      <x:c r="L14" s="42" t="n">
        <x:f>MIN(L11,L12)</x:f>
        <x:v>27.51529953988137</x:v>
      </x:c>
      <x:c r="M14" s="43" t="n">
        <x:f>L14/$B$7-1</x:f>
        <x:v>-0.22492113972165162</x:v>
      </x:c>
      <x:c r="N14" s="4"/>
      <x:c r="O14" s="4"/>
      <x:c r="P14" s="4"/>
      <x:c r="Q14" s="4"/>
      <x:c r="R14" s="4"/>
      <x:c r="S14" s="4"/>
      <x:c r="T14" s="4"/>
      <x:c r="U14" s="4"/>
      <x:c r="V14" s="4"/>
    </x:row>
    <x:row r="15">
      <x:c r="A15" s="19" t="str">
        <x:v>归一化EPS</x:v>
      </x:c>
      <x:c r="B15" s="32" t="n">
        <x:f>B8*B17</x:f>
        <x:v>4.7787999999999995</x:v>
      </x:c>
      <x:c r="C15" s="19" t="str">
        <x:v>元</x:v>
      </x:c>
      <x:c r="D15" s="19" t="str">
        <x:v>BVPS×归一化ROE</x:v>
      </x:c>
      <x:c r="E15" s="4"/>
      <x:c r="F15" s="4"/>
      <x:c r="G15" s="4"/>
      <x:c r="H15" s="4"/>
      <x:c r="I15" s="4"/>
      <x:c r="J15" s="41" t="str">
        <x:v>核心区间下沿</x:v>
      </x:c>
      <x:c r="K15" s="41"/>
      <x:c r="L15" s="42" t="n">
        <x:f>L12</x:f>
        <x:v>34.12854673453594</x:v>
      </x:c>
      <x:c r="M15" s="44"/>
      <x:c r="N15" s="4"/>
      <x:c r="O15" s="4"/>
      <x:c r="P15" s="4"/>
      <x:c r="Q15" s="4"/>
      <x:c r="R15" s="4"/>
      <x:c r="S15" s="4"/>
      <x:c r="T15" s="4"/>
      <x:c r="U15" s="4"/>
      <x:c r="V15" s="4"/>
    </x:row>
    <x:row r="16">
      <x:c r="A16" s="19" t="str">
        <x:v>2025完整年度DPS</x:v>
      </x:c>
      <x:c r="B16" s="36" t="n">
        <x:v>1.2</x:v>
      </x:c>
      <x:c r="C16" s="19" t="str">
        <x:v>元</x:v>
      </x:c>
      <x:c r="D16" s="19" t="str">
        <x:v>0.30中期+0.90末期</x:v>
      </x:c>
      <x:c r="E16" s="4"/>
      <x:c r="F16" s="4"/>
      <x:c r="G16" s="4"/>
      <x:c r="H16" s="4"/>
      <x:c r="I16" s="4"/>
      <x:c r="J16" s="41" t="str">
        <x:v>核心区间上沿</x:v>
      </x:c>
      <x:c r="K16" s="41"/>
      <x:c r="L16" s="42" t="n">
        <x:f>L13</x:f>
        <x:v>40.7028721091635</x:v>
      </x:c>
      <x:c r="M16" s="44"/>
      <x:c r="N16" s="4"/>
      <x:c r="O16" s="4"/>
      <x:c r="P16" s="4"/>
      <x:c r="Q16" s="4"/>
      <x:c r="R16" s="4"/>
      <x:c r="S16" s="4"/>
      <x:c r="T16" s="4"/>
      <x:c r="U16" s="4"/>
      <x:c r="V16" s="4"/>
    </x:row>
    <x:row r="17">
      <x:c r="A17" s="19" t="str">
        <x:v>归一化ROE</x:v>
      </x:c>
      <x:c r="B17" s="38" t="n">
        <x:v>0.13</x:v>
      </x:c>
      <x:c r="C17" s="19" t="str">
        <x:v>%</x:v>
      </x:c>
      <x:c r="D17" s="19" t="str">
        <x:v>核心盈利假设</x:v>
      </x:c>
      <x:c r="E17" s="4"/>
      <x:c r="F17" s="4"/>
      <x:c r="G17" s="4"/>
      <x:c r="H17" s="4"/>
      <x:c r="I17" s="4"/>
      <x:c r="J17" s="41" t="str">
        <x:v>相对安全边际</x:v>
      </x:c>
      <x:c r="K17" s="41"/>
      <x:c r="L17" s="43" t="n">
        <x:f>L13/$B$7-1</x:f>
        <x:v>0.1465597777229155</x:v>
      </x:c>
      <x:c r="M17" s="44"/>
      <x:c r="N17" s="4"/>
      <x:c r="O17" s="4"/>
      <x:c r="P17" s="4"/>
      <x:c r="Q17" s="4"/>
      <x:c r="R17" s="4"/>
      <x:c r="S17" s="4"/>
      <x:c r="T17" s="4"/>
      <x:c r="U17" s="4"/>
      <x:c r="V17" s="4"/>
    </x:row>
    <x:row r="18">
      <x:c r="A18" s="19" t="str">
        <x:v>股权成本Ke</x:v>
      </x:c>
      <x:c r="B18" s="38" t="n">
        <x:v>0.105</x:v>
      </x:c>
      <x:c r="C18" s="19" t="str">
        <x:v>%</x:v>
      </x:c>
      <x:c r="D18" s="19" t="str">
        <x:v>无风险利率+风险溢价</x:v>
      </x:c>
      <x:c r="E18" s="4"/>
      <x:c r="F18" s="4"/>
      <x:c r="G18" s="4"/>
      <x:c r="H18" s="4"/>
      <x:c r="I18" s="4"/>
      <x:c r="J18" s="41" t="str">
        <x:v>审慎安全边际</x:v>
      </x:c>
      <x:c r="K18" s="41"/>
      <x:c r="L18" s="43" t="n">
        <x:f>L14/$B$7-1</x:f>
        <x:v>-0.22492113972165162</x:v>
      </x:c>
      <x:c r="M18" s="44"/>
      <x:c r="N18" s="4"/>
      <x:c r="O18" s="4"/>
      <x:c r="P18" s="4"/>
      <x:c r="Q18" s="4"/>
      <x:c r="R18" s="4"/>
      <x:c r="S18" s="4"/>
      <x:c r="T18" s="4"/>
      <x:c r="U18" s="4"/>
      <x:c r="V18" s="4"/>
    </x:row>
    <x:row r="19">
      <x:c r="A19" s="19" t="str">
        <x:v>永续增长g</x:v>
      </x:c>
      <x:c r="B19" s="38" t="n">
        <x:v>0.04</x:v>
      </x:c>
      <x:c r="C19" s="19" t="str">
        <x:v>%</x:v>
      </x:c>
      <x:c r="D19" s="19" t="str">
        <x:v>低于长期名义增长假设</x:v>
      </x:c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</x:row>
    <x:row r="20">
      <x:c r="A20" s="19" t="str">
        <x:v>终值ROE</x:v>
      </x:c>
      <x:c r="B20" s="38" t="n">
        <x:v>0.115</x:v>
      </x:c>
      <x:c r="C20" s="19" t="str">
        <x:v>%</x:v>
      </x:c>
      <x:c r="D20" s="19" t="str">
        <x:v>稳态盈利能力</x:v>
      </x:c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</x:row>
    <x:row r="21">
      <x:c r="A21" s="19" t="str">
        <x:v>同业ROE弹性β</x:v>
      </x:c>
      <x:c r="B21" s="39" t="n">
        <x:v>0.8</x:v>
      </x:c>
      <x:c r="C21" s="19" t="str">
        <x:v>x</x:v>
      </x:c>
      <x:c r="D21" s="19" t="str">
        <x:v>PB对ROE差异的弹性</x:v>
      </x:c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</x:row>
    <x:row r="22">
      <x:c r="A22" s="19" t="str">
        <x:v>同业风险调整</x:v>
      </x:c>
      <x:c r="B22" s="39" t="n">
        <x:v>1</x:v>
      </x:c>
      <x:c r="C22" s="19" t="str">
        <x:v>x</x:v>
      </x:c>
      <x:c r="D22" s="19" t="str">
        <x:v>额外折/溢价</x:v>
      </x:c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</x:row>
    <x:row r="23">
      <x:c r="A23" s="19" t="str">
        <x:v>终值分红率</x:v>
      </x:c>
      <x:c r="B23" s="38" t="n">
        <x:v>0.45</x:v>
      </x:c>
      <x:c r="C23" s="19" t="str">
        <x:v>%</x:v>
      </x:c>
      <x:c r="D23" s="19" t="str">
        <x:v>资本约束下稳态支付率</x:v>
      </x:c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</x:row>
    <x:row r="24">
      <x:c r="A24" s="19" t="str">
        <x:v>权重合计</x:v>
      </x:c>
      <x:c r="B24" s="33" t="n">
        <x:f>SUM(K7:K12)</x:f>
        <x:v>1</x:v>
      </x:c>
      <x:c r="C24" s="19" t="str">
        <x:v>%</x:v>
      </x:c>
      <x:c r="D24" s="19" t="str">
        <x:v>必须等于100%</x:v>
      </x:c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</x:row>
    <x:row r="26" ht="23" customHeight="1">
      <x:c r="A26" s="9" t="str">
        <x:v>剩余收益模型：显式五年 + 终值</x:v>
      </x:c>
      <x:c r="B26" s="9" t="str">
        <x:v>剩余收益模型：显式五年 + 终值</x:v>
      </x:c>
      <x:c r="C26" s="9" t="str">
        <x:v>剩余收益模型：显式五年 + 终值</x:v>
      </x:c>
      <x:c r="D26" s="9" t="str">
        <x:v>剩余收益模型：显式五年 + 终值</x:v>
      </x:c>
      <x:c r="E26" s="9" t="str">
        <x:v>剩余收益模型：显式五年 + 终值</x:v>
      </x:c>
      <x:c r="F26" s="9" t="str">
        <x:v>剩余收益模型：显式五年 + 终值</x:v>
      </x:c>
      <x:c r="G26" s="9" t="str">
        <x:v>剩余收益模型：显式五年 + 终值</x:v>
      </x:c>
      <x:c r="H26" s="9" t="str">
        <x:v>剩余收益模型：显式五年 + 终值</x:v>
      </x:c>
      <x:c r="I26" s="11" t="str">
        <x:v>模型解读</x:v>
      </x:c>
      <x:c r="J26" s="11" t="str">
        <x:v>模型解读</x:v>
      </x:c>
      <x:c r="K26" s="11" t="str">
        <x:v>模型解读</x:v>
      </x:c>
      <x:c r="L26" s="11" t="str">
        <x:v>模型解读</x:v>
      </x:c>
      <x:c r="M26" s="11" t="str">
        <x:v>模型解读</x:v>
      </x:c>
      <x:c r="N26" s="4"/>
      <x:c r="O26" s="4"/>
      <x:c r="P26" s="4"/>
      <x:c r="Q26" s="4"/>
      <x:c r="R26" s="4"/>
      <x:c r="S26" s="4"/>
      <x:c r="T26" s="4"/>
      <x:c r="U26" s="4"/>
      <x:c r="V26" s="4"/>
    </x:row>
    <x:row r="27" ht="23" customHeight="1">
      <x:c r="A27" s="11" t="str">
        <x:v>项目</x:v>
      </x:c>
      <x:c r="B27" s="11" t="str">
        <x:v>第1年</x:v>
      </x:c>
      <x:c r="C27" s="11" t="str">
        <x:v>第2年</x:v>
      </x:c>
      <x:c r="D27" s="11" t="str">
        <x:v>第3年</x:v>
      </x:c>
      <x:c r="E27" s="11" t="str">
        <x:v>第4年</x:v>
      </x:c>
      <x:c r="F27" s="11" t="str">
        <x:v>第5年</x:v>
      </x:c>
      <x:c r="G27" s="11" t="str">
        <x:v>终值/合计</x:v>
      </x:c>
      <x:c r="H27" s="4"/>
      <x:c r="I27" s="18" t="str">
        <x:v>剩余收益模型把银行价值拆为当前每股净资产、显式期剩余收益与终值。基准假设ROE由13.8%逐步回落至12.5%，终值ROE 11.5%，高于10.5%的股权成本，因此仍产生正剩余收益。</x:v>
      </x:c>
      <x:c r="J27" s="18" t="str">
        <x:v>剩余收益模型把银行价值拆为当前每股净资产、显式期剩余收益与终值。基准假设ROE由13.8%逐步回落至12.5%，终值ROE 11.5%，高于10.5%的股权成本，因此仍产生正剩余收益。</x:v>
      </x:c>
      <x:c r="K27" s="18" t="str">
        <x:v>剩余收益模型把银行价值拆为当前每股净资产、显式期剩余收益与终值。基准假设ROE由13.8%逐步回落至12.5%，终值ROE 11.5%，高于10.5%的股权成本，因此仍产生正剩余收益。</x:v>
      </x:c>
      <x:c r="L27" s="18" t="str">
        <x:v>剩余收益模型把银行价值拆为当前每股净资产、显式期剩余收益与终值。基准假设ROE由13.8%逐步回落至12.5%，终值ROE 11.5%，高于10.5%的股权成本，因此仍产生正剩余收益。</x:v>
      </x:c>
      <x:c r="M27" s="18" t="str">
        <x:v>剩余收益模型把银行价值拆为当前每股净资产、显式期剩余收益与终值。基准假设ROE由13.8%逐步回落至12.5%，终值ROE 11.5%，高于10.5%的股权成本，因此仍产生正剩余收益。</x:v>
      </x:c>
      <x:c r="N27" s="4"/>
      <x:c r="O27" s="4"/>
      <x:c r="P27" s="4"/>
      <x:c r="Q27" s="4"/>
      <x:c r="R27" s="4"/>
      <x:c r="S27" s="4"/>
      <x:c r="T27" s="4"/>
      <x:c r="U27" s="4"/>
      <x:c r="V27" s="4"/>
    </x:row>
    <x:row r="28">
      <x:c r="A28" s="19" t="str">
        <x:v>期初BVPS</x:v>
      </x:c>
      <x:c r="B28" s="32" t="n">
        <x:f>$B$8</x:f>
        <x:v>36.76</x:v>
      </x:c>
      <x:c r="C28" s="32" t="n">
        <x:f>B32</x:f>
        <x:v>41.552879999999995</x:v>
      </x:c>
      <x:c r="D28" s="32" t="n">
        <x:f>C32</x:f>
        <x:v>46.8625188</x:v>
      </x:c>
      <x:c r="E28" s="32" t="n">
        <x:f>D32</x:f>
        <x:v>52.7283712816</x:v>
      </x:c>
      <x:c r="F28" s="32" t="n">
        <x:f>E32</x:f>
        <x:v>59.137602805644796</x:v>
      </x:c>
      <x:c r="G28" s="32" t="n">
        <x:f>F32</x:f>
        <x:v>66.1698031563504</x:v>
      </x:c>
      <x:c r="H28" s="4"/>
      <x:c r="I28" s="18" t="str">
        <x:v>剩余收益模型把银行价值拆为当前每股净资产、显式期剩余收益与终值。基准假设ROE由13.8%逐步回落至12.5%，终值ROE 11.5%，高于10.5%的股权成本，因此仍产生正剩余收益。</x:v>
      </x:c>
      <x:c r="J28" s="18" t="str">
        <x:v>剩余收益模型把银行价值拆为当前每股净资产、显式期剩余收益与终值。基准假设ROE由13.8%逐步回落至12.5%，终值ROE 11.5%，高于10.5%的股权成本，因此仍产生正剩余收益。</x:v>
      </x:c>
      <x:c r="K28" s="18" t="str">
        <x:v>剩余收益模型把银行价值拆为当前每股净资产、显式期剩余收益与终值。基准假设ROE由13.8%逐步回落至12.5%，终值ROE 11.5%，高于10.5%的股权成本，因此仍产生正剩余收益。</x:v>
      </x:c>
      <x:c r="L28" s="18" t="str">
        <x:v>剩余收益模型把银行价值拆为当前每股净资产、显式期剩余收益与终值。基准假设ROE由13.8%逐步回落至12.5%，终值ROE 11.5%，高于10.5%的股权成本，因此仍产生正剩余收益。</x:v>
      </x:c>
      <x:c r="M28" s="18" t="str">
        <x:v>剩余收益模型把银行价值拆为当前每股净资产、显式期剩余收益与终值。基准假设ROE由13.8%逐步回落至12.5%，终值ROE 11.5%，高于10.5%的股权成本，因此仍产生正剩余收益。</x:v>
      </x:c>
      <x:c r="N28" s="4"/>
      <x:c r="O28" s="4"/>
      <x:c r="P28" s="4"/>
      <x:c r="Q28" s="4"/>
      <x:c r="R28" s="4"/>
      <x:c r="S28" s="4"/>
      <x:c r="T28" s="4"/>
      <x:c r="U28" s="4"/>
      <x:c r="V28" s="4"/>
    </x:row>
    <x:row r="29">
      <x:c r="A29" s="19" t="str">
        <x:v>ROE</x:v>
      </x:c>
      <x:c r="B29" s="38" t="n">
        <x:v>0.138</x:v>
      </x:c>
      <x:c r="C29" s="38" t="n">
        <x:v>0.135</x:v>
      </x:c>
      <x:c r="D29" s="38" t="n">
        <x:v>0.132</x:v>
      </x:c>
      <x:c r="E29" s="38" t="n">
        <x:v>0.128</x:v>
      </x:c>
      <x:c r="F29" s="38" t="n">
        <x:v>0.125</x:v>
      </x:c>
      <x:c r="G29" s="46" t="n">
        <x:f>$B$20</x:f>
        <x:v>0.115</x:v>
      </x:c>
      <x:c r="H29" s="4"/>
      <x:c r="I29" s="18" t="str">
        <x:v>剩余收益模型把银行价值拆为当前每股净资产、显式期剩余收益与终值。基准假设ROE由13.8%逐步回落至12.5%，终值ROE 11.5%，高于10.5%的股权成本，因此仍产生正剩余收益。</x:v>
      </x:c>
      <x:c r="J29" s="18" t="str">
        <x:v>剩余收益模型把银行价值拆为当前每股净资产、显式期剩余收益与终值。基准假设ROE由13.8%逐步回落至12.5%，终值ROE 11.5%，高于10.5%的股权成本，因此仍产生正剩余收益。</x:v>
      </x:c>
      <x:c r="K29" s="18" t="str">
        <x:v>剩余收益模型把银行价值拆为当前每股净资产、显式期剩余收益与终值。基准假设ROE由13.8%逐步回落至12.5%，终值ROE 11.5%，高于10.5%的股权成本，因此仍产生正剩余收益。</x:v>
      </x:c>
      <x:c r="L29" s="18" t="str">
        <x:v>剩余收益模型把银行价值拆为当前每股净资产、显式期剩余收益与终值。基准假设ROE由13.8%逐步回落至12.5%，终值ROE 11.5%，高于10.5%的股权成本，因此仍产生正剩余收益。</x:v>
      </x:c>
      <x:c r="M29" s="18" t="str">
        <x:v>剩余收益模型把银行价值拆为当前每股净资产、显式期剩余收益与终值。基准假设ROE由13.8%逐步回落至12.5%，终值ROE 11.5%，高于10.5%的股权成本，因此仍产生正剩余收益。</x:v>
      </x:c>
      <x:c r="N29" s="4"/>
      <x:c r="O29" s="4"/>
      <x:c r="P29" s="4"/>
      <x:c r="Q29" s="4"/>
      <x:c r="R29" s="4"/>
      <x:c r="S29" s="4"/>
      <x:c r="T29" s="4"/>
      <x:c r="U29" s="4"/>
      <x:c r="V29" s="4"/>
    </x:row>
    <x:row r="30">
      <x:c r="A30" s="19" t="str">
        <x:v>EPS</x:v>
      </x:c>
      <x:c r="B30" s="32" t="n">
        <x:f>B28*B29</x:f>
        <x:v>5.0728800000000005</x:v>
      </x:c>
      <x:c r="C30" s="32" t="n">
        <x:f>C28*C29</x:f>
        <x:v>5.6096388</x:v>
      </x:c>
      <x:c r="D30" s="32" t="n">
        <x:f>D28*D29</x:f>
        <x:v>6.1858524816</x:v>
      </x:c>
      <x:c r="E30" s="32" t="n">
        <x:f>E28*E29</x:f>
        <x:v>6.7492315240447995</x:v>
      </x:c>
      <x:c r="F30" s="32" t="n">
        <x:f>F28*F29</x:f>
        <x:v>7.3922003507055996</x:v>
      </x:c>
      <x:c r="G30" s="32"/>
      <x:c r="H30" s="4"/>
      <x:c r="I30" s="18" t="str">
        <x:v>剩余收益模型把银行价值拆为当前每股净资产、显式期剩余收益与终值。基准假设ROE由13.8%逐步回落至12.5%，终值ROE 11.5%，高于10.5%的股权成本，因此仍产生正剩余收益。</x:v>
      </x:c>
      <x:c r="J30" s="18" t="str">
        <x:v>剩余收益模型把银行价值拆为当前每股净资产、显式期剩余收益与终值。基准假设ROE由13.8%逐步回落至12.5%，终值ROE 11.5%，高于10.5%的股权成本，因此仍产生正剩余收益。</x:v>
      </x:c>
      <x:c r="K30" s="18" t="str">
        <x:v>剩余收益模型把银行价值拆为当前每股净资产、显式期剩余收益与终值。基准假设ROE由13.8%逐步回落至12.5%，终值ROE 11.5%，高于10.5%的股权成本，因此仍产生正剩余收益。</x:v>
      </x:c>
      <x:c r="L30" s="18" t="str">
        <x:v>剩余收益模型把银行价值拆为当前每股净资产、显式期剩余收益与终值。基准假设ROE由13.8%逐步回落至12.5%，终值ROE 11.5%，高于10.5%的股权成本，因此仍产生正剩余收益。</x:v>
      </x:c>
      <x:c r="M30" s="18" t="str">
        <x:v>剩余收益模型把银行价值拆为当前每股净资产、显式期剩余收益与终值。基准假设ROE由13.8%逐步回落至12.5%，终值ROE 11.5%，高于10.5%的股权成本，因此仍产生正剩余收益。</x:v>
      </x:c>
      <x:c r="N30" s="4"/>
      <x:c r="O30" s="4"/>
      <x:c r="P30" s="4"/>
      <x:c r="Q30" s="4"/>
      <x:c r="R30" s="4"/>
      <x:c r="S30" s="4"/>
      <x:c r="T30" s="4"/>
      <x:c r="U30" s="4"/>
      <x:c r="V30" s="4"/>
    </x:row>
    <x:row r="31">
      <x:c r="A31" s="19" t="str">
        <x:v>分红率</x:v>
      </x:c>
      <x:c r="B31" s="38" t="n">
        <x:v>0.28</x:v>
      </x:c>
      <x:c r="C31" s="38" t="n">
        <x:v>0.3</x:v>
      </x:c>
      <x:c r="D31" s="38" t="n">
        <x:v>0.32</x:v>
      </x:c>
      <x:c r="E31" s="38" t="n">
        <x:v>0.34</x:v>
      </x:c>
      <x:c r="F31" s="38" t="n">
        <x:v>0.36</x:v>
      </x:c>
      <x:c r="G31" s="32"/>
      <x:c r="H31" s="4"/>
      <x:c r="I31" s="18" t="str">
        <x:v>剩余收益模型把银行价值拆为当前每股净资产、显式期剩余收益与终值。基准假设ROE由13.8%逐步回落至12.5%，终值ROE 11.5%，高于10.5%的股权成本，因此仍产生正剩余收益。</x:v>
      </x:c>
      <x:c r="J31" s="18" t="str">
        <x:v>剩余收益模型把银行价值拆为当前每股净资产、显式期剩余收益与终值。基准假设ROE由13.8%逐步回落至12.5%，终值ROE 11.5%，高于10.5%的股权成本，因此仍产生正剩余收益。</x:v>
      </x:c>
      <x:c r="K31" s="18" t="str">
        <x:v>剩余收益模型把银行价值拆为当前每股净资产、显式期剩余收益与终值。基准假设ROE由13.8%逐步回落至12.5%，终值ROE 11.5%，高于10.5%的股权成本，因此仍产生正剩余收益。</x:v>
      </x:c>
      <x:c r="L31" s="18" t="str">
        <x:v>剩余收益模型把银行价值拆为当前每股净资产、显式期剩余收益与终值。基准假设ROE由13.8%逐步回落至12.5%，终值ROE 11.5%，高于10.5%的股权成本，因此仍产生正剩余收益。</x:v>
      </x:c>
      <x:c r="M31" s="18" t="str">
        <x:v>剩余收益模型把银行价值拆为当前每股净资产、显式期剩余收益与终值。基准假设ROE由13.8%逐步回落至12.5%，终值ROE 11.5%，高于10.5%的股权成本，因此仍产生正剩余收益。</x:v>
      </x:c>
      <x:c r="N31" s="4"/>
      <x:c r="O31" s="4"/>
      <x:c r="P31" s="4"/>
      <x:c r="Q31" s="4"/>
      <x:c r="R31" s="4"/>
      <x:c r="S31" s="4"/>
      <x:c r="T31" s="4"/>
      <x:c r="U31" s="4"/>
      <x:c r="V31" s="4"/>
    </x:row>
    <x:row r="32">
      <x:c r="A32" s="19" t="str">
        <x:v>期末BVPS</x:v>
      </x:c>
      <x:c r="B32" s="32" t="n">
        <x:f>B28+B30-B31</x:f>
        <x:v>41.552879999999995</x:v>
      </x:c>
      <x:c r="C32" s="32" t="n">
        <x:f>C28+C30-C31</x:f>
        <x:v>46.8625188</x:v>
      </x:c>
      <x:c r="D32" s="32" t="n">
        <x:f>D28+D30-D31</x:f>
        <x:v>52.7283712816</x:v>
      </x:c>
      <x:c r="E32" s="32" t="n">
        <x:f>E28+E30-E31</x:f>
        <x:v>59.137602805644796</x:v>
      </x:c>
      <x:c r="F32" s="32" t="n">
        <x:f>F28+F30-F31</x:f>
        <x:v>66.1698031563504</x:v>
      </x:c>
      <x:c r="G32" s="32"/>
      <x:c r="H32" s="4"/>
      <x:c r="I32" s="18" t="str">
        <x:v>剩余收益模型把银行价值拆为当前每股净资产、显式期剩余收益与终值。基准假设ROE由13.8%逐步回落至12.5%，终值ROE 11.5%，高于10.5%的股权成本，因此仍产生正剩余收益。</x:v>
      </x:c>
      <x:c r="J32" s="18" t="str">
        <x:v>剩余收益模型把银行价值拆为当前每股净资产、显式期剩余收益与终值。基准假设ROE由13.8%逐步回落至12.5%，终值ROE 11.5%，高于10.5%的股权成本，因此仍产生正剩余收益。</x:v>
      </x:c>
      <x:c r="K32" s="18" t="str">
        <x:v>剩余收益模型把银行价值拆为当前每股净资产、显式期剩余收益与终值。基准假设ROE由13.8%逐步回落至12.5%，终值ROE 11.5%，高于10.5%的股权成本，因此仍产生正剩余收益。</x:v>
      </x:c>
      <x:c r="L32" s="18" t="str">
        <x:v>剩余收益模型把银行价值拆为当前每股净资产、显式期剩余收益与终值。基准假设ROE由13.8%逐步回落至12.5%，终值ROE 11.5%，高于10.5%的股权成本，因此仍产生正剩余收益。</x:v>
      </x:c>
      <x:c r="M32" s="18" t="str">
        <x:v>剩余收益模型把银行价值拆为当前每股净资产、显式期剩余收益与终值。基准假设ROE由13.8%逐步回落至12.5%，终值ROE 11.5%，高于10.5%的股权成本，因此仍产生正剩余收益。</x:v>
      </x:c>
      <x:c r="N32" s="4"/>
      <x:c r="O32" s="4"/>
      <x:c r="P32" s="4"/>
      <x:c r="Q32" s="4"/>
      <x:c r="R32" s="4"/>
      <x:c r="S32" s="4"/>
      <x:c r="T32" s="4"/>
      <x:c r="U32" s="4"/>
      <x:c r="V32" s="4"/>
    </x:row>
    <x:row r="33">
      <x:c r="A33" s="19" t="str">
        <x:v>剩余收益</x:v>
      </x:c>
      <x:c r="B33" s="32" t="n">
        <x:f>B28*(B29-$B$18)</x:f>
        <x:v>1.2130800000000006</x:v>
      </x:c>
      <x:c r="C33" s="32" t="n">
        <x:f>C28*(C29-$B$18)</x:f>
        <x:v>1.2465864000000004</x:v>
      </x:c>
      <x:c r="D33" s="32" t="n">
        <x:f>D28*(D29-$B$18)</x:f>
        <x:v>1.2652880076000004</x:v>
      </x:c>
      <x:c r="E33" s="32" t="n">
        <x:f>E28*(E29-$B$18)</x:f>
        <x:v>1.2127525394768004</x:v>
      </x:c>
      <x:c r="F33" s="32" t="n">
        <x:f>F28*(F29-$B$18)</x:f>
        <x:v>1.1827520561128961</x:v>
      </x:c>
      <x:c r="G33" s="32"/>
      <x:c r="H33" s="4"/>
      <x:c r="I33" s="18" t="str">
        <x:v>剩余收益模型把银行价值拆为当前每股净资产、显式期剩余收益与终值。基准假设ROE由13.8%逐步回落至12.5%，终值ROE 11.5%，高于10.5%的股权成本，因此仍产生正剩余收益。</x:v>
      </x:c>
      <x:c r="J33" s="18" t="str">
        <x:v>剩余收益模型把银行价值拆为当前每股净资产、显式期剩余收益与终值。基准假设ROE由13.8%逐步回落至12.5%，终值ROE 11.5%，高于10.5%的股权成本，因此仍产生正剩余收益。</x:v>
      </x:c>
      <x:c r="K33" s="18" t="str">
        <x:v>剩余收益模型把银行价值拆为当前每股净资产、显式期剩余收益与终值。基准假设ROE由13.8%逐步回落至12.5%，终值ROE 11.5%，高于10.5%的股权成本，因此仍产生正剩余收益。</x:v>
      </x:c>
      <x:c r="L33" s="18" t="str">
        <x:v>剩余收益模型把银行价值拆为当前每股净资产、显式期剩余收益与终值。基准假设ROE由13.8%逐步回落至12.5%，终值ROE 11.5%，高于10.5%的股权成本，因此仍产生正剩余收益。</x:v>
      </x:c>
      <x:c r="M33" s="18" t="str">
        <x:v>剩余收益模型把银行价值拆为当前每股净资产、显式期剩余收益与终值。基准假设ROE由13.8%逐步回落至12.5%，终值ROE 11.5%，高于10.5%的股权成本，因此仍产生正剩余收益。</x:v>
      </x:c>
      <x:c r="N33" s="4"/>
      <x:c r="O33" s="4"/>
      <x:c r="P33" s="4"/>
      <x:c r="Q33" s="4"/>
      <x:c r="R33" s="4"/>
      <x:c r="S33" s="4"/>
      <x:c r="T33" s="4"/>
      <x:c r="U33" s="4"/>
      <x:c r="V33" s="4"/>
    </x:row>
    <x:row r="34">
      <x:c r="A34" s="19" t="str">
        <x:v>折现因子</x:v>
      </x:c>
      <x:c r="B34" s="32" t="n">
        <x:f>1/(1+$B$18)^1</x:f>
        <x:v>0.9049773755656109</x:v>
      </x:c>
      <x:c r="C34" s="32" t="n">
        <x:f>1/(1+$B$18)^2</x:f>
        <x:v>0.8189840502856207</x:v>
      </x:c>
      <x:c r="D34" s="32" t="n">
        <x:f>1/(1+$B$18)^3</x:f>
        <x:v>0.7411620364575753</x:v>
      </x:c>
      <x:c r="E34" s="32" t="n">
        <x:f>1/(1+$B$18)^4</x:f>
        <x:v>0.6707348746222401</x:v>
      </x:c>
      <x:c r="F34" s="32" t="n">
        <x:f>1/(1+$B$18)^5</x:f>
        <x:v>0.6069998865359639</x:v>
      </x:c>
      <x:c r="G34" s="32"/>
      <x:c r="H34" s="4"/>
      <x:c r="I34" s="17" t="str">
        <x:v>关键敏感项不是短期利润，而是ROE能否长期高于Ke。若零售风险恶化或资本约束推高Ke，RIM与PB-ROE会同步下修；历史PB/PE与同业法用于抑制单一模型的乐观偏差。</x:v>
      </x:c>
      <x:c r="J34" s="17" t="str">
        <x:v>关键敏感项不是短期利润，而是ROE能否长期高于Ke。若零售风险恶化或资本约束推高Ke，RIM与PB-ROE会同步下修；历史PB/PE与同业法用于抑制单一模型的乐观偏差。</x:v>
      </x:c>
      <x:c r="K34" s="17" t="str">
        <x:v>关键敏感项不是短期利润，而是ROE能否长期高于Ke。若零售风险恶化或资本约束推高Ke，RIM与PB-ROE会同步下修；历史PB/PE与同业法用于抑制单一模型的乐观偏差。</x:v>
      </x:c>
      <x:c r="L34" s="17" t="str">
        <x:v>关键敏感项不是短期利润，而是ROE能否长期高于Ke。若零售风险恶化或资本约束推高Ke，RIM与PB-ROE会同步下修；历史PB/PE与同业法用于抑制单一模型的乐观偏差。</x:v>
      </x:c>
      <x:c r="M34" s="17" t="str">
        <x:v>关键敏感项不是短期利润，而是ROE能否长期高于Ke。若零售风险恶化或资本约束推高Ke，RIM与PB-ROE会同步下修；历史PB/PE与同业法用于抑制单一模型的乐观偏差。</x:v>
      </x:c>
      <x:c r="N34" s="4"/>
      <x:c r="O34" s="4"/>
      <x:c r="P34" s="4"/>
      <x:c r="Q34" s="4"/>
      <x:c r="R34" s="4"/>
      <x:c r="S34" s="4"/>
      <x:c r="T34" s="4"/>
      <x:c r="U34" s="4"/>
      <x:c r="V34" s="4"/>
    </x:row>
    <x:row r="35">
      <x:c r="A35" s="19" t="str">
        <x:v>折现后剩余收益</x:v>
      </x:c>
      <x:c r="B35" s="32" t="n">
        <x:f>B33*B34</x:f>
        <x:v>1.0978099547511317</x:v>
      </x:c>
      <x:c r="C35" s="32" t="n">
        <x:f>C33*C34</x:f>
        <x:v>1.0209343789029712</x:v>
      </x:c>
      <x:c r="D35" s="32" t="n">
        <x:f>D33*D34</x:f>
        <x:v>0.9377834364181643</x:v>
      </x:c>
      <x:c r="E35" s="32" t="n">
        <x:f>E33*E34</x:f>
        <x:v>0.813435422513775</x:v>
      </x:c>
      <x:c r="F35" s="32" t="n">
        <x:f>F33*F34</x:f>
        <x:v>0.717930363860706</x:v>
      </x:c>
      <x:c r="G35" s="32"/>
      <x:c r="H35" s="4"/>
      <x:c r="I35" s="17" t="str">
        <x:v>关键敏感项不是短期利润，而是ROE能否长期高于Ke。若零售风险恶化或资本约束推高Ke，RIM与PB-ROE会同步下修；历史PB/PE与同业法用于抑制单一模型的乐观偏差。</x:v>
      </x:c>
      <x:c r="J35" s="17" t="str">
        <x:v>关键敏感项不是短期利润，而是ROE能否长期高于Ke。若零售风险恶化或资本约束推高Ke，RIM与PB-ROE会同步下修；历史PB/PE与同业法用于抑制单一模型的乐观偏差。</x:v>
      </x:c>
      <x:c r="K35" s="17" t="str">
        <x:v>关键敏感项不是短期利润，而是ROE能否长期高于Ke。若零售风险恶化或资本约束推高Ke，RIM与PB-ROE会同步下修；历史PB/PE与同业法用于抑制单一模型的乐观偏差。</x:v>
      </x:c>
      <x:c r="L35" s="17" t="str">
        <x:v>关键敏感项不是短期利润，而是ROE能否长期高于Ke。若零售风险恶化或资本约束推高Ke，RIM与PB-ROE会同步下修；历史PB/PE与同业法用于抑制单一模型的乐观偏差。</x:v>
      </x:c>
      <x:c r="M35" s="17" t="str">
        <x:v>关键敏感项不是短期利润，而是ROE能否长期高于Ke。若零售风险恶化或资本约束推高Ke，RIM与PB-ROE会同步下修；历史PB/PE与同业法用于抑制单一模型的乐观偏差。</x:v>
      </x:c>
      <x:c r="N35" s="4"/>
      <x:c r="O35" s="4"/>
      <x:c r="P35" s="4"/>
      <x:c r="Q35" s="4"/>
      <x:c r="R35" s="4"/>
      <x:c r="S35" s="4"/>
      <x:c r="T35" s="4"/>
      <x:c r="U35" s="4"/>
      <x:c r="V35" s="4"/>
    </x:row>
    <x:row r="36">
      <x:c r="A36" s="19" t="str">
        <x:v>终值剩余收益</x:v>
      </x:c>
      <x:c r="B36" s="32"/>
      <x:c r="C36" s="32"/>
      <x:c r="D36" s="32"/>
      <x:c r="E36" s="32"/>
      <x:c r="F36" s="32"/>
      <x:c r="G36" s="32" t="n">
        <x:f>F32*($B$20-$B$18)</x:f>
        <x:v>0.6616980315635046</x:v>
      </x:c>
      <x:c r="H36" s="4"/>
      <x:c r="I36" s="17" t="str">
        <x:v>关键敏感项不是短期利润，而是ROE能否长期高于Ke。若零售风险恶化或资本约束推高Ke，RIM与PB-ROE会同步下修；历史PB/PE与同业法用于抑制单一模型的乐观偏差。</x:v>
      </x:c>
      <x:c r="J36" s="17" t="str">
        <x:v>关键敏感项不是短期利润，而是ROE能否长期高于Ke。若零售风险恶化或资本约束推高Ke，RIM与PB-ROE会同步下修；历史PB/PE与同业法用于抑制单一模型的乐观偏差。</x:v>
      </x:c>
      <x:c r="K36" s="17" t="str">
        <x:v>关键敏感项不是短期利润，而是ROE能否长期高于Ke。若零售风险恶化或资本约束推高Ke，RIM与PB-ROE会同步下修；历史PB/PE与同业法用于抑制单一模型的乐观偏差。</x:v>
      </x:c>
      <x:c r="L36" s="17" t="str">
        <x:v>关键敏感项不是短期利润，而是ROE能否长期高于Ke。若零售风险恶化或资本约束推高Ke，RIM与PB-ROE会同步下修；历史PB/PE与同业法用于抑制单一模型的乐观偏差。</x:v>
      </x:c>
      <x:c r="M36" s="17" t="str">
        <x:v>关键敏感项不是短期利润，而是ROE能否长期高于Ke。若零售风险恶化或资本约束推高Ke，RIM与PB-ROE会同步下修；历史PB/PE与同业法用于抑制单一模型的乐观偏差。</x:v>
      </x:c>
      <x:c r="N36" s="4"/>
      <x:c r="O36" s="4"/>
      <x:c r="P36" s="4"/>
      <x:c r="Q36" s="4"/>
      <x:c r="R36" s="4"/>
      <x:c r="S36" s="4"/>
      <x:c r="T36" s="4"/>
      <x:c r="U36" s="4"/>
      <x:c r="V36" s="4"/>
    </x:row>
    <x:row r="37">
      <x:c r="A37" s="19" t="str">
        <x:v>终值</x:v>
      </x:c>
      <x:c r="B37" s="32"/>
      <x:c r="C37" s="32"/>
      <x:c r="D37" s="32"/>
      <x:c r="E37" s="32"/>
      <x:c r="F37" s="32"/>
      <x:c r="G37" s="32" t="n">
        <x:f>G36/($B$18-$B$19)</x:f>
        <x:v>10.179969716361608</x:v>
      </x:c>
      <x:c r="H37" s="4"/>
      <x:c r="I37" s="17" t="str">
        <x:v>关键敏感项不是短期利润，而是ROE能否长期高于Ke。若零售风险恶化或资本约束推高Ke，RIM与PB-ROE会同步下修；历史PB/PE与同业法用于抑制单一模型的乐观偏差。</x:v>
      </x:c>
      <x:c r="J37" s="17" t="str">
        <x:v>关键敏感项不是短期利润，而是ROE能否长期高于Ke。若零售风险恶化或资本约束推高Ke，RIM与PB-ROE会同步下修；历史PB/PE与同业法用于抑制单一模型的乐观偏差。</x:v>
      </x:c>
      <x:c r="K37" s="17" t="str">
        <x:v>关键敏感项不是短期利润，而是ROE能否长期高于Ke。若零售风险恶化或资本约束推高Ke，RIM与PB-ROE会同步下修；历史PB/PE与同业法用于抑制单一模型的乐观偏差。</x:v>
      </x:c>
      <x:c r="L37" s="17" t="str">
        <x:v>关键敏感项不是短期利润，而是ROE能否长期高于Ke。若零售风险恶化或资本约束推高Ke，RIM与PB-ROE会同步下修；历史PB/PE与同业法用于抑制单一模型的乐观偏差。</x:v>
      </x:c>
      <x:c r="M37" s="17" t="str">
        <x:v>关键敏感项不是短期利润，而是ROE能否长期高于Ke。若零售风险恶化或资本约束推高Ke，RIM与PB-ROE会同步下修；历史PB/PE与同业法用于抑制单一模型的乐观偏差。</x:v>
      </x:c>
      <x:c r="N37" s="4"/>
      <x:c r="O37" s="4"/>
      <x:c r="P37" s="4"/>
      <x:c r="Q37" s="4"/>
      <x:c r="R37" s="4"/>
      <x:c r="S37" s="4"/>
      <x:c r="T37" s="4"/>
      <x:c r="U37" s="4"/>
      <x:c r="V37" s="4"/>
    </x:row>
    <x:row r="38">
      <x:c r="A38" s="19" t="str">
        <x:v>终值现值</x:v>
      </x:c>
      <x:c r="B38" s="32"/>
      <x:c r="C38" s="32"/>
      <x:c r="D38" s="32"/>
      <x:c r="E38" s="32"/>
      <x:c r="F38" s="32"/>
      <x:c r="G38" s="32" t="n">
        <x:f>G37*F34</x:f>
        <x:v>6.179240462771045</x:v>
      </x:c>
      <x:c r="H38" s="4"/>
      <x:c r="I38" s="17" t="str">
        <x:v>关键敏感项不是短期利润，而是ROE能否长期高于Ke。若零售风险恶化或资本约束推高Ke，RIM与PB-ROE会同步下修；历史PB/PE与同业法用于抑制单一模型的乐观偏差。</x:v>
      </x:c>
      <x:c r="J38" s="17" t="str">
        <x:v>关键敏感项不是短期利润，而是ROE能否长期高于Ke。若零售风险恶化或资本约束推高Ke，RIM与PB-ROE会同步下修；历史PB/PE与同业法用于抑制单一模型的乐观偏差。</x:v>
      </x:c>
      <x:c r="K38" s="17" t="str">
        <x:v>关键敏感项不是短期利润，而是ROE能否长期高于Ke。若零售风险恶化或资本约束推高Ke，RIM与PB-ROE会同步下修；历史PB/PE与同业法用于抑制单一模型的乐观偏差。</x:v>
      </x:c>
      <x:c r="L38" s="17" t="str">
        <x:v>关键敏感项不是短期利润，而是ROE能否长期高于Ke。若零售风险恶化或资本约束推高Ke，RIM与PB-ROE会同步下修；历史PB/PE与同业法用于抑制单一模型的乐观偏差。</x:v>
      </x:c>
      <x:c r="M38" s="17" t="str">
        <x:v>关键敏感项不是短期利润，而是ROE能否长期高于Ke。若零售风险恶化或资本约束推高Ke，RIM与PB-ROE会同步下修；历史PB/PE与同业法用于抑制单一模型的乐观偏差。</x:v>
      </x:c>
      <x:c r="N38" s="4"/>
      <x:c r="O38" s="4"/>
      <x:c r="P38" s="4"/>
      <x:c r="Q38" s="4"/>
      <x:c r="R38" s="4"/>
      <x:c r="S38" s="4"/>
      <x:c r="T38" s="4"/>
      <x:c r="U38" s="4"/>
      <x:c r="V38" s="4"/>
    </x:row>
    <x:row r="39">
      <x:c r="A39" s="19" t="str">
        <x:v>RIM每股价值</x:v>
      </x:c>
      <x:c r="B39" s="32"/>
      <x:c r="C39" s="32"/>
      <x:c r="D39" s="32"/>
      <x:c r="E39" s="32"/>
      <x:c r="F39" s="32"/>
      <x:c r="G39" s="32" t="n">
        <x:f>$B$8+SUM(B35:F35)+G38</x:f>
        <x:v>47.5271340192178</x:v>
      </x:c>
      <x:c r="H39" s="4"/>
      <x:c r="I39" s="17" t="str">
        <x:v>关键敏感项不是短期利润，而是ROE能否长期高于Ke。若零售风险恶化或资本约束推高Ke，RIM与PB-ROE会同步下修；历史PB/PE与同业法用于抑制单一模型的乐观偏差。</x:v>
      </x:c>
      <x:c r="J39" s="17" t="str">
        <x:v>关键敏感项不是短期利润，而是ROE能否长期高于Ke。若零售风险恶化或资本约束推高Ke，RIM与PB-ROE会同步下修；历史PB/PE与同业法用于抑制单一模型的乐观偏差。</x:v>
      </x:c>
      <x:c r="K39" s="17" t="str">
        <x:v>关键敏感项不是短期利润，而是ROE能否长期高于Ke。若零售风险恶化或资本约束推高Ke，RIM与PB-ROE会同步下修；历史PB/PE与同业法用于抑制单一模型的乐观偏差。</x:v>
      </x:c>
      <x:c r="L39" s="17" t="str">
        <x:v>关键敏感项不是短期利润，而是ROE能否长期高于Ke。若零售风险恶化或资本约束推高Ke，RIM与PB-ROE会同步下修；历史PB/PE与同业法用于抑制单一模型的乐观偏差。</x:v>
      </x:c>
      <x:c r="M39" s="17" t="str">
        <x:v>关键敏感项不是短期利润，而是ROE能否长期高于Ke。若零售风险恶化或资本约束推高Ke，RIM与PB-ROE会同步下修；历史PB/PE与同业法用于抑制单一模型的乐观偏差。</x:v>
      </x:c>
      <x:c r="N39" s="4"/>
      <x:c r="O39" s="4"/>
      <x:c r="P39" s="4"/>
      <x:c r="Q39" s="4"/>
      <x:c r="R39" s="4"/>
      <x:c r="S39" s="4"/>
      <x:c r="T39" s="4"/>
      <x:c r="U39" s="4"/>
      <x:c r="V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</x:row>
    <x:row r="42" ht="23" customHeight="1">
      <x:c r="A42" s="9" t="str">
        <x:v>PB-ROE敏感性：每股价值（元），永续增长4.0%</x:v>
      </x:c>
      <x:c r="B42" s="9" t="str">
        <x:v>PB-ROE敏感性：每股价值（元），永续增长4.0%</x:v>
      </x:c>
      <x:c r="C42" s="9" t="str">
        <x:v>PB-ROE敏感性：每股价值（元），永续增长4.0%</x:v>
      </x:c>
      <x:c r="D42" s="9" t="str">
        <x:v>PB-ROE敏感性：每股价值（元），永续增长4.0%</x:v>
      </x:c>
      <x:c r="E42" s="9" t="str">
        <x:v>PB-ROE敏感性：每股价值（元），永续增长4.0%</x:v>
      </x:c>
      <x:c r="F42" s="9" t="str">
        <x:v>PB-ROE敏感性：每股价值（元），永续增长4.0%</x:v>
      </x:c>
      <x:c r="G42" s="9" t="str">
        <x:v>PB-ROE敏感性：每股价值（元），永续增长4.0%</x:v>
      </x:c>
      <x:c r="H42" s="4"/>
      <x:c r="I42" s="11" t="str">
        <x:v>方法说明与使用边界</x:v>
      </x:c>
      <x:c r="J42" s="11" t="str">
        <x:v>方法说明与使用边界</x:v>
      </x:c>
      <x:c r="K42" s="11" t="str">
        <x:v>方法说明与使用边界</x:v>
      </x:c>
      <x:c r="L42" s="11" t="str">
        <x:v>方法说明与使用边界</x:v>
      </x:c>
      <x:c r="M42" s="11" t="str">
        <x:v>方法说明与使用边界</x:v>
      </x:c>
      <x:c r="N42" s="4"/>
      <x:c r="O42" s="4"/>
      <x:c r="P42" s="4"/>
      <x:c r="Q42" s="4"/>
      <x:c r="R42" s="4"/>
      <x:c r="S42" s="4"/>
      <x:c r="T42" s="4"/>
      <x:c r="U42" s="4"/>
      <x:c r="V42" s="4"/>
    </x:row>
    <x:row r="43" ht="23" customHeight="1">
      <x:c r="A43" s="11" t="str">
        <x:v>长期ROE / 股权成本</x:v>
      </x:c>
      <x:c r="B43" s="49" t="n">
        <x:v>0.095</x:v>
      </x:c>
      <x:c r="C43" s="49" t="n">
        <x:v>0.105</x:v>
      </x:c>
      <x:c r="D43" s="49" t="n">
        <x:v>0.115</x:v>
      </x:c>
      <x:c r="E43" s="49" t="n">
        <x:v>0.125</x:v>
      </x:c>
      <x:c r="F43" s="49" t="n">
        <x:v>0.135</x:v>
      </x:c>
      <x:c r="G43" s="4"/>
      <x:c r="H43" s="4"/>
      <x:c r="I43" s="26" t="str">
        <x:v>① 六法权重默认15%/15%/10%/10%/20%/30%，可编辑；② 历史估值使用2016—2025年年末未复权收盘价；③ 同业法基于5家区域银行2026H1 ROE与2026-10-13 PB；④ DDM允许前五年分红率上升；⑤ 所有估值均为区间研究工具，不代表确定价格路径。</x:v>
      </x:c>
      <x:c r="J43" s="26" t="str">
        <x:v>① 六法权重默认15%/15%/10%/10%/20%/30%，可编辑；② 历史估值使用2016—2025年年末未复权收盘价；③ 同业法基于5家区域银行2026H1 ROE与2026-10-13 PB；④ DDM允许前五年分红率上升；⑤ 所有估值均为区间研究工具，不代表确定价格路径。</x:v>
      </x:c>
      <x:c r="K43" s="26" t="str">
        <x:v>① 六法权重默认15%/15%/10%/10%/20%/30%，可编辑；② 历史估值使用2016—2025年年末未复权收盘价；③ 同业法基于5家区域银行2026H1 ROE与2026-10-13 PB；④ DDM允许前五年分红率上升；⑤ 所有估值均为区间研究工具，不代表确定价格路径。</x:v>
      </x:c>
      <x:c r="L43" s="26" t="str">
        <x:v>① 六法权重默认15%/15%/10%/10%/20%/30%，可编辑；② 历史估值使用2016—2025年年末未复权收盘价；③ 同业法基于5家区域银行2026H1 ROE与2026-10-13 PB；④ DDM允许前五年分红率上升；⑤ 所有估值均为区间研究工具，不代表确定价格路径。</x:v>
      </x:c>
      <x:c r="M43" s="26" t="str">
        <x:v>① 六法权重默认15%/15%/10%/10%/20%/30%，可编辑；② 历史估值使用2016—2025年年末未复权收盘价；③ 同业法基于5家区域银行2026H1 ROE与2026-10-13 PB；④ DDM允许前五年分红率上升；⑤ 所有估值均为区间研究工具，不代表确定价格路径。</x:v>
      </x:c>
      <x:c r="N43" s="4"/>
      <x:c r="O43" s="4"/>
      <x:c r="P43" s="4"/>
      <x:c r="Q43" s="4"/>
      <x:c r="R43" s="4"/>
      <x:c r="S43" s="4"/>
      <x:c r="T43" s="4"/>
      <x:c r="U43" s="4"/>
      <x:c r="V43" s="4"/>
    </x:row>
    <x:row r="44">
      <x:c r="A44" s="48" t="n">
        <x:v>0.08</x:v>
      </x:c>
      <x:c r="B44" s="20" t="n">
        <x:f>$B$8*($A44-$B$19)/(B$43-$B$19)</x:f>
        <x:v>26.734545454545454</x:v>
      </x:c>
      <x:c r="C44" s="20" t="n">
        <x:f>$B$8*($A44-$B$19)/(C$43-$B$19)</x:f>
        <x:v>22.62153846153846</x:v>
      </x:c>
      <x:c r="D44" s="20" t="n">
        <x:f>$B$8*($A44-$B$19)/(D$43-$B$19)</x:f>
        <x:v>19.60533333333333</x:v>
      </x:c>
      <x:c r="E44" s="20" t="n">
        <x:f>$B$8*($A44-$B$19)/(E$43-$B$19)</x:f>
        <x:v>17.298823529411766</x:v>
      </x:c>
      <x:c r="F44" s="20" t="n">
        <x:f>$B$8*($A44-$B$19)/(F$43-$B$19)</x:f>
        <x:v>15.477894736842105</x:v>
      </x:c>
      <x:c r="G44" s="4"/>
      <x:c r="H44" s="4"/>
      <x:c r="I44" s="26" t="str">
        <x:v>① 六法权重默认15%/15%/10%/10%/20%/30%，可编辑；② 历史估值使用2016—2025年年末未复权收盘价；③ 同业法基于5家区域银行2026H1 ROE与2026-10-13 PB；④ DDM允许前五年分红率上升；⑤ 所有估值均为区间研究工具，不代表确定价格路径。</x:v>
      </x:c>
      <x:c r="J44" s="26" t="str">
        <x:v>① 六法权重默认15%/15%/10%/10%/20%/30%，可编辑；② 历史估值使用2016—2025年年末未复权收盘价；③ 同业法基于5家区域银行2026H1 ROE与2026-10-13 PB；④ DDM允许前五年分红率上升；⑤ 所有估值均为区间研究工具，不代表确定价格路径。</x:v>
      </x:c>
      <x:c r="K44" s="26" t="str">
        <x:v>① 六法权重默认15%/15%/10%/10%/20%/30%，可编辑；② 历史估值使用2016—2025年年末未复权收盘价；③ 同业法基于5家区域银行2026H1 ROE与2026-10-13 PB；④ DDM允许前五年分红率上升；⑤ 所有估值均为区间研究工具，不代表确定价格路径。</x:v>
      </x:c>
      <x:c r="L44" s="26" t="str">
        <x:v>① 六法权重默认15%/15%/10%/10%/20%/30%，可编辑；② 历史估值使用2016—2025年年末未复权收盘价；③ 同业法基于5家区域银行2026H1 ROE与2026-10-13 PB；④ DDM允许前五年分红率上升；⑤ 所有估值均为区间研究工具，不代表确定价格路径。</x:v>
      </x:c>
      <x:c r="M44" s="26" t="str">
        <x:v>① 六法权重默认15%/15%/10%/10%/20%/30%，可编辑；② 历史估值使用2016—2025年年末未复权收盘价；③ 同业法基于5家区域银行2026H1 ROE与2026-10-13 PB；④ DDM允许前五年分红率上升；⑤ 所有估值均为区间研究工具，不代表确定价格路径。</x:v>
      </x:c>
      <x:c r="N44" s="4"/>
      <x:c r="O44" s="4"/>
      <x:c r="P44" s="4"/>
      <x:c r="Q44" s="4"/>
      <x:c r="R44" s="4"/>
      <x:c r="S44" s="4"/>
      <x:c r="T44" s="4"/>
      <x:c r="U44" s="4"/>
      <x:c r="V44" s="4"/>
    </x:row>
    <x:row r="45">
      <x:c r="A45" s="48" t="n">
        <x:v>0.09</x:v>
      </x:c>
      <x:c r="B45" s="20" t="n">
        <x:f>$B$8*($A45-$B$19)/(B$43-$B$19)</x:f>
        <x:v>33.418181818181814</x:v>
      </x:c>
      <x:c r="C45" s="20" t="n">
        <x:f>$B$8*($A45-$B$19)/(C$43-$B$19)</x:f>
        <x:v>28.276923076923072</x:v>
      </x:c>
      <x:c r="D45" s="20" t="n">
        <x:f>$B$8*($A45-$B$19)/(D$43-$B$19)</x:f>
        <x:v>24.50666666666666</x:v>
      </x:c>
      <x:c r="E45" s="20" t="n">
        <x:f>$B$8*($A45-$B$19)/(E$43-$B$19)</x:f>
        <x:v>21.623529411764707</x:v>
      </x:c>
      <x:c r="F45" s="20" t="n">
        <x:f>$B$8*($A45-$B$19)/(F$43-$B$19)</x:f>
        <x:v>19.34736842105263</x:v>
      </x:c>
      <x:c r="G45" s="4"/>
      <x:c r="H45" s="4"/>
      <x:c r="I45" s="26" t="str">
        <x:v>① 六法权重默认15%/15%/10%/10%/20%/30%，可编辑；② 历史估值使用2016—2025年年末未复权收盘价；③ 同业法基于5家区域银行2026H1 ROE与2026-10-13 PB；④ DDM允许前五年分红率上升；⑤ 所有估值均为区间研究工具，不代表确定价格路径。</x:v>
      </x:c>
      <x:c r="J45" s="26" t="str">
        <x:v>① 六法权重默认15%/15%/10%/10%/20%/30%，可编辑；② 历史估值使用2016—2025年年末未复权收盘价；③ 同业法基于5家区域银行2026H1 ROE与2026-10-13 PB；④ DDM允许前五年分红率上升；⑤ 所有估值均为区间研究工具，不代表确定价格路径。</x:v>
      </x:c>
      <x:c r="K45" s="26" t="str">
        <x:v>① 六法权重默认15%/15%/10%/10%/20%/30%，可编辑；② 历史估值使用2016—2025年年末未复权收盘价；③ 同业法基于5家区域银行2026H1 ROE与2026-10-13 PB；④ DDM允许前五年分红率上升；⑤ 所有估值均为区间研究工具，不代表确定价格路径。</x:v>
      </x:c>
      <x:c r="L45" s="26" t="str">
        <x:v>① 六法权重默认15%/15%/10%/10%/20%/30%，可编辑；② 历史估值使用2016—2025年年末未复权收盘价；③ 同业法基于5家区域银行2026H1 ROE与2026-10-13 PB；④ DDM允许前五年分红率上升；⑤ 所有估值均为区间研究工具，不代表确定价格路径。</x:v>
      </x:c>
      <x:c r="M45" s="26" t="str">
        <x:v>① 六法权重默认15%/15%/10%/10%/20%/30%，可编辑；② 历史估值使用2016—2025年年末未复权收盘价；③ 同业法基于5家区域银行2026H1 ROE与2026-10-13 PB；④ DDM允许前五年分红率上升；⑤ 所有估值均为区间研究工具，不代表确定价格路径。</x:v>
      </x:c>
      <x:c r="N45" s="4"/>
      <x:c r="O45" s="4"/>
      <x:c r="P45" s="4"/>
      <x:c r="Q45" s="4"/>
      <x:c r="R45" s="4"/>
      <x:c r="S45" s="4"/>
      <x:c r="T45" s="4"/>
      <x:c r="U45" s="4"/>
      <x:c r="V45" s="4"/>
    </x:row>
    <x:row r="46">
      <x:c r="A46" s="48" t="n">
        <x:v>0.1</x:v>
      </x:c>
      <x:c r="B46" s="20" t="n">
        <x:f>$B$8*($A46-$B$19)/(B$43-$B$19)</x:f>
        <x:v>40.10181818181818</x:v>
      </x:c>
      <x:c r="C46" s="20" t="n">
        <x:f>$B$8*($A46-$B$19)/(C$43-$B$19)</x:f>
        <x:v>33.93230769230769</x:v>
      </x:c>
      <x:c r="D46" s="20" t="n">
        <x:f>$B$8*($A46-$B$19)/(D$43-$B$19)</x:f>
        <x:v>29.407999999999994</x:v>
      </x:c>
      <x:c r="E46" s="20" t="n">
        <x:f>$B$8*($A46-$B$19)/(E$43-$B$19)</x:f>
        <x:v>25.948235294117648</x:v>
      </x:c>
      <x:c r="F46" s="20" t="n">
        <x:f>$B$8*($A46-$B$19)/(F$43-$B$19)</x:f>
        <x:v>23.216842105263158</x:v>
      </x:c>
      <x:c r="G46" s="4"/>
      <x:c r="H46" s="4"/>
      <x:c r="I46" s="26" t="str">
        <x:v>① 六法权重默认15%/15%/10%/10%/20%/30%，可编辑；② 历史估值使用2016—2025年年末未复权收盘价；③ 同业法基于5家区域银行2026H1 ROE与2026-10-13 PB；④ DDM允许前五年分红率上升；⑤ 所有估值均为区间研究工具，不代表确定价格路径。</x:v>
      </x:c>
      <x:c r="J46" s="26" t="str">
        <x:v>① 六法权重默认15%/15%/10%/10%/20%/30%，可编辑；② 历史估值使用2016—2025年年末未复权收盘价；③ 同业法基于5家区域银行2026H1 ROE与2026-10-13 PB；④ DDM允许前五年分红率上升；⑤ 所有估值均为区间研究工具，不代表确定价格路径。</x:v>
      </x:c>
      <x:c r="K46" s="26" t="str">
        <x:v>① 六法权重默认15%/15%/10%/10%/20%/30%，可编辑；② 历史估值使用2016—2025年年末未复权收盘价；③ 同业法基于5家区域银行2026H1 ROE与2026-10-13 PB；④ DDM允许前五年分红率上升；⑤ 所有估值均为区间研究工具，不代表确定价格路径。</x:v>
      </x:c>
      <x:c r="L46" s="26" t="str">
        <x:v>① 六法权重默认15%/15%/10%/10%/20%/30%，可编辑；② 历史估值使用2016—2025年年末未复权收盘价；③ 同业法基于5家区域银行2026H1 ROE与2026-10-13 PB；④ DDM允许前五年分红率上升；⑤ 所有估值均为区间研究工具，不代表确定价格路径。</x:v>
      </x:c>
      <x:c r="M46" s="26" t="str">
        <x:v>① 六法权重默认15%/15%/10%/10%/20%/30%，可编辑；② 历史估值使用2016—2025年年末未复权收盘价；③ 同业法基于5家区域银行2026H1 ROE与2026-10-13 PB；④ DDM允许前五年分红率上升；⑤ 所有估值均为区间研究工具，不代表确定价格路径。</x:v>
      </x:c>
      <x:c r="N46" s="4"/>
      <x:c r="O46" s="4"/>
      <x:c r="P46" s="4"/>
      <x:c r="Q46" s="4"/>
      <x:c r="R46" s="4"/>
      <x:c r="S46" s="4"/>
      <x:c r="T46" s="4"/>
      <x:c r="U46" s="4"/>
      <x:c r="V46" s="4"/>
    </x:row>
    <x:row r="47">
      <x:c r="A47" s="48" t="n">
        <x:v>0.11</x:v>
      </x:c>
      <x:c r="B47" s="20" t="n">
        <x:f>$B$8*($A47-$B$19)/(B$43-$B$19)</x:f>
        <x:v>46.78545454545454</x:v>
      </x:c>
      <x:c r="C47" s="20" t="n">
        <x:f>$B$8*($A47-$B$19)/(C$43-$B$19)</x:f>
        <x:v>39.58769230769231</x:v>
      </x:c>
      <x:c r="D47" s="20" t="n">
        <x:f>$B$8*($A47-$B$19)/(D$43-$B$19)</x:f>
        <x:v>34.30933333333333</x:v>
      </x:c>
      <x:c r="E47" s="20" t="n">
        <x:f>$B$8*($A47-$B$19)/(E$43-$B$19)</x:f>
        <x:v>30.27294117647059</x:v>
      </x:c>
      <x:c r="F47" s="20" t="n">
        <x:f>$B$8*($A47-$B$19)/(F$43-$B$19)</x:f>
        <x:v>27.086315789473684</x:v>
      </x:c>
      <x:c r="G47" s="4"/>
      <x:c r="H47" s="4"/>
      <x:c r="I47" s="26" t="str">
        <x:v>① 六法权重默认15%/15%/10%/10%/20%/30%，可编辑；② 历史估值使用2016—2025年年末未复权收盘价；③ 同业法基于5家区域银行2026H1 ROE与2026-10-13 PB；④ DDM允许前五年分红率上升；⑤ 所有估值均为区间研究工具，不代表确定价格路径。</x:v>
      </x:c>
      <x:c r="J47" s="26" t="str">
        <x:v>① 六法权重默认15%/15%/10%/10%/20%/30%，可编辑；② 历史估值使用2016—2025年年末未复权收盘价；③ 同业法基于5家区域银行2026H1 ROE与2026-10-13 PB；④ DDM允许前五年分红率上升；⑤ 所有估值均为区间研究工具，不代表确定价格路径。</x:v>
      </x:c>
      <x:c r="K47" s="26" t="str">
        <x:v>① 六法权重默认15%/15%/10%/10%/20%/30%，可编辑；② 历史估值使用2016—2025年年末未复权收盘价；③ 同业法基于5家区域银行2026H1 ROE与2026-10-13 PB；④ DDM允许前五年分红率上升；⑤ 所有估值均为区间研究工具，不代表确定价格路径。</x:v>
      </x:c>
      <x:c r="L47" s="26" t="str">
        <x:v>① 六法权重默认15%/15%/10%/10%/20%/30%，可编辑；② 历史估值使用2016—2025年年末未复权收盘价；③ 同业法基于5家区域银行2026H1 ROE与2026-10-13 PB；④ DDM允许前五年分红率上升；⑤ 所有估值均为区间研究工具，不代表确定价格路径。</x:v>
      </x:c>
      <x:c r="M47" s="26" t="str">
        <x:v>① 六法权重默认15%/15%/10%/10%/20%/30%，可编辑；② 历史估值使用2016—2025年年末未复权收盘价；③ 同业法基于5家区域银行2026H1 ROE与2026-10-13 PB；④ DDM允许前五年分红率上升；⑤ 所有估值均为区间研究工具，不代表确定价格路径。</x:v>
      </x:c>
      <x:c r="N47" s="4"/>
      <x:c r="O47" s="4"/>
      <x:c r="P47" s="4"/>
      <x:c r="Q47" s="4"/>
      <x:c r="R47" s="4"/>
      <x:c r="S47" s="4"/>
      <x:c r="T47" s="4"/>
      <x:c r="U47" s="4"/>
      <x:c r="V47" s="4"/>
    </x:row>
    <x:row r="48">
      <x:c r="A48" s="48" t="n">
        <x:v>0.12</x:v>
      </x:c>
      <x:c r="B48" s="20" t="n">
        <x:f>$B$8*($A48-$B$19)/(B$43-$B$19)</x:f>
        <x:v>53.4690909090909</x:v>
      </x:c>
      <x:c r="C48" s="20" t="n">
        <x:f>$B$8*($A48-$B$19)/(C$43-$B$19)</x:f>
        <x:v>45.24307692307691</x:v>
      </x:c>
      <x:c r="D48" s="20" t="n">
        <x:f>$B$8*($A48-$B$19)/(D$43-$B$19)</x:f>
        <x:v>39.210666666666654</x:v>
      </x:c>
      <x:c r="E48" s="20" t="n">
        <x:f>$B$8*($A48-$B$19)/(E$43-$B$19)</x:f>
        <x:v>34.597647058823526</x:v>
      </x:c>
      <x:c r="F48" s="20" t="n">
        <x:f>$B$8*($A48-$B$19)/(F$43-$B$19)</x:f>
        <x:v>30.955789473684202</x:v>
      </x:c>
      <x:c r="G48" s="4"/>
      <x:c r="H48" s="4"/>
      <x:c r="I48" s="26" t="str">
        <x:v>① 六法权重默认15%/15%/10%/10%/20%/30%，可编辑；② 历史估值使用2016—2025年年末未复权收盘价；③ 同业法基于5家区域银行2026H1 ROE与2026-10-13 PB；④ DDM允许前五年分红率上升；⑤ 所有估值均为区间研究工具，不代表确定价格路径。</x:v>
      </x:c>
      <x:c r="J48" s="26" t="str">
        <x:v>① 六法权重默认15%/15%/10%/10%/20%/30%，可编辑；② 历史估值使用2016—2025年年末未复权收盘价；③ 同业法基于5家区域银行2026H1 ROE与2026-10-13 PB；④ DDM允许前五年分红率上升；⑤ 所有估值均为区间研究工具，不代表确定价格路径。</x:v>
      </x:c>
      <x:c r="K48" s="26" t="str">
        <x:v>① 六法权重默认15%/15%/10%/10%/20%/30%，可编辑；② 历史估值使用2016—2025年年末未复权收盘价；③ 同业法基于5家区域银行2026H1 ROE与2026-10-13 PB；④ DDM允许前五年分红率上升；⑤ 所有估值均为区间研究工具，不代表确定价格路径。</x:v>
      </x:c>
      <x:c r="L48" s="26" t="str">
        <x:v>① 六法权重默认15%/15%/10%/10%/20%/30%，可编辑；② 历史估值使用2016—2025年年末未复权收盘价；③ 同业法基于5家区域银行2026H1 ROE与2026-10-13 PB；④ DDM允许前五年分红率上升；⑤ 所有估值均为区间研究工具，不代表确定价格路径。</x:v>
      </x:c>
      <x:c r="M48" s="26" t="str">
        <x:v>① 六法权重默认15%/15%/10%/10%/20%/30%，可编辑；② 历史估值使用2016—2025年年末未复权收盘价；③ 同业法基于5家区域银行2026H1 ROE与2026-10-13 PB；④ DDM允许前五年分红率上升；⑤ 所有估值均为区间研究工具，不代表确定价格路径。</x:v>
      </x:c>
      <x:c r="N48" s="4"/>
      <x:c r="O48" s="4"/>
      <x:c r="P48" s="4"/>
      <x:c r="Q48" s="4"/>
      <x:c r="R48" s="4"/>
      <x:c r="S48" s="4"/>
      <x:c r="T48" s="4"/>
      <x:c r="U48" s="4"/>
      <x:c r="V48" s="4"/>
    </x:row>
    <x:row r="49">
      <x:c r="A49" s="48" t="n">
        <x:v>0.13</x:v>
      </x:c>
      <x:c r="B49" s="20" t="n">
        <x:f>$B$8*($A49-$B$19)/(B$43-$B$19)</x:f>
        <x:v>60.15272727272727</x:v>
      </x:c>
      <x:c r="C49" s="20" t="n">
        <x:f>$B$8*($A49-$B$19)/(C$43-$B$19)</x:f>
        <x:v>50.89846153846153</x:v>
      </x:c>
      <x:c r="D49" s="20" t="n">
        <x:f>$B$8*($A49-$B$19)/(D$43-$B$19)</x:f>
        <x:v>44.11199999999999</x:v>
      </x:c>
      <x:c r="E49" s="20" t="n">
        <x:f>$B$8*($A49-$B$19)/(E$43-$B$19)</x:f>
        <x:v>38.92235294117647</x:v>
      </x:c>
      <x:c r="F49" s="20" t="n">
        <x:f>$B$8*($A49-$B$19)/(F$43-$B$19)</x:f>
        <x:v>34.82526315789473</x:v>
      </x:c>
      <x:c r="G49" s="4"/>
      <x:c r="H49" s="4"/>
      <x:c r="I49" s="26" t="str">
        <x:v>① 六法权重默认15%/15%/10%/10%/20%/30%，可编辑；② 历史估值使用2016—2025年年末未复权收盘价；③ 同业法基于5家区域银行2026H1 ROE与2026-10-13 PB；④ DDM允许前五年分红率上升；⑤ 所有估值均为区间研究工具，不代表确定价格路径。</x:v>
      </x:c>
      <x:c r="J49" s="26" t="str">
        <x:v>① 六法权重默认15%/15%/10%/10%/20%/30%，可编辑；② 历史估值使用2016—2025年年末未复权收盘价；③ 同业法基于5家区域银行2026H1 ROE与2026-10-13 PB；④ DDM允许前五年分红率上升；⑤ 所有估值均为区间研究工具，不代表确定价格路径。</x:v>
      </x:c>
      <x:c r="K49" s="26" t="str">
        <x:v>① 六法权重默认15%/15%/10%/10%/20%/30%，可编辑；② 历史估值使用2016—2025年年末未复权收盘价；③ 同业法基于5家区域银行2026H1 ROE与2026-10-13 PB；④ DDM允许前五年分红率上升；⑤ 所有估值均为区间研究工具，不代表确定价格路径。</x:v>
      </x:c>
      <x:c r="L49" s="26" t="str">
        <x:v>① 六法权重默认15%/15%/10%/10%/20%/30%，可编辑；② 历史估值使用2016—2025年年末未复权收盘价；③ 同业法基于5家区域银行2026H1 ROE与2026-10-13 PB；④ DDM允许前五年分红率上升；⑤ 所有估值均为区间研究工具，不代表确定价格路径。</x:v>
      </x:c>
      <x:c r="M49" s="26" t="str">
        <x:v>① 六法权重默认15%/15%/10%/10%/20%/30%，可编辑；② 历史估值使用2016—2025年年末未复权收盘价；③ 同业法基于5家区域银行2026H1 ROE与2026-10-13 PB；④ DDM允许前五年分红率上升；⑤ 所有估值均为区间研究工具，不代表确定价格路径。</x:v>
      </x:c>
      <x:c r="N49" s="4"/>
      <x:c r="O49" s="4"/>
      <x:c r="P49" s="4"/>
      <x:c r="Q49" s="4"/>
      <x:c r="R49" s="4"/>
      <x:c r="S49" s="4"/>
      <x:c r="T49" s="4"/>
      <x:c r="U49" s="4"/>
      <x:c r="V49" s="4"/>
    </x:row>
    <x:row r="50">
      <x:c r="A50" s="48" t="n">
        <x:v>0.14</x:v>
      </x:c>
      <x:c r="B50" s="20" t="n">
        <x:f>$B$8*($A50-$B$19)/(B$43-$B$19)</x:f>
        <x:v>66.83636363636364</x:v>
      </x:c>
      <x:c r="C50" s="20" t="n">
        <x:f>$B$8*($A50-$B$19)/(C$43-$B$19)</x:f>
        <x:v>56.55384615384615</x:v>
      </x:c>
      <x:c r="D50" s="20" t="n">
        <x:f>$B$8*($A50-$B$19)/(D$43-$B$19)</x:f>
        <x:v>49.01333333333333</x:v>
      </x:c>
      <x:c r="E50" s="20" t="n">
        <x:f>$B$8*($A50-$B$19)/(E$43-$B$19)</x:f>
        <x:v>43.247058823529414</x:v>
      </x:c>
      <x:c r="F50" s="20" t="n">
        <x:f>$B$8*($A50-$B$19)/(F$43-$B$19)</x:f>
        <x:v>38.694736842105264</x:v>
      </x:c>
      <x:c r="G50" s="4"/>
      <x:c r="H50" s="4"/>
      <x:c r="I50" s="26" t="str">
        <x:v>① 六法权重默认15%/15%/10%/10%/20%/30%，可编辑；② 历史估值使用2016—2025年年末未复权收盘价；③ 同业法基于5家区域银行2026H1 ROE与2026-10-13 PB；④ DDM允许前五年分红率上升；⑤ 所有估值均为区间研究工具，不代表确定价格路径。</x:v>
      </x:c>
      <x:c r="J50" s="26" t="str">
        <x:v>① 六法权重默认15%/15%/10%/10%/20%/30%，可编辑；② 历史估值使用2016—2025年年末未复权收盘价；③ 同业法基于5家区域银行2026H1 ROE与2026-10-13 PB；④ DDM允许前五年分红率上升；⑤ 所有估值均为区间研究工具，不代表确定价格路径。</x:v>
      </x:c>
      <x:c r="K50" s="26" t="str">
        <x:v>① 六法权重默认15%/15%/10%/10%/20%/30%，可编辑；② 历史估值使用2016—2025年年末未复权收盘价；③ 同业法基于5家区域银行2026H1 ROE与2026-10-13 PB；④ DDM允许前五年分红率上升；⑤ 所有估值均为区间研究工具，不代表确定价格路径。</x:v>
      </x:c>
      <x:c r="L50" s="26" t="str">
        <x:v>① 六法权重默认15%/15%/10%/10%/20%/30%，可编辑；② 历史估值使用2016—2025年年末未复权收盘价；③ 同业法基于5家区域银行2026H1 ROE与2026-10-13 PB；④ DDM允许前五年分红率上升；⑤ 所有估值均为区间研究工具，不代表确定价格路径。</x:v>
      </x:c>
      <x:c r="M50" s="26" t="str">
        <x:v>① 六法权重默认15%/15%/10%/10%/20%/30%，可编辑；② 历史估值使用2016—2025年年末未复权收盘价；③ 同业法基于5家区域银行2026H1 ROE与2026-10-13 PB；④ DDM允许前五年分红率上升；⑤ 所有估值均为区间研究工具，不代表确定价格路径。</x:v>
      </x:c>
      <x:c r="N50" s="4"/>
      <x:c r="O50" s="4"/>
      <x:c r="P50" s="4"/>
      <x:c r="Q50" s="4"/>
      <x:c r="R50" s="4"/>
      <x:c r="S50" s="4"/>
      <x:c r="T50" s="4"/>
      <x:c r="U50" s="4"/>
      <x:c r="V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</x:row>
  </x:sheetData>
  <x:mergeCells>
    <x:mergeCell ref="A1:V2"/>
    <x:mergeCell ref="A3:V3"/>
    <x:mergeCell ref="A5:H5"/>
    <x:mergeCell ref="J5:M5"/>
    <x:mergeCell ref="A26:H26"/>
    <x:mergeCell ref="I26:M26"/>
    <x:mergeCell ref="I27:M33"/>
    <x:mergeCell ref="I34:M39"/>
    <x:mergeCell ref="A42:G42"/>
    <x:mergeCell ref="I42:M42"/>
    <x:mergeCell ref="I43:M50"/>
  </x:mergeCells>
  <x:conditionalFormatting sqref="B44:F50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00d25b325b1541b8"/>
</x:worksheet>
</file>

<file path=xl/worksheets/sheet4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13" hidden="0" customWidth="1"/>
    <x:col min="5" max="5" width="16" hidden="0" customWidth="1"/>
    <x:col min="6" max="6" width="13" hidden="0" customWidth="1"/>
    <x:col min="7" max="7" width="28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34" customHeight="1">
      <x:c r="A1" s="6" t="str">
        <x:v>宁波银行估值敏感性</x:v>
      </x:c>
      <x:c r="B1" s="6" t="str">
        <x:v>宁波银行估值敏感性</x:v>
      </x:c>
      <x:c r="C1" s="6" t="str">
        <x:v>宁波银行估值敏感性</x:v>
      </x:c>
      <x:c r="D1" s="6" t="str">
        <x:v>宁波银行估值敏感性</x:v>
      </x:c>
      <x:c r="E1" s="6" t="str">
        <x:v>宁波银行估值敏感性</x:v>
      </x:c>
      <x:c r="F1" s="6" t="str">
        <x:v>宁波银行估值敏感性</x:v>
      </x:c>
      <x:c r="G1" s="6" t="str">
        <x:v>宁波银行估值敏感性</x:v>
      </x:c>
      <x:c r="H1" s="6" t="str">
        <x:v>宁波银行估值敏感性</x:v>
      </x:c>
      <x:c r="I1" s="6" t="str">
        <x:v>宁波银行估值敏感性</x:v>
      </x:c>
      <x:c r="J1" s="6" t="str">
        <x:v>宁波银行估值敏感性</x:v>
      </x:c>
      <x:c r="K1" s="6" t="str">
        <x:v>宁波银行估值敏感性</x:v>
      </x:c>
      <x:c r="L1" s="6" t="str">
        <x:v>宁波银行估值敏感性</x:v>
      </x:c>
      <x:c r="M1" s="6" t="str">
        <x:v>宁波银行估值敏感性</x:v>
      </x:c>
      <x:c r="N1" s="6" t="str">
        <x:v>宁波银行估值敏感性</x:v>
      </x:c>
    </x:row>
    <x:row r="2" ht="34" customHeight="1">
      <x:c r="A2" s="6" t="str">
        <x:v>宁波银行估值敏感性</x:v>
      </x:c>
      <x:c r="B2" s="6" t="str">
        <x:v>宁波银行估值敏感性</x:v>
      </x:c>
      <x:c r="C2" s="6" t="str">
        <x:v>宁波银行估值敏感性</x:v>
      </x:c>
      <x:c r="D2" s="6" t="str">
        <x:v>宁波银行估值敏感性</x:v>
      </x:c>
      <x:c r="E2" s="6" t="str">
        <x:v>宁波银行估值敏感性</x:v>
      </x:c>
      <x:c r="F2" s="6" t="str">
        <x:v>宁波银行估值敏感性</x:v>
      </x:c>
      <x:c r="G2" s="6" t="str">
        <x:v>宁波银行估值敏感性</x:v>
      </x:c>
      <x:c r="H2" s="6" t="str">
        <x:v>宁波银行估值敏感性</x:v>
      </x:c>
      <x:c r="I2" s="6" t="str">
        <x:v>宁波银行估值敏感性</x:v>
      </x:c>
      <x:c r="J2" s="6" t="str">
        <x:v>宁波银行估值敏感性</x:v>
      </x:c>
      <x:c r="K2" s="6" t="str">
        <x:v>宁波银行估值敏感性</x:v>
      </x:c>
      <x:c r="L2" s="6" t="str">
        <x:v>宁波银行估值敏感性</x:v>
      </x:c>
      <x:c r="M2" s="6" t="str">
        <x:v>宁波银行估值敏感性</x:v>
      </x:c>
      <x:c r="N2" s="6" t="str">
        <x:v>宁波银行估值敏感性</x:v>
      </x:c>
    </x:row>
    <x:row r="3" ht="24" customHeight="1">
      <x:c r="A3" s="7" t="str">
        <x:v>ROE × Ke主敏感性；含8%与9%低ROE压力情景</x:v>
      </x:c>
      <x:c r="B3" s="7" t="str">
        <x:v>ROE × Ke主敏感性；含8%与9%低ROE压力情景</x:v>
      </x:c>
      <x:c r="C3" s="7" t="str">
        <x:v>ROE × Ke主敏感性；含8%与9%低ROE压力情景</x:v>
      </x:c>
      <x:c r="D3" s="7" t="str">
        <x:v>ROE × Ke主敏感性；含8%与9%低ROE压力情景</x:v>
      </x:c>
      <x:c r="E3" s="7" t="str">
        <x:v>ROE × Ke主敏感性；含8%与9%低ROE压力情景</x:v>
      </x:c>
      <x:c r="F3" s="7" t="str">
        <x:v>ROE × Ke主敏感性；含8%与9%低ROE压力情景</x:v>
      </x:c>
      <x:c r="G3" s="7" t="str">
        <x:v>ROE × Ke主敏感性；含8%与9%低ROE压力情景</x:v>
      </x:c>
      <x:c r="H3" s="7" t="str">
        <x:v>ROE × Ke主敏感性；含8%与9%低ROE压力情景</x:v>
      </x:c>
      <x:c r="I3" s="7" t="str">
        <x:v>ROE × Ke主敏感性；含8%与9%低ROE压力情景</x:v>
      </x:c>
      <x:c r="J3" s="7" t="str">
        <x:v>ROE × Ke主敏感性；含8%与9%低ROE压力情景</x:v>
      </x:c>
      <x:c r="K3" s="7" t="str">
        <x:v>ROE × Ke主敏感性；含8%与9%低ROE压力情景</x:v>
      </x:c>
      <x:c r="L3" s="7" t="str">
        <x:v>ROE × Ke主敏感性；含8%与9%低ROE压力情景</x:v>
      </x:c>
      <x:c r="M3" s="7" t="str">
        <x:v>ROE × Ke主敏感性；含8%与9%低ROE压力情景</x:v>
      </x:c>
      <x:c r="N3" s="7" t="str">
        <x:v>ROE × Ke主敏感性；含8%与9%低ROE压力情景</x:v>
      </x:c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</x:row>
    <x:row r="5" ht="23" customHeight="1">
      <x:c r="A5" s="9" t="str">
        <x:v>PB-ROE敏感性（元/股，g=4.0%）</x:v>
      </x:c>
      <x:c r="B5" s="9" t="str">
        <x:v>PB-ROE敏感性（元/股，g=4.0%）</x:v>
      </x:c>
      <x:c r="C5" s="9" t="str">
        <x:v>PB-ROE敏感性（元/股，g=4.0%）</x:v>
      </x:c>
      <x:c r="D5" s="9" t="str">
        <x:v>PB-ROE敏感性（元/股，g=4.0%）</x:v>
      </x:c>
      <x:c r="E5" s="9" t="str">
        <x:v>PB-ROE敏感性（元/股，g=4.0%）</x:v>
      </x:c>
      <x:c r="F5" s="9" t="str">
        <x:v>PB-ROE敏感性（元/股，g=4.0%）</x:v>
      </x:c>
      <x:c r="G5" s="9" t="str">
        <x:v>PB-ROE敏感性（元/股，g=4.0%）</x:v>
      </x:c>
      <x:c r="H5" s="11" t="str">
        <x:v>敏感性解读</x:v>
      </x:c>
      <x:c r="I5" s="11" t="str">
        <x:v>敏感性解读</x:v>
      </x:c>
      <x:c r="J5" s="11" t="str">
        <x:v>敏感性解读</x:v>
      </x:c>
      <x:c r="K5" s="11" t="str">
        <x:v>敏感性解读</x:v>
      </x:c>
      <x:c r="L5" s="11" t="str">
        <x:v>敏感性解读</x:v>
      </x:c>
      <x:c r="M5" s="11" t="str">
        <x:v>敏感性解读</x:v>
      </x:c>
      <x:c r="N5" s="11" t="str">
        <x:v>敏感性解读</x:v>
      </x:c>
    </x:row>
    <x:row r="6" ht="23" customHeight="1">
      <x:c r="A6" s="11" t="str">
        <x:v>长期ROE / Ke</x:v>
      </x:c>
      <x:c r="B6" s="49" t="n">
        <x:v>0.095</x:v>
      </x:c>
      <x:c r="C6" s="49" t="n">
        <x:v>0.105</x:v>
      </x:c>
      <x:c r="D6" s="49" t="n">
        <x:v>0.115</x:v>
      </x:c>
      <x:c r="E6" s="49" t="n">
        <x:v>0.125</x:v>
      </x:c>
      <x:c r="F6" s="49" t="n">
        <x:v>0.135</x:v>
      </x:c>
      <x:c r="G6" s="4"/>
      <x:c r="H6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  <x:c r="I6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  <x:c r="J6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  <x:c r="K6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  <x:c r="L6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  <x:c r="M6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  <x:c r="N6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</x:row>
    <x:row r="7">
      <x:c r="A7" s="48" t="n">
        <x:v>0.08</x:v>
      </x:c>
      <x:c r="B7" s="20" t="n">
        <x:f>'估值系统'!$B$8*($A7-'估值系统'!$B$19)/(B$6-'估值系统'!$B$19)</x:f>
        <x:v>26.734545454545454</x:v>
      </x:c>
      <x:c r="C7" s="20" t="n">
        <x:f>'估值系统'!$B$8*($A7-'估值系统'!$B$19)/(C$6-'估值系统'!$B$19)</x:f>
        <x:v>22.62153846153846</x:v>
      </x:c>
      <x:c r="D7" s="20" t="n">
        <x:f>'估值系统'!$B$8*($A7-'估值系统'!$B$19)/(D$6-'估值系统'!$B$19)</x:f>
        <x:v>19.60533333333333</x:v>
      </x:c>
      <x:c r="E7" s="20" t="n">
        <x:f>'估值系统'!$B$8*($A7-'估值系统'!$B$19)/(E$6-'估值系统'!$B$19)</x:f>
        <x:v>17.298823529411766</x:v>
      </x:c>
      <x:c r="F7" s="20" t="n">
        <x:f>'估值系统'!$B$8*($A7-'估值系统'!$B$19)/(F$6-'估值系统'!$B$19)</x:f>
        <x:v>15.477894736842105</x:v>
      </x:c>
      <x:c r="G7" s="4"/>
      <x:c r="H7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  <x:c r="I7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  <x:c r="J7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  <x:c r="K7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  <x:c r="L7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  <x:c r="M7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  <x:c r="N7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</x:row>
    <x:row r="8">
      <x:c r="A8" s="48" t="n">
        <x:v>0.09</x:v>
      </x:c>
      <x:c r="B8" s="20" t="n">
        <x:f>'估值系统'!$B$8*($A8-'估值系统'!$B$19)/(B$6-'估值系统'!$B$19)</x:f>
        <x:v>33.418181818181814</x:v>
      </x:c>
      <x:c r="C8" s="20" t="n">
        <x:f>'估值系统'!$B$8*($A8-'估值系统'!$B$19)/(C$6-'估值系统'!$B$19)</x:f>
        <x:v>28.276923076923072</x:v>
      </x:c>
      <x:c r="D8" s="20" t="n">
        <x:f>'估值系统'!$B$8*($A8-'估值系统'!$B$19)/(D$6-'估值系统'!$B$19)</x:f>
        <x:v>24.50666666666666</x:v>
      </x:c>
      <x:c r="E8" s="20" t="n">
        <x:f>'估值系统'!$B$8*($A8-'估值系统'!$B$19)/(E$6-'估值系统'!$B$19)</x:f>
        <x:v>21.623529411764707</x:v>
      </x:c>
      <x:c r="F8" s="20" t="n">
        <x:f>'估值系统'!$B$8*($A8-'估值系统'!$B$19)/(F$6-'估值系统'!$B$19)</x:f>
        <x:v>19.34736842105263</x:v>
      </x:c>
      <x:c r="G8" s="4"/>
      <x:c r="H8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  <x:c r="I8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  <x:c r="J8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  <x:c r="K8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  <x:c r="L8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  <x:c r="M8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  <x:c r="N8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</x:row>
    <x:row r="9">
      <x:c r="A9" s="48" t="n">
        <x:v>0.1</x:v>
      </x:c>
      <x:c r="B9" s="20" t="n">
        <x:f>'估值系统'!$B$8*($A9-'估值系统'!$B$19)/(B$6-'估值系统'!$B$19)</x:f>
        <x:v>40.10181818181818</x:v>
      </x:c>
      <x:c r="C9" s="20" t="n">
        <x:f>'估值系统'!$B$8*($A9-'估值系统'!$B$19)/(C$6-'估值系统'!$B$19)</x:f>
        <x:v>33.93230769230769</x:v>
      </x:c>
      <x:c r="D9" s="20" t="n">
        <x:f>'估值系统'!$B$8*($A9-'估值系统'!$B$19)/(D$6-'估值系统'!$B$19)</x:f>
        <x:v>29.407999999999994</x:v>
      </x:c>
      <x:c r="E9" s="20" t="n">
        <x:f>'估值系统'!$B$8*($A9-'估值系统'!$B$19)/(E$6-'估值系统'!$B$19)</x:f>
        <x:v>25.948235294117648</x:v>
      </x:c>
      <x:c r="F9" s="20" t="n">
        <x:f>'估值系统'!$B$8*($A9-'估值系统'!$B$19)/(F$6-'估值系统'!$B$19)</x:f>
        <x:v>23.216842105263158</x:v>
      </x:c>
      <x:c r="G9" s="4"/>
      <x:c r="H9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  <x:c r="I9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  <x:c r="J9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  <x:c r="K9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  <x:c r="L9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  <x:c r="M9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  <x:c r="N9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</x:row>
    <x:row r="10">
      <x:c r="A10" s="48" t="n">
        <x:v>0.11</x:v>
      </x:c>
      <x:c r="B10" s="20" t="n">
        <x:f>'估值系统'!$B$8*($A10-'估值系统'!$B$19)/(B$6-'估值系统'!$B$19)</x:f>
        <x:v>46.78545454545454</x:v>
      </x:c>
      <x:c r="C10" s="20" t="n">
        <x:f>'估值系统'!$B$8*($A10-'估值系统'!$B$19)/(C$6-'估值系统'!$B$19)</x:f>
        <x:v>39.58769230769231</x:v>
      </x:c>
      <x:c r="D10" s="20" t="n">
        <x:f>'估值系统'!$B$8*($A10-'估值系统'!$B$19)/(D$6-'估值系统'!$B$19)</x:f>
        <x:v>34.30933333333333</x:v>
      </x:c>
      <x:c r="E10" s="20" t="n">
        <x:f>'估值系统'!$B$8*($A10-'估值系统'!$B$19)/(E$6-'估值系统'!$B$19)</x:f>
        <x:v>30.27294117647059</x:v>
      </x:c>
      <x:c r="F10" s="20" t="n">
        <x:f>'估值系统'!$B$8*($A10-'估值系统'!$B$19)/(F$6-'估值系统'!$B$19)</x:f>
        <x:v>27.086315789473684</x:v>
      </x:c>
      <x:c r="G10" s="4"/>
      <x:c r="H10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  <x:c r="I10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  <x:c r="J10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  <x:c r="K10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  <x:c r="L10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  <x:c r="M10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  <x:c r="N10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</x:row>
    <x:row r="11">
      <x:c r="A11" s="48" t="n">
        <x:v>0.12</x:v>
      </x:c>
      <x:c r="B11" s="20" t="n">
        <x:f>'估值系统'!$B$8*($A11-'估值系统'!$B$19)/(B$6-'估值系统'!$B$19)</x:f>
        <x:v>53.4690909090909</x:v>
      </x:c>
      <x:c r="C11" s="20" t="n">
        <x:f>'估值系统'!$B$8*($A11-'估值系统'!$B$19)/(C$6-'估值系统'!$B$19)</x:f>
        <x:v>45.24307692307691</x:v>
      </x:c>
      <x:c r="D11" s="20" t="n">
        <x:f>'估值系统'!$B$8*($A11-'估值系统'!$B$19)/(D$6-'估值系统'!$B$19)</x:f>
        <x:v>39.210666666666654</x:v>
      </x:c>
      <x:c r="E11" s="20" t="n">
        <x:f>'估值系统'!$B$8*($A11-'估值系统'!$B$19)/(E$6-'估值系统'!$B$19)</x:f>
        <x:v>34.597647058823526</x:v>
      </x:c>
      <x:c r="F11" s="20" t="n">
        <x:f>'估值系统'!$B$8*($A11-'估值系统'!$B$19)/(F$6-'估值系统'!$B$19)</x:f>
        <x:v>30.955789473684202</x:v>
      </x:c>
      <x:c r="G11" s="4"/>
      <x:c r="H11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  <x:c r="I11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  <x:c r="J11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  <x:c r="K11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  <x:c r="L11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  <x:c r="M11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  <x:c r="N11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</x:row>
    <x:row r="12">
      <x:c r="A12" s="48" t="n">
        <x:v>0.13</x:v>
      </x:c>
      <x:c r="B12" s="20" t="n">
        <x:f>'估值系统'!$B$8*($A12-'估值系统'!$B$19)/(B$6-'估值系统'!$B$19)</x:f>
        <x:v>60.15272727272727</x:v>
      </x:c>
      <x:c r="C12" s="20" t="n">
        <x:f>'估值系统'!$B$8*($A12-'估值系统'!$B$19)/(C$6-'估值系统'!$B$19)</x:f>
        <x:v>50.89846153846153</x:v>
      </x:c>
      <x:c r="D12" s="20" t="n">
        <x:f>'估值系统'!$B$8*($A12-'估值系统'!$B$19)/(D$6-'估值系统'!$B$19)</x:f>
        <x:v>44.11199999999999</x:v>
      </x:c>
      <x:c r="E12" s="20" t="n">
        <x:f>'估值系统'!$B$8*($A12-'估值系统'!$B$19)/(E$6-'估值系统'!$B$19)</x:f>
        <x:v>38.92235294117647</x:v>
      </x:c>
      <x:c r="F12" s="20" t="n">
        <x:f>'估值系统'!$B$8*($A12-'估值系统'!$B$19)/(F$6-'估值系统'!$B$19)</x:f>
        <x:v>34.82526315789473</x:v>
      </x:c>
      <x:c r="G12" s="4"/>
      <x:c r="H12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  <x:c r="I12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  <x:c r="J12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  <x:c r="K12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  <x:c r="L12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  <x:c r="M12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  <x:c r="N12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</x:row>
    <x:row r="13">
      <x:c r="A13" s="48" t="n">
        <x:v>0.14</x:v>
      </x:c>
      <x:c r="B13" s="20" t="n">
        <x:f>'估值系统'!$B$8*($A13-'估值系统'!$B$19)/(B$6-'估值系统'!$B$19)</x:f>
        <x:v>66.83636363636364</x:v>
      </x:c>
      <x:c r="C13" s="20" t="n">
        <x:f>'估值系统'!$B$8*($A13-'估值系统'!$B$19)/(C$6-'估值系统'!$B$19)</x:f>
        <x:v>56.55384615384615</x:v>
      </x:c>
      <x:c r="D13" s="20" t="n">
        <x:f>'估值系统'!$B$8*($A13-'估值系统'!$B$19)/(D$6-'估值系统'!$B$19)</x:f>
        <x:v>49.01333333333333</x:v>
      </x:c>
      <x:c r="E13" s="20" t="n">
        <x:f>'估值系统'!$B$8*($A13-'估值系统'!$B$19)/(E$6-'估值系统'!$B$19)</x:f>
        <x:v>43.247058823529414</x:v>
      </x:c>
      <x:c r="F13" s="20" t="n">
        <x:f>'估值系统'!$B$8*($A13-'估值系统'!$B$19)/(F$6-'估值系统'!$B$19)</x:f>
        <x:v>38.694736842105264</x:v>
      </x:c>
      <x:c r="G13" s="4"/>
      <x:c r="H13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  <x:c r="I13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  <x:c r="J13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  <x:c r="K13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  <x:c r="L13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  <x:c r="M13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  <x:c r="N13" s="17" t="str">
        <x:v>ROE仅降至8%—9%时，即使股权成本不变，PB-ROE价值也会明显低于当前价；反之，若ROE稳定在13%左右且Ke约10.5%，该模型显示较高的内在价值。差异说明宁波银行估值的主要变量是长期ROE，而不是单一季度利润。</x:v>
      </x:c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</x:row>
    <x:row r="16" ht="23" customHeight="1">
      <x:c r="A16" s="9" t="str">
        <x:v>三情景估值</x:v>
      </x:c>
      <x:c r="B16" s="9" t="str">
        <x:v>三情景估值</x:v>
      </x:c>
      <x:c r="C16" s="9" t="str">
        <x:v>三情景估值</x:v>
      </x:c>
      <x:c r="D16" s="9" t="str">
        <x:v>三情景估值</x:v>
      </x:c>
      <x:c r="E16" s="9" t="str">
        <x:v>三情景估值</x:v>
      </x:c>
      <x:c r="F16" s="9" t="str">
        <x:v>三情景估值</x:v>
      </x:c>
      <x:c r="G16" s="9" t="str">
        <x:v>三情景估值</x:v>
      </x:c>
      <x:c r="H16" s="4"/>
      <x:c r="I16" s="4"/>
      <x:c r="J16" s="4"/>
      <x:c r="K16" s="4"/>
      <x:c r="L16" s="4"/>
      <x:c r="M16" s="4"/>
      <x:c r="N16" s="4"/>
    </x:row>
    <x:row r="17" ht="23" customHeight="1">
      <x:c r="A17" s="11" t="str">
        <x:v>情景</x:v>
      </x:c>
      <x:c r="B17" s="11" t="str">
        <x:v>归一化ROE</x:v>
      </x:c>
      <x:c r="C17" s="11" t="str">
        <x:v>Ke</x:v>
      </x:c>
      <x:c r="D17" s="11" t="str">
        <x:v>g</x:v>
      </x:c>
      <x:c r="E17" s="11" t="str">
        <x:v>终值ROE</x:v>
      </x:c>
      <x:c r="F17" s="11" t="str">
        <x:v>缩放因子</x:v>
      </x:c>
      <x:c r="G17" s="11" t="str">
        <x:v>情景价值</x:v>
      </x:c>
      <x:c r="H17" s="4"/>
      <x:c r="I17" s="4"/>
      <x:c r="J17" s="4"/>
      <x:c r="K17" s="4"/>
      <x:c r="L17" s="4"/>
      <x:c r="M17" s="4"/>
      <x:c r="N17" s="4"/>
    </x:row>
    <x:row r="18">
      <x:c r="A18" s="19" t="str">
        <x:v>偏谨慎</x:v>
      </x:c>
      <x:c r="B18" s="38" t="n">
        <x:v>0.09</x:v>
      </x:c>
      <x:c r="C18" s="38" t="n">
        <x:v>0.12</x:v>
      </x:c>
      <x:c r="D18" s="38" t="n">
        <x:v>0.025</x:v>
      </x:c>
      <x:c r="E18" s="38" t="n">
        <x:v>0.095</x:v>
      </x:c>
      <x:c r="F18" s="50" t="n">
        <x:f>(B18/'估值系统'!$B$17)^0.8*((('估值系统'!$B$18-'估值系统'!$B$19)/(C18-D18))^0.3)</x:f>
        <x:v>0.6649611170669791</x:v>
      </x:c>
      <x:c r="G18" s="32" t="n">
        <x:f>'估值系统'!$L$13*F18</x:f>
        <x:v>27.06582730554375</x:v>
      </x:c>
      <x:c r="H18" s="4"/>
      <x:c r="I18" s="4"/>
      <x:c r="J18" s="4"/>
      <x:c r="K18" s="4"/>
      <x:c r="L18" s="4"/>
      <x:c r="M18" s="4"/>
      <x:c r="N18" s="4"/>
    </x:row>
    <x:row r="19">
      <x:c r="A19" s="19" t="str">
        <x:v>基准</x:v>
      </x:c>
      <x:c r="B19" s="38" t="n">
        <x:v>0.13</x:v>
      </x:c>
      <x:c r="C19" s="38" t="n">
        <x:v>0.105</x:v>
      </x:c>
      <x:c r="D19" s="38" t="n">
        <x:v>0.04</x:v>
      </x:c>
      <x:c r="E19" s="38" t="n">
        <x:v>0.115</x:v>
      </x:c>
      <x:c r="F19" s="50" t="n">
        <x:f>1</x:f>
        <x:v>1</x:v>
      </x:c>
      <x:c r="G19" s="32" t="n">
        <x:f>'估值系统'!$L$13</x:f>
        <x:v>40.7028721091635</x:v>
      </x:c>
      <x:c r="H19" s="4"/>
      <x:c r="I19" s="4"/>
      <x:c r="J19" s="4"/>
      <x:c r="K19" s="4"/>
      <x:c r="L19" s="4"/>
      <x:c r="M19" s="4"/>
      <x:c r="N19" s="4"/>
    </x:row>
    <x:row r="20">
      <x:c r="A20" s="19" t="str">
        <x:v>偏乐观</x:v>
      </x:c>
      <x:c r="B20" s="38" t="n">
        <x:v>0.15</x:v>
      </x:c>
      <x:c r="C20" s="38" t="n">
        <x:v>0.095</x:v>
      </x:c>
      <x:c r="D20" s="38" t="n">
        <x:v>0.05</x:v>
      </x:c>
      <x:c r="E20" s="38" t="n">
        <x:v>0.13</x:v>
      </x:c>
      <x:c r="F20" s="50" t="n">
        <x:f>(B20/'估值系统'!$B$17)^0.8*((('估值系统'!$B$18-'估值系统'!$B$19)/(C20-D20))^0.3)</x:f>
        <x:v>1.252069908964538</x:v>
      </x:c>
      <x:c r="G20" s="32" t="n">
        <x:f>'估值系统'!$L$13*F20</x:f>
        <x:v>50.96284137631557</x:v>
      </x:c>
      <x:c r="H20" s="4"/>
      <x:c r="I20" s="4"/>
      <x:c r="J20" s="4"/>
      <x:c r="K20" s="4"/>
      <x:c r="L20" s="4"/>
      <x:c r="M20" s="4"/>
      <x:c r="N20" s="4"/>
    </x:row>
    <x:row r="21">
      <x:c r="A21" s="19" t="str">
        <x:v>说明</x:v>
      </x:c>
      <x:c r="B21" s="19"/>
      <x:c r="C21" s="19"/>
      <x:c r="D21" s="19"/>
      <x:c r="E21" s="19"/>
      <x:c r="F21" s="19"/>
      <x:c r="G21" s="20" t="str">
        <x:v>以六法中枢按ROE/资本成本弹性缩放</x:v>
      </x:c>
      <x:c r="H21" s="4"/>
      <x:c r="I21" s="4"/>
      <x:c r="J21" s="4"/>
      <x:c r="K21" s="4"/>
      <x:c r="L21" s="4"/>
      <x:c r="M21" s="4"/>
      <x:c r="N21" s="4"/>
    </x:row>
    <x:row r="22">
      <x:c r="A22" s="19" t="str">
        <x:v>当前股价</x:v>
      </x:c>
      <x:c r="B22" s="19"/>
      <x:c r="C22" s="19"/>
      <x:c r="D22" s="19"/>
      <x:c r="E22" s="19"/>
      <x:c r="F22" s="19"/>
      <x:c r="G22" s="36" t="n">
        <x:f>'估值系统'!$B$7</x:f>
        <x:v>35.5</x:v>
      </x:c>
      <x:c r="H22" s="4"/>
      <x:c r="I22" s="4"/>
      <x:c r="J22" s="4"/>
      <x:c r="K22" s="4"/>
      <x:c r="L22" s="4"/>
      <x:c r="M22" s="4"/>
      <x:c r="N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</x:row>
    <x:row r="25" ht="23" customHeight="1">
      <x:c r="A25" s="9" t="str">
        <x:v>反向验证：当前价隐含条件</x:v>
      </x:c>
      <x:c r="B25" s="9" t="str">
        <x:v>反向验证：当前价隐含条件</x:v>
      </x:c>
      <x:c r="C25" s="9" t="str">
        <x:v>反向验证：当前价隐含条件</x:v>
      </x:c>
      <x:c r="D25" s="9" t="str">
        <x:v>反向验证：当前价隐含条件</x:v>
      </x:c>
      <x:c r="E25" s="9" t="str">
        <x:v>反向验证：当前价隐含条件</x:v>
      </x:c>
      <x:c r="F25" s="9" t="str">
        <x:v>反向验证：当前价隐含条件</x:v>
      </x:c>
      <x:c r="G25" s="9" t="str">
        <x:v>反向验证：当前价隐含条件</x:v>
      </x:c>
      <x:c r="H25" s="4"/>
      <x:c r="I25" s="4"/>
      <x:c r="J25" s="4"/>
      <x:c r="K25" s="4"/>
      <x:c r="L25" s="4"/>
      <x:c r="M25" s="4"/>
      <x:c r="N25" s="4"/>
    </x:row>
    <x:row r="26" ht="23" customHeight="1">
      <x:c r="A26" s="11" t="str">
        <x:v>指标</x:v>
      </x:c>
      <x:c r="B26" s="11" t="str">
        <x:v>当前/隐含值</x:v>
      </x:c>
      <x:c r="C26" s="11" t="str">
        <x:v>基准假设</x:v>
      </x:c>
      <x:c r="D26" s="11" t="str">
        <x:v>差异</x:v>
      </x:c>
      <x:c r="E26" s="11" t="str">
        <x:v>判断</x:v>
      </x:c>
      <x:c r="F26" s="11"/>
      <x:c r="G26" s="11"/>
      <x:c r="H26" s="4"/>
      <x:c r="I26" s="4"/>
      <x:c r="J26" s="4"/>
      <x:c r="K26" s="4"/>
      <x:c r="L26" s="4"/>
      <x:c r="M26" s="4"/>
      <x:c r="N26" s="4"/>
    </x:row>
    <x:row r="27">
      <x:c r="A27" s="19" t="str">
        <x:v>当前PB</x:v>
      </x:c>
      <x:c r="B27" s="37" t="n">
        <x:f>'估值系统'!B13</x:f>
        <x:v>0.9657236126224157</x:v>
      </x:c>
      <x:c r="C27" s="37" t="n">
        <x:f>MEDIAN('财务十年'!P6:P15)</x:f>
        <x:v>1.5648913499996226</x:v>
      </x:c>
      <x:c r="D27" s="37" t="n">
        <x:f>B27-C27</x:f>
        <x:v>-0.599167737377207</x:v>
      </x:c>
      <x:c r="E27" s="19" t="str">
        <x:v>市场定价低于历史中位，但高于区域同业</x:v>
      </x:c>
      <x:c r="F27" s="19"/>
      <x:c r="G27" s="19"/>
      <x:c r="H27" s="4"/>
      <x:c r="I27" s="4"/>
      <x:c r="J27" s="4"/>
      <x:c r="K27" s="4"/>
      <x:c r="L27" s="4"/>
      <x:c r="M27" s="4"/>
      <x:c r="N27" s="4"/>
    </x:row>
    <x:row r="28">
      <x:c r="A28" s="19" t="str">
        <x:v>PB-ROE隐含ROE</x:v>
      </x:c>
      <x:c r="B28" s="33" t="n">
        <x:f>'估值系统'!B13*('估值系统'!B18-'估值系统'!B19)+'估值系统'!B19</x:f>
        <x:v>0.10277203482045702</x:v>
      </x:c>
      <x:c r="C28" s="33" t="n">
        <x:f>'估值系统'!B17</x:f>
        <x:v>0.13</x:v>
      </x:c>
      <x:c r="D28" s="33" t="n">
        <x:f>B28-C28</x:f>
        <x:v>-0.027227965179542984</x:v>
      </x:c>
      <x:c r="E28" s="19" t="str">
        <x:v>若长期ROE低于隐含值，估值保护减弱</x:v>
      </x:c>
      <x:c r="F28" s="19"/>
      <x:c r="G28" s="19"/>
      <x:c r="H28" s="4"/>
      <x:c r="I28" s="4"/>
      <x:c r="J28" s="4"/>
      <x:c r="K28" s="4"/>
      <x:c r="L28" s="4"/>
      <x:c r="M28" s="4"/>
      <x:c r="N28" s="4"/>
    </x:row>
    <x:row r="29">
      <x:c r="A29" s="19" t="str">
        <x:v>静态股息率</x:v>
      </x:c>
      <x:c r="B29" s="33" t="n">
        <x:f>'股息估值'!B19</x:f>
        <x:v>0.03380281690140845</x:v>
      </x:c>
      <x:c r="C29" s="33" t="n">
        <x:f>0.04</x:f>
        <x:v>0.04</x:v>
      </x:c>
      <x:c r="D29" s="33" t="n">
        <x:f>B29-C29</x:f>
        <x:v>-0.0061971830985915535</x:v>
      </x:c>
      <x:c r="E29" s="19" t="str">
        <x:v>现金回报不高，依赖分红增长</x:v>
      </x:c>
      <x:c r="F29" s="19"/>
      <x:c r="G29" s="19"/>
      <x:c r="H29" s="4"/>
      <x:c r="I29" s="4"/>
      <x:c r="J29" s="4"/>
      <x:c r="K29" s="4"/>
      <x:c r="L29" s="4"/>
      <x:c r="M29" s="4"/>
      <x:c r="N29" s="4"/>
    </x:row>
    <x:row r="30">
      <x:c r="A30" s="19" t="str">
        <x:v>同业PB中位</x:v>
      </x:c>
      <x:c r="B30" s="37" t="n">
        <x:f>'同业比较'!E13</x:f>
        <x:v>0.8384043272481407</x:v>
      </x:c>
      <x:c r="C30" s="37" t="n">
        <x:f>'估值系统'!B13</x:f>
        <x:v>0.9657236126224157</x:v>
      </x:c>
      <x:c r="D30" s="37" t="n">
        <x:f>B30-C30</x:f>
        <x:v>-0.12731928537427495</x:v>
      </x:c>
      <x:c r="E30" s="19" t="str">
        <x:v>区域同业给出压力测试锚</x:v>
      </x:c>
      <x:c r="F30" s="19"/>
      <x:c r="G30" s="19"/>
      <x:c r="H30" s="4"/>
      <x:c r="I30" s="4"/>
      <x:c r="J30" s="4"/>
      <x:c r="K30" s="4"/>
      <x:c r="L30" s="4"/>
      <x:c r="M30" s="4"/>
      <x:c r="N30" s="4"/>
    </x:row>
    <x:row r="31">
      <x:c r="A31" s="19" t="str">
        <x:v>历史PB中位</x:v>
      </x:c>
      <x:c r="B31" s="37" t="n">
        <x:f>MEDIAN('财务十年'!P6:P15)</x:f>
        <x:v>1.5648913499996226</x:v>
      </x:c>
      <x:c r="C31" s="37" t="n">
        <x:f>'估值系统'!B13</x:f>
        <x:v>0.9657236126224157</x:v>
      </x:c>
      <x:c r="D31" s="37" t="n">
        <x:f>B31-C31</x:f>
        <x:v>0.599167737377207</x:v>
      </x:c>
      <x:c r="E31" s="19" t="str">
        <x:v>自身历史给出质量溢价锚</x:v>
      </x:c>
      <x:c r="F31" s="19"/>
      <x:c r="G31" s="19"/>
      <x:c r="H31" s="4"/>
      <x:c r="I31" s="4"/>
      <x:c r="J31" s="4"/>
      <x:c r="K31" s="4"/>
      <x:c r="L31" s="4"/>
      <x:c r="M31" s="4"/>
      <x:c r="N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</x:row>
  </x:sheetData>
  <x:mergeCells>
    <x:mergeCell ref="A1:N2"/>
    <x:mergeCell ref="A3:N3"/>
    <x:mergeCell ref="A5:G5"/>
    <x:mergeCell ref="H5:N5"/>
    <x:mergeCell ref="H6:N13"/>
    <x:mergeCell ref="A16:G16"/>
    <x:mergeCell ref="A25:G25"/>
    <x:mergeCell ref="E26:G26"/>
    <x:mergeCell ref="E27:G27"/>
    <x:mergeCell ref="E28:G28"/>
    <x:mergeCell ref="E29:G29"/>
    <x:mergeCell ref="E30:G30"/>
    <x:mergeCell ref="E31:G31"/>
  </x:mergeCells>
  <x:conditionalFormatting sqref="B7:F13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0933599989744700"/>
</x:worksheet>
</file>

<file path=xl/worksheets/sheet5.xml><?xml version="1.0" encoding="utf-8"?>
<x:worksheet xmlns:x="http://schemas.openxmlformats.org/spreadsheetml/2006/main">
  <x:sheetPr>
    <x:tabColor rgb="FFED7D31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3" hidden="0" customWidth="1"/>
    <x:col min="3" max="3" width="14" hidden="0" customWidth="1"/>
    <x:col min="4" max="4" width="27" hidden="0" customWidth="1"/>
    <x:col min="5" max="5" width="12" hidden="0" customWidth="1"/>
    <x:col min="6" max="6" width="12" hidden="0" customWidth="1"/>
    <x:col min="7" max="7" width="14" hidden="0" customWidth="1"/>
    <x:col min="8" max="8" width="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 ht="34" customHeight="1">
      <x:c r="A1" s="6" t="str">
        <x:v>宁波银行股息估值与分红可持续性</x:v>
      </x:c>
      <x:c r="B1" s="6" t="str">
        <x:v>宁波银行股息估值与分红可持续性</x:v>
      </x:c>
      <x:c r="C1" s="6" t="str">
        <x:v>宁波银行股息估值与分红可持续性</x:v>
      </x:c>
      <x:c r="D1" s="6" t="str">
        <x:v>宁波银行股息估值与分红可持续性</x:v>
      </x:c>
      <x:c r="E1" s="6" t="str">
        <x:v>宁波银行股息估值与分红可持续性</x:v>
      </x:c>
      <x:c r="F1" s="6" t="str">
        <x:v>宁波银行股息估值与分红可持续性</x:v>
      </x:c>
      <x:c r="G1" s="6" t="str">
        <x:v>宁波银行股息估值与分红可持续性</x:v>
      </x:c>
      <x:c r="H1" s="6" t="str">
        <x:v>宁波银行股息估值与分红可持续性</x:v>
      </x:c>
      <x:c r="I1" s="6" t="str">
        <x:v>宁波银行股息估值与分红可持续性</x:v>
      </x:c>
      <x:c r="J1" s="6" t="str">
        <x:v>宁波银行股息估值与分红可持续性</x:v>
      </x:c>
      <x:c r="K1" s="6" t="str">
        <x:v>宁波银行股息估值与分红可持续性</x:v>
      </x:c>
      <x:c r="L1" s="6" t="str">
        <x:v>宁波银行股息估值与分红可持续性</x:v>
      </x:c>
      <x:c r="M1" s="6" t="str">
        <x:v>宁波银行股息估值与分红可持续性</x:v>
      </x:c>
      <x:c r="N1" s="6" t="str">
        <x:v>宁波银行股息估值与分红可持续性</x:v>
      </x:c>
      <x:c r="O1" s="6" t="str">
        <x:v>宁波银行股息估值与分红可持续性</x:v>
      </x:c>
    </x:row>
    <x:row r="2" ht="34" customHeight="1">
      <x:c r="A2" s="6" t="str">
        <x:v>宁波银行股息估值与分红可持续性</x:v>
      </x:c>
      <x:c r="B2" s="6" t="str">
        <x:v>宁波银行股息估值与分红可持续性</x:v>
      </x:c>
      <x:c r="C2" s="6" t="str">
        <x:v>宁波银行股息估值与分红可持续性</x:v>
      </x:c>
      <x:c r="D2" s="6" t="str">
        <x:v>宁波银行股息估值与分红可持续性</x:v>
      </x:c>
      <x:c r="E2" s="6" t="str">
        <x:v>宁波银行股息估值与分红可持续性</x:v>
      </x:c>
      <x:c r="F2" s="6" t="str">
        <x:v>宁波银行股息估值与分红可持续性</x:v>
      </x:c>
      <x:c r="G2" s="6" t="str">
        <x:v>宁波银行股息估值与分红可持续性</x:v>
      </x:c>
      <x:c r="H2" s="6" t="str">
        <x:v>宁波银行股息估值与分红可持续性</x:v>
      </x:c>
      <x:c r="I2" s="6" t="str">
        <x:v>宁波银行股息估值与分红可持续性</x:v>
      </x:c>
      <x:c r="J2" s="6" t="str">
        <x:v>宁波银行股息估值与分红可持续性</x:v>
      </x:c>
      <x:c r="K2" s="6" t="str">
        <x:v>宁波银行股息估值与分红可持续性</x:v>
      </x:c>
      <x:c r="L2" s="6" t="str">
        <x:v>宁波银行股息估值与分红可持续性</x:v>
      </x:c>
      <x:c r="M2" s="6" t="str">
        <x:v>宁波银行股息估值与分红可持续性</x:v>
      </x:c>
      <x:c r="N2" s="6" t="str">
        <x:v>宁波银行股息估值与分红可持续性</x:v>
      </x:c>
      <x:c r="O2" s="6" t="str">
        <x:v>宁波银行股息估值与分红可持续性</x:v>
      </x:c>
    </x:row>
    <x:row r="3" ht="24" customHeight="1">
      <x:c r="A3" s="7" t="str">
        <x:v>区分已完成年度、已实施末期与拟议中期分红</x:v>
      </x:c>
      <x:c r="B3" s="7" t="str">
        <x:v>区分已完成年度、已实施末期与拟议中期分红</x:v>
      </x:c>
      <x:c r="C3" s="7" t="str">
        <x:v>区分已完成年度、已实施末期与拟议中期分红</x:v>
      </x:c>
      <x:c r="D3" s="7" t="str">
        <x:v>区分已完成年度、已实施末期与拟议中期分红</x:v>
      </x:c>
      <x:c r="E3" s="7" t="str">
        <x:v>区分已完成年度、已实施末期与拟议中期分红</x:v>
      </x:c>
      <x:c r="F3" s="7" t="str">
        <x:v>区分已完成年度、已实施末期与拟议中期分红</x:v>
      </x:c>
      <x:c r="G3" s="7" t="str">
        <x:v>区分已完成年度、已实施末期与拟议中期分红</x:v>
      </x:c>
      <x:c r="H3" s="7" t="str">
        <x:v>区分已完成年度、已实施末期与拟议中期分红</x:v>
      </x:c>
      <x:c r="I3" s="7" t="str">
        <x:v>区分已完成年度、已实施末期与拟议中期分红</x:v>
      </x:c>
      <x:c r="J3" s="7" t="str">
        <x:v>区分已完成年度、已实施末期与拟议中期分红</x:v>
      </x:c>
      <x:c r="K3" s="7" t="str">
        <x:v>区分已完成年度、已实施末期与拟议中期分红</x:v>
      </x:c>
      <x:c r="L3" s="7" t="str">
        <x:v>区分已完成年度、已实施末期与拟议中期分红</x:v>
      </x:c>
      <x:c r="M3" s="7" t="str">
        <x:v>区分已完成年度、已实施末期与拟议中期分红</x:v>
      </x:c>
      <x:c r="N3" s="7" t="str">
        <x:v>区分已完成年度、已实施末期与拟议中期分红</x:v>
      </x:c>
      <x:c r="O3" s="7" t="str">
        <x:v>区分已完成年度、已实施末期与拟议中期分红</x:v>
      </x:c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</x:row>
    <x:row r="5" ht="23" customHeight="1">
      <x:c r="A5" s="9" t="str">
        <x:v>历史分红</x:v>
      </x:c>
      <x:c r="B5" s="9" t="str">
        <x:v>历史分红</x:v>
      </x:c>
      <x:c r="C5" s="9" t="str">
        <x:v>历史分红</x:v>
      </x:c>
      <x:c r="D5" s="9" t="str">
        <x:v>历史分红</x:v>
      </x:c>
      <x:c r="E5" s="9" t="str">
        <x:v>历史分红</x:v>
      </x:c>
      <x:c r="F5" s="9" t="str">
        <x:v>历史分红</x:v>
      </x:c>
      <x:c r="G5" s="9" t="str">
        <x:v>历史分红</x:v>
      </x:c>
      <x:c r="H5" s="9" t="str">
        <x:v>历史分红</x:v>
      </x:c>
      <x:c r="I5" s="4"/>
      <x:c r="J5" s="4"/>
      <x:c r="K5" s="4"/>
      <x:c r="L5" s="4"/>
      <x:c r="M5" s="4"/>
      <x:c r="N5" s="4"/>
      <x:c r="O5" s="4"/>
    </x:row>
    <x:row r="6" ht="23" customHeight="1">
      <x:c r="A6" s="11" t="str">
        <x:v>年度</x:v>
      </x:c>
      <x:c r="B6" s="11" t="str">
        <x:v>DPS（元）</x:v>
      </x:c>
      <x:c r="C6" s="11" t="str">
        <x:v>现金分红率</x:v>
      </x:c>
      <x:c r="D6" s="11" t="str">
        <x:v>说明</x:v>
      </x:c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</x:row>
    <x:row r="7">
      <x:c r="A7" s="19" t="n">
        <x:v>2016</x:v>
      </x:c>
      <x:c r="B7" s="36" t="n">
        <x:v>0.35</x:v>
      </x:c>
      <x:c r="C7" s="53" t="n">
        <x:v>0.1799</x:v>
      </x:c>
      <x:c r="D7" s="19" t="str">
        <x:v>年度</x:v>
      </x:c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</x:row>
    <x:row r="8">
      <x:c r="A8" s="19" t="n">
        <x:v>2017</x:v>
      </x:c>
      <x:c r="B8" s="36" t="n">
        <x:v>0.4</x:v>
      </x:c>
      <x:c r="C8" s="53" t="n">
        <x:v>0.2226</x:v>
      </x:c>
      <x:c r="D8" s="19" t="str">
        <x:v>年度</x:v>
      </x:c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</x:row>
    <x:row r="9">
      <x:c r="A9" s="19" t="n">
        <x:v>2018</x:v>
      </x:c>
      <x:c r="B9" s="36" t="n">
        <x:v>0.4</x:v>
      </x:c>
      <x:c r="C9" s="53" t="n">
        <x:v>0.197</x:v>
      </x:c>
      <x:c r="D9" s="19" t="str">
        <x:v>年度</x:v>
      </x:c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</x:row>
    <x:row r="10">
      <x:c r="A10" s="19" t="n">
        <x:v>2019</x:v>
      </x:c>
      <x:c r="B10" s="36" t="n">
        <x:v>0.5</x:v>
      </x:c>
      <x:c r="C10" s="53" t="n">
        <x:v>0.2318</x:v>
      </x:c>
      <x:c r="D10" s="19" t="str">
        <x:v>年度</x:v>
      </x:c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</x:row>
    <x:row r="11">
      <x:c r="A11" s="19" t="n">
        <x:v>2020</x:v>
      </x:c>
      <x:c r="B11" s="36" t="n">
        <x:v>0.5</x:v>
      </x:c>
      <x:c r="C11" s="53" t="n">
        <x:v>0.2101</x:v>
      </x:c>
      <x:c r="D11" s="19" t="str">
        <x:v>年度</x:v>
      </x:c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</x:row>
    <x:row r="12">
      <x:c r="A12" s="19" t="n">
        <x:v>2021</x:v>
      </x:c>
      <x:c r="B12" s="36" t="n">
        <x:v>0.5</x:v>
      </x:c>
      <x:c r="C12" s="53" t="n">
        <x:v>0.1757</x:v>
      </x:c>
      <x:c r="D12" s="19" t="str">
        <x:v>年度</x:v>
      </x:c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</x:row>
    <x:row r="13">
      <x:c r="A13" s="19" t="n">
        <x:v>2022</x:v>
      </x:c>
      <x:c r="B13" s="36" t="n">
        <x:v>0.5</x:v>
      </x:c>
      <x:c r="C13" s="53" t="n">
        <x:v>0.148</x:v>
      </x:c>
      <x:c r="D13" s="19" t="str">
        <x:v>年度</x:v>
      </x:c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</x:row>
    <x:row r="14">
      <x:c r="A14" s="19" t="n">
        <x:v>2023</x:v>
      </x:c>
      <x:c r="B14" s="36" t="n">
        <x:v>0.6</x:v>
      </x:c>
      <x:c r="C14" s="53" t="n">
        <x:v>0.1599</x:v>
      </x:c>
      <x:c r="D14" s="19" t="str">
        <x:v>年度</x:v>
      </x:c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</x:row>
    <x:row r="15">
      <x:c r="A15" s="19" t="n">
        <x:v>2024</x:v>
      </x:c>
      <x:c r="B15" s="36" t="n">
        <x:v>0.9</x:v>
      </x:c>
      <x:c r="C15" s="53" t="n">
        <x:v>0.2277</x:v>
      </x:c>
      <x:c r="D15" s="19" t="str">
        <x:v>0.30中期+0.60末期</x:v>
      </x:c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</x:row>
    <x:row r="16">
      <x:c r="A16" s="19" t="n">
        <x:v>2025</x:v>
      </x:c>
      <x:c r="B16" s="36" t="n">
        <x:v>1.2</x:v>
      </x:c>
      <x:c r="C16" s="53" t="n">
        <x:v>0.2799</x:v>
      </x:c>
      <x:c r="D16" s="19" t="str">
        <x:v>0.30中期+0.90末期</x:v>
      </x:c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</x:row>
    <x:row r="17" ht="23" customHeight="1">
      <x:c r="A17" s="11" t="str">
        <x:v>观察项</x:v>
      </x:c>
      <x:c r="B17" s="51" t="str">
        <x:v>数值</x:v>
      </x:c>
      <x:c r="C17" s="11" t="str">
        <x:v>收益率/口径</x:v>
      </x:c>
      <x:c r="D17" s="11" t="str">
        <x:v>备注</x:v>
      </x:c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</x:row>
    <x:row r="18">
      <x:c r="A18" s="19" t="str">
        <x:v>2025完整年度DPS</x:v>
      </x:c>
      <x:c r="B18" s="36" t="n">
        <x:v>1.2</x:v>
      </x:c>
      <x:c r="C18" s="19" t="str">
        <x:v>DPS</x:v>
      </x:c>
      <x:c r="D18" s="19" t="str">
        <x:v>最近完整年度</x:v>
      </x:c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</x:row>
    <x:row r="19">
      <x:c r="A19" s="19" t="str">
        <x:v>静态股息率</x:v>
      </x:c>
      <x:c r="B19" s="54" t="n">
        <x:f>B18/'估值系统'!B7</x:f>
        <x:v>0.03380281690140845</x:v>
      </x:c>
      <x:c r="C19" s="19" t="str">
        <x:v>2025 DPS/当前价</x:v>
      </x:c>
      <x:c r="D19" s="19" t="str">
        <x:v>交叉验证</x:v>
      </x:c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</x:row>
    <x:row r="20">
      <x:c r="A20" s="19" t="str">
        <x:v>2026中期拟派息</x:v>
      </x:c>
      <x:c r="B20" s="36" t="n">
        <x:v>0.4</x:v>
      </x:c>
      <x:c r="C20" s="19" t="str">
        <x:v>DPS</x:v>
      </x:c>
      <x:c r="D20" s="19" t="str">
        <x:v>待股东会批准</x:v>
      </x:c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</x:row>
    <x:row r="21">
      <x:c r="A21" s="19" t="str">
        <x:v>LTM声明/拟派DPS</x:v>
      </x:c>
      <x:c r="B21" s="36" t="n">
        <x:v>1.3</x:v>
      </x:c>
      <x:c r="C21" s="19" t="str">
        <x:v>DPS</x:v>
      </x:c>
      <x:c r="D21" s="19" t="str">
        <x:v>2025末期0.90+2026中期0.40</x:v>
      </x:c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</x:row>
    <x:row r="22">
      <x:c r="A22" s="19" t="str">
        <x:v>LTM声明/拟派股息率</x:v>
      </x:c>
      <x:c r="B22" s="54" t="n">
        <x:f>B21/'估值系统'!B7</x:f>
        <x:v>0.036619718309859155</x:v>
      </x:c>
      <x:c r="C22" s="19" t="str">
        <x:v>LTM DPS/当前价</x:v>
      </x:c>
      <x:c r="D22" s="19" t="str">
        <x:v>不等同已实现现金回报</x:v>
      </x:c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</x:row>
    <x:row r="24" ht="23" customHeight="1">
      <x:c r="A24" s="9" t="str">
        <x:v>两阶段股息折现模型</x:v>
      </x:c>
      <x:c r="B24" s="9" t="str">
        <x:v>两阶段股息折现模型</x:v>
      </x:c>
      <x:c r="C24" s="9" t="str">
        <x:v>两阶段股息折现模型</x:v>
      </x:c>
      <x:c r="D24" s="9" t="str">
        <x:v>两阶段股息折现模型</x:v>
      </x:c>
      <x:c r="E24" s="9" t="str">
        <x:v>两阶段股息折现模型</x:v>
      </x:c>
      <x:c r="F24" s="9" t="str">
        <x:v>两阶段股息折现模型</x:v>
      </x:c>
      <x:c r="G24" s="9" t="str">
        <x:v>两阶段股息折现模型</x:v>
      </x:c>
      <x:c r="H24" s="4"/>
      <x:c r="I24" s="11" t="str">
        <x:v>分红可持续性判断</x:v>
      </x:c>
      <x:c r="J24" s="11" t="str">
        <x:v>分红可持续性判断</x:v>
      </x:c>
      <x:c r="K24" s="11" t="str">
        <x:v>分红可持续性判断</x:v>
      </x:c>
      <x:c r="L24" s="11" t="str">
        <x:v>分红可持续性判断</x:v>
      </x:c>
      <x:c r="M24" s="11" t="str">
        <x:v>分红可持续性判断</x:v>
      </x:c>
      <x:c r="N24" s="11" t="str">
        <x:v>分红可持续性判断</x:v>
      </x:c>
      <x:c r="O24" s="11" t="str">
        <x:v>分红可持续性判断</x:v>
      </x:c>
    </x:row>
    <x:row r="25" ht="23" customHeight="1">
      <x:c r="A25" s="11" t="str">
        <x:v>项目</x:v>
      </x:c>
      <x:c r="B25" s="11" t="str">
        <x:v>第1年</x:v>
      </x:c>
      <x:c r="C25" s="11" t="str">
        <x:v>第2年</x:v>
      </x:c>
      <x:c r="D25" s="11" t="str">
        <x:v>第3年</x:v>
      </x:c>
      <x:c r="E25" s="11" t="str">
        <x:v>第4年</x:v>
      </x:c>
      <x:c r="F25" s="11" t="str">
        <x:v>第5年</x:v>
      </x:c>
      <x:c r="G25" s="11" t="str">
        <x:v>终值/合计</x:v>
      </x:c>
      <x:c r="H25" s="4"/>
      <x:c r="I25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J25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K25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L25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M25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N25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O25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</x:row>
    <x:row r="26">
      <x:c r="A26" s="19" t="str">
        <x:v>ROE / 终值ROE</x:v>
      </x:c>
      <x:c r="B26" s="38" t="n">
        <x:v>0.138</x:v>
      </x:c>
      <x:c r="C26" s="38" t="n">
        <x:v>0.135</x:v>
      </x:c>
      <x:c r="D26" s="38" t="n">
        <x:v>0.132</x:v>
      </x:c>
      <x:c r="E26" s="38" t="n">
        <x:v>0.128</x:v>
      </x:c>
      <x:c r="F26" s="38" t="n">
        <x:v>0.125</x:v>
      </x:c>
      <x:c r="G26" s="48" t="n">
        <x:f>'估值系统'!B20</x:f>
        <x:v>0.115</x:v>
      </x:c>
      <x:c r="H26" s="4"/>
      <x:c r="I26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J26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K26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L26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M26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N26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O26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</x:row>
    <x:row r="27">
      <x:c r="A27" s="19" t="str">
        <x:v>分红率 / 终值分红率</x:v>
      </x:c>
      <x:c r="B27" s="38" t="n">
        <x:v>0.28</x:v>
      </x:c>
      <x:c r="C27" s="38" t="n">
        <x:v>0.3</x:v>
      </x:c>
      <x:c r="D27" s="38" t="n">
        <x:v>0.32</x:v>
      </x:c>
      <x:c r="E27" s="38" t="n">
        <x:v>0.34</x:v>
      </x:c>
      <x:c r="F27" s="38" t="n">
        <x:v>0.36</x:v>
      </x:c>
      <x:c r="G27" s="48" t="n">
        <x:f>'估值系统'!B23</x:f>
        <x:v>0.45</x:v>
      </x:c>
      <x:c r="H27" s="4"/>
      <x:c r="I27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J27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K27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L27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M27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N27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O27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</x:row>
    <x:row r="28">
      <x:c r="A28" s="19" t="str">
        <x:v>期初BVPS / 第5年末BV</x:v>
      </x:c>
      <x:c r="B28" s="32" t="n">
        <x:f>'估值系统'!B8</x:f>
        <x:v>36.76</x:v>
      </x:c>
      <x:c r="C28" s="32" t="n">
        <x:f>B31</x:f>
        <x:v>40.4124736</x:v>
      </x:c>
      <x:c r="D28" s="32" t="n">
        <x:f>C31</x:f>
        <x:v>44.2314523552</x:v>
      </x:c>
      <x:c r="E28" s="32" t="n">
        <x:f>D31</x:f>
        <x:v>48.20166751860275</x:v>
      </x:c>
      <x:c r="F28" s="32" t="n">
        <x:f>E31</x:f>
        <x:v>52.27374439057431</x:v>
      </x:c>
      <x:c r="G28" s="32" t="n">
        <x:f>F31</x:f>
        <x:v>56.45564394182025</x:v>
      </x:c>
      <x:c r="H28" s="4"/>
      <x:c r="I28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J28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K28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L28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M28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N28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O28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</x:row>
    <x:row r="29">
      <x:c r="A29" s="19" t="str">
        <x:v>EPS / 终值EPS</x:v>
      </x:c>
      <x:c r="B29" s="32" t="n">
        <x:f>B28*B26</x:f>
        <x:v>5.0728800000000005</x:v>
      </x:c>
      <x:c r="C29" s="32" t="n">
        <x:f>C28*C26</x:f>
        <x:v>5.455683936</x:v>
      </x:c>
      <x:c r="D29" s="32" t="n">
        <x:f>D28*D26</x:f>
        <x:v>5.8385517108864</x:v>
      </x:c>
      <x:c r="E29" s="32" t="n">
        <x:f>E28*E26</x:f>
        <x:v>6.169813442381152</x:v>
      </x:c>
      <x:c r="F29" s="32" t="n">
        <x:f>F28*F26</x:f>
        <x:v>6.5342180488217885</x:v>
      </x:c>
      <x:c r="G29" s="32" t="n">
        <x:f>G28*G26</x:f>
        <x:v>6.492399053309329</x:v>
      </x:c>
      <x:c r="H29" s="4"/>
      <x:c r="I29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J29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K29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L29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M29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N29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O29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</x:row>
    <x:row r="30">
      <x:c r="A30" s="19" t="str">
        <x:v>DPS / 终值DPS</x:v>
      </x:c>
      <x:c r="B30" s="32" t="n">
        <x:f>B29*B27</x:f>
        <x:v>1.4204064000000003</x:v>
      </x:c>
      <x:c r="C30" s="32" t="n">
        <x:f>C29*C27</x:f>
        <x:v>1.6367051808</x:v>
      </x:c>
      <x:c r="D30" s="32" t="n">
        <x:f>D29*D27</x:f>
        <x:v>1.8683365474836482</x:v>
      </x:c>
      <x:c r="E30" s="32" t="n">
        <x:f>E29*E27</x:f>
        <x:v>2.097736570409592</x:v>
      </x:c>
      <x:c r="F30" s="32" t="n">
        <x:f>F29*F27</x:f>
        <x:v>2.3523184975758435</x:v>
      </x:c>
      <x:c r="G30" s="32" t="n">
        <x:f>G29*G27</x:f>
        <x:v>2.9215795739891983</x:v>
      </x:c>
      <x:c r="H30" s="4"/>
      <x:c r="I30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J30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K30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L30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M30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N30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O30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</x:row>
    <x:row r="31">
      <x:c r="A31" s="19" t="str">
        <x:v>期末BVPS / 终值</x:v>
      </x:c>
      <x:c r="B31" s="32" t="n">
        <x:f>B28+B29-B30</x:f>
        <x:v>40.4124736</x:v>
      </x:c>
      <x:c r="C31" s="32" t="n">
        <x:f>C28+C29-C30</x:f>
        <x:v>44.2314523552</x:v>
      </x:c>
      <x:c r="D31" s="32" t="n">
        <x:f>D28+D29-D30</x:f>
        <x:v>48.20166751860275</x:v>
      </x:c>
      <x:c r="E31" s="32" t="n">
        <x:f>E28+E29-E30</x:f>
        <x:v>52.27374439057431</x:v>
      </x:c>
      <x:c r="F31" s="32" t="n">
        <x:f>F28+F29-F30</x:f>
        <x:v>56.45564394182025</x:v>
      </x:c>
      <x:c r="G31" s="32" t="n">
        <x:f>G30/('估值系统'!B18-'估值系统'!B19)</x:f>
        <x:v>44.947378061372284</x:v>
      </x:c>
      <x:c r="H31" s="4"/>
      <x:c r="I31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J31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K31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L31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M31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N31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O31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</x:row>
    <x:row r="32">
      <x:c r="A32" s="19" t="str">
        <x:v>折现因子</x:v>
      </x:c>
      <x:c r="B32" s="55" t="n">
        <x:f>1/(1+'估值系统'!B18)^1</x:f>
        <x:v>0.9049773755656109</x:v>
      </x:c>
      <x:c r="C32" s="55" t="n">
        <x:f>1/(1+'估值系统'!B18)^2</x:f>
        <x:v>0.8189840502856207</x:v>
      </x:c>
      <x:c r="D32" s="55" t="n">
        <x:f>1/(1+'估值系统'!B18)^3</x:f>
        <x:v>0.7411620364575753</x:v>
      </x:c>
      <x:c r="E32" s="55" t="n">
        <x:f>1/(1+'估值系统'!B18)^4</x:f>
        <x:v>0.6707348746222401</x:v>
      </x:c>
      <x:c r="F32" s="55" t="n">
        <x:f>1/(1+'估值系统'!B18)^5</x:f>
        <x:v>0.6069998865359639</x:v>
      </x:c>
      <x:c r="G32" s="55" t="n">
        <x:f>F32</x:f>
        <x:v>0.6069998865359639</x:v>
      </x:c>
      <x:c r="H32" s="4"/>
      <x:c r="I32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J32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K32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L32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M32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N32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O32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</x:row>
    <x:row r="33">
      <x:c r="A33" s="19" t="str">
        <x:v>股息现值 / 终值现值</x:v>
      </x:c>
      <x:c r="B33" s="32" t="n">
        <x:f>B30*B32</x:f>
        <x:v>1.2854356561085976</x:v>
      </x:c>
      <x:c r="C33" s="32" t="n">
        <x:f>C30*C32</x:f>
        <x:v>1.3404354380950432</x:v>
      </x:c>
      <x:c r="D33" s="32" t="n">
        <x:f>D30*D32</x:f>
        <x:v>1.384740120321096</x:v>
      </x:c>
      <x:c r="E33" s="32" t="n">
        <x:f>E30*E32</x:f>
        <x:v>1.4070250755441656</x:v>
      </x:c>
      <x:c r="F33" s="32" t="n">
        <x:f>F30*F32</x:f>
        <x:v>1.4278570611249861</x:v>
      </x:c>
      <x:c r="G33" s="32" t="n">
        <x:f>G31*G32</x:f>
        <x:v>27.28305338334205</x:v>
      </x:c>
      <x:c r="H33" s="4"/>
      <x:c r="I33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J33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K33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L33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M33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N33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O33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</x:row>
    <x:row r="34">
      <x:c r="A34" s="19" t="str">
        <x:v>DDM每股价值</x:v>
      </x:c>
      <x:c r="B34" s="32"/>
      <x:c r="C34" s="32"/>
      <x:c r="D34" s="32"/>
      <x:c r="E34" s="32"/>
      <x:c r="F34" s="32"/>
      <x:c r="G34" s="32" t="n">
        <x:f>SUM(B33:F33)+G33</x:f>
        <x:v>34.12854673453594</x:v>
      </x:c>
      <x:c r="H34" s="4"/>
      <x:c r="I34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J34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K34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L34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M34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N34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  <x:c r="O34" s="17" t="str">
        <x:v>2025现金分红率27.99%，高于2023年的15.99%，仍保留较多利润支持扩表。2025—2027政策承诺年度现金分红不低于归母普通股净利润10%，但该门槛并不等于目标支付率。模型假设支付率由28%逐步升至36%，终值45%，需以CET1和盈利兑现为前提。</x:v>
      </x:c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</x:row>
    <x:row r="37" ht="23" customHeight="1">
      <x:c r="A37" s="9" t="str">
        <x:v>股息率反推价格（元）</x:v>
      </x:c>
      <x:c r="B37" s="9" t="str">
        <x:v>股息率反推价格（元）</x:v>
      </x:c>
      <x:c r="C37" s="9" t="str">
        <x:v>股息率反推价格（元）</x:v>
      </x:c>
      <x:c r="D37" s="9" t="str">
        <x:v>股息率反推价格（元）</x:v>
      </x:c>
      <x:c r="E37" s="9" t="str">
        <x:v>股息率反推价格（元）</x:v>
      </x:c>
      <x:c r="F37" s="9" t="str">
        <x:v>股息率反推价格（元）</x:v>
      </x:c>
      <x:c r="G37" s="9" t="str">
        <x:v>股息率反推价格（元）</x:v>
      </x:c>
      <x:c r="H37" s="4"/>
      <x:c r="I37" s="11" t="str">
        <x:v>口径提示</x:v>
      </x:c>
      <x:c r="J37" s="11" t="str">
        <x:v>口径提示</x:v>
      </x:c>
      <x:c r="K37" s="11" t="str">
        <x:v>口径提示</x:v>
      </x:c>
      <x:c r="L37" s="11" t="str">
        <x:v>口径提示</x:v>
      </x:c>
      <x:c r="M37" s="11" t="str">
        <x:v>口径提示</x:v>
      </x:c>
      <x:c r="N37" s="11" t="str">
        <x:v>口径提示</x:v>
      </x:c>
      <x:c r="O37" s="11" t="str">
        <x:v>口径提示</x:v>
      </x:c>
    </x:row>
    <x:row r="38" ht="23" customHeight="1">
      <x:c r="A38" s="11" t="str">
        <x:v>年化DPS / 目标股息率</x:v>
      </x:c>
      <x:c r="B38" s="49" t="n">
        <x:v>0.035</x:v>
      </x:c>
      <x:c r="C38" s="49" t="n">
        <x:v>0.04</x:v>
      </x:c>
      <x:c r="D38" s="49" t="n">
        <x:v>0.045</x:v>
      </x:c>
      <x:c r="E38" s="49" t="n">
        <x:v>0.05</x:v>
      </x:c>
      <x:c r="F38" s="4"/>
      <x:c r="G38" s="4"/>
      <x:c r="H38" s="4"/>
      <x:c r="I38" s="26" t="str">
        <x:v>静态股息率使用最近完整年度DPS；LTM声明/拟派股息率包含尚待批准的2026中期方案，因此不能视作已经到账。股息反推仅是交叉验证，不能替代ROE与资本约束分析。</x:v>
      </x:c>
      <x:c r="J38" s="26" t="str">
        <x:v>静态股息率使用最近完整年度DPS；LTM声明/拟派股息率包含尚待批准的2026中期方案，因此不能视作已经到账。股息反推仅是交叉验证，不能替代ROE与资本约束分析。</x:v>
      </x:c>
      <x:c r="K38" s="26" t="str">
        <x:v>静态股息率使用最近完整年度DPS；LTM声明/拟派股息率包含尚待批准的2026中期方案，因此不能视作已经到账。股息反推仅是交叉验证，不能替代ROE与资本约束分析。</x:v>
      </x:c>
      <x:c r="L38" s="26" t="str">
        <x:v>静态股息率使用最近完整年度DPS；LTM声明/拟派股息率包含尚待批准的2026中期方案，因此不能视作已经到账。股息反推仅是交叉验证，不能替代ROE与资本约束分析。</x:v>
      </x:c>
      <x:c r="M38" s="26" t="str">
        <x:v>静态股息率使用最近完整年度DPS；LTM声明/拟派股息率包含尚待批准的2026中期方案，因此不能视作已经到账。股息反推仅是交叉验证，不能替代ROE与资本约束分析。</x:v>
      </x:c>
      <x:c r="N38" s="26" t="str">
        <x:v>静态股息率使用最近完整年度DPS；LTM声明/拟派股息率包含尚待批准的2026中期方案，因此不能视作已经到账。股息反推仅是交叉验证，不能替代ROE与资本约束分析。</x:v>
      </x:c>
      <x:c r="O38" s="26" t="str">
        <x:v>静态股息率使用最近完整年度DPS；LTM声明/拟派股息率包含尚待批准的2026中期方案，因此不能视作已经到账。股息反推仅是交叉验证，不能替代ROE与资本约束分析。</x:v>
      </x:c>
    </x:row>
    <x:row r="39">
      <x:c r="A39" s="20" t="n">
        <x:v>1.2</x:v>
      </x:c>
      <x:c r="B39" s="20" t="n">
        <x:f>$A39/B$38</x:f>
        <x:v>34.285714285714285</x:v>
      </x:c>
      <x:c r="C39" s="20" t="n">
        <x:f>$A39/C$38</x:f>
        <x:v>30</x:v>
      </x:c>
      <x:c r="D39" s="20" t="n">
        <x:f>$A39/D$38</x:f>
        <x:v>26.666666666666668</x:v>
      </x:c>
      <x:c r="E39" s="20" t="n">
        <x:f>$A39/E$38</x:f>
        <x:v>23.999999999999996</x:v>
      </x:c>
      <x:c r="F39" s="4"/>
      <x:c r="G39" s="4"/>
      <x:c r="H39" s="4"/>
      <x:c r="I39" s="26" t="str">
        <x:v>静态股息率使用最近完整年度DPS；LTM声明/拟派股息率包含尚待批准的2026中期方案，因此不能视作已经到账。股息反推仅是交叉验证，不能替代ROE与资本约束分析。</x:v>
      </x:c>
      <x:c r="J39" s="26" t="str">
        <x:v>静态股息率使用最近完整年度DPS；LTM声明/拟派股息率包含尚待批准的2026中期方案，因此不能视作已经到账。股息反推仅是交叉验证，不能替代ROE与资本约束分析。</x:v>
      </x:c>
      <x:c r="K39" s="26" t="str">
        <x:v>静态股息率使用最近完整年度DPS；LTM声明/拟派股息率包含尚待批准的2026中期方案，因此不能视作已经到账。股息反推仅是交叉验证，不能替代ROE与资本约束分析。</x:v>
      </x:c>
      <x:c r="L39" s="26" t="str">
        <x:v>静态股息率使用最近完整年度DPS；LTM声明/拟派股息率包含尚待批准的2026中期方案，因此不能视作已经到账。股息反推仅是交叉验证，不能替代ROE与资本约束分析。</x:v>
      </x:c>
      <x:c r="M39" s="26" t="str">
        <x:v>静态股息率使用最近完整年度DPS；LTM声明/拟派股息率包含尚待批准的2026中期方案，因此不能视作已经到账。股息反推仅是交叉验证，不能替代ROE与资本约束分析。</x:v>
      </x:c>
      <x:c r="N39" s="26" t="str">
        <x:v>静态股息率使用最近完整年度DPS；LTM声明/拟派股息率包含尚待批准的2026中期方案，因此不能视作已经到账。股息反推仅是交叉验证，不能替代ROE与资本约束分析。</x:v>
      </x:c>
      <x:c r="O39" s="26" t="str">
        <x:v>静态股息率使用最近完整年度DPS；LTM声明/拟派股息率包含尚待批准的2026中期方案，因此不能视作已经到账。股息反推仅是交叉验证，不能替代ROE与资本约束分析。</x:v>
      </x:c>
    </x:row>
    <x:row r="40">
      <x:c r="A40" s="20" t="n">
        <x:v>1.3</x:v>
      </x:c>
      <x:c r="B40" s="20" t="n">
        <x:f>$A40/B$38</x:f>
        <x:v>37.14285714285714</x:v>
      </x:c>
      <x:c r="C40" s="20" t="n">
        <x:f>$A40/C$38</x:f>
        <x:v>32.5</x:v>
      </x:c>
      <x:c r="D40" s="20" t="n">
        <x:f>$A40/D$38</x:f>
        <x:v>28.88888888888889</x:v>
      </x:c>
      <x:c r="E40" s="20" t="n">
        <x:f>$A40/E$38</x:f>
        <x:v>26</x:v>
      </x:c>
      <x:c r="F40" s="4"/>
      <x:c r="G40" s="4"/>
      <x:c r="H40" s="4"/>
      <x:c r="I40" s="26" t="str">
        <x:v>静态股息率使用最近完整年度DPS；LTM声明/拟派股息率包含尚待批准的2026中期方案，因此不能视作已经到账。股息反推仅是交叉验证，不能替代ROE与资本约束分析。</x:v>
      </x:c>
      <x:c r="J40" s="26" t="str">
        <x:v>静态股息率使用最近完整年度DPS；LTM声明/拟派股息率包含尚待批准的2026中期方案，因此不能视作已经到账。股息反推仅是交叉验证，不能替代ROE与资本约束分析。</x:v>
      </x:c>
      <x:c r="K40" s="26" t="str">
        <x:v>静态股息率使用最近完整年度DPS；LTM声明/拟派股息率包含尚待批准的2026中期方案，因此不能视作已经到账。股息反推仅是交叉验证，不能替代ROE与资本约束分析。</x:v>
      </x:c>
      <x:c r="L40" s="26" t="str">
        <x:v>静态股息率使用最近完整年度DPS；LTM声明/拟派股息率包含尚待批准的2026中期方案，因此不能视作已经到账。股息反推仅是交叉验证，不能替代ROE与资本约束分析。</x:v>
      </x:c>
      <x:c r="M40" s="26" t="str">
        <x:v>静态股息率使用最近完整年度DPS；LTM声明/拟派股息率包含尚待批准的2026中期方案，因此不能视作已经到账。股息反推仅是交叉验证，不能替代ROE与资本约束分析。</x:v>
      </x:c>
      <x:c r="N40" s="26" t="str">
        <x:v>静态股息率使用最近完整年度DPS；LTM声明/拟派股息率包含尚待批准的2026中期方案，因此不能视作已经到账。股息反推仅是交叉验证，不能替代ROE与资本约束分析。</x:v>
      </x:c>
      <x:c r="O40" s="26" t="str">
        <x:v>静态股息率使用最近完整年度DPS；LTM声明/拟派股息率包含尚待批准的2026中期方案，因此不能视作已经到账。股息反推仅是交叉验证，不能替代ROE与资本约束分析。</x:v>
      </x:c>
    </x:row>
    <x:row r="41">
      <x:c r="A41" s="20" t="n">
        <x:v>1.45</x:v>
      </x:c>
      <x:c r="B41" s="20" t="n">
        <x:f>$A41/B$38</x:f>
        <x:v>41.42857142857142</x:v>
      </x:c>
      <x:c r="C41" s="20" t="n">
        <x:f>$A41/C$38</x:f>
        <x:v>36.25</x:v>
      </x:c>
      <x:c r="D41" s="20" t="n">
        <x:f>$A41/D$38</x:f>
        <x:v>32.22222222222222</x:v>
      </x:c>
      <x:c r="E41" s="20" t="n">
        <x:f>$A41/E$38</x:f>
        <x:v>28.999999999999996</x:v>
      </x:c>
      <x:c r="F41" s="4"/>
      <x:c r="G41" s="4"/>
      <x:c r="H41" s="4"/>
      <x:c r="I41" s="26" t="str">
        <x:v>静态股息率使用最近完整年度DPS；LTM声明/拟派股息率包含尚待批准的2026中期方案，因此不能视作已经到账。股息反推仅是交叉验证，不能替代ROE与资本约束分析。</x:v>
      </x:c>
      <x:c r="J41" s="26" t="str">
        <x:v>静态股息率使用最近完整年度DPS；LTM声明/拟派股息率包含尚待批准的2026中期方案，因此不能视作已经到账。股息反推仅是交叉验证，不能替代ROE与资本约束分析。</x:v>
      </x:c>
      <x:c r="K41" s="26" t="str">
        <x:v>静态股息率使用最近完整年度DPS；LTM声明/拟派股息率包含尚待批准的2026中期方案，因此不能视作已经到账。股息反推仅是交叉验证，不能替代ROE与资本约束分析。</x:v>
      </x:c>
      <x:c r="L41" s="26" t="str">
        <x:v>静态股息率使用最近完整年度DPS；LTM声明/拟派股息率包含尚待批准的2026中期方案，因此不能视作已经到账。股息反推仅是交叉验证，不能替代ROE与资本约束分析。</x:v>
      </x:c>
      <x:c r="M41" s="26" t="str">
        <x:v>静态股息率使用最近完整年度DPS；LTM声明/拟派股息率包含尚待批准的2026中期方案，因此不能视作已经到账。股息反推仅是交叉验证，不能替代ROE与资本约束分析。</x:v>
      </x:c>
      <x:c r="N41" s="26" t="str">
        <x:v>静态股息率使用最近完整年度DPS；LTM声明/拟派股息率包含尚待批准的2026中期方案，因此不能视作已经到账。股息反推仅是交叉验证，不能替代ROE与资本约束分析。</x:v>
      </x:c>
      <x:c r="O41" s="26" t="str">
        <x:v>静态股息率使用最近完整年度DPS；LTM声明/拟派股息率包含尚待批准的2026中期方案，因此不能视作已经到账。股息反推仅是交叉验证，不能替代ROE与资本约束分析。</x:v>
      </x:c>
    </x:row>
    <x:row r="42">
      <x:c r="A42" s="20" t="n">
        <x:v>1.6</x:v>
      </x:c>
      <x:c r="B42" s="20" t="n">
        <x:f>$A42/B$38</x:f>
        <x:v>45.714285714285715</x:v>
      </x:c>
      <x:c r="C42" s="20" t="n">
        <x:f>$A42/C$38</x:f>
        <x:v>40</x:v>
      </x:c>
      <x:c r="D42" s="20" t="n">
        <x:f>$A42/D$38</x:f>
        <x:v>35.55555555555556</x:v>
      </x:c>
      <x:c r="E42" s="20" t="n">
        <x:f>$A42/E$38</x:f>
        <x:v>32</x:v>
      </x:c>
      <x:c r="F42" s="4"/>
      <x:c r="G42" s="4"/>
      <x:c r="H42" s="4"/>
      <x:c r="I42" s="26" t="str">
        <x:v>静态股息率使用最近完整年度DPS；LTM声明/拟派股息率包含尚待批准的2026中期方案，因此不能视作已经到账。股息反推仅是交叉验证，不能替代ROE与资本约束分析。</x:v>
      </x:c>
      <x:c r="J42" s="26" t="str">
        <x:v>静态股息率使用最近完整年度DPS；LTM声明/拟派股息率包含尚待批准的2026中期方案，因此不能视作已经到账。股息反推仅是交叉验证，不能替代ROE与资本约束分析。</x:v>
      </x:c>
      <x:c r="K42" s="26" t="str">
        <x:v>静态股息率使用最近完整年度DPS；LTM声明/拟派股息率包含尚待批准的2026中期方案，因此不能视作已经到账。股息反推仅是交叉验证，不能替代ROE与资本约束分析。</x:v>
      </x:c>
      <x:c r="L42" s="26" t="str">
        <x:v>静态股息率使用最近完整年度DPS；LTM声明/拟派股息率包含尚待批准的2026中期方案，因此不能视作已经到账。股息反推仅是交叉验证，不能替代ROE与资本约束分析。</x:v>
      </x:c>
      <x:c r="M42" s="26" t="str">
        <x:v>静态股息率使用最近完整年度DPS；LTM声明/拟派股息率包含尚待批准的2026中期方案，因此不能视作已经到账。股息反推仅是交叉验证，不能替代ROE与资本约束分析。</x:v>
      </x:c>
      <x:c r="N42" s="26" t="str">
        <x:v>静态股息率使用最近完整年度DPS；LTM声明/拟派股息率包含尚待批准的2026中期方案，因此不能视作已经到账。股息反推仅是交叉验证，不能替代ROE与资本约束分析。</x:v>
      </x:c>
      <x:c r="O42" s="26" t="str">
        <x:v>静态股息率使用最近完整年度DPS；LTM声明/拟派股息率包含尚待批准的2026中期方案，因此不能视作已经到账。股息反推仅是交叉验证，不能替代ROE与资本约束分析。</x:v>
      </x:c>
    </x:row>
    <x:row r="43">
      <x:c r="A43" s="20" t="n">
        <x:v>1.75</x:v>
      </x:c>
      <x:c r="B43" s="20" t="n">
        <x:f>$A43/B$38</x:f>
        <x:v>49.99999999999999</x:v>
      </x:c>
      <x:c r="C43" s="20" t="n">
        <x:f>$A43/C$38</x:f>
        <x:v>43.75</x:v>
      </x:c>
      <x:c r="D43" s="20" t="n">
        <x:f>$A43/D$38</x:f>
        <x:v>38.88888888888889</x:v>
      </x:c>
      <x:c r="E43" s="20" t="n">
        <x:f>$A43/E$38</x:f>
        <x:v>35</x:v>
      </x:c>
      <x:c r="F43" s="4"/>
      <x:c r="G43" s="4"/>
      <x:c r="H43" s="4"/>
      <x:c r="I43" s="26" t="str">
        <x:v>静态股息率使用最近完整年度DPS；LTM声明/拟派股息率包含尚待批准的2026中期方案，因此不能视作已经到账。股息反推仅是交叉验证，不能替代ROE与资本约束分析。</x:v>
      </x:c>
      <x:c r="J43" s="26" t="str">
        <x:v>静态股息率使用最近完整年度DPS；LTM声明/拟派股息率包含尚待批准的2026中期方案，因此不能视作已经到账。股息反推仅是交叉验证，不能替代ROE与资本约束分析。</x:v>
      </x:c>
      <x:c r="K43" s="26" t="str">
        <x:v>静态股息率使用最近完整年度DPS；LTM声明/拟派股息率包含尚待批准的2026中期方案，因此不能视作已经到账。股息反推仅是交叉验证，不能替代ROE与资本约束分析。</x:v>
      </x:c>
      <x:c r="L43" s="26" t="str">
        <x:v>静态股息率使用最近完整年度DPS；LTM声明/拟派股息率包含尚待批准的2026中期方案，因此不能视作已经到账。股息反推仅是交叉验证，不能替代ROE与资本约束分析。</x:v>
      </x:c>
      <x:c r="M43" s="26" t="str">
        <x:v>静态股息率使用最近完整年度DPS；LTM声明/拟派股息率包含尚待批准的2026中期方案，因此不能视作已经到账。股息反推仅是交叉验证，不能替代ROE与资本约束分析。</x:v>
      </x:c>
      <x:c r="N43" s="26" t="str">
        <x:v>静态股息率使用最近完整年度DPS；LTM声明/拟派股息率包含尚待批准的2026中期方案，因此不能视作已经到账。股息反推仅是交叉验证，不能替代ROE与资本约束分析。</x:v>
      </x:c>
      <x:c r="O43" s="26" t="str">
        <x:v>静态股息率使用最近完整年度DPS；LTM声明/拟派股息率包含尚待批准的2026中期方案，因此不能视作已经到账。股息反推仅是交叉验证，不能替代ROE与资本约束分析。</x:v>
      </x:c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</x:row>
  </x:sheetData>
  <x:mergeCells>
    <x:mergeCell ref="A1:O2"/>
    <x:mergeCell ref="A3:O3"/>
    <x:mergeCell ref="A5:H5"/>
    <x:mergeCell ref="A24:G24"/>
    <x:mergeCell ref="I24:O24"/>
    <x:mergeCell ref="I25:O34"/>
    <x:mergeCell ref="A37:G37"/>
    <x:mergeCell ref="I37:O37"/>
    <x:mergeCell ref="I38:O43"/>
  </x:mergeCells>
  <x:conditionalFormatting sqref="B39:E43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2c86dcd5627743d6"/>
</x:worksheet>
</file>

<file path=xl/worksheets/sheet6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1" hidden="0" customWidth="1"/>
    <x:col min="2" max="2" width="13" hidden="0" customWidth="1"/>
    <x:col min="3" max="3" width="11" hidden="0" customWidth="1"/>
    <x:col min="4" max="4" width="14" hidden="0" customWidth="1"/>
    <x:col min="5" max="5" width="11" hidden="0" customWidth="1"/>
    <x:col min="6" max="6" width="9" hidden="0" customWidth="1"/>
    <x:col min="7" max="7" width="9" hidden="0" customWidth="1"/>
    <x:col min="8" max="8" width="11" hidden="0" customWidth="1"/>
    <x:col min="9" max="9" width="9" hidden="0" customWidth="1"/>
    <x:col min="10" max="10" width="9" hidden="0" customWidth="1"/>
    <x:col min="11" max="11" width="12" hidden="0" customWidth="1"/>
    <x:col min="12" max="12" width="9" hidden="0" customWidth="1"/>
    <x:col min="13" max="13" width="9" hidden="0" customWidth="1"/>
    <x:col min="14" max="14" width="10" hidden="0" customWidth="1"/>
    <x:col min="15" max="15" width="11" hidden="0" customWidth="1"/>
    <x:col min="16" max="16" width="9" hidden="0" customWidth="1"/>
    <x:col min="17" max="17" width="9" hidden="0" customWidth="1"/>
    <x:col min="18" max="18" width="3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</x:cols>
  <x:sheetData>
    <x:row r="1" ht="34" customHeight="1">
      <x:c r="A1" s="6" t="str">
        <x:v>宁波银行十年财务与估值历史</x:v>
      </x:c>
      <x:c r="B1" s="6" t="str">
        <x:v>宁波银行十年财务与估值历史</x:v>
      </x:c>
      <x:c r="C1" s="6" t="str">
        <x:v>宁波银行十年财务与估值历史</x:v>
      </x:c>
      <x:c r="D1" s="6" t="str">
        <x:v>宁波银行十年财务与估值历史</x:v>
      </x:c>
      <x:c r="E1" s="6" t="str">
        <x:v>宁波银行十年财务与估值历史</x:v>
      </x:c>
      <x:c r="F1" s="6" t="str">
        <x:v>宁波银行十年财务与估值历史</x:v>
      </x:c>
      <x:c r="G1" s="6" t="str">
        <x:v>宁波银行十年财务与估值历史</x:v>
      </x:c>
      <x:c r="H1" s="6" t="str">
        <x:v>宁波银行十年财务与估值历史</x:v>
      </x:c>
      <x:c r="I1" s="6" t="str">
        <x:v>宁波银行十年财务与估值历史</x:v>
      </x:c>
      <x:c r="J1" s="6" t="str">
        <x:v>宁波银行十年财务与估值历史</x:v>
      </x:c>
      <x:c r="K1" s="6" t="str">
        <x:v>宁波银行十年财务与估值历史</x:v>
      </x:c>
      <x:c r="L1" s="6" t="str">
        <x:v>宁波银行十年财务与估值历史</x:v>
      </x:c>
      <x:c r="M1" s="6" t="str">
        <x:v>宁波银行十年财务与估值历史</x:v>
      </x:c>
      <x:c r="N1" s="6" t="str">
        <x:v>宁波银行十年财务与估值历史</x:v>
      </x:c>
      <x:c r="O1" s="6" t="str">
        <x:v>宁波银行十年财务与估值历史</x:v>
      </x:c>
      <x:c r="P1" s="6" t="str">
        <x:v>宁波银行十年财务与估值历史</x:v>
      </x:c>
      <x:c r="Q1" s="6" t="str">
        <x:v>宁波银行十年财务与估值历史</x:v>
      </x:c>
      <x:c r="R1" s="6" t="str">
        <x:v>宁波银行十年财务与估值历史</x:v>
      </x:c>
      <x:c r="S1" s="6" t="str">
        <x:v>宁波银行十年财务与估值历史</x:v>
      </x:c>
      <x:c r="T1" s="6" t="str">
        <x:v>宁波银行十年财务与估值历史</x:v>
      </x:c>
      <x:c r="U1" s="6" t="str">
        <x:v>宁波银行十年财务与估值历史</x:v>
      </x:c>
      <x:c r="V1" s="6" t="str">
        <x:v>宁波银行十年财务与估值历史</x:v>
      </x:c>
      <x:c r="W1" s="6" t="str">
        <x:v>宁波银行十年财务与估值历史</x:v>
      </x:c>
      <x:c r="X1" s="6" t="str">
        <x:v>宁波银行十年财务与估值历史</x:v>
      </x:c>
      <x:c r="Y1" s="6" t="str">
        <x:v>宁波银行十年财务与估值历史</x:v>
      </x:c>
      <x:c r="Z1" s="6" t="str">
        <x:v>宁波银行十年财务与估值历史</x:v>
      </x:c>
      <x:c r="AA1" s="6" t="str">
        <x:v>宁波银行十年财务与估值历史</x:v>
      </x:c>
    </x:row>
    <x:row r="2" ht="34" customHeight="1">
      <x:c r="A2" s="6" t="str">
        <x:v>宁波银行十年财务与估值历史</x:v>
      </x:c>
      <x:c r="B2" s="6" t="str">
        <x:v>宁波银行十年财务与估值历史</x:v>
      </x:c>
      <x:c r="C2" s="6" t="str">
        <x:v>宁波银行十年财务与估值历史</x:v>
      </x:c>
      <x:c r="D2" s="6" t="str">
        <x:v>宁波银行十年财务与估值历史</x:v>
      </x:c>
      <x:c r="E2" s="6" t="str">
        <x:v>宁波银行十年财务与估值历史</x:v>
      </x:c>
      <x:c r="F2" s="6" t="str">
        <x:v>宁波银行十年财务与估值历史</x:v>
      </x:c>
      <x:c r="G2" s="6" t="str">
        <x:v>宁波银行十年财务与估值历史</x:v>
      </x:c>
      <x:c r="H2" s="6" t="str">
        <x:v>宁波银行十年财务与估值历史</x:v>
      </x:c>
      <x:c r="I2" s="6" t="str">
        <x:v>宁波银行十年财务与估值历史</x:v>
      </x:c>
      <x:c r="J2" s="6" t="str">
        <x:v>宁波银行十年财务与估值历史</x:v>
      </x:c>
      <x:c r="K2" s="6" t="str">
        <x:v>宁波银行十年财务与估值历史</x:v>
      </x:c>
      <x:c r="L2" s="6" t="str">
        <x:v>宁波银行十年财务与估值历史</x:v>
      </x:c>
      <x:c r="M2" s="6" t="str">
        <x:v>宁波银行十年财务与估值历史</x:v>
      </x:c>
      <x:c r="N2" s="6" t="str">
        <x:v>宁波银行十年财务与估值历史</x:v>
      </x:c>
      <x:c r="O2" s="6" t="str">
        <x:v>宁波银行十年财务与估值历史</x:v>
      </x:c>
      <x:c r="P2" s="6" t="str">
        <x:v>宁波银行十年财务与估值历史</x:v>
      </x:c>
      <x:c r="Q2" s="6" t="str">
        <x:v>宁波银行十年财务与估值历史</x:v>
      </x:c>
      <x:c r="R2" s="6" t="str">
        <x:v>宁波银行十年财务与估值历史</x:v>
      </x:c>
      <x:c r="S2" s="6" t="str">
        <x:v>宁波银行十年财务与估值历史</x:v>
      </x:c>
      <x:c r="T2" s="6" t="str">
        <x:v>宁波银行十年财务与估值历史</x:v>
      </x:c>
      <x:c r="U2" s="6" t="str">
        <x:v>宁波银行十年财务与估值历史</x:v>
      </x:c>
      <x:c r="V2" s="6" t="str">
        <x:v>宁波银行十年财务与估值历史</x:v>
      </x:c>
      <x:c r="W2" s="6" t="str">
        <x:v>宁波银行十年财务与估值历史</x:v>
      </x:c>
      <x:c r="X2" s="6" t="str">
        <x:v>宁波银行十年财务与估值历史</x:v>
      </x:c>
      <x:c r="Y2" s="6" t="str">
        <x:v>宁波银行十年财务与估值历史</x:v>
      </x:c>
      <x:c r="Z2" s="6" t="str">
        <x:v>宁波银行十年财务与估值历史</x:v>
      </x:c>
      <x:c r="AA2" s="6" t="str">
        <x:v>宁波银行十年财务与估值历史</x:v>
      </x:c>
    </x:row>
    <x:row r="3" ht="24" customHeight="1">
      <x:c r="A3" s="7" t="str">
        <x:v>2016—2025为完整年度；2026H1为半年度最新经营数据</x:v>
      </x:c>
      <x:c r="B3" s="7" t="str">
        <x:v>2016—2025为完整年度；2026H1为半年度最新经营数据</x:v>
      </x:c>
      <x:c r="C3" s="7" t="str">
        <x:v>2016—2025为完整年度；2026H1为半年度最新经营数据</x:v>
      </x:c>
      <x:c r="D3" s="7" t="str">
        <x:v>2016—2025为完整年度；2026H1为半年度最新经营数据</x:v>
      </x:c>
      <x:c r="E3" s="7" t="str">
        <x:v>2016—2025为完整年度；2026H1为半年度最新经营数据</x:v>
      </x:c>
      <x:c r="F3" s="7" t="str">
        <x:v>2016—2025为完整年度；2026H1为半年度最新经营数据</x:v>
      </x:c>
      <x:c r="G3" s="7" t="str">
        <x:v>2016—2025为完整年度；2026H1为半年度最新经营数据</x:v>
      </x:c>
      <x:c r="H3" s="7" t="str">
        <x:v>2016—2025为完整年度；2026H1为半年度最新经营数据</x:v>
      </x:c>
      <x:c r="I3" s="7" t="str">
        <x:v>2016—2025为完整年度；2026H1为半年度最新经营数据</x:v>
      </x:c>
      <x:c r="J3" s="7" t="str">
        <x:v>2016—2025为完整年度；2026H1为半年度最新经营数据</x:v>
      </x:c>
      <x:c r="K3" s="7" t="str">
        <x:v>2016—2025为完整年度；2026H1为半年度最新经营数据</x:v>
      </x:c>
      <x:c r="L3" s="7" t="str">
        <x:v>2016—2025为完整年度；2026H1为半年度最新经营数据</x:v>
      </x:c>
      <x:c r="M3" s="7" t="str">
        <x:v>2016—2025为完整年度；2026H1为半年度最新经营数据</x:v>
      </x:c>
      <x:c r="N3" s="7" t="str">
        <x:v>2016—2025为完整年度；2026H1为半年度最新经营数据</x:v>
      </x:c>
      <x:c r="O3" s="7" t="str">
        <x:v>2016—2025为完整年度；2026H1为半年度最新经营数据</x:v>
      </x:c>
      <x:c r="P3" s="7" t="str">
        <x:v>2016—2025为完整年度；2026H1为半年度最新经营数据</x:v>
      </x:c>
      <x:c r="Q3" s="7" t="str">
        <x:v>2016—2025为完整年度；2026H1为半年度最新经营数据</x:v>
      </x:c>
      <x:c r="R3" s="7" t="str">
        <x:v>2016—2025为完整年度；2026H1为半年度最新经营数据</x:v>
      </x:c>
      <x:c r="S3" s="7" t="str">
        <x:v>2016—2025为完整年度；2026H1为半年度最新经营数据</x:v>
      </x:c>
      <x:c r="T3" s="7" t="str">
        <x:v>2016—2025为完整年度；2026H1为半年度最新经营数据</x:v>
      </x:c>
      <x:c r="U3" s="7" t="str">
        <x:v>2016—2025为完整年度；2026H1为半年度最新经营数据</x:v>
      </x:c>
      <x:c r="V3" s="7" t="str">
        <x:v>2016—2025为完整年度；2026H1为半年度最新经营数据</x:v>
      </x:c>
      <x:c r="W3" s="7" t="str">
        <x:v>2016—2025为完整年度；2026H1为半年度最新经营数据</x:v>
      </x:c>
      <x:c r="X3" s="7" t="str">
        <x:v>2016—2025为完整年度；2026H1为半年度最新经营数据</x:v>
      </x:c>
      <x:c r="Y3" s="7" t="str">
        <x:v>2016—2025为完整年度；2026H1为半年度最新经营数据</x:v>
      </x:c>
      <x:c r="Z3" s="7" t="str">
        <x:v>2016—2025为完整年度；2026H1为半年度最新经营数据</x:v>
      </x:c>
      <x:c r="AA3" s="7" t="str">
        <x:v>2016—2025为完整年度；2026H1为半年度最新经营数据</x:v>
      </x:c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</x:row>
    <x:row r="5" ht="23" customHeight="1">
      <x:c r="A5" s="11" t="str">
        <x:v>期间</x:v>
      </x:c>
      <x:c r="B5" s="11" t="str">
        <x:v>营业收入(亿元)</x:v>
      </x:c>
      <x:c r="C5" s="11" t="str">
        <x:v>收入同比</x:v>
      </x:c>
      <x:c r="D5" s="11" t="str">
        <x:v>归母净利(亿元)</x:v>
      </x:c>
      <x:c r="E5" s="11" t="str">
        <x:v>利润同比</x:v>
      </x:c>
      <x:c r="F5" s="11" t="str">
        <x:v>EPS</x:v>
      </x:c>
      <x:c r="G5" s="11" t="str">
        <x:v>BVPS</x:v>
      </x:c>
      <x:c r="H5" s="11" t="str">
        <x:v>ROE(年化)</x:v>
      </x:c>
      <x:c r="I5" s="11" t="str">
        <x:v>NIM</x:v>
      </x:c>
      <x:c r="J5" s="11" t="str">
        <x:v>NPL</x:v>
      </x:c>
      <x:c r="K5" s="11" t="str">
        <x:v>拨备覆盖率</x:v>
      </x:c>
      <x:c r="L5" s="11" t="str">
        <x:v>CET1</x:v>
      </x:c>
      <x:c r="M5" s="11" t="str">
        <x:v>DPS</x:v>
      </x:c>
      <x:c r="N5" s="11" t="str">
        <x:v>分红率</x:v>
      </x:c>
      <x:c r="O5" s="11" t="str">
        <x:v>年末/当前价</x:v>
      </x:c>
      <x:c r="P5" s="11" t="str">
        <x:v>PB</x:v>
      </x:c>
      <x:c r="Q5" s="11" t="str">
        <x:v>PE</x:v>
      </x:c>
      <x:c r="R5" s="4"/>
      <x:c r="S5" s="4"/>
      <x:c r="T5" s="4"/>
      <x:c r="U5" s="4"/>
      <x:c r="V5" s="4"/>
      <x:c r="W5" s="4"/>
      <x:c r="X5" s="4"/>
      <x:c r="Y5" s="4"/>
      <x:c r="Z5" s="4"/>
      <x:c r="AA5" s="4"/>
    </x:row>
    <x:row r="6">
      <x:c r="A6" s="29" t="n">
        <x:v>2016</x:v>
      </x:c>
      <x:c r="B6" s="36" t="n">
        <x:v>236.45244</x:v>
      </x:c>
      <x:c r="C6" s="57"/>
      <x:c r="D6" s="36" t="n">
        <x:v>78.10417</x:v>
      </x:c>
      <x:c r="E6" s="57"/>
      <x:c r="F6" s="36" t="n">
        <x:v>1.5</x:v>
      </x:c>
      <x:c r="G6" s="36" t="n">
        <x:v>8.97</x:v>
      </x:c>
      <x:c r="H6" s="53" t="n">
        <x:v>0.1774</x:v>
      </x:c>
      <x:c r="I6" s="53" t="n">
        <x:v>0.0195</x:v>
      </x:c>
      <x:c r="J6" s="53" t="n">
        <x:v>0.0091</x:v>
      </x:c>
      <x:c r="K6" s="58" t="n">
        <x:v>3.5142</x:v>
      </x:c>
      <x:c r="L6" s="53" t="n">
        <x:v>0.0855</x:v>
      </x:c>
      <x:c r="M6" s="36" t="n">
        <x:v>0.35</x:v>
      </x:c>
      <x:c r="N6" s="53" t="n">
        <x:v>0.1799</x:v>
      </x:c>
      <x:c r="O6" s="36" t="n">
        <x:v>16.64</x:v>
      </x:c>
      <x:c r="P6" s="58" t="n">
        <x:f>O6/G6</x:f>
        <x:v>1.855072463768116</x:v>
      </x:c>
      <x:c r="Q6" s="58" t="n">
        <x:f>O6/F6</x:f>
        <x:v>11.093333333333334</x:v>
      </x:c>
      <x:c r="R6" s="4"/>
      <x:c r="S6" s="4"/>
      <x:c r="T6" s="4"/>
      <x:c r="U6" s="4"/>
      <x:c r="V6" s="4"/>
      <x:c r="W6" s="4"/>
      <x:c r="X6" s="4"/>
      <x:c r="Y6" s="4"/>
      <x:c r="Z6" s="4"/>
      <x:c r="AA6" s="4"/>
    </x:row>
    <x:row r="7">
      <x:c r="A7" s="29" t="n">
        <x:v>2017</x:v>
      </x:c>
      <x:c r="B7" s="36" t="n">
        <x:v>253.1432</x:v>
      </x:c>
      <x:c r="C7" s="57" t="n">
        <x:f>B7/B6-1</x:f>
        <x:v>0.07058823330391517</x:v>
      </x:c>
      <x:c r="D7" s="36" t="n">
        <x:v>93.33572</x:v>
      </x:c>
      <x:c r="E7" s="57" t="n">
        <x:f>D7/D6-1</x:f>
        <x:v>0.1950158359022316</x:v>
      </x:c>
      <x:c r="F7" s="36" t="n">
        <x:v>1.8</x:v>
      </x:c>
      <x:c r="G7" s="36" t="n">
        <x:v>10.31</x:v>
      </x:c>
      <x:c r="H7" s="53" t="n">
        <x:v>0.1902</x:v>
      </x:c>
      <x:c r="I7" s="53" t="n">
        <x:v>0.0194</x:v>
      </x:c>
      <x:c r="J7" s="53" t="n">
        <x:v>0.0082</x:v>
      </x:c>
      <x:c r="K7" s="58" t="n">
        <x:v>4.9326</x:v>
      </x:c>
      <x:c r="L7" s="53" t="n">
        <x:v>0.0861</x:v>
      </x:c>
      <x:c r="M7" s="36" t="n">
        <x:v>0.4</x:v>
      </x:c>
      <x:c r="N7" s="53" t="n">
        <x:v>0.2226</x:v>
      </x:c>
      <x:c r="O7" s="36" t="n">
        <x:v>17.81</x:v>
      </x:c>
      <x:c r="P7" s="58" t="n">
        <x:f>O7/G7</x:f>
        <x:v>1.7274490785645003</x:v>
      </x:c>
      <x:c r="Q7" s="58" t="n">
        <x:f>O7/F7</x:f>
        <x:v>9.894444444444444</x:v>
      </x:c>
      <x:c r="R7" s="4"/>
      <x:c r="S7" s="4"/>
      <x:c r="T7" s="4"/>
      <x:c r="U7" s="4"/>
      <x:c r="V7" s="4"/>
      <x:c r="W7" s="4"/>
      <x:c r="X7" s="4"/>
      <x:c r="Y7" s="4"/>
      <x:c r="Z7" s="4"/>
      <x:c r="AA7" s="4"/>
    </x:row>
    <x:row r="8">
      <x:c r="A8" s="29" t="n">
        <x:v>2018</x:v>
      </x:c>
      <x:c r="B8" s="36" t="n">
        <x:v>289.30304</x:v>
      </x:c>
      <x:c r="C8" s="57" t="n">
        <x:f>B8/B7-1</x:f>
        <x:v>0.1428434182707654</x:v>
      </x:c>
      <x:c r="D8" s="36" t="n">
        <x:v>111.86356</x:v>
      </x:c>
      <x:c r="E8" s="57" t="n">
        <x:f>D8/D7-1</x:f>
        <x:v>0.19850749530833434</x:v>
      </x:c>
      <x:c r="F8" s="36" t="n">
        <x:v>2.15</x:v>
      </x:c>
      <x:c r="G8" s="36" t="n">
        <x:v>12.68</x:v>
      </x:c>
      <x:c r="H8" s="53" t="n">
        <x:v>0.1872</x:v>
      </x:c>
      <x:c r="I8" s="53" t="n">
        <x:v>0.0223</x:v>
      </x:c>
      <x:c r="J8" s="53" t="n">
        <x:v>0.0078</x:v>
      </x:c>
      <x:c r="K8" s="58" t="n">
        <x:v>5.2183</x:v>
      </x:c>
      <x:c r="L8" s="53" t="n">
        <x:v>0.0916</x:v>
      </x:c>
      <x:c r="M8" s="36" t="n">
        <x:v>0.4</x:v>
      </x:c>
      <x:c r="N8" s="53" t="n">
        <x:v>0.197</x:v>
      </x:c>
      <x:c r="O8" s="36" t="n">
        <x:v>16.22</x:v>
      </x:c>
      <x:c r="P8" s="58" t="n">
        <x:f>O8/G8</x:f>
        <x:v>1.279179810725552</x:v>
      </x:c>
      <x:c r="Q8" s="58" t="n">
        <x:f>O8/F8</x:f>
        <x:v>7.544186046511627</x:v>
      </x:c>
      <x:c r="R8" s="4"/>
      <x:c r="S8" s="4"/>
      <x:c r="T8" s="4"/>
      <x:c r="U8" s="4"/>
      <x:c r="V8" s="4"/>
      <x:c r="W8" s="4"/>
      <x:c r="X8" s="4"/>
      <x:c r="Y8" s="4"/>
      <x:c r="Z8" s="4"/>
      <x:c r="AA8" s="4"/>
    </x:row>
    <x:row r="9">
      <x:c r="A9" s="29" t="n">
        <x:v>2019</x:v>
      </x:c>
      <x:c r="B9" s="36" t="n">
        <x:v>350.82</x:v>
      </x:c>
      <x:c r="C9" s="57" t="n">
        <x:f>B9/B8-1</x:f>
        <x:v>0.2126384845454785</x:v>
      </x:c>
      <x:c r="D9" s="36" t="n">
        <x:v>137.15</x:v>
      </x:c>
      <x:c r="E9" s="57" t="n">
        <x:f>D9/D8-1</x:f>
        <x:v>0.22604715959334754</x:v>
      </x:c>
      <x:c r="F9" s="36" t="n">
        <x:v>2.41</x:v>
      </x:c>
      <x:c r="G9" s="36" t="n">
        <x:v>15.19</x:v>
      </x:c>
      <x:c r="H9" s="53" t="n">
        <x:v>0.171</x:v>
      </x:c>
      <x:c r="I9" s="53" t="n">
        <x:v>0.0227</x:v>
      </x:c>
      <x:c r="J9" s="53" t="n">
        <x:v>0.0078</x:v>
      </x:c>
      <x:c r="K9" s="58" t="n">
        <x:v>5.2408</x:v>
      </x:c>
      <x:c r="L9" s="53" t="n">
        <x:v>0.0962</x:v>
      </x:c>
      <x:c r="M9" s="36" t="n">
        <x:v>0.5</x:v>
      </x:c>
      <x:c r="N9" s="53" t="n">
        <x:v>0.2318</x:v>
      </x:c>
      <x:c r="O9" s="36" t="n">
        <x:v>28.15</x:v>
      </x:c>
      <x:c r="P9" s="58" t="n">
        <x:f>O9/G9</x:f>
        <x:v>1.8531928900592494</x:v>
      </x:c>
      <x:c r="Q9" s="58" t="n">
        <x:f>O9/F9</x:f>
        <x:v>11.680497925311203</x:v>
      </x:c>
      <x:c r="R9" s="4"/>
      <x:c r="S9" s="4"/>
      <x:c r="T9" s="4"/>
      <x:c r="U9" s="4"/>
      <x:c r="V9" s="4"/>
      <x:c r="W9" s="4"/>
      <x:c r="X9" s="4"/>
      <x:c r="Y9" s="4"/>
      <x:c r="Z9" s="4"/>
      <x:c r="AA9" s="4"/>
    </x:row>
    <x:row r="10">
      <x:c r="A10" s="29" t="n">
        <x:v>2020</x:v>
      </x:c>
      <x:c r="B10" s="36" t="n">
        <x:v>411.11</x:v>
      </x:c>
      <x:c r="C10" s="57" t="n">
        <x:f>B10/B9-1</x:f>
        <x:v>0.17185451228550264</x:v>
      </x:c>
      <x:c r="D10" s="36" t="n">
        <x:v>150.5</x:v>
      </x:c>
      <x:c r="E10" s="57" t="n">
        <x:f>D10/D9-1</x:f>
        <x:v>0.09733868027706882</x:v>
      </x:c>
      <x:c r="F10" s="36" t="n">
        <x:v>2.43</x:v>
      </x:c>
      <x:c r="G10" s="36" t="n">
        <x:v>17.26</x:v>
      </x:c>
      <x:c r="H10" s="53" t="n">
        <x:v>0.149</x:v>
      </x:c>
      <x:c r="I10" s="53" t="n">
        <x:v>0.023</x:v>
      </x:c>
      <x:c r="J10" s="53" t="n">
        <x:v>0.0079</x:v>
      </x:c>
      <x:c r="K10" s="58" t="n">
        <x:v>5.0559</x:v>
      </x:c>
      <x:c r="L10" s="53" t="n">
        <x:v>0.0952</x:v>
      </x:c>
      <x:c r="M10" s="36" t="n">
        <x:v>0.5</x:v>
      </x:c>
      <x:c r="N10" s="53" t="n">
        <x:v>0.2101</x:v>
      </x:c>
      <x:c r="O10" s="36" t="n">
        <x:v>35.34</x:v>
      </x:c>
      <x:c r="P10" s="58" t="n">
        <x:f>O10/G10</x:f>
        <x:v>2.0475086906141367</x:v>
      </x:c>
      <x:c r="Q10" s="58" t="n">
        <x:f>O10/F10</x:f>
        <x:v>14.54320987654321</x:v>
      </x:c>
      <x:c r="R10" s="4"/>
      <x:c r="S10" s="4"/>
      <x:c r="T10" s="4"/>
      <x:c r="U10" s="4"/>
      <x:c r="V10" s="4"/>
      <x:c r="W10" s="4"/>
      <x:c r="X10" s="4"/>
      <x:c r="Y10" s="4"/>
      <x:c r="Z10" s="4"/>
      <x:c r="AA10" s="4"/>
    </x:row>
    <x:row r="11">
      <x:c r="A11" s="29" t="n">
        <x:v>2021</x:v>
      </x:c>
      <x:c r="B11" s="36" t="n">
        <x:v>527.74</x:v>
      </x:c>
      <x:c r="C11" s="57" t="n">
        <x:f>B11/B10-1</x:f>
        <x:v>0.28369536133881446</x:v>
      </x:c>
      <x:c r="D11" s="36" t="n">
        <x:v>195.46</x:v>
      </x:c>
      <x:c r="E11" s="57" t="n">
        <x:f>D11/D10-1</x:f>
        <x:v>0.29873754152823917</x:v>
      </x:c>
      <x:c r="F11" s="36" t="n">
        <x:v>3.13</x:v>
      </x:c>
      <x:c r="G11" s="36" t="n">
        <x:v>20.37</x:v>
      </x:c>
      <x:c r="H11" s="53" t="n">
        <x:v>0.1664</x:v>
      </x:c>
      <x:c r="I11" s="53" t="n">
        <x:v>0.0221</x:v>
      </x:c>
      <x:c r="J11" s="53" t="n">
        <x:v>0.0077</x:v>
      </x:c>
      <x:c r="K11" s="58" t="n">
        <x:v>5.2552</x:v>
      </x:c>
      <x:c r="L11" s="53" t="n">
        <x:v>0.1016</x:v>
      </x:c>
      <x:c r="M11" s="36" t="n">
        <x:v>0.5</x:v>
      </x:c>
      <x:c r="N11" s="53" t="n">
        <x:v>0.1757</x:v>
      </x:c>
      <x:c r="O11" s="36" t="n">
        <x:v>38.28</x:v>
      </x:c>
      <x:c r="P11" s="58" t="n">
        <x:f>O11/G11</x:f>
        <x:v>1.8792341678939617</x:v>
      </x:c>
      <x:c r="Q11" s="58" t="n">
        <x:f>O11/F11</x:f>
        <x:v>12.23003194888179</x:v>
      </x:c>
      <x:c r="R11" s="4"/>
      <x:c r="S11" s="4"/>
      <x:c r="T11" s="4"/>
      <x:c r="U11" s="4"/>
      <x:c r="V11" s="4"/>
      <x:c r="W11" s="4"/>
      <x:c r="X11" s="4"/>
      <x:c r="Y11" s="4"/>
      <x:c r="Z11" s="4"/>
      <x:c r="AA11" s="4"/>
    </x:row>
    <x:row r="12">
      <x:c r="A12" s="29" t="n">
        <x:v>2022</x:v>
      </x:c>
      <x:c r="B12" s="36" t="n">
        <x:v>578.79</x:v>
      </x:c>
      <x:c r="C12" s="57" t="n">
        <x:f>B12/B11-1</x:f>
        <x:v>0.0967332398529579</x:v>
      </x:c>
      <x:c r="D12" s="36" t="n">
        <x:v>230.75</x:v>
      </x:c>
      <x:c r="E12" s="57" t="n">
        <x:f>D12/D11-1</x:f>
        <x:v>0.18054844981070284</x:v>
      </x:c>
      <x:c r="F12" s="36" t="n">
        <x:v>3.38</x:v>
      </x:c>
      <x:c r="G12" s="36" t="n">
        <x:v>23.14</x:v>
      </x:c>
      <x:c r="H12" s="53" t="n">
        <x:v>0.1556</x:v>
      </x:c>
      <x:c r="I12" s="53" t="n">
        <x:v>0.0202</x:v>
      </x:c>
      <x:c r="J12" s="53" t="n">
        <x:v>0.0075</x:v>
      </x:c>
      <x:c r="K12" s="58" t="n">
        <x:v>5.049</x:v>
      </x:c>
      <x:c r="L12" s="53" t="n">
        <x:v>0.0975</x:v>
      </x:c>
      <x:c r="M12" s="36" t="n">
        <x:v>0.5</x:v>
      </x:c>
      <x:c r="N12" s="53" t="n">
        <x:v>0.148</x:v>
      </x:c>
      <x:c r="O12" s="36" t="n">
        <x:v>32.45</x:v>
      </x:c>
      <x:c r="P12" s="58" t="n">
        <x:f>O12/G12</x:f>
        <x:v>1.402333621434745</x:v>
      </x:c>
      <x:c r="Q12" s="58" t="n">
        <x:f>O12/F12</x:f>
        <x:v>9.600591715976332</x:v>
      </x:c>
      <x:c r="R12" s="4"/>
      <x:c r="S12" s="4"/>
      <x:c r="T12" s="4"/>
      <x:c r="U12" s="4"/>
      <x:c r="V12" s="4"/>
      <x:c r="W12" s="4"/>
      <x:c r="X12" s="4"/>
      <x:c r="Y12" s="4"/>
      <x:c r="Z12" s="4"/>
      <x:c r="AA12" s="4"/>
    </x:row>
    <x:row r="13">
      <x:c r="A13" s="29" t="n">
        <x:v>2023</x:v>
      </x:c>
      <x:c r="B13" s="36" t="n">
        <x:v>615.85</x:v>
      </x:c>
      <x:c r="C13" s="57" t="n">
        <x:f>B13/B12-1</x:f>
        <x:v>0.064030131826742</x:v>
      </x:c>
      <x:c r="D13" s="36" t="n">
        <x:v>255.35</x:v>
      </x:c>
      <x:c r="E13" s="57" t="n">
        <x:f>D13/D12-1</x:f>
        <x:v>0.10660888407367275</x:v>
      </x:c>
      <x:c r="F13" s="36" t="n">
        <x:v>3.75</x:v>
      </x:c>
      <x:c r="G13" s="36" t="n">
        <x:v>26.71</x:v>
      </x:c>
      <x:c r="H13" s="53" t="n">
        <x:v>0.1508</x:v>
      </x:c>
      <x:c r="I13" s="53" t="n">
        <x:v>0.0188</x:v>
      </x:c>
      <x:c r="J13" s="53" t="n">
        <x:v>0.0076</x:v>
      </x:c>
      <x:c r="K13" s="58" t="n">
        <x:v>4.6104</x:v>
      </x:c>
      <x:c r="L13" s="53" t="n">
        <x:v>0.0964</x:v>
      </x:c>
      <x:c r="M13" s="36" t="n">
        <x:v>0.6</x:v>
      </x:c>
      <x:c r="N13" s="53" t="n">
        <x:v>0.1599</x:v>
      </x:c>
      <x:c r="O13" s="36" t="n">
        <x:v>20.11</x:v>
      </x:c>
      <x:c r="P13" s="58" t="n">
        <x:f>O13/G13</x:f>
        <x:v>0.7529015350056159</x:v>
      </x:c>
      <x:c r="Q13" s="58" t="n">
        <x:f>O13/F13</x:f>
        <x:v>5.362666666666667</x:v>
      </x:c>
      <x:c r="R13" s="4"/>
      <x:c r="S13" s="4"/>
      <x:c r="T13" s="4"/>
      <x:c r="U13" s="4"/>
      <x:c r="V13" s="4"/>
      <x:c r="W13" s="4"/>
      <x:c r="X13" s="4"/>
      <x:c r="Y13" s="4"/>
      <x:c r="Z13" s="4"/>
      <x:c r="AA13" s="4"/>
    </x:row>
    <x:row r="14">
      <x:c r="A14" s="29" t="n">
        <x:v>2024</x:v>
      </x:c>
      <x:c r="B14" s="36" t="n">
        <x:v>666.31</x:v>
      </x:c>
      <x:c r="C14" s="57" t="n">
        <x:f>B14/B13-1</x:f>
        <x:v>0.08193553625071037</x:v>
      </x:c>
      <x:c r="D14" s="36" t="n">
        <x:v>271.27</x:v>
      </x:c>
      <x:c r="E14" s="57" t="n">
        <x:f>D14/D13-1</x:f>
        <x:v>0.0623457998825141</x:v>
      </x:c>
      <x:c r="F14" s="36" t="n">
        <x:v>3.95</x:v>
      </x:c>
      <x:c r="G14" s="36" t="n">
        <x:v>31.55</x:v>
      </x:c>
      <x:c r="H14" s="53" t="n">
        <x:v>0.1359</x:v>
      </x:c>
      <x:c r="I14" s="53" t="n">
        <x:v>0.0186</x:v>
      </x:c>
      <x:c r="J14" s="53" t="n">
        <x:v>0.0076</x:v>
      </x:c>
      <x:c r="K14" s="58" t="n">
        <x:v>3.8935</x:v>
      </x:c>
      <x:c r="L14" s="53" t="n">
        <x:v>0.0984</x:v>
      </x:c>
      <x:c r="M14" s="36" t="n">
        <x:v>0.9</x:v>
      </x:c>
      <x:c r="N14" s="53" t="n">
        <x:v>0.2277</x:v>
      </x:c>
      <x:c r="O14" s="36" t="n">
        <x:v>24.31</x:v>
      </x:c>
      <x:c r="P14" s="58" t="n">
        <x:f>O14/G14</x:f>
        <x:v>0.7705229793977812</x:v>
      </x:c>
      <x:c r="Q14" s="58" t="n">
        <x:f>O14/F14</x:f>
        <x:v>6.1544303797468345</x:v>
      </x:c>
      <x:c r="R14" s="4"/>
      <x:c r="S14" s="4"/>
      <x:c r="T14" s="4"/>
      <x:c r="U14" s="4"/>
      <x:c r="V14" s="4"/>
      <x:c r="W14" s="4"/>
      <x:c r="X14" s="4"/>
      <x:c r="Y14" s="4"/>
      <x:c r="Z14" s="4"/>
      <x:c r="AA14" s="4"/>
    </x:row>
    <x:row r="15">
      <x:c r="A15" s="29" t="n">
        <x:v>2025</x:v>
      </x:c>
      <x:c r="B15" s="36" t="n">
        <x:v>719.69</x:v>
      </x:c>
      <x:c r="C15" s="57" t="n">
        <x:f>B15/B14-1</x:f>
        <x:v>0.08011286038030363</x:v>
      </x:c>
      <x:c r="D15" s="36" t="n">
        <x:v>293.33</x:v>
      </x:c>
      <x:c r="E15" s="57" t="n">
        <x:f>D15/D14-1</x:f>
        <x:v>0.08132119290743534</x:v>
      </x:c>
      <x:c r="F15" s="36" t="n">
        <x:v>4.29</x:v>
      </x:c>
      <x:c r="G15" s="36" t="n">
        <x:v>33.69</x:v>
      </x:c>
      <x:c r="H15" s="53" t="n">
        <x:v>0.1311</x:v>
      </x:c>
      <x:c r="I15" s="53" t="n">
        <x:v>0.0174</x:v>
      </x:c>
      <x:c r="J15" s="53" t="n">
        <x:v>0.0076</x:v>
      </x:c>
      <x:c r="K15" s="58" t="n">
        <x:v>3.7316</x:v>
      </x:c>
      <x:c r="L15" s="53" t="n">
        <x:v>0.0934</x:v>
      </x:c>
      <x:c r="M15" s="36" t="n">
        <x:v>1.2</x:v>
      </x:c>
      <x:c r="N15" s="53" t="n">
        <x:v>0.2799</x:v>
      </x:c>
      <x:c r="O15" s="36" t="n">
        <x:v>28.09</x:v>
      </x:c>
      <x:c r="P15" s="58" t="n">
        <x:f>O15/G15</x:f>
        <x:v>0.8337785693084002</x:v>
      </x:c>
      <x:c r="Q15" s="58" t="n">
        <x:f>O15/F15</x:f>
        <x:v>6.547785547785548</x:v>
      </x:c>
      <x:c r="R15" s="4"/>
      <x:c r="S15" s="4"/>
      <x:c r="T15" s="4"/>
      <x:c r="U15" s="4"/>
      <x:c r="V15" s="4"/>
      <x:c r="W15" s="4"/>
      <x:c r="X15" s="4"/>
      <x:c r="Y15" s="4"/>
      <x:c r="Z15" s="4"/>
      <x:c r="AA15" s="4"/>
    </x:row>
    <x:row r="16">
      <x:c r="A16" s="21" t="str">
        <x:v>2026H1</x:v>
      </x:c>
      <x:c r="B16" s="59" t="n">
        <x:v>414.5</x:v>
      </x:c>
      <x:c r="C16" s="60" t="n">
        <x:v>0.1154</x:v>
      </x:c>
      <x:c r="D16" s="59" t="n">
        <x:v>165.62</x:v>
      </x:c>
      <x:c r="E16" s="60" t="n">
        <x:v>0.1212</x:v>
      </x:c>
      <x:c r="F16" s="59" t="n">
        <x:v>2.51</x:v>
      </x:c>
      <x:c r="G16" s="59" t="n">
        <x:v>36.76</x:v>
      </x:c>
      <x:c r="H16" s="61" t="n">
        <x:v>0.1424</x:v>
      </x:c>
      <x:c r="I16" s="61" t="n">
        <x:v>0.017</x:v>
      </x:c>
      <x:c r="J16" s="61" t="n">
        <x:v>0.0076</x:v>
      </x:c>
      <x:c r="K16" s="62" t="n">
        <x:v>3.7335</x:v>
      </x:c>
      <x:c r="L16" s="61" t="n">
        <x:v>0.0953</x:v>
      </x:c>
      <x:c r="M16" s="59" t="n">
        <x:v>0.4</x:v>
      </x:c>
      <x:c r="N16" s="61"/>
      <x:c r="O16" s="59" t="n">
        <x:v>35.5</x:v>
      </x:c>
      <x:c r="P16" s="62" t="n">
        <x:f>O16/G16</x:f>
        <x:v>0.9657236126224157</x:v>
      </x:c>
      <x:c r="Q16" s="62" t="n">
        <x:f>O16/'估值系统'!B12</x:f>
        <x:v>7.785087719298247</x:v>
      </x:c>
      <x:c r="R16" s="4"/>
      <x:c r="S16" s="4"/>
      <x:c r="T16" s="4"/>
      <x:c r="U16" s="4"/>
      <x:c r="V16" s="4"/>
      <x:c r="W16" s="4"/>
      <x:c r="X16" s="4"/>
      <x:c r="Y16" s="4"/>
      <x:c r="Z16" s="4"/>
      <x:c r="AA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</x:row>
    <x:row r="19" ht="23" customHeight="1">
      <x:c r="A19" s="9" t="str">
        <x:v>十年估值统计</x:v>
      </x:c>
      <x:c r="B19" s="9" t="str">
        <x:v>十年估值统计</x:v>
      </x:c>
      <x:c r="C19" s="9" t="str">
        <x:v>十年估值统计</x:v>
      </x:c>
      <x:c r="D19" s="9" t="str">
        <x:v>十年估值统计</x:v>
      </x:c>
      <x:c r="E19" s="9" t="str">
        <x:v>十年估值统计</x:v>
      </x:c>
      <x:c r="F19" s="9" t="str">
        <x:v>十年估值统计</x:v>
      </x:c>
      <x:c r="G19" s="9" t="str">
        <x:v>十年估值统计</x:v>
      </x:c>
      <x:c r="H19" s="9" t="str">
        <x:v>十年估值统计</x:v>
      </x:c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</x:row>
    <x:row r="20" ht="23" customHeight="1">
      <x:c r="A20" s="11" t="str">
        <x:v>指标</x:v>
      </x:c>
      <x:c r="B20" s="11" t="str">
        <x:v>低位</x:v>
      </x:c>
      <x:c r="C20" s="11" t="str">
        <x:v>中位</x:v>
      </x:c>
      <x:c r="D20" s="11" t="str">
        <x:v>高位</x:v>
      </x:c>
      <x:c r="E20" s="4"/>
      <x:c r="F20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G20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H20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I20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J20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K20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L20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M20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N20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O20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P20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Q20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R20" s="4"/>
      <x:c r="S20" s="4"/>
      <x:c r="T20" s="4"/>
      <x:c r="U20" s="4"/>
      <x:c r="V20" s="4"/>
      <x:c r="W20" s="4"/>
      <x:c r="X20" s="4"/>
      <x:c r="Y20" s="4"/>
      <x:c r="Z20" s="4"/>
      <x:c r="AA20" s="4"/>
    </x:row>
    <x:row r="21">
      <x:c r="A21" s="19" t="str">
        <x:v>PB</x:v>
      </x:c>
      <x:c r="B21" s="37" t="n">
        <x:f>MIN(P6:P15)</x:f>
        <x:v>0.7529015350056159</x:v>
      </x:c>
      <x:c r="C21" s="37" t="n">
        <x:f>MEDIAN(P6:P15)</x:f>
        <x:v>1.5648913499996226</x:v>
      </x:c>
      <x:c r="D21" s="37" t="n">
        <x:f>MAX(P6:P15)</x:f>
        <x:v>2.0475086906141367</x:v>
      </x:c>
      <x:c r="E21" s="4"/>
      <x:c r="F21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G21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H21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I21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J21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K21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L21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M21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N21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O21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P21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Q21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R21" s="4"/>
      <x:c r="S21" s="4"/>
      <x:c r="T21" s="4"/>
      <x:c r="U21" s="4"/>
      <x:c r="V21" s="4"/>
      <x:c r="W21" s="4"/>
      <x:c r="X21" s="4"/>
      <x:c r="Y21" s="4"/>
      <x:c r="Z21" s="4"/>
      <x:c r="AA21" s="4"/>
    </x:row>
    <x:row r="22">
      <x:c r="A22" s="19" t="str">
        <x:v>PE</x:v>
      </x:c>
      <x:c r="B22" s="37" t="n">
        <x:f>MIN(Q6:Q15)</x:f>
        <x:v>5.362666666666667</x:v>
      </x:c>
      <x:c r="C22" s="37" t="n">
        <x:f>MEDIAN(Q6:Q15)</x:f>
        <x:v>9.747518080210387</x:v>
      </x:c>
      <x:c r="D22" s="37" t="n">
        <x:f>MAX(Q6:Q15)</x:f>
        <x:v>14.54320987654321</x:v>
      </x:c>
      <x:c r="E22" s="4"/>
      <x:c r="F22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G22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H22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I22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J22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K22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L22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M22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N22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O22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P22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Q22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R22" s="4"/>
      <x:c r="S22" s="4"/>
      <x:c r="T22" s="4"/>
      <x:c r="U22" s="4"/>
      <x:c r="V22" s="4"/>
      <x:c r="W22" s="4"/>
      <x:c r="X22" s="4"/>
      <x:c r="Y22" s="4"/>
      <x:c r="Z22" s="4"/>
      <x:c r="AA22" s="4"/>
    </x:row>
    <x:row r="23">
      <x:c r="A23" s="19" t="str">
        <x:v>ROE</x:v>
      </x:c>
      <x:c r="B23" s="54" t="n">
        <x:f>MIN(H6:H15)</x:f>
        <x:v>0.1311</x:v>
      </x:c>
      <x:c r="C23" s="54" t="n">
        <x:f>MEDIAN(H6:H15)</x:f>
        <x:v>0.16099999999999998</x:v>
      </x:c>
      <x:c r="D23" s="54" t="n">
        <x:f>MAX(H6:H15)</x:f>
        <x:v>0.1902</x:v>
      </x:c>
      <x:c r="E23" s="4"/>
      <x:c r="F23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G23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H23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I23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J23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K23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L23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M23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N23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O23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P23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Q23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R23" s="4"/>
      <x:c r="S23" s="4"/>
      <x:c r="T23" s="4"/>
      <x:c r="U23" s="4"/>
      <x:c r="V23" s="4"/>
      <x:c r="W23" s="4"/>
      <x:c r="X23" s="4"/>
      <x:c r="Y23" s="4"/>
      <x:c r="Z23" s="4"/>
      <x:c r="AA23" s="4"/>
    </x:row>
    <x:row r="24">
      <x:c r="A24" s="19" t="str">
        <x:v>NIM</x:v>
      </x:c>
      <x:c r="B24" s="54" t="n">
        <x:f>MIN(I6:I15)</x:f>
        <x:v>0.0174</x:v>
      </x:c>
      <x:c r="C24" s="54" t="n">
        <x:f>MEDIAN(I6:I15)</x:f>
        <x:v>0.01985</x:v>
      </x:c>
      <x:c r="D24" s="54" t="n">
        <x:f>MAX(I6:I15)</x:f>
        <x:v>0.023</x:v>
      </x:c>
      <x:c r="E24" s="4"/>
      <x:c r="F24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G24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H24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I24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J24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K24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L24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M24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N24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O24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P24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Q24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R24" s="4"/>
      <x:c r="S24" s="4"/>
      <x:c r="T24" s="4"/>
      <x:c r="U24" s="4"/>
      <x:c r="V24" s="4"/>
      <x:c r="W24" s="4"/>
      <x:c r="X24" s="4"/>
      <x:c r="Y24" s="4"/>
      <x:c r="Z24" s="4"/>
      <x:c r="AA24" s="4"/>
    </x:row>
    <x:row r="25">
      <x:c r="A25" s="19" t="str">
        <x:v>分红率</x:v>
      </x:c>
      <x:c r="B25" s="54" t="n">
        <x:f>MIN(N6:N15)</x:f>
        <x:v>0.148</x:v>
      </x:c>
      <x:c r="C25" s="54" t="n">
        <x:f>MEDIAN(N6:N15)</x:f>
        <x:v>0.20355</x:v>
      </x:c>
      <x:c r="D25" s="54" t="n">
        <x:f>MAX(N6:N15)</x:f>
        <x:v>0.2799</x:v>
      </x:c>
      <x:c r="E25" s="4"/>
      <x:c r="F25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G25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H25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I25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J25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K25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L25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M25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N25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O25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P25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Q25" s="17" t="str">
        <x:v>历史解读：2016—2022年ROE与估值中枢总体较高；2023年以来行业息差下行带动PB/PE显著压缩。2026H1 ROE回升至14.24%，但NIM仍处低位。历史中位估值反映宁波银行长期质量溢价，同业法则反映当前区域银行定价环境，两者应共同使用。</x:v>
      </x:c>
      <x:c r="R25" s="4"/>
      <x:c r="S25" s="4"/>
      <x:c r="T25" s="4"/>
      <x:c r="U25" s="4"/>
      <x:c r="V25" s="4"/>
      <x:c r="W25" s="4"/>
      <x:c r="X25" s="4"/>
      <x:c r="Y25" s="4"/>
      <x:c r="Z25" s="4"/>
      <x:c r="AA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</x:row>
  </x:sheetData>
  <x:mergeCells>
    <x:mergeCell ref="A1:AA2"/>
    <x:mergeCell ref="A3:AA3"/>
    <x:mergeCell ref="A19:H19"/>
    <x:mergeCell ref="F20:Q25"/>
  </x:mergeCells>
  <x:pageMargins left="0.7" right="0.7" top="0.75" bottom="0.75" header="0.3" footer="0.3"/>
  <x:drawing xmlns:r="http://schemas.openxmlformats.org/officeDocument/2006/relationships" r:id="R5d812328c1a14c27"/>
</x:worksheet>
</file>

<file path=xl/worksheets/sheet7.xml><?xml version="1.0" encoding="utf-8"?>
<x:worksheet xmlns:x="http://schemas.openxmlformats.org/spreadsheetml/2006/main">
  <x:sheetPr>
    <x:tabColor rgb="FFED7D31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3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24" hidden="0" customWidth="1"/>
    <x:col min="8" max="8" width="3" hidden="0" customWidth="1"/>
    <x:col min="9" max="9" width="18" hidden="0" customWidth="1"/>
    <x:col min="10" max="10" width="13" hidden="0" customWidth="1"/>
    <x:col min="11" max="11" width="13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34" customHeight="1">
      <x:c r="A1" s="6" t="str">
        <x:v>宁波银行资产质量、资本与重点风险</x:v>
      </x:c>
      <x:c r="B1" s="6" t="str">
        <x:v>宁波银行资产质量、资本与重点风险</x:v>
      </x:c>
      <x:c r="C1" s="6" t="str">
        <x:v>宁波银行资产质量、资本与重点风险</x:v>
      </x:c>
      <x:c r="D1" s="6" t="str">
        <x:v>宁波银行资产质量、资本与重点风险</x:v>
      </x:c>
      <x:c r="E1" s="6" t="str">
        <x:v>宁波银行资产质量、资本与重点风险</x:v>
      </x:c>
      <x:c r="F1" s="6" t="str">
        <x:v>宁波银行资产质量、资本与重点风险</x:v>
      </x:c>
      <x:c r="G1" s="6" t="str">
        <x:v>宁波银行资产质量、资本与重点风险</x:v>
      </x:c>
      <x:c r="H1" s="6" t="str">
        <x:v>宁波银行资产质量、资本与重点风险</x:v>
      </x:c>
      <x:c r="I1" s="6" t="str">
        <x:v>宁波银行资产质量、资本与重点风险</x:v>
      </x:c>
      <x:c r="J1" s="6" t="str">
        <x:v>宁波银行资产质量、资本与重点风险</x:v>
      </x:c>
      <x:c r="K1" s="6" t="str">
        <x:v>宁波银行资产质量、资本与重点风险</x:v>
      </x:c>
      <x:c r="L1" s="6" t="str">
        <x:v>宁波银行资产质量、资本与重点风险</x:v>
      </x:c>
      <x:c r="M1" s="6" t="str">
        <x:v>宁波银行资产质量、资本与重点风险</x:v>
      </x:c>
      <x:c r="N1" s="6" t="str">
        <x:v>宁波银行资产质量、资本与重点风险</x:v>
      </x:c>
    </x:row>
    <x:row r="2" ht="34" customHeight="1">
      <x:c r="A2" s="6" t="str">
        <x:v>宁波银行资产质量、资本与重点风险</x:v>
      </x:c>
      <x:c r="B2" s="6" t="str">
        <x:v>宁波银行资产质量、资本与重点风险</x:v>
      </x:c>
      <x:c r="C2" s="6" t="str">
        <x:v>宁波银行资产质量、资本与重点风险</x:v>
      </x:c>
      <x:c r="D2" s="6" t="str">
        <x:v>宁波银行资产质量、资本与重点风险</x:v>
      </x:c>
      <x:c r="E2" s="6" t="str">
        <x:v>宁波银行资产质量、资本与重点风险</x:v>
      </x:c>
      <x:c r="F2" s="6" t="str">
        <x:v>宁波银行资产质量、资本与重点风险</x:v>
      </x:c>
      <x:c r="G2" s="6" t="str">
        <x:v>宁波银行资产质量、资本与重点风险</x:v>
      </x:c>
      <x:c r="H2" s="6" t="str">
        <x:v>宁波银行资产质量、资本与重点风险</x:v>
      </x:c>
      <x:c r="I2" s="6" t="str">
        <x:v>宁波银行资产质量、资本与重点风险</x:v>
      </x:c>
      <x:c r="J2" s="6" t="str">
        <x:v>宁波银行资产质量、资本与重点风险</x:v>
      </x:c>
      <x:c r="K2" s="6" t="str">
        <x:v>宁波银行资产质量、资本与重点风险</x:v>
      </x:c>
      <x:c r="L2" s="6" t="str">
        <x:v>宁波银行资产质量、资本与重点风险</x:v>
      </x:c>
      <x:c r="M2" s="6" t="str">
        <x:v>宁波银行资产质量、资本与重点风险</x:v>
      </x:c>
      <x:c r="N2" s="6" t="str">
        <x:v>宁波银行资产质量、资本与重点风险</x:v>
      </x:c>
    </x:row>
    <x:row r="3" ht="24" customHeight="1">
      <x:c r="A3" s="7" t="str">
        <x:v>单位：人民币亿元，比例另行标注</x:v>
      </x:c>
      <x:c r="B3" s="7" t="str">
        <x:v>单位：人民币亿元，比例另行标注</x:v>
      </x:c>
      <x:c r="C3" s="7" t="str">
        <x:v>单位：人民币亿元，比例另行标注</x:v>
      </x:c>
      <x:c r="D3" s="7" t="str">
        <x:v>单位：人民币亿元，比例另行标注</x:v>
      </x:c>
      <x:c r="E3" s="7" t="str">
        <x:v>单位：人民币亿元，比例另行标注</x:v>
      </x:c>
      <x:c r="F3" s="7" t="str">
        <x:v>单位：人民币亿元，比例另行标注</x:v>
      </x:c>
      <x:c r="G3" s="7" t="str">
        <x:v>单位：人民币亿元，比例另行标注</x:v>
      </x:c>
      <x:c r="H3" s="7" t="str">
        <x:v>单位：人民币亿元，比例另行标注</x:v>
      </x:c>
      <x:c r="I3" s="7" t="str">
        <x:v>单位：人民币亿元，比例另行标注</x:v>
      </x:c>
      <x:c r="J3" s="7" t="str">
        <x:v>单位：人民币亿元，比例另行标注</x:v>
      </x:c>
      <x:c r="K3" s="7" t="str">
        <x:v>单位：人民币亿元，比例另行标注</x:v>
      </x:c>
      <x:c r="L3" s="7" t="str">
        <x:v>单位：人民币亿元，比例另行标注</x:v>
      </x:c>
      <x:c r="M3" s="7" t="str">
        <x:v>单位：人民币亿元，比例另行标注</x:v>
      </x:c>
      <x:c r="N3" s="7" t="str">
        <x:v>单位：人民币亿元，比例另行标注</x:v>
      </x:c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</x:row>
    <x:row r="5" ht="23" customHeight="1">
      <x:c r="A5" s="9" t="str">
        <x:v>核心指标</x:v>
      </x:c>
      <x:c r="B5" s="9" t="str">
        <x:v>核心指标</x:v>
      </x:c>
      <x:c r="C5" s="9" t="str">
        <x:v>核心指标</x:v>
      </x:c>
      <x:c r="D5" s="9" t="str">
        <x:v>核心指标</x:v>
      </x:c>
      <x:c r="E5" s="9" t="str">
        <x:v>核心指标</x:v>
      </x:c>
      <x:c r="F5" s="9" t="str">
        <x:v>核心指标</x:v>
      </x:c>
      <x:c r="G5" s="9" t="str">
        <x:v>核心指标</x:v>
      </x:c>
      <x:c r="H5" s="4"/>
      <x:c r="I5" s="9" t="str">
        <x:v>资本与流动性</x:v>
      </x:c>
      <x:c r="J5" s="9" t="str">
        <x:v>资本与流动性</x:v>
      </x:c>
      <x:c r="K5" s="9" t="str">
        <x:v>资本与流动性</x:v>
      </x:c>
      <x:c r="L5" s="9" t="str">
        <x:v>资本与流动性</x:v>
      </x:c>
      <x:c r="M5" s="9" t="str">
        <x:v>资本与流动性</x:v>
      </x:c>
      <x:c r="N5" s="9" t="str">
        <x:v>资本与流动性</x:v>
      </x:c>
    </x:row>
    <x:row r="6" ht="23" customHeight="1">
      <x:c r="A6" s="11" t="str">
        <x:v>指标</x:v>
      </x:c>
      <x:c r="B6" s="11" t="str">
        <x:v>2025A</x:v>
      </x:c>
      <x:c r="C6" s="11" t="str">
        <x:v>1H26</x:v>
      </x:c>
      <x:c r="D6" s="11" t="str">
        <x:v>变化</x:v>
      </x:c>
      <x:c r="E6" s="11" t="str">
        <x:v>警戒线</x:v>
      </x:c>
      <x:c r="F6" s="11" t="str">
        <x:v>判断</x:v>
      </x:c>
      <x:c r="G6" s="11"/>
      <x:c r="H6" s="4"/>
      <x:c r="I6" s="11" t="str">
        <x:v>指标</x:v>
      </x:c>
      <x:c r="J6" s="11" t="str">
        <x:v>2025A</x:v>
      </x:c>
      <x:c r="K6" s="11" t="str">
        <x:v>1H26</x:v>
      </x:c>
      <x:c r="L6" s="11" t="str">
        <x:v>监管/观察</x:v>
      </x:c>
      <x:c r="M6" s="11" t="str">
        <x:v>空间判断</x:v>
      </x:c>
      <x:c r="N6" s="11"/>
    </x:row>
    <x:row r="7">
      <x:c r="A7" s="19" t="str">
        <x:v>不良贷款率</x:v>
      </x:c>
      <x:c r="B7" s="53" t="n">
        <x:v>0.0076</x:v>
      </x:c>
      <x:c r="C7" s="53" t="n">
        <x:v>0.0076</x:v>
      </x:c>
      <x:c r="D7" s="52" t="n">
        <x:v>0</x:v>
      </x:c>
      <x:c r="E7" s="19" t="str">
        <x:v>&lt;1%</x:v>
      </x:c>
      <x:c r="F7" s="34" t="str">
        <x:v>稳定</x:v>
      </x:c>
      <x:c r="G7" s="34"/>
      <x:c r="H7" s="4"/>
      <x:c r="I7" s="19" t="str">
        <x:v>资本充足率</x:v>
      </x:c>
      <x:c r="J7" s="53" t="n">
        <x:v>0.143</x:v>
      </x:c>
      <x:c r="K7" s="53" t="n">
        <x:v>0.1464</x:v>
      </x:c>
      <x:c r="L7" s="19" t="str">
        <x:v>监管要求之上</x:v>
      </x:c>
      <x:c r="M7" s="34" t="str">
        <x:v>充足</x:v>
      </x:c>
      <x:c r="N7" s="34"/>
    </x:row>
    <x:row r="8">
      <x:c r="A8" s="19" t="str">
        <x:v>关注类贷款率</x:v>
      </x:c>
      <x:c r="B8" s="53" t="n">
        <x:v>0.0114</x:v>
      </x:c>
      <x:c r="C8" s="53" t="n">
        <x:v>0.0104</x:v>
      </x:c>
      <x:c r="D8" s="52" t="n">
        <x:v>-0.001</x:v>
      </x:c>
      <x:c r="E8" s="19" t="str">
        <x:v>&gt;1.5%</x:v>
      </x:c>
      <x:c r="F8" s="34" t="str">
        <x:v>改善</x:v>
      </x:c>
      <x:c r="G8" s="34"/>
      <x:c r="H8" s="4"/>
      <x:c r="I8" s="19" t="str">
        <x:v>一级资本充足率</x:v>
      </x:c>
      <x:c r="J8" s="53" t="n">
        <x:v>0.104</x:v>
      </x:c>
      <x:c r="K8" s="53" t="n">
        <x:v>0.1116</x:v>
      </x:c>
      <x:c r="L8" s="19" t="str">
        <x:v>监管要求之上</x:v>
      </x:c>
      <x:c r="M8" s="34" t="str">
        <x:v>改善</x:v>
      </x:c>
      <x:c r="N8" s="34"/>
    </x:row>
    <x:row r="9">
      <x:c r="A9" s="19" t="str">
        <x:v>拨备覆盖率</x:v>
      </x:c>
      <x:c r="B9" s="53" t="n">
        <x:v>3.7316</x:v>
      </x:c>
      <x:c r="C9" s="53" t="n">
        <x:v>3.7335</x:v>
      </x:c>
      <x:c r="D9" s="52" t="n">
        <x:v>0.0019</x:v>
      </x:c>
      <x:c r="E9" s="19" t="str">
        <x:v>&lt;300%</x:v>
      </x:c>
      <x:c r="F9" s="34" t="str">
        <x:v>高位稳定</x:v>
      </x:c>
      <x:c r="G9" s="34"/>
      <x:c r="H9" s="4"/>
      <x:c r="I9" s="19" t="str">
        <x:v>核心一级资本充足率</x:v>
      </x:c>
      <x:c r="J9" s="53" t="n">
        <x:v>0.0934</x:v>
      </x:c>
      <x:c r="K9" s="53" t="n">
        <x:v>0.0953</x:v>
      </x:c>
      <x:c r="L9" s="19" t="str">
        <x:v>关注9%</x:v>
      </x:c>
      <x:c r="M9" s="34" t="str">
        <x:v>不宽裕</x:v>
      </x:c>
      <x:c r="N9" s="34"/>
    </x:row>
    <x:row r="10">
      <x:c r="A10" s="19" t="str">
        <x:v>贷款拨备率</x:v>
      </x:c>
      <x:c r="B10" s="53" t="n">
        <x:v>0.0283</x:v>
      </x:c>
      <x:c r="C10" s="53" t="n">
        <x:v>0.0283</x:v>
      </x:c>
      <x:c r="D10" s="52" t="n">
        <x:v>0</x:v>
      </x:c>
      <x:c r="E10" s="19" t="str">
        <x:v>&lt;2.5%</x:v>
      </x:c>
      <x:c r="F10" s="34" t="str">
        <x:v>稳定</x:v>
      </x:c>
      <x:c r="G10" s="34"/>
      <x:c r="H10" s="4"/>
      <x:c r="I10" s="19" t="str">
        <x:v>流动性覆盖率</x:v>
      </x:c>
      <x:c r="J10" s="53"/>
      <x:c r="K10" s="53" t="n">
        <x:v>2.0348</x:v>
      </x:c>
      <x:c r="L10" s="19" t="str">
        <x:v>&gt;100%</x:v>
      </x:c>
      <x:c r="M10" s="34" t="str">
        <x:v>充足</x:v>
      </x:c>
      <x:c r="N10" s="34"/>
    </x:row>
    <x:row r="11">
      <x:c r="A11" s="19" t="str">
        <x:v>核心一级资本充足率</x:v>
      </x:c>
      <x:c r="B11" s="53" t="n">
        <x:v>0.0934</x:v>
      </x:c>
      <x:c r="C11" s="53" t="n">
        <x:v>0.0953</x:v>
      </x:c>
      <x:c r="D11" s="52" t="n">
        <x:v>0.0019</x:v>
      </x:c>
      <x:c r="E11" s="19" t="str">
        <x:v>&lt;9.0%</x:v>
      </x:c>
      <x:c r="F11" s="34" t="str">
        <x:v>需持续关注</x:v>
      </x:c>
      <x:c r="G11" s="34"/>
      <x:c r="H11" s="4"/>
      <x:c r="I11" s="19" t="str">
        <x:v>净稳定资金比例</x:v>
      </x:c>
      <x:c r="J11" s="53"/>
      <x:c r="K11" s="53" t="n">
        <x:v>1.1256</x:v>
      </x:c>
      <x:c r="L11" s="19" t="str">
        <x:v>&gt;100%</x:v>
      </x:c>
      <x:c r="M11" s="34" t="str">
        <x:v>合格</x:v>
      </x:c>
      <x:c r="N11" s="34"/>
    </x:row>
    <x:row r="12">
      <x:c r="A12" s="19" t="str">
        <x:v>净息差</x:v>
      </x:c>
      <x:c r="B12" s="53" t="n">
        <x:v>0.0174</x:v>
      </x:c>
      <x:c r="C12" s="53" t="n">
        <x:v>0.017</x:v>
      </x:c>
      <x:c r="D12" s="52" t="n">
        <x:v>-0.0004</x:v>
      </x:c>
      <x:c r="E12" s="19" t="str">
        <x:v>&lt;1.55%</x:v>
      </x:c>
      <x:c r="F12" s="34" t="str">
        <x:v>同比下降6bp</x:v>
      </x:c>
      <x:c r="G12" s="34"/>
      <x:c r="H12" s="4"/>
      <x:c r="I12" s="19" t="str">
        <x:v>贷存比</x:v>
      </x:c>
      <x:c r="J12" s="53"/>
      <x:c r="K12" s="53" t="n">
        <x:v>0.8456</x:v>
      </x:c>
      <x:c r="L12" s="19" t="str">
        <x:v>结构指标</x:v>
      </x:c>
      <x:c r="M12" s="34" t="str">
        <x:v>可控</x:v>
      </x:c>
      <x:c r="N12" s="34"/>
    </x:row>
    <x:row r="13">
      <x:c r="A13" s="19" t="str">
        <x:v>流动性覆盖率</x:v>
      </x:c>
      <x:c r="B13" s="53"/>
      <x:c r="C13" s="53" t="n">
        <x:v>2.0348</x:v>
      </x:c>
      <x:c r="D13" s="52"/>
      <x:c r="E13" s="19" t="str">
        <x:v>&lt;120%</x:v>
      </x:c>
      <x:c r="F13" s="34" t="str">
        <x:v>充足</x:v>
      </x:c>
      <x:c r="G13" s="34"/>
      <x:c r="H13" s="4"/>
      <x:c r="I13" s="19" t="str">
        <x:v>风险加权资产</x:v>
      </x:c>
      <x:c r="J13" s="29"/>
      <x:c r="K13" s="36" t="n">
        <x:v>25164.13</x:v>
      </x:c>
      <x:c r="L13" s="19" t="str">
        <x:v>亿元</x:v>
      </x:c>
      <x:c r="M13" s="34" t="str">
        <x:v>持续扩表消耗资本</x:v>
      </x:c>
      <x:c r="N13" s="3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</x:row>
    <x:row r="16" ht="23" customHeight="1">
      <x:c r="A16" s="9" t="str">
        <x:v>贷款五级分类</x:v>
      </x:c>
      <x:c r="B16" s="9" t="str">
        <x:v>贷款五级分类</x:v>
      </x:c>
      <x:c r="C16" s="9" t="str">
        <x:v>贷款五级分类</x:v>
      </x:c>
      <x:c r="D16" s="9" t="str">
        <x:v>贷款五级分类</x:v>
      </x:c>
      <x:c r="E16" s="9" t="str">
        <x:v>贷款五级分类</x:v>
      </x:c>
      <x:c r="F16" s="9" t="str">
        <x:v>贷款五级分类</x:v>
      </x:c>
      <x:c r="G16" s="9" t="str">
        <x:v>贷款五级分类</x:v>
      </x:c>
      <x:c r="H16" s="4"/>
      <x:c r="I16" s="4"/>
      <x:c r="J16" s="4"/>
      <x:c r="K16" s="4"/>
      <x:c r="L16" s="4"/>
      <x:c r="M16" s="4"/>
      <x:c r="N16" s="4"/>
    </x:row>
    <x:row r="17" ht="23" customHeight="1">
      <x:c r="A17" s="11" t="str">
        <x:v>类别</x:v>
      </x:c>
      <x:c r="B17" s="11" t="str">
        <x:v>余额(亿元)</x:v>
      </x:c>
      <x:c r="C17" s="11" t="str">
        <x:v>占比</x:v>
      </x:c>
      <x:c r="D17" s="11" t="str">
        <x:v>较期初判断</x:v>
      </x:c>
      <x:c r="E17" s="11" t="str">
        <x:v>风险层级</x:v>
      </x:c>
      <x:c r="F17" s="4"/>
      <x:c r="G17" s="4"/>
      <x:c r="H17" s="4"/>
      <x:c r="I17" s="4"/>
      <x:c r="J17" s="4"/>
      <x:c r="K17" s="4"/>
      <x:c r="L17" s="4"/>
      <x:c r="M17" s="4"/>
      <x:c r="N17" s="4"/>
    </x:row>
    <x:row r="18">
      <x:c r="A18" s="19" t="str">
        <x:v>正常</x:v>
      </x:c>
      <x:c r="B18" s="36" t="n">
        <x:v>19149.32</x:v>
      </x:c>
      <x:c r="C18" s="53" t="n">
        <x:v>0.982</x:v>
      </x:c>
      <x:c r="D18" s="19" t="str">
        <x:v>主体稳定</x:v>
      </x:c>
      <x:c r="E18" s="19" t="str">
        <x:v>低</x:v>
      </x:c>
      <x:c r="F18" s="4"/>
      <x:c r="G18" s="4"/>
      <x:c r="H18" s="4"/>
      <x:c r="I18" s="4"/>
      <x:c r="J18" s="4"/>
      <x:c r="K18" s="4"/>
      <x:c r="L18" s="4"/>
      <x:c r="M18" s="4"/>
      <x:c r="N18" s="4"/>
    </x:row>
    <x:row r="19">
      <x:c r="A19" s="19" t="str">
        <x:v>关注</x:v>
      </x:c>
      <x:c r="B19" s="36" t="n">
        <x:v>202.32</x:v>
      </x:c>
      <x:c r="C19" s="53" t="n">
        <x:v>0.0104</x:v>
      </x:c>
      <x:c r="D19" s="19" t="str">
        <x:v>占比下降</x:v>
      </x:c>
      <x:c r="E19" s="19" t="str">
        <x:v>中</x:v>
      </x:c>
      <x:c r="F19" s="4"/>
      <x:c r="G19" s="4"/>
      <x:c r="H19" s="4"/>
      <x:c r="I19" s="4"/>
      <x:c r="J19" s="4"/>
      <x:c r="K19" s="4"/>
      <x:c r="L19" s="4"/>
      <x:c r="M19" s="4"/>
      <x:c r="N19" s="4"/>
    </x:row>
    <x:row r="20">
      <x:c r="A20" s="19" t="str">
        <x:v>次级</x:v>
      </x:c>
      <x:c r="B20" s="36" t="n">
        <x:v>19.66</x:v>
      </x:c>
      <x:c r="C20" s="53" t="n">
        <x:v>0.001</x:v>
      </x:c>
      <x:c r="D20" s="19" t="str">
        <x:v>小幅波动</x:v>
      </x:c>
      <x:c r="E20" s="19" t="str">
        <x:v>高</x:v>
      </x:c>
      <x:c r="F20" s="4"/>
      <x:c r="G20" s="4"/>
      <x:c r="H20" s="4"/>
      <x:c r="I20" s="4"/>
      <x:c r="J20" s="4"/>
      <x:c r="K20" s="4"/>
      <x:c r="L20" s="4"/>
      <x:c r="M20" s="4"/>
      <x:c r="N20" s="4"/>
    </x:row>
    <x:row r="21">
      <x:c r="A21" s="19" t="str">
        <x:v>可疑</x:v>
      </x:c>
      <x:c r="B21" s="36" t="n">
        <x:v>73.93</x:v>
      </x:c>
      <x:c r="C21" s="53" t="n">
        <x:v>0.0038</x:v>
      </x:c>
      <x:c r="D21" s="19" t="str">
        <x:v>需关注</x:v>
      </x:c>
      <x:c r="E21" s="19" t="str">
        <x:v>高</x:v>
      </x:c>
      <x:c r="F21" s="4"/>
      <x:c r="G21" s="4"/>
      <x:c r="H21" s="4"/>
      <x:c r="I21" s="4"/>
      <x:c r="J21" s="4"/>
      <x:c r="K21" s="4"/>
      <x:c r="L21" s="4"/>
      <x:c r="M21" s="4"/>
      <x:c r="N21" s="4"/>
    </x:row>
    <x:row r="22">
      <x:c r="A22" s="19" t="str">
        <x:v>损失</x:v>
      </x:c>
      <x:c r="B22" s="36" t="n">
        <x:v>54.35</x:v>
      </x:c>
      <x:c r="C22" s="53" t="n">
        <x:v>0.0028</x:v>
      </x:c>
      <x:c r="D22" s="19" t="str">
        <x:v>核销相关</x:v>
      </x:c>
      <x:c r="E22" s="19" t="str">
        <x:v>高</x:v>
      </x:c>
      <x:c r="F22" s="4"/>
      <x:c r="G22" s="4"/>
      <x:c r="H22" s="4"/>
      <x:c r="I22" s="4"/>
      <x:c r="J22" s="4"/>
      <x:c r="K22" s="4"/>
      <x:c r="L22" s="4"/>
      <x:c r="M22" s="4"/>
      <x:c r="N22" s="4"/>
    </x:row>
    <x:row r="23">
      <x:c r="A23" s="19" t="str">
        <x:v>不良合计</x:v>
      </x:c>
      <x:c r="B23" s="36" t="n">
        <x:v>147.94</x:v>
      </x:c>
      <x:c r="C23" s="53" t="n">
        <x:v>0.0076</x:v>
      </x:c>
      <x:c r="D23" s="19" t="str">
        <x:v>余额较年初+12.53%</x:v>
      </x:c>
      <x:c r="E23" s="19" t="str">
        <x:v>高</x:v>
      </x:c>
      <x:c r="F23" s="4"/>
      <x:c r="G23" s="4"/>
      <x:c r="H23" s="4"/>
      <x:c r="I23" s="4"/>
      <x:c r="J23" s="4"/>
      <x:c r="K23" s="4"/>
      <x:c r="L23" s="4"/>
      <x:c r="M23" s="4"/>
      <x:c r="N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</x:row>
    <x:row r="26" ht="23" customHeight="1">
      <x:c r="A26" s="9" t="str">
        <x:v>贷款结构与不良率</x:v>
      </x:c>
      <x:c r="B26" s="9" t="str">
        <x:v>贷款结构与不良率</x:v>
      </x:c>
      <x:c r="C26" s="9" t="str">
        <x:v>贷款结构与不良率</x:v>
      </x:c>
      <x:c r="D26" s="9" t="str">
        <x:v>贷款结构与不良率</x:v>
      </x:c>
      <x:c r="E26" s="9" t="str">
        <x:v>贷款结构与不良率</x:v>
      </x:c>
      <x:c r="F26" s="9" t="str">
        <x:v>贷款结构与不良率</x:v>
      </x:c>
      <x:c r="G26" s="9" t="str">
        <x:v>贷款结构与不良率</x:v>
      </x:c>
      <x:c r="H26" s="4"/>
      <x:c r="I26" s="4"/>
      <x:c r="J26" s="4"/>
      <x:c r="K26" s="4"/>
      <x:c r="L26" s="4"/>
      <x:c r="M26" s="4"/>
      <x:c r="N26" s="4"/>
    </x:row>
    <x:row r="27" ht="23" customHeight="1">
      <x:c r="A27" s="11" t="str">
        <x:v>类别</x:v>
      </x:c>
      <x:c r="B27" s="11" t="str">
        <x:v>余额(亿元)</x:v>
      </x:c>
      <x:c r="C27" s="11" t="str">
        <x:v>占贷款</x:v>
      </x:c>
      <x:c r="D27" s="11" t="str">
        <x:v>不良率</x:v>
      </x:c>
      <x:c r="E27" s="11" t="str">
        <x:v>年初不良率</x:v>
      </x:c>
      <x:c r="F27" s="11" t="str">
        <x:v>变化(bp)</x:v>
      </x:c>
      <x:c r="G27" s="11" t="str">
        <x:v>观察</x:v>
      </x:c>
      <x:c r="H27" s="4"/>
      <x:c r="I27" s="4"/>
      <x:c r="J27" s="4"/>
      <x:c r="K27" s="4"/>
      <x:c r="L27" s="4"/>
      <x:c r="M27" s="4"/>
      <x:c r="N27" s="4"/>
    </x:row>
    <x:row r="28">
      <x:c r="A28" s="19" t="str">
        <x:v>公司贷款</x:v>
      </x:c>
      <x:c r="B28" s="36" t="n">
        <x:v>14129.54</x:v>
      </x:c>
      <x:c r="C28" s="53" t="n">
        <x:v>0.7246</x:v>
      </x:c>
      <x:c r="D28" s="53" t="n">
        <x:v>0.0029</x:v>
      </x:c>
      <x:c r="E28" s="53"/>
      <x:c r="F28" s="63"/>
      <x:c r="G28" s="34" t="str">
        <x:v>整体优质</x:v>
      </x:c>
      <x:c r="H28" s="4"/>
      <x:c r="I28" s="4"/>
      <x:c r="J28" s="4"/>
      <x:c r="K28" s="4"/>
      <x:c r="L28" s="4"/>
      <x:c r="M28" s="4"/>
      <x:c r="N28" s="4"/>
    </x:row>
    <x:row r="29">
      <x:c r="A29" s="19" t="str">
        <x:v>消费贷款</x:v>
      </x:c>
      <x:c r="B29" s="36" t="n">
        <x:v>3460.37</x:v>
      </x:c>
      <x:c r="C29" s="53" t="n">
        <x:v>0.1775</x:v>
      </x:c>
      <x:c r="D29" s="53" t="n">
        <x:v>0.0178</x:v>
      </x:c>
      <x:c r="E29" s="53" t="n">
        <x:v>0.0159</x:v>
      </x:c>
      <x:c r="F29" s="63" t="n">
        <x:v>19</x:v>
      </x:c>
      <x:c r="G29" s="34" t="str">
        <x:v>明显高于全行</x:v>
      </x:c>
      <x:c r="H29" s="4"/>
      <x:c r="I29" s="4"/>
      <x:c r="J29" s="4"/>
      <x:c r="K29" s="4"/>
      <x:c r="L29" s="4"/>
      <x:c r="M29" s="4"/>
      <x:c r="N29" s="4"/>
    </x:row>
    <x:row r="30">
      <x:c r="A30" s="19" t="str">
        <x:v>个人经营贷款</x:v>
      </x:c>
      <x:c r="B30" s="36" t="n">
        <x:v>878.96</x:v>
      </x:c>
      <x:c r="C30" s="53" t="n">
        <x:v>0.0451</x:v>
      </x:c>
      <x:c r="D30" s="53" t="n">
        <x:v>0.0381</x:v>
      </x:c>
      <x:c r="E30" s="53" t="n">
        <x:v>0.0345</x:v>
      </x:c>
      <x:c r="F30" s="63" t="n">
        <x:v>36</x:v>
      </x:c>
      <x:c r="G30" s="34" t="str">
        <x:v>最高风险点</x:v>
      </x:c>
      <x:c r="H30" s="4"/>
      <x:c r="I30" s="4"/>
      <x:c r="J30" s="4"/>
      <x:c r="K30" s="4"/>
      <x:c r="L30" s="4"/>
      <x:c r="M30" s="4"/>
      <x:c r="N30" s="4"/>
    </x:row>
    <x:row r="31" ht="23" customHeight="1">
      <x:c r="A31" s="19" t="str">
        <x:v>住房按揭</x:v>
      </x:c>
      <x:c r="B31" s="36" t="n">
        <x:v>1030.71</x:v>
      </x:c>
      <x:c r="C31" s="53" t="n">
        <x:v>0.0529</x:v>
      </x:c>
      <x:c r="D31" s="53" t="n">
        <x:v>0.012</x:v>
      </x:c>
      <x:c r="E31" s="53" t="n">
        <x:v>0.0089</x:v>
      </x:c>
      <x:c r="F31" s="63" t="n">
        <x:v>31</x:v>
      </x:c>
      <x:c r="G31" s="34" t="str">
        <x:v>仍需跟踪</x:v>
      </x:c>
      <x:c r="H31" s="4"/>
      <x:c r="I31" s="9" t="str">
        <x:v>贷款拨备变动（1H26）</x:v>
      </x:c>
      <x:c r="J31" s="9" t="str">
        <x:v>贷款拨备变动（1H26）</x:v>
      </x:c>
      <x:c r="K31" s="9" t="str">
        <x:v>贷款拨备变动（1H26）</x:v>
      </x:c>
      <x:c r="L31" s="9" t="str">
        <x:v>贷款拨备变动（1H26）</x:v>
      </x:c>
      <x:c r="M31" s="9" t="str">
        <x:v>贷款拨备变动（1H26）</x:v>
      </x:c>
      <x:c r="N31" s="9" t="str">
        <x:v>贷款拨备变动（1H26）</x:v>
      </x:c>
    </x:row>
    <x:row r="32" ht="23" customHeight="1">
      <x:c r="A32" s="19" t="str">
        <x:v>公司房地产</x:v>
      </x:c>
      <x:c r="B32" s="36" t="n">
        <x:v>1685.05</x:v>
      </x:c>
      <x:c r="C32" s="53" t="n">
        <x:v>0.0864</x:v>
      </x:c>
      <x:c r="D32" s="53" t="n">
        <x:v>0.0025</x:v>
      </x:c>
      <x:c r="E32" s="53" t="n">
        <x:v>0.0017</x:v>
      </x:c>
      <x:c r="F32" s="63" t="n">
        <x:v>8</x:v>
      </x:c>
      <x:c r="G32" s="34" t="str">
        <x:v>账面质量较稳</x:v>
      </x:c>
      <x:c r="H32" s="4"/>
      <x:c r="I32" s="11" t="str">
        <x:v>项目</x:v>
      </x:c>
      <x:c r="J32" s="11" t="str">
        <x:v>亿元</x:v>
      </x:c>
      <x:c r="K32" s="11" t="str">
        <x:v>方向</x:v>
      </x:c>
      <x:c r="L32" s="11" t="str">
        <x:v>备注</x:v>
      </x:c>
      <x:c r="M32" s="11"/>
      <x:c r="N32" s="11"/>
    </x:row>
    <x:row r="33">
      <x:c r="A33" s="19" t="str">
        <x:v>逾期贷款</x:v>
      </x:c>
      <x:c r="B33" s="36" t="n">
        <x:v>167.99</x:v>
      </x:c>
      <x:c r="C33" s="53" t="n">
        <x:v>0.0086</x:v>
      </x:c>
      <x:c r="D33" s="53"/>
      <x:c r="E33" s="53"/>
      <x:c r="F33" s="63"/>
      <x:c r="G33" s="34" t="str">
        <x:v>占比0.86%</x:v>
      </x:c>
      <x:c r="H33" s="4"/>
      <x:c r="I33" s="19" t="str">
        <x:v>期初拨备</x:v>
      </x:c>
      <x:c r="J33" s="36" t="n">
        <x:v>490.6</x:v>
      </x:c>
      <x:c r="K33" s="19" t="str">
        <x:v>起点</x:v>
      </x:c>
      <x:c r="L33" s="19" t="str">
        <x:v>2025-12-31</x:v>
      </x:c>
      <x:c r="M33" s="19"/>
      <x:c r="N33" s="19"/>
    </x:row>
    <x:row r="34">
      <x:c r="A34" s="19" t="str">
        <x:v>&gt;90天逾期/NPL</x:v>
      </x:c>
      <x:c r="B34" s="36" t="n">
        <x:v>119.31</x:v>
      </x:c>
      <x:c r="C34" s="53"/>
      <x:c r="D34" s="53" t="n">
        <x:v>0.8065</x:v>
      </x:c>
      <x:c r="E34" s="53"/>
      <x:c r="F34" s="63"/>
      <x:c r="G34" s="34" t="str">
        <x:v>认定较审慎</x:v>
      </x:c>
      <x:c r="H34" s="4"/>
      <x:c r="I34" s="19" t="str">
        <x:v>本期计提</x:v>
      </x:c>
      <x:c r="J34" s="36" t="n">
        <x:v>108.51</x:v>
      </x:c>
      <x:c r="K34" s="19" t="str">
        <x:v>增加</x:v>
      </x:c>
      <x:c r="L34" s="19" t="str">
        <x:v>贷款减值损失</x:v>
      </x:c>
      <x:c r="M34" s="19"/>
      <x:c r="N34" s="19"/>
    </x:row>
    <x:row r="35">
      <x:c r="A35" s="4"/>
      <x:c r="B35" s="4"/>
      <x:c r="C35" s="4"/>
      <x:c r="D35" s="4"/>
      <x:c r="E35" s="4"/>
      <x:c r="F35" s="4"/>
      <x:c r="G35" s="4"/>
      <x:c r="H35" s="4"/>
      <x:c r="I35" s="19" t="str">
        <x:v>核销</x:v>
      </x:c>
      <x:c r="J35" s="36" t="n">
        <x:v>-56.45</x:v>
      </x:c>
      <x:c r="K35" s="19" t="str">
        <x:v>减少</x:v>
      </x:c>
      <x:c r="L35" s="19" t="str">
        <x:v>不代表风险消失</x:v>
      </x:c>
      <x:c r="M35" s="19"/>
      <x:c r="N35" s="19"/>
    </x:row>
    <x:row r="36">
      <x:c r="A36" s="4"/>
      <x:c r="B36" s="4"/>
      <x:c r="C36" s="4"/>
      <x:c r="D36" s="4"/>
      <x:c r="E36" s="4"/>
      <x:c r="F36" s="4"/>
      <x:c r="G36" s="4"/>
      <x:c r="H36" s="4"/>
      <x:c r="I36" s="19" t="str">
        <x:v>收回已核销</x:v>
      </x:c>
      <x:c r="J36" s="36" t="n">
        <x:v>12.29</x:v>
      </x:c>
      <x:c r="K36" s="19" t="str">
        <x:v>增加</x:v>
      </x:c>
      <x:c r="L36" s="19" t="str">
        <x:v>回收</x:v>
      </x:c>
      <x:c r="M36" s="19"/>
      <x:c r="N36" s="19"/>
    </x:row>
    <x:row r="37" ht="23" customHeight="1">
      <x:c r="A37" s="9" t="str">
        <x:v>压力观察与结论</x:v>
      </x:c>
      <x:c r="B37" s="9" t="str">
        <x:v>压力观察与结论</x:v>
      </x:c>
      <x:c r="C37" s="9" t="str">
        <x:v>压力观察与结论</x:v>
      </x:c>
      <x:c r="D37" s="9" t="str">
        <x:v>压力观察与结论</x:v>
      </x:c>
      <x:c r="E37" s="9" t="str">
        <x:v>压力观察与结论</x:v>
      </x:c>
      <x:c r="F37" s="9" t="str">
        <x:v>压力观察与结论</x:v>
      </x:c>
      <x:c r="G37" s="9" t="str">
        <x:v>压力观察与结论</x:v>
      </x:c>
      <x:c r="H37" s="4"/>
      <x:c r="I37" s="19" t="str">
        <x:v>其他转移</x:v>
      </x:c>
      <x:c r="J37" s="36" t="n">
        <x:v>-2.17</x:v>
      </x:c>
      <x:c r="K37" s="19" t="str">
        <x:v>减少</x:v>
      </x:c>
      <x:c r="L37" s="19" t="str">
        <x:v>净额</x:v>
      </x:c>
      <x:c r="M37" s="19"/>
      <x:c r="N37" s="19"/>
    </x:row>
    <x:row r="38">
      <x:c r="A38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B38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C38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D38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E38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F38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G38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H38" s="4"/>
      <x:c r="I38" s="19" t="str">
        <x:v>利息转回</x:v>
      </x:c>
      <x:c r="J38" s="36" t="n">
        <x:v>-0.43</x:v>
      </x:c>
      <x:c r="K38" s="19" t="str">
        <x:v>减少</x:v>
      </x:c>
      <x:c r="L38" s="19" t="str">
        <x:v>净额</x:v>
      </x:c>
      <x:c r="M38" s="19"/>
      <x:c r="N38" s="19"/>
    </x:row>
    <x:row r="39">
      <x:c r="A39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B39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C39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D39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E39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F39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G39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H39" s="4"/>
      <x:c r="I39" s="19" t="str">
        <x:v>期末拨备</x:v>
      </x:c>
      <x:c r="J39" s="36" t="n">
        <x:v>552.35</x:v>
      </x:c>
      <x:c r="K39" s="19" t="str">
        <x:v>终点</x:v>
      </x:c>
      <x:c r="L39" s="19" t="str">
        <x:v>2026-06-30</x:v>
      </x:c>
      <x:c r="M39" s="19"/>
      <x:c r="N39" s="19"/>
    </x:row>
    <x:row r="40">
      <x:c r="A40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B40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C40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D40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E40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F40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G40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H40" s="4"/>
      <x:c r="I40" s="4"/>
      <x:c r="J40" s="4"/>
      <x:c r="K40" s="4"/>
      <x:c r="L40" s="4"/>
      <x:c r="M40" s="4"/>
      <x:c r="N40" s="4"/>
    </x:row>
    <x:row r="41">
      <x:c r="A41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B41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C41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D41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E41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F41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G41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H41" s="4"/>
      <x:c r="I41" s="4"/>
      <x:c r="J41" s="4"/>
      <x:c r="K41" s="4"/>
      <x:c r="L41" s="4"/>
      <x:c r="M41" s="4"/>
      <x:c r="N41" s="4"/>
    </x:row>
    <x:row r="42">
      <x:c r="A42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B42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C42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D42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E42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F42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G42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H42" s="4"/>
      <x:c r="I42" s="18" t="str">
        <x:v>减值质量：1H26信用及其他减值损失115.77亿元，同比+23.79%；其中贷款减值108.51亿元，同比+26.35%。PPOP约297.40亿元，同比增长16.77%，当前仍可覆盖减值压力。</x:v>
      </x:c>
      <x:c r="J42" s="18" t="str">
        <x:v>减值质量：1H26信用及其他减值损失115.77亿元，同比+23.79%；其中贷款减值108.51亿元，同比+26.35%。PPOP约297.40亿元，同比增长16.77%，当前仍可覆盖减值压力。</x:v>
      </x:c>
      <x:c r="K42" s="18" t="str">
        <x:v>减值质量：1H26信用及其他减值损失115.77亿元，同比+23.79%；其中贷款减值108.51亿元，同比+26.35%。PPOP约297.40亿元，同比增长16.77%，当前仍可覆盖减值压力。</x:v>
      </x:c>
      <x:c r="L42" s="18" t="str">
        <x:v>减值质量：1H26信用及其他减值损失115.77亿元，同比+23.79%；其中贷款减值108.51亿元，同比+26.35%。PPOP约297.40亿元，同比增长16.77%，当前仍可覆盖减值压力。</x:v>
      </x:c>
      <x:c r="M42" s="18" t="str">
        <x:v>减值质量：1H26信用及其他减值损失115.77亿元，同比+23.79%；其中贷款减值108.51亿元，同比+26.35%。PPOP约297.40亿元，同比增长16.77%，当前仍可覆盖减值压力。</x:v>
      </x:c>
      <x:c r="N42" s="18" t="str">
        <x:v>减值质量：1H26信用及其他减值损失115.77亿元，同比+23.79%；其中贷款减值108.51亿元，同比+26.35%。PPOP约297.40亿元，同比增长16.77%，当前仍可覆盖减值压力。</x:v>
      </x:c>
    </x:row>
    <x:row r="43">
      <x:c r="A43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B43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C43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D43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E43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F43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G43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H43" s="4"/>
      <x:c r="I43" s="18" t="str">
        <x:v>减值质量：1H26信用及其他减值损失115.77亿元，同比+23.79%；其中贷款减值108.51亿元，同比+26.35%。PPOP约297.40亿元，同比增长16.77%，当前仍可覆盖减值压力。</x:v>
      </x:c>
      <x:c r="J43" s="18" t="str">
        <x:v>减值质量：1H26信用及其他减值损失115.77亿元，同比+23.79%；其中贷款减值108.51亿元，同比+26.35%。PPOP约297.40亿元，同比增长16.77%，当前仍可覆盖减值压力。</x:v>
      </x:c>
      <x:c r="K43" s="18" t="str">
        <x:v>减值质量：1H26信用及其他减值损失115.77亿元，同比+23.79%；其中贷款减值108.51亿元，同比+26.35%。PPOP约297.40亿元，同比增长16.77%，当前仍可覆盖减值压力。</x:v>
      </x:c>
      <x:c r="L43" s="18" t="str">
        <x:v>减值质量：1H26信用及其他减值损失115.77亿元，同比+23.79%；其中贷款减值108.51亿元，同比+26.35%。PPOP约297.40亿元，同比增长16.77%，当前仍可覆盖减值压力。</x:v>
      </x:c>
      <x:c r="M43" s="18" t="str">
        <x:v>减值质量：1H26信用及其他减值损失115.77亿元，同比+23.79%；其中贷款减值108.51亿元，同比+26.35%。PPOP约297.40亿元，同比增长16.77%，当前仍可覆盖减值压力。</x:v>
      </x:c>
      <x:c r="N43" s="18" t="str">
        <x:v>减值质量：1H26信用及其他减值损失115.77亿元，同比+23.79%；其中贷款减值108.51亿元，同比+26.35%。PPOP约297.40亿元，同比增长16.77%，当前仍可覆盖减值压力。</x:v>
      </x:c>
    </x:row>
    <x:row r="44">
      <x:c r="A44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B44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C44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D44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E44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F44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G44" s="17" t="str">
        <x:v>资产质量表面稳定，但结构风险正在向零售暴露：消费贷NPL 1.78%、个人经营贷NPL 3.81%、按揭NPL 1.20%，均较年初上行。公司房地产贷款余额1,685.05亿元、占贷款8.64%、NPL 0.25%；按揭余额1,030.71亿元、占5.29%。中报未提供统一口径的广义地产风险承担余额，不能用单一贷款口径代替穿透风险。</x:v>
      </x:c>
      <x:c r="H44" s="4"/>
      <x:c r="I44" s="18" t="str">
        <x:v>减值质量：1H26信用及其他减值损失115.77亿元，同比+23.79%；其中贷款减值108.51亿元，同比+26.35%。PPOP约297.40亿元，同比增长16.77%，当前仍可覆盖减值压力。</x:v>
      </x:c>
      <x:c r="J44" s="18" t="str">
        <x:v>减值质量：1H26信用及其他减值损失115.77亿元，同比+23.79%；其中贷款减值108.51亿元，同比+26.35%。PPOP约297.40亿元，同比增长16.77%，当前仍可覆盖减值压力。</x:v>
      </x:c>
      <x:c r="K44" s="18" t="str">
        <x:v>减值质量：1H26信用及其他减值损失115.77亿元，同比+23.79%；其中贷款减值108.51亿元，同比+26.35%。PPOP约297.40亿元，同比增长16.77%，当前仍可覆盖减值压力。</x:v>
      </x:c>
      <x:c r="L44" s="18" t="str">
        <x:v>减值质量：1H26信用及其他减值损失115.77亿元，同比+23.79%；其中贷款减值108.51亿元，同比+26.35%。PPOP约297.40亿元，同比增长16.77%，当前仍可覆盖减值压力。</x:v>
      </x:c>
      <x:c r="M44" s="18" t="str">
        <x:v>减值质量：1H26信用及其他减值损失115.77亿元，同比+23.79%；其中贷款减值108.51亿元，同比+26.35%。PPOP约297.40亿元，同比增长16.77%，当前仍可覆盖减值压力。</x:v>
      </x:c>
      <x:c r="N44" s="18" t="str">
        <x:v>减值质量：1H26信用及其他减值损失115.77亿元，同比+23.79%；其中贷款减值108.51亿元，同比+26.35%。PPOP约297.40亿元，同比增长16.77%，当前仍可覆盖减值压力。</x:v>
      </x:c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</x:row>
  </x:sheetData>
  <x:mergeCells>
    <x:mergeCell ref="A1:N2"/>
    <x:mergeCell ref="A3:N3"/>
    <x:mergeCell ref="A5:G5"/>
    <x:mergeCell ref="F6:G6"/>
    <x:mergeCell ref="F7:G7"/>
    <x:mergeCell ref="F8:G8"/>
    <x:mergeCell ref="F9:G9"/>
    <x:mergeCell ref="F10:G10"/>
    <x:mergeCell ref="F11:G11"/>
    <x:mergeCell ref="F12:G12"/>
    <x:mergeCell ref="F13:G13"/>
    <x:mergeCell ref="I5:N5"/>
    <x:mergeCell ref="M6:N6"/>
    <x:mergeCell ref="M7:N7"/>
    <x:mergeCell ref="M8:N8"/>
    <x:mergeCell ref="M9:N9"/>
    <x:mergeCell ref="M10:N10"/>
    <x:mergeCell ref="M11:N11"/>
    <x:mergeCell ref="M12:N12"/>
    <x:mergeCell ref="M13:N13"/>
    <x:mergeCell ref="A16:G16"/>
    <x:mergeCell ref="A26:G26"/>
    <x:mergeCell ref="I31:N31"/>
    <x:mergeCell ref="L32:N32"/>
    <x:mergeCell ref="L33:N33"/>
    <x:mergeCell ref="L34:N34"/>
    <x:mergeCell ref="L35:N35"/>
    <x:mergeCell ref="L36:N36"/>
    <x:mergeCell ref="L37:N37"/>
    <x:mergeCell ref="L38:N38"/>
    <x:mergeCell ref="L39:N39"/>
    <x:mergeCell ref="A37:G37"/>
    <x:mergeCell ref="A38:G44"/>
    <x:mergeCell ref="I42:N44"/>
  </x:mergeCells>
  <x:pageMargins left="0.7" right="0.7" top="0.75" bottom="0.75" header="0.3" footer="0.3"/>
  <x:drawing xmlns:r="http://schemas.openxmlformats.org/officeDocument/2006/relationships" r:id="R323387ce79c9428f"/>
</x:worksheet>
</file>

<file path=xl/worksheets/sheet8.xml><?xml version="1.0" encoding="utf-8"?>
<x:worksheet xmlns:x="http://schemas.openxmlformats.org/spreadsheetml/2006/main">
  <x:sheetPr>
    <x:tabColor rgb="FF8064A2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10" hidden="0" customWidth="1"/>
    <x:col min="3" max="3" width="10" hidden="0" customWidth="1"/>
    <x:col min="4" max="4" width="10" hidden="0" customWidth="1"/>
    <x:col min="5" max="5" width="9" hidden="0" customWidth="1"/>
    <x:col min="6" max="6" width="10" hidden="0" customWidth="1"/>
    <x:col min="7" max="7" width="11" hidden="0" customWidth="1"/>
    <x:col min="8" max="8" width="9" hidden="0" customWidth="1"/>
    <x:col min="9" max="9" width="9" hidden="0" customWidth="1"/>
    <x:col min="10" max="10" width="11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3" hidden="0" customWidth="1"/>
    <x:col min="18" max="18" width="13" hidden="0" customWidth="1"/>
  </x:cols>
  <x:sheetData>
    <x:row r="1" ht="34" customHeight="1">
      <x:c r="A1" s="6" t="str">
        <x:v>宁波银行与区域优质银行同业比较</x:v>
      </x:c>
      <x:c r="B1" s="6" t="str">
        <x:v>宁波银行与区域优质银行同业比较</x:v>
      </x:c>
      <x:c r="C1" s="6" t="str">
        <x:v>宁波银行与区域优质银行同业比较</x:v>
      </x:c>
      <x:c r="D1" s="6" t="str">
        <x:v>宁波银行与区域优质银行同业比较</x:v>
      </x:c>
      <x:c r="E1" s="6" t="str">
        <x:v>宁波银行与区域优质银行同业比较</x:v>
      </x:c>
      <x:c r="F1" s="6" t="str">
        <x:v>宁波银行与区域优质银行同业比较</x:v>
      </x:c>
      <x:c r="G1" s="6" t="str">
        <x:v>宁波银行与区域优质银行同业比较</x:v>
      </x:c>
      <x:c r="H1" s="6" t="str">
        <x:v>宁波银行与区域优质银行同业比较</x:v>
      </x:c>
      <x:c r="I1" s="6" t="str">
        <x:v>宁波银行与区域优质银行同业比较</x:v>
      </x:c>
      <x:c r="J1" s="6" t="str">
        <x:v>宁波银行与区域优质银行同业比较</x:v>
      </x:c>
      <x:c r="K1" s="6" t="str">
        <x:v>宁波银行与区域优质银行同业比较</x:v>
      </x:c>
      <x:c r="L1" s="6" t="str">
        <x:v>宁波银行与区域优质银行同业比较</x:v>
      </x:c>
      <x:c r="M1" s="6" t="str">
        <x:v>宁波银行与区域优质银行同业比较</x:v>
      </x:c>
      <x:c r="N1" s="6" t="str">
        <x:v>宁波银行与区域优质银行同业比较</x:v>
      </x:c>
      <x:c r="O1" s="6" t="str">
        <x:v>宁波银行与区域优质银行同业比较</x:v>
      </x:c>
      <x:c r="P1" s="6" t="str">
        <x:v>宁波银行与区域优质银行同业比较</x:v>
      </x:c>
      <x:c r="Q1" s="6" t="str">
        <x:v>宁波银行与区域优质银行同业比较</x:v>
      </x:c>
      <x:c r="R1" s="6" t="str">
        <x:v>宁波银行与区域优质银行同业比较</x:v>
      </x:c>
    </x:row>
    <x:row r="2" ht="34" customHeight="1">
      <x:c r="A2" s="6" t="str">
        <x:v>宁波银行与区域优质银行同业比较</x:v>
      </x:c>
      <x:c r="B2" s="6" t="str">
        <x:v>宁波银行与区域优质银行同业比较</x:v>
      </x:c>
      <x:c r="C2" s="6" t="str">
        <x:v>宁波银行与区域优质银行同业比较</x:v>
      </x:c>
      <x:c r="D2" s="6" t="str">
        <x:v>宁波银行与区域优质银行同业比较</x:v>
      </x:c>
      <x:c r="E2" s="6" t="str">
        <x:v>宁波银行与区域优质银行同业比较</x:v>
      </x:c>
      <x:c r="F2" s="6" t="str">
        <x:v>宁波银行与区域优质银行同业比较</x:v>
      </x:c>
      <x:c r="G2" s="6" t="str">
        <x:v>宁波银行与区域优质银行同业比较</x:v>
      </x:c>
      <x:c r="H2" s="6" t="str">
        <x:v>宁波银行与区域优质银行同业比较</x:v>
      </x:c>
      <x:c r="I2" s="6" t="str">
        <x:v>宁波银行与区域优质银行同业比较</x:v>
      </x:c>
      <x:c r="J2" s="6" t="str">
        <x:v>宁波银行与区域优质银行同业比较</x:v>
      </x:c>
      <x:c r="K2" s="6" t="str">
        <x:v>宁波银行与区域优质银行同业比较</x:v>
      </x:c>
      <x:c r="L2" s="6" t="str">
        <x:v>宁波银行与区域优质银行同业比较</x:v>
      </x:c>
      <x:c r="M2" s="6" t="str">
        <x:v>宁波银行与区域优质银行同业比较</x:v>
      </x:c>
      <x:c r="N2" s="6" t="str">
        <x:v>宁波银行与区域优质银行同业比较</x:v>
      </x:c>
      <x:c r="O2" s="6" t="str">
        <x:v>宁波银行与区域优质银行同业比较</x:v>
      </x:c>
      <x:c r="P2" s="6" t="str">
        <x:v>宁波银行与区域优质银行同业比较</x:v>
      </x:c>
      <x:c r="Q2" s="6" t="str">
        <x:v>宁波银行与区域优质银行同业比较</x:v>
      </x:c>
      <x:c r="R2" s="6" t="str">
        <x:v>宁波银行与区域优质银行同业比较</x:v>
      </x:c>
    </x:row>
    <x:row r="3" ht="24" customHeight="1">
      <x:c r="A3" s="7" t="str">
        <x:v>经营数据截至2026-06-30；股价截至2026-10-13收盘</x:v>
      </x:c>
      <x:c r="B3" s="7" t="str">
        <x:v>经营数据截至2026-06-30；股价截至2026-10-13收盘</x:v>
      </x:c>
      <x:c r="C3" s="7" t="str">
        <x:v>经营数据截至2026-06-30；股价截至2026-10-13收盘</x:v>
      </x:c>
      <x:c r="D3" s="7" t="str">
        <x:v>经营数据截至2026-06-30；股价截至2026-10-13收盘</x:v>
      </x:c>
      <x:c r="E3" s="7" t="str">
        <x:v>经营数据截至2026-06-30；股价截至2026-10-13收盘</x:v>
      </x:c>
      <x:c r="F3" s="7" t="str">
        <x:v>经营数据截至2026-06-30；股价截至2026-10-13收盘</x:v>
      </x:c>
      <x:c r="G3" s="7" t="str">
        <x:v>经营数据截至2026-06-30；股价截至2026-10-13收盘</x:v>
      </x:c>
      <x:c r="H3" s="7" t="str">
        <x:v>经营数据截至2026-06-30；股价截至2026-10-13收盘</x:v>
      </x:c>
      <x:c r="I3" s="7" t="str">
        <x:v>经营数据截至2026-06-30；股价截至2026-10-13收盘</x:v>
      </x:c>
      <x:c r="J3" s="7" t="str">
        <x:v>经营数据截至2026-06-30；股价截至2026-10-13收盘</x:v>
      </x:c>
      <x:c r="K3" s="7" t="str">
        <x:v>经营数据截至2026-06-30；股价截至2026-10-13收盘</x:v>
      </x:c>
      <x:c r="L3" s="7" t="str">
        <x:v>经营数据截至2026-06-30；股价截至2026-10-13收盘</x:v>
      </x:c>
      <x:c r="M3" s="7" t="str">
        <x:v>经营数据截至2026-06-30；股价截至2026-10-13收盘</x:v>
      </x:c>
      <x:c r="N3" s="7" t="str">
        <x:v>经营数据截至2026-06-30；股价截至2026-10-13收盘</x:v>
      </x:c>
      <x:c r="O3" s="7" t="str">
        <x:v>经营数据截至2026-06-30；股价截至2026-10-13收盘</x:v>
      </x:c>
      <x:c r="P3" s="7" t="str">
        <x:v>经营数据截至2026-06-30；股价截至2026-10-13收盘</x:v>
      </x:c>
      <x:c r="Q3" s="7" t="str">
        <x:v>经营数据截至2026-06-30；股价截至2026-10-13收盘</x:v>
      </x:c>
      <x:c r="R3" s="7" t="str">
        <x:v>经营数据截至2026-06-30；股价截至2026-10-13收盘</x:v>
      </x:c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</x:row>
    <x:row r="5" ht="23" customHeight="1">
      <x:c r="A5" s="9" t="str">
        <x:v>可比银行：区域城商行，规模与盈利模式相近</x:v>
      </x:c>
      <x:c r="B5" s="9" t="str">
        <x:v>可比银行：区域城商行，规模与盈利模式相近</x:v>
      </x:c>
      <x:c r="C5" s="9" t="str">
        <x:v>可比银行：区域城商行，规模与盈利模式相近</x:v>
      </x:c>
      <x:c r="D5" s="9" t="str">
        <x:v>可比银行：区域城商行，规模与盈利模式相近</x:v>
      </x:c>
      <x:c r="E5" s="9" t="str">
        <x:v>可比银行：区域城商行，规模与盈利模式相近</x:v>
      </x:c>
      <x:c r="F5" s="9" t="str">
        <x:v>可比银行：区域城商行，规模与盈利模式相近</x:v>
      </x:c>
      <x:c r="G5" s="9" t="str">
        <x:v>可比银行：区域城商行，规模与盈利模式相近</x:v>
      </x:c>
      <x:c r="H5" s="9" t="str">
        <x:v>可比银行：区域城商行，规模与盈利模式相近</x:v>
      </x:c>
      <x:c r="I5" s="9" t="str">
        <x:v>可比银行：区域城商行，规模与盈利模式相近</x:v>
      </x:c>
      <x:c r="J5" s="9" t="str">
        <x:v>可比银行：区域城商行，规模与盈利模式相近</x:v>
      </x:c>
      <x:c r="K5" s="9" t="str">
        <x:v>可比银行：区域城商行，规模与盈利模式相近</x:v>
      </x:c>
      <x:c r="L5" s="9" t="str">
        <x:v>可比银行：区域城商行，规模与盈利模式相近</x:v>
      </x:c>
      <x:c r="M5" s="9" t="str">
        <x:v>可比银行：区域城商行，规模与盈利模式相近</x:v>
      </x:c>
      <x:c r="N5" s="9" t="str">
        <x:v>可比银行：区域城商行，规模与盈利模式相近</x:v>
      </x:c>
      <x:c r="O5" s="4"/>
      <x:c r="P5" s="4"/>
      <x:c r="Q5" s="4"/>
      <x:c r="R5" s="4"/>
    </x:row>
    <x:row r="6" ht="23" customHeight="1">
      <x:c r="A6" s="11" t="str">
        <x:v>银行</x:v>
      </x:c>
      <x:c r="B6" s="11" t="str">
        <x:v>股价</x:v>
      </x:c>
      <x:c r="C6" s="11" t="str">
        <x:v>BVPS</x:v>
      </x:c>
      <x:c r="D6" s="11" t="str">
        <x:v>1H EPS</x:v>
      </x:c>
      <x:c r="E6" s="11" t="str">
        <x:v>PB</x:v>
      </x:c>
      <x:c r="F6" s="11" t="str">
        <x:v>年化PE</x:v>
      </x:c>
      <x:c r="G6" s="11" t="str">
        <x:v>ROE年化</x:v>
      </x:c>
      <x:c r="H6" s="11" t="str">
        <x:v>NIM</x:v>
      </x:c>
      <x:c r="I6" s="11" t="str">
        <x:v>NPL</x:v>
      </x:c>
      <x:c r="J6" s="11" t="str">
        <x:v>拨备覆盖</x:v>
      </x:c>
      <x:c r="K6" s="11" t="str">
        <x:v>CET1</x:v>
      </x:c>
      <x:c r="L6" s="11" t="str">
        <x:v>成本收入比</x:v>
      </x:c>
      <x:c r="M6" s="11" t="str">
        <x:v>营收同比</x:v>
      </x:c>
      <x:c r="N6" s="11" t="str">
        <x:v>净利同比</x:v>
      </x:c>
      <x:c r="O6" s="4"/>
      <x:c r="P6" s="4"/>
      <x:c r="Q6" s="4"/>
      <x:c r="R6" s="4"/>
    </x:row>
    <x:row r="7">
      <x:c r="A7" s="21" t="str">
        <x:v>宁波银行</x:v>
      </x:c>
      <x:c r="B7" s="59" t="n">
        <x:v>35.5</x:v>
      </x:c>
      <x:c r="C7" s="59" t="n">
        <x:v>36.76</x:v>
      </x:c>
      <x:c r="D7" s="59" t="n">
        <x:v>2.51</x:v>
      </x:c>
      <x:c r="E7" s="62" t="n">
        <x:f>B7/C7</x:f>
        <x:v>0.9657236126224157</x:v>
      </x:c>
      <x:c r="F7" s="62" t="n">
        <x:f>B7/(D7*2)</x:f>
        <x:v>7.071713147410359</x:v>
      </x:c>
      <x:c r="G7" s="61" t="n">
        <x:v>0.1424</x:v>
      </x:c>
      <x:c r="H7" s="61" t="n">
        <x:v>0.017</x:v>
      </x:c>
      <x:c r="I7" s="61" t="n">
        <x:v>0.0076</x:v>
      </x:c>
      <x:c r="J7" s="62" t="n">
        <x:v>3.7335</x:v>
      </x:c>
      <x:c r="K7" s="61" t="n">
        <x:v>0.0953</x:v>
      </x:c>
      <x:c r="L7" s="61" t="n">
        <x:v>0.2717</x:v>
      </x:c>
      <x:c r="M7" s="61" t="n">
        <x:v>0.1154</x:v>
      </x:c>
      <x:c r="N7" s="61" t="n">
        <x:v>0.1212</x:v>
      </x:c>
      <x:c r="O7" s="4"/>
      <x:c r="P7" s="4"/>
      <x:c r="Q7" s="4"/>
      <x:c r="R7" s="4"/>
    </x:row>
    <x:row r="8">
      <x:c r="A8" s="19" t="str">
        <x:v>江苏银行</x:v>
      </x:c>
      <x:c r="B8" s="36" t="n">
        <x:v>12.4</x:v>
      </x:c>
      <x:c r="C8" s="36" t="n">
        <x:v>14.79</x:v>
      </x:c>
      <x:c r="D8" s="36" t="n">
        <x:v>1.13</x:v>
      </x:c>
      <x:c r="E8" s="37" t="n">
        <x:f>B8/C8</x:f>
        <x:v>0.8384043272481407</x:v>
      </x:c>
      <x:c r="F8" s="37" t="n">
        <x:f>B8/(D8*2)</x:f>
        <x:v>5.486725663716815</x:v>
      </x:c>
      <x:c r="G8" s="53" t="n">
        <x:v>0.1572</x:v>
      </x:c>
      <x:c r="H8" s="53" t="n">
        <x:v>0.0164</x:v>
      </x:c>
      <x:c r="I8" s="53" t="n">
        <x:v>0.0081</x:v>
      </x:c>
      <x:c r="J8" s="58" t="n">
        <x:v>3.0483</x:v>
      </x:c>
      <x:c r="K8" s="53" t="n">
        <x:v>0.0867</x:v>
      </x:c>
      <x:c r="L8" s="53" t="n">
        <x:v>0.2043</x:v>
      </x:c>
      <x:c r="M8" s="53" t="n">
        <x:v>0.0911</x:v>
      </x:c>
      <x:c r="N8" s="53" t="n">
        <x:v>0.0809</x:v>
      </x:c>
      <x:c r="O8" s="4"/>
      <x:c r="P8" s="4"/>
      <x:c r="Q8" s="4"/>
      <x:c r="R8" s="4"/>
    </x:row>
    <x:row r="9">
      <x:c r="A9" s="19" t="str">
        <x:v>杭州银行</x:v>
      </x:c>
      <x:c r="B9" s="36" t="n">
        <x:v>17.19</x:v>
      </x:c>
      <x:c r="C9" s="36" t="n">
        <x:v>19.84</x:v>
      </x:c>
      <x:c r="D9" s="36" t="n">
        <x:v>1.7</x:v>
      </x:c>
      <x:c r="E9" s="37" t="n">
        <x:f>B9/C9</x:f>
        <x:v>0.8664314516129032</x:v>
      </x:c>
      <x:c r="F9" s="37" t="n">
        <x:f>B9/(D9*2)</x:f>
        <x:v>5.055882352941177</x:v>
      </x:c>
      <x:c r="G9" s="53" t="n">
        <x:v>0.1774</x:v>
      </x:c>
      <x:c r="H9" s="53" t="n">
        <x:v>0.0139</x:v>
      </x:c>
      <x:c r="I9" s="53" t="n">
        <x:v>0.0076</x:v>
      </x:c>
      <x:c r="J9" s="58" t="n">
        <x:v>4.7196</x:v>
      </x:c>
      <x:c r="K9" s="53" t="n">
        <x:v>0.0952</x:v>
      </x:c>
      <x:c r="L9" s="53" t="n">
        <x:v>0.2294</x:v>
      </x:c>
      <x:c r="M9" s="53" t="n">
        <x:v>0.0475</x:v>
      </x:c>
      <x:c r="N9" s="53" t="n">
        <x:v>0.0987</x:v>
      </x:c>
      <x:c r="O9" s="4"/>
      <x:c r="P9" s="4"/>
      <x:c r="Q9" s="4"/>
      <x:c r="R9" s="4"/>
    </x:row>
    <x:row r="10">
      <x:c r="A10" s="19" t="str">
        <x:v>南京银行</x:v>
      </x:c>
      <x:c r="B10" s="36" t="n">
        <x:v>11.94</x:v>
      </x:c>
      <x:c r="C10" s="36" t="n">
        <x:v>15.62</x:v>
      </x:c>
      <x:c r="D10" s="36" t="n">
        <x:v>1.1</x:v>
      </x:c>
      <x:c r="E10" s="37" t="n">
        <x:f>B10/C10</x:f>
        <x:v>0.764404609475032</x:v>
      </x:c>
      <x:c r="F10" s="37" t="n">
        <x:f>B10/(D10*2)</x:f>
        <x:v>5.427272727272727</x:v>
      </x:c>
      <x:c r="G10" s="53" t="n">
        <x:v>0.145</x:v>
      </x:c>
      <x:c r="H10" s="53" t="n">
        <x:v>0.0179</x:v>
      </x:c>
      <x:c r="I10" s="53" t="n">
        <x:v>0.0082</x:v>
      </x:c>
      <x:c r="J10" s="58" t="n">
        <x:v>3.0611</x:v>
      </x:c>
      <x:c r="K10" s="53" t="n">
        <x:v>0.0937</x:v>
      </x:c>
      <x:c r="L10" s="53" t="n">
        <x:v>0.227</x:v>
      </x:c>
      <x:c r="M10" s="53" t="n">
        <x:v>0.1094</x:v>
      </x:c>
      <x:c r="N10" s="53" t="n">
        <x:v>0.0817</x:v>
      </x:c>
      <x:c r="O10" s="4"/>
      <x:c r="P10" s="4"/>
      <x:c r="Q10" s="4"/>
      <x:c r="R10" s="4"/>
    </x:row>
    <x:row r="11">
      <x:c r="A11" s="19" t="str">
        <x:v>成都银行</x:v>
      </x:c>
      <x:c r="B11" s="36" t="n">
        <x:v>19.25</x:v>
      </x:c>
      <x:c r="C11" s="36" t="n">
        <x:v>21.76</x:v>
      </x:c>
      <x:c r="D11" s="36" t="n">
        <x:v>1.63</x:v>
      </x:c>
      <x:c r="E11" s="37" t="n">
        <x:f>B11/C11</x:f>
        <x:v>0.8846507352941175</x:v>
      </x:c>
      <x:c r="F11" s="37" t="n">
        <x:f>B11/(D11*2)</x:f>
        <x:v>5.904907975460123</x:v>
      </x:c>
      <x:c r="G11" s="53" t="n">
        <x:v>0.1498</x:v>
      </x:c>
      <x:c r="H11" s="53" t="n">
        <x:v>0.0167</x:v>
      </x:c>
      <x:c r="I11" s="53" t="n">
        <x:v>0.0068</x:v>
      </x:c>
      <x:c r="J11" s="58" t="n">
        <x:v>4.2606</x:v>
      </x:c>
      <x:c r="K11" s="53" t="n">
        <x:v>0.0897</x:v>
      </x:c>
      <x:c r="L11" s="53" t="n">
        <x:v>0.2277</x:v>
      </x:c>
      <x:c r="M11" s="53" t="n">
        <x:v>0.0413</x:v>
      </x:c>
      <x:c r="N11" s="53" t="n">
        <x:v>0.0435</x:v>
      </x:c>
      <x:c r="O11" s="4"/>
      <x:c r="P11" s="4"/>
      <x:c r="Q11" s="4"/>
      <x:c r="R11" s="4"/>
    </x:row>
    <x:row r="12">
      <x:c r="A12" s="19" t="str">
        <x:v>长沙银行</x:v>
      </x:c>
      <x:c r="B12" s="36" t="n">
        <x:v>9.68</x:v>
      </x:c>
      <x:c r="C12" s="36" t="n">
        <x:v>18.89</x:v>
      </x:c>
      <x:c r="D12" s="36" t="n">
        <x:v>1.13</x:v>
      </x:c>
      <x:c r="E12" s="37" t="n">
        <x:f>B12/C12</x:f>
        <x:v>0.5124404446797247</x:v>
      </x:c>
      <x:c r="F12" s="37" t="n">
        <x:f>B12/(D12*2)</x:f>
        <x:v>4.283185840707965</x:v>
      </x:c>
      <x:c r="G12" s="53" t="n">
        <x:v>0.1234</x:v>
      </x:c>
      <x:c r="H12" s="53" t="n">
        <x:v>0.0184</x:v>
      </x:c>
      <x:c r="I12" s="53" t="n">
        <x:v>0.0115</x:v>
      </x:c>
      <x:c r="J12" s="58" t="n">
        <x:v>2.8143</x:v>
      </x:c>
      <x:c r="K12" s="53" t="n">
        <x:v>0.1025</x:v>
      </x:c>
      <x:c r="L12" s="53" t="n">
        <x:v>0.2543</x:v>
      </x:c>
      <x:c r="M12" s="53" t="n">
        <x:v>0.0401</x:v>
      </x:c>
      <x:c r="N12" s="53" t="n">
        <x:v>0.0506</x:v>
      </x:c>
      <x:c r="O12" s="4"/>
      <x:c r="P12" s="4"/>
      <x:c r="Q12" s="4"/>
      <x:c r="R12" s="4"/>
    </x:row>
    <x:row r="13">
      <x:c r="A13" s="19" t="str">
        <x:v>同业中位</x:v>
      </x:c>
      <x:c r="B13" s="19"/>
      <x:c r="C13" s="19"/>
      <x:c r="D13" s="19"/>
      <x:c r="E13" s="37" t="n">
        <x:f>MEDIAN(E8:E12)</x:f>
        <x:v>0.8384043272481407</x:v>
      </x:c>
      <x:c r="F13" s="37" t="n">
        <x:f>MEDIAN(F8:F12)</x:f>
        <x:v>5.427272727272727</x:v>
      </x:c>
      <x:c r="G13" s="54" t="n">
        <x:f>MEDIAN(G8:G12)</x:f>
        <x:v>0.1498</x:v>
      </x:c>
      <x:c r="H13" s="54" t="n">
        <x:f>MEDIAN(H8:H12)</x:f>
        <x:v>0.0167</x:v>
      </x:c>
      <x:c r="I13" s="54" t="n">
        <x:f>MEDIAN(I8:I12)</x:f>
        <x:v>0.0081</x:v>
      </x:c>
      <x:c r="J13" s="37" t="n">
        <x:f>MEDIAN(J8:J12)</x:f>
        <x:v>3.0611</x:v>
      </x:c>
      <x:c r="K13" s="54" t="n">
        <x:f>MEDIAN(K8:K12)</x:f>
        <x:v>0.0937</x:v>
      </x:c>
      <x:c r="L13" s="54" t="n">
        <x:f>MEDIAN(L8:L12)</x:f>
        <x:v>0.2277</x:v>
      </x:c>
      <x:c r="M13" s="54" t="n">
        <x:f>MEDIAN(M8:M12)</x:f>
        <x:v>0.0475</x:v>
      </x:c>
      <x:c r="N13" s="54" t="n">
        <x:f>MEDIAN(N8:N12)</x:f>
        <x:v>0.0809</x:v>
      </x:c>
      <x:c r="O13" s="4"/>
      <x:c r="P13" s="4"/>
      <x:c r="Q13" s="4"/>
      <x:c r="R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</x:row>
    <x:row r="16" ht="23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9" t="str">
        <x:v>ROE调整PB估值</x:v>
      </x:c>
      <x:c r="L16" s="9" t="str">
        <x:v>ROE调整PB估值</x:v>
      </x:c>
      <x:c r="M16" s="9" t="str">
        <x:v>ROE调整PB估值</x:v>
      </x:c>
      <x:c r="N16" s="9" t="str">
        <x:v>ROE调整PB估值</x:v>
      </x:c>
      <x:c r="O16" s="9" t="str">
        <x:v>ROE调整PB估值</x:v>
      </x:c>
      <x:c r="P16" s="9" t="str">
        <x:v>ROE调整PB估值</x:v>
      </x:c>
      <x:c r="Q16" s="9" t="str">
        <x:v>ROE调整PB估值</x:v>
      </x:c>
      <x:c r="R16" s="9" t="str">
        <x:v>ROE调整PB估值</x:v>
      </x:c>
    </x:row>
    <x:row r="17" ht="23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11" t="str">
        <x:v>项目</x:v>
      </x:c>
      <x:c r="L17" s="11" t="str">
        <x:v>数值</x:v>
      </x:c>
      <x:c r="M17" s="11" t="str">
        <x:v>说明</x:v>
      </x:c>
      <x:c r="N17" s="11"/>
      <x:c r="O17" s="11"/>
      <x:c r="P17" s="11"/>
      <x:c r="Q17" s="11"/>
      <x:c r="R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19" t="str">
        <x:v>同业PB中位</x:v>
      </x:c>
      <x:c r="L18" s="37" t="n">
        <x:f>E13</x:f>
        <x:v>0.8384043272481407</x:v>
      </x:c>
      <x:c r="M18" s="19" t="str">
        <x:v>5家区域银行中位</x:v>
      </x:c>
      <x:c r="N18" s="19"/>
      <x:c r="O18" s="19"/>
      <x:c r="P18" s="19"/>
      <x:c r="Q18" s="19"/>
      <x:c r="R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19" t="str">
        <x:v>同业ROE中位</x:v>
      </x:c>
      <x:c r="L19" s="54" t="n">
        <x:f>G13</x:f>
        <x:v>0.1498</x:v>
      </x:c>
      <x:c r="M19" s="19" t="str">
        <x:v>年化</x:v>
      </x:c>
      <x:c r="N19" s="19"/>
      <x:c r="O19" s="19"/>
      <x:c r="P19" s="19"/>
      <x:c r="Q19" s="19"/>
      <x:c r="R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19" t="str">
        <x:v>宁波归一化ROE</x:v>
      </x:c>
      <x:c r="L20" s="54" t="n">
        <x:f>'估值系统'!B17</x:f>
        <x:v>0.13</x:v>
      </x:c>
      <x:c r="M20" s="19" t="str">
        <x:v>模型假设</x:v>
      </x:c>
      <x:c r="N20" s="19"/>
      <x:c r="O20" s="19"/>
      <x:c r="P20" s="19"/>
      <x:c r="Q20" s="19"/>
      <x:c r="R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19" t="str">
        <x:v>ROE弹性β</x:v>
      </x:c>
      <x:c r="L21" s="39" t="n">
        <x:f>'估值系统'!B21</x:f>
        <x:v>0.8</x:v>
      </x:c>
      <x:c r="M21" s="19" t="str">
        <x:v>可编辑</x:v>
      </x:c>
      <x:c r="N21" s="19"/>
      <x:c r="O21" s="19"/>
      <x:c r="P21" s="19"/>
      <x:c r="Q21" s="19"/>
      <x:c r="R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19" t="str">
        <x:v>风险调整</x:v>
      </x:c>
      <x:c r="L22" s="39" t="n">
        <x:f>'估值系统'!B22</x:f>
        <x:v>1</x:v>
      </x:c>
      <x:c r="M22" s="19" t="str">
        <x:v>额外折溢价</x:v>
      </x:c>
      <x:c r="N22" s="19"/>
      <x:c r="O22" s="19"/>
      <x:c r="P22" s="19"/>
      <x:c r="Q22" s="19"/>
      <x:c r="R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19" t="str">
        <x:v>调整后PB / 每股价值</x:v>
      </x:c>
      <x:c r="L23" s="37" t="n">
        <x:f>L18*(L20/L19)^L21*L22</x:f>
        <x:v>0.7485119570152712</x:v>
      </x:c>
      <x:c r="M23" s="31"/>
      <x:c r="N23" s="31"/>
      <x:c r="O23" s="31"/>
      <x:c r="P23" s="31"/>
      <x:c r="Q23" s="32" t="n">
        <x:f>L23*'估值系统'!B8</x:f>
        <x:v>27.51529953988137</x:v>
      </x:c>
      <x:c r="R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L26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M26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N26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O26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P26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Q26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R26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L27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M27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N27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O27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P27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Q27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R27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L28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M28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N28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O28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P28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Q28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R28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L29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M29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N29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O29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P29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Q29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R29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L30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M30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N30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O30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P30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Q30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R30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L31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M31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N31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O31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P31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Q31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R31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L32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M32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N32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O32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P32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Q32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  <x:c r="R32" s="17" t="str">
        <x:v>结论：宁波银行的ROE、资产质量和手续费增长优于多数同业，但当前PB约0.97x，高于区域同业中位约0.84x。按ROE差异以0.8弹性调整后，压力测试价值约27.5元。该方法反映行业定价环境，不代表其长期质量溢价必然消失，因此在综合估值中权重为20%。</x:v>
      </x:c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</x:row>
  </x:sheetData>
  <x:mergeCells>
    <x:mergeCell ref="A1:R2"/>
    <x:mergeCell ref="A3:R3"/>
    <x:mergeCell ref="A5:N5"/>
    <x:mergeCell ref="K16:R16"/>
    <x:mergeCell ref="M17:P17"/>
    <x:mergeCell ref="M18:P18"/>
    <x:mergeCell ref="M19:P19"/>
    <x:mergeCell ref="M20:P20"/>
    <x:mergeCell ref="M21:P21"/>
    <x:mergeCell ref="M22:P22"/>
    <x:mergeCell ref="M23:P23"/>
    <x:mergeCell ref="K26:R32"/>
  </x:mergeCells>
  <x:pageMargins left="0.7" right="0.7" top="0.75" bottom="0.75" header="0.3" footer="0.3"/>
  <x:drawing xmlns:r="http://schemas.openxmlformats.org/officeDocument/2006/relationships" r:id="R564de7e60aa4418d"/>
</x:worksheet>
</file>

<file path=xl/worksheets/sheet9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2" hidden="0" customWidth="1"/>
    <x:col min="4" max="4" width="12" hidden="0" customWidth="1"/>
    <x:col min="5" max="5" width="15" hidden="0" customWidth="1"/>
    <x:col min="6" max="6" width="14" hidden="0" customWidth="1"/>
    <x:col min="7" max="7" width="12" hidden="0" customWidth="1"/>
    <x:col min="8" max="8" width="14" hidden="0" customWidth="1"/>
    <x:col min="9" max="9" width="11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34" customHeight="1">
      <x:c r="A1" s="6" t="str">
        <x:v>宁波银行：巴菲特式银行分析框架</x:v>
      </x:c>
      <x:c r="B1" s="6" t="str">
        <x:v>宁波银行：巴菲特式银行分析框架</x:v>
      </x:c>
      <x:c r="C1" s="6" t="str">
        <x:v>宁波银行：巴菲特式银行分析框架</x:v>
      </x:c>
      <x:c r="D1" s="6" t="str">
        <x:v>宁波银行：巴菲特式银行分析框架</x:v>
      </x:c>
      <x:c r="E1" s="6" t="str">
        <x:v>宁波银行：巴菲特式银行分析框架</x:v>
      </x:c>
      <x:c r="F1" s="6" t="str">
        <x:v>宁波银行：巴菲特式银行分析框架</x:v>
      </x:c>
      <x:c r="G1" s="6" t="str">
        <x:v>宁波银行：巴菲特式银行分析框架</x:v>
      </x:c>
      <x:c r="H1" s="6" t="str">
        <x:v>宁波银行：巴菲特式银行分析框架</x:v>
      </x:c>
      <x:c r="I1" s="6" t="str">
        <x:v>宁波银行：巴菲特式银行分析框架</x:v>
      </x:c>
      <x:c r="J1" s="6" t="str">
        <x:v>宁波银行：巴菲特式银行分析框架</x:v>
      </x:c>
      <x:c r="K1" s="6" t="str">
        <x:v>宁波银行：巴菲特式银行分析框架</x:v>
      </x:c>
      <x:c r="L1" s="6" t="str">
        <x:v>宁波银行：巴菲特式银行分析框架</x:v>
      </x:c>
    </x:row>
    <x:row r="2" ht="34" customHeight="1">
      <x:c r="A2" s="6" t="str">
        <x:v>宁波银行：巴菲特式银行分析框架</x:v>
      </x:c>
      <x:c r="B2" s="6" t="str">
        <x:v>宁波银行：巴菲特式银行分析框架</x:v>
      </x:c>
      <x:c r="C2" s="6" t="str">
        <x:v>宁波银行：巴菲特式银行分析框架</x:v>
      </x:c>
      <x:c r="D2" s="6" t="str">
        <x:v>宁波银行：巴菲特式银行分析框架</x:v>
      </x:c>
      <x:c r="E2" s="6" t="str">
        <x:v>宁波银行：巴菲特式银行分析框架</x:v>
      </x:c>
      <x:c r="F2" s="6" t="str">
        <x:v>宁波银行：巴菲特式银行分析框架</x:v>
      </x:c>
      <x:c r="G2" s="6" t="str">
        <x:v>宁波银行：巴菲特式银行分析框架</x:v>
      </x:c>
      <x:c r="H2" s="6" t="str">
        <x:v>宁波银行：巴菲特式银行分析框架</x:v>
      </x:c>
      <x:c r="I2" s="6" t="str">
        <x:v>宁波银行：巴菲特式银行分析框架</x:v>
      </x:c>
      <x:c r="J2" s="6" t="str">
        <x:v>宁波银行：巴菲特式银行分析框架</x:v>
      </x:c>
      <x:c r="K2" s="6" t="str">
        <x:v>宁波银行：巴菲特式银行分析框架</x:v>
      </x:c>
      <x:c r="L2" s="6" t="str">
        <x:v>宁波银行：巴菲特式银行分析框架</x:v>
      </x:c>
    </x:row>
    <x:row r="3" ht="24" customHeight="1">
      <x:c r="A3" s="7" t="str">
        <x:v>关注护城河、管理层、资本配置与永久损失风险</x:v>
      </x:c>
      <x:c r="B3" s="7" t="str">
        <x:v>关注护城河、管理层、资本配置与永久损失风险</x:v>
      </x:c>
      <x:c r="C3" s="7" t="str">
        <x:v>关注护城河、管理层、资本配置与永久损失风险</x:v>
      </x:c>
      <x:c r="D3" s="7" t="str">
        <x:v>关注护城河、管理层、资本配置与永久损失风险</x:v>
      </x:c>
      <x:c r="E3" s="7" t="str">
        <x:v>关注护城河、管理层、资本配置与永久损失风险</x:v>
      </x:c>
      <x:c r="F3" s="7" t="str">
        <x:v>关注护城河、管理层、资本配置与永久损失风险</x:v>
      </x:c>
      <x:c r="G3" s="7" t="str">
        <x:v>关注护城河、管理层、资本配置与永久损失风险</x:v>
      </x:c>
      <x:c r="H3" s="7" t="str">
        <x:v>关注护城河、管理层、资本配置与永久损失风险</x:v>
      </x:c>
      <x:c r="I3" s="7" t="str">
        <x:v>关注护城河、管理层、资本配置与永久损失风险</x:v>
      </x:c>
      <x:c r="J3" s="7" t="str">
        <x:v>关注护城河、管理层、资本配置与永久损失风险</x:v>
      </x:c>
      <x:c r="K3" s="7" t="str">
        <x:v>关注护城河、管理层、资本配置与永久损失风险</x:v>
      </x:c>
      <x:c r="L3" s="7" t="str">
        <x:v>关注护城河、管理层、资本配置与永久损失风险</x:v>
      </x:c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</x:row>
    <x:row r="5" ht="23" customHeight="1">
      <x:c r="A5" s="11" t="str">
        <x:v>维度</x:v>
      </x:c>
      <x:c r="B5" s="11" t="str">
        <x:v>客观证据</x:v>
      </x:c>
      <x:c r="C5" s="11"/>
      <x:c r="D5" s="11"/>
      <x:c r="E5" s="11"/>
      <x:c r="F5" s="11" t="str">
        <x:v>研究判断</x:v>
      </x:c>
      <x:c r="G5" s="11"/>
      <x:c r="H5" s="11"/>
      <x:c r="I5" s="11" t="str">
        <x:v>状态</x:v>
      </x:c>
      <x:c r="J5" s="11" t="str">
        <x:v>失效条件</x:v>
      </x:c>
      <x:c r="K5" s="11"/>
      <x:c r="L5" s="11"/>
    </x:row>
    <x:row r="6">
      <x:c r="A6" s="19" t="str">
        <x:v>能力圈</x:v>
      </x:c>
      <x:c r="B6" s="29" t="str">
        <x:v>全国性城商行，区域深耕、零售与财富管理并重</x:v>
      </x:c>
      <x:c r="C6" s="29"/>
      <x:c r="D6" s="29"/>
      <x:c r="E6" s="29"/>
      <x:c r="F6" s="34" t="str">
        <x:v>业务模式可理解，收益来自利差、手续费与金融市场</x:v>
      </x:c>
      <x:c r="G6" s="34"/>
      <x:c r="H6" s="34"/>
      <x:c r="I6" s="44" t="str">
        <x:v>可理解</x:v>
      </x:c>
      <x:c r="J6" s="19" t="str">
        <x:v>非息波动长期主导利润</x:v>
      </x:c>
      <x:c r="K6" s="19"/>
      <x:c r="L6" s="19"/>
    </x:row>
    <x:row r="7">
      <x:c r="A7" s="19" t="str">
        <x:v>护城河</x:v>
      </x:c>
      <x:c r="B7" s="29" t="str">
        <x:v>存款成本1.32%，同比下降39bp；活期存款占比35.57%</x:v>
      </x:c>
      <x:c r="C7" s="29"/>
      <x:c r="D7" s="29"/>
      <x:c r="E7" s="29"/>
      <x:c r="F7" s="34" t="str">
        <x:v>负债端改善是当前最重要的竞争优势</x:v>
      </x:c>
      <x:c r="G7" s="34"/>
      <x:c r="H7" s="34"/>
      <x:c r="I7" s="44" t="str">
        <x:v>较强</x:v>
      </x:c>
      <x:c r="J7" s="19" t="str">
        <x:v>存款成本重新上行且活期占比下降</x:v>
      </x:c>
      <x:c r="K7" s="19"/>
      <x:c r="L7" s="19"/>
    </x:row>
    <x:row r="8">
      <x:c r="A8" s="19" t="str">
        <x:v>信用文化</x:v>
      </x:c>
      <x:c r="B8" s="29" t="str">
        <x:v>NPL 0.76%、拨备覆盖373.35%，长期保持低不良</x:v>
      </x:c>
      <x:c r="C8" s="29"/>
      <x:c r="D8" s="29"/>
      <x:c r="E8" s="29"/>
      <x:c r="F8" s="34" t="str">
        <x:v>总体审慎，但零售经营贷需单独看</x:v>
      </x:c>
      <x:c r="G8" s="34"/>
      <x:c r="H8" s="34"/>
      <x:c r="I8" s="44" t="str">
        <x:v>较强</x:v>
      </x:c>
      <x:c r="J8" s="19" t="str">
        <x:v>经营贷NPL持续&gt;4.2%且拨备覆盖&lt;300%</x:v>
      </x:c>
      <x:c r="K8" s="19"/>
      <x:c r="L8" s="19"/>
    </x:row>
    <x:row r="9">
      <x:c r="A9" s="19" t="str">
        <x:v>盈利质量</x:v>
      </x:c>
      <x:c r="B9" s="29" t="str">
        <x:v>1H26 PPOP约297.40亿元，同比+16.77%</x:v>
      </x:c>
      <x:c r="C9" s="29"/>
      <x:c r="D9" s="29"/>
      <x:c r="E9" s="29"/>
      <x:c r="F9" s="34" t="str">
        <x:v>减值前利润仍能覆盖信用成本</x:v>
      </x:c>
      <x:c r="G9" s="34"/>
      <x:c r="H9" s="34"/>
      <x:c r="I9" s="44" t="str">
        <x:v>良好</x:v>
      </x:c>
      <x:c r="J9" s="19" t="str">
        <x:v>减值增长持续快于PPOP</x:v>
      </x:c>
      <x:c r="K9" s="19"/>
      <x:c r="L9" s="19"/>
    </x:row>
    <x:row r="10">
      <x:c r="A10" s="19" t="str">
        <x:v>资本效率</x:v>
      </x:c>
      <x:c r="B10" s="29" t="str">
        <x:v>ROE 14.24%，CET1 9.53%</x:v>
      </x:c>
      <x:c r="C10" s="29"/>
      <x:c r="D10" s="29"/>
      <x:c r="E10" s="29"/>
      <x:c r="F10" s="34" t="str">
        <x:v>ROE较高但资本缓冲并不宽裕</x:v>
      </x:c>
      <x:c r="G10" s="34"/>
      <x:c r="H10" s="34"/>
      <x:c r="I10" s="44" t="str">
        <x:v>中性</x:v>
      </x:c>
      <x:c r="J10" s="19" t="str">
        <x:v>CET1&lt;9%或扩表明显降速</x:v>
      </x:c>
      <x:c r="K10" s="19"/>
      <x:c r="L10" s="19"/>
    </x:row>
    <x:row r="11">
      <x:c r="A11" s="19" t="str">
        <x:v>管理层诚信</x:v>
      </x:c>
      <x:c r="B11" s="29" t="str">
        <x:v>报告经过董事会审议，财务报告经审阅；高管变动已披露</x:v>
      </x:c>
      <x:c r="C11" s="29"/>
      <x:c r="D11" s="29"/>
      <x:c r="E11" s="29"/>
      <x:c r="F11" s="34" t="str">
        <x:v>未发现公开披露层面的重大红旗，仍需观察换届后的连续性</x:v>
      </x:c>
      <x:c r="G11" s="34"/>
      <x:c r="H11" s="34"/>
      <x:c r="I11" s="44" t="str">
        <x:v>观察</x:v>
      </x:c>
      <x:c r="J11" s="19" t="str">
        <x:v>关联交易或风险披露质量恶化</x:v>
      </x:c>
      <x:c r="K11" s="19"/>
      <x:c r="L11" s="19"/>
    </x:row>
    <x:row r="12">
      <x:c r="A12" s="19" t="str">
        <x:v>资本配置</x:v>
      </x:c>
      <x:c r="B12" s="29" t="str">
        <x:v>2025分红率27.99%；2026中期拟派0.40元/股</x:v>
      </x:c>
      <x:c r="C12" s="29"/>
      <x:c r="D12" s="29"/>
      <x:c r="E12" s="29"/>
      <x:c r="F12" s="34" t="str">
        <x:v>支付率上升对股东友好，但必须服从资本约束</x:v>
      </x:c>
      <x:c r="G12" s="34"/>
      <x:c r="H12" s="34"/>
      <x:c r="I12" s="44" t="str">
        <x:v>改善</x:v>
      </x:c>
      <x:c r="J12" s="19" t="str">
        <x:v>高分红伴随CET1持续下行</x:v>
      </x:c>
      <x:c r="K12" s="19"/>
      <x:c r="L12" s="19"/>
    </x:row>
    <x:row r="13">
      <x:c r="A13" s="19" t="str">
        <x:v>逆向风险</x:v>
      </x:c>
      <x:c r="B13" s="29" t="str">
        <x:v>当前PB低于自身十年中位但高于区域同业</x:v>
      </x:c>
      <x:c r="C13" s="29"/>
      <x:c r="D13" s="29"/>
      <x:c r="E13" s="29"/>
      <x:c r="F13" s="34" t="str">
        <x:v>估值矛盾来自质量溢价与行业折价的拉扯</x:v>
      </x:c>
      <x:c r="G13" s="34"/>
      <x:c r="H13" s="34"/>
      <x:c r="I13" s="44" t="str">
        <x:v>分化</x:v>
      </x:c>
      <x:c r="J13" s="19" t="str">
        <x:v>ROE下行至同业水平而溢价不收敛</x:v>
      </x:c>
      <x:c r="K13" s="19"/>
      <x:c r="L13" s="19"/>
    </x:row>
    <x:row r="14">
      <x:c r="A14" s="19" t="str">
        <x:v>永久损失</x:v>
      </x:c>
      <x:c r="B14" s="29" t="str">
        <x:v>零售信贷、息差、资本、区域/地产集中</x:v>
      </x:c>
      <x:c r="C14" s="29"/>
      <x:c r="D14" s="29"/>
      <x:c r="E14" s="29"/>
      <x:c r="F14" s="34" t="str">
        <x:v>永久损失风险尚低，但需防结构性风险累积</x:v>
      </x:c>
      <x:c r="G14" s="34"/>
      <x:c r="H14" s="34"/>
      <x:c r="I14" s="44" t="str">
        <x:v>可控</x:v>
      </x:c>
      <x:c r="J14" s="19" t="str">
        <x:v>多项预警线同时触发</x:v>
      </x:c>
      <x:c r="K14" s="19"/>
      <x:c r="L14" s="19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</x:row>
    <x:row r="17" ht="23" customHeight="1">
      <x:c r="A17" s="9" t="str">
        <x:v>穿透式检查清单</x:v>
      </x:c>
      <x:c r="B17" s="9" t="str">
        <x:v>穿透式检查清单</x:v>
      </x:c>
      <x:c r="C17" s="9" t="str">
        <x:v>穿透式检查清单</x:v>
      </x:c>
      <x:c r="D17" s="9" t="str">
        <x:v>穿透式检查清单</x:v>
      </x:c>
      <x:c r="E17" s="9" t="str">
        <x:v>穿透式检查清单</x:v>
      </x:c>
      <x:c r="F17" s="9" t="str">
        <x:v>穿透式检查清单</x:v>
      </x:c>
      <x:c r="G17" s="9" t="str">
        <x:v>穿透式检查清单</x:v>
      </x:c>
      <x:c r="H17" s="9" t="str">
        <x:v>穿透式检查清单</x:v>
      </x:c>
      <x:c r="I17" s="9" t="str">
        <x:v>穿透式检查清单</x:v>
      </x:c>
      <x:c r="J17" s="9" t="str">
        <x:v>穿透式检查清单</x:v>
      </x:c>
      <x:c r="K17" s="9" t="str">
        <x:v>穿透式检查清单</x:v>
      </x:c>
      <x:c r="L17" s="9" t="str">
        <x:v>穿透式检查清单</x:v>
      </x:c>
    </x:row>
    <x:row r="18" ht="23" customHeight="1">
      <x:c r="A18" s="11" t="str">
        <x:v>问题</x:v>
      </x:c>
      <x:c r="B18" s="11" t="str">
        <x:v>当前证据</x:v>
      </x:c>
      <x:c r="C18" s="11"/>
      <x:c r="D18" s="11"/>
      <x:c r="E18" s="11"/>
      <x:c r="F18" s="11" t="str">
        <x:v>结论</x:v>
      </x:c>
      <x:c r="G18" s="11"/>
      <x:c r="H18" s="11" t="str">
        <x:v>后续验证</x:v>
      </x:c>
      <x:c r="I18" s="11"/>
      <x:c r="J18" s="11"/>
      <x:c r="K18" s="11"/>
      <x:c r="L18" s="11"/>
    </x:row>
    <x:row r="19">
      <x:c r="A19" s="19" t="str">
        <x:v>利润是否靠拨备释放？</x:v>
      </x:c>
      <x:c r="B19" s="29" t="str">
        <x:v>1H26贷款减值+26.35%，并非拨备释放驱动</x:v>
      </x:c>
      <x:c r="C19" s="29"/>
      <x:c r="D19" s="29"/>
      <x:c r="E19" s="29"/>
      <x:c r="F19" s="34" t="str">
        <x:v>否</x:v>
      </x:c>
      <x:c r="G19" s="34"/>
      <x:c r="H19" s="19" t="str">
        <x:v>关注减值/PPOP与核销</x:v>
      </x:c>
      <x:c r="I19" s="19"/>
      <x:c r="J19" s="19"/>
      <x:c r="K19" s="19"/>
      <x:c r="L19" s="19"/>
    </x:row>
    <x:row r="20">
      <x:c r="A20" s="19" t="str">
        <x:v>是否依赖单一收入？</x:v>
      </x:c>
      <x:c r="B20" s="29" t="str">
        <x:v>利息净收入+14.26%，手续费净收入+53.90%</x:v>
      </x:c>
      <x:c r="C20" s="29"/>
      <x:c r="D20" s="29"/>
      <x:c r="E20" s="29"/>
      <x:c r="F20" s="34" t="str">
        <x:v>分散改善</x:v>
      </x:c>
      <x:c r="G20" s="34"/>
      <x:c r="H20" s="19" t="str">
        <x:v>关注非息波动</x:v>
      </x:c>
      <x:c r="I20" s="19"/>
      <x:c r="J20" s="19"/>
      <x:c r="K20" s="19"/>
      <x:c r="L20" s="19"/>
    </x:row>
    <x:row r="21">
      <x:c r="A21" s="19" t="str">
        <x:v>高ROE是否透支资本？</x:v>
      </x:c>
      <x:c r="B21" s="29" t="str">
        <x:v>ROE14.24%，CET1 9.53%</x:v>
      </x:c>
      <x:c r="C21" s="29"/>
      <x:c r="D21" s="29"/>
      <x:c r="E21" s="29"/>
      <x:c r="F21" s="34" t="str">
        <x:v>部分约束</x:v>
      </x:c>
      <x:c r="G21" s="34"/>
      <x:c r="H21" s="19" t="str">
        <x:v>观察RWA增速与资本补充</x:v>
      </x:c>
      <x:c r="I21" s="19"/>
      <x:c r="J21" s="19"/>
      <x:c r="K21" s="19"/>
      <x:c r="L21" s="19"/>
    </x:row>
    <x:row r="22">
      <x:c r="A22" s="19" t="str">
        <x:v>资产质量是否被掩盖？</x:v>
      </x:c>
      <x:c r="B22" s="29" t="str">
        <x:v>&gt;90天逾期/NPL 80.65%，认定较审慎</x:v>
      </x:c>
      <x:c r="C22" s="29"/>
      <x:c r="D22" s="29"/>
      <x:c r="E22" s="29"/>
      <x:c r="F22" s="34" t="str">
        <x:v>暂未见</x:v>
      </x:c>
      <x:c r="G22" s="34"/>
      <x:c r="H22" s="19" t="str">
        <x:v>跟踪重组贷款与迁徙率</x:v>
      </x:c>
      <x:c r="I22" s="19"/>
      <x:c r="J22" s="19"/>
      <x:c r="K22" s="19"/>
      <x:c r="L22" s="19"/>
    </x:row>
    <x:row r="23">
      <x:c r="A23" s="19" t="str">
        <x:v>房地产风险是否可控？</x:v>
      </x:c>
      <x:c r="B23" s="29" t="str">
        <x:v>公司地产NPL0.25%，按揭NPL1.20%</x:v>
      </x:c>
      <x:c r="C23" s="29"/>
      <x:c r="D23" s="29"/>
      <x:c r="E23" s="29"/>
      <x:c r="F23" s="34" t="str">
        <x:v>账面可控</x:v>
      </x:c>
      <x:c r="G23" s="34"/>
      <x:c r="H23" s="19" t="str">
        <x:v>需补充广义地产暴露</x:v>
      </x:c>
      <x:c r="I23" s="19"/>
      <x:c r="J23" s="19"/>
      <x:c r="K23" s="19"/>
      <x:c r="L23" s="19"/>
    </x:row>
    <x:row r="24">
      <x:c r="A24" s="19" t="str">
        <x:v>分红是否可持续？</x:v>
      </x:c>
      <x:c r="B24" s="29" t="str">
        <x:v>2025分红率27.99%，中期分红已制度化</x:v>
      </x:c>
      <x:c r="C24" s="29"/>
      <x:c r="D24" s="29"/>
      <x:c r="E24" s="29"/>
      <x:c r="F24" s="34" t="str">
        <x:v>取决于资本</x:v>
      </x:c>
      <x:c r="G24" s="34"/>
      <x:c r="H24" s="19" t="str">
        <x:v>CET1需维持安全垫</x:v>
      </x:c>
      <x:c r="I24" s="19"/>
      <x:c r="J24" s="19"/>
      <x:c r="K24" s="19"/>
      <x:c r="L24" s="19"/>
    </x:row>
    <x:row r="25">
      <x:c r="A25" s="19" t="str">
        <x:v>管理层是否稳定？</x:v>
      </x:c>
      <x:c r="B25" s="29" t="str">
        <x:v>董事长、行长变更已公告</x:v>
      </x:c>
      <x:c r="C25" s="29"/>
      <x:c r="D25" s="29"/>
      <x:c r="E25" s="29"/>
      <x:c r="F25" s="34" t="str">
        <x:v>观察期</x:v>
      </x:c>
      <x:c r="G25" s="34"/>
      <x:c r="H25" s="19" t="str">
        <x:v>看战略与风险偏好延续</x:v>
      </x:c>
      <x:c r="I25" s="19"/>
      <x:c r="J25" s="19"/>
      <x:c r="K25" s="19"/>
      <x:c r="L25" s="19"/>
    </x:row>
    <x:row r="26">
      <x:c r="A26" s="19" t="str">
        <x:v>估值是否足够便宜？</x:v>
      </x:c>
      <x:c r="B26" s="29" t="str">
        <x:v>当前PB约0.97x；同业压力测试27.5元</x:v>
      </x:c>
      <x:c r="C26" s="29"/>
      <x:c r="D26" s="29"/>
      <x:c r="E26" s="29"/>
      <x:c r="F26" s="34" t="str">
        <x:v>边际有限</x:v>
      </x:c>
      <x:c r="G26" s="34"/>
      <x:c r="H26" s="19" t="str">
        <x:v>等待价格或盈利验证</x:v>
      </x:c>
      <x:c r="I26" s="19"/>
      <x:c r="J26" s="19"/>
      <x:c r="K26" s="19"/>
      <x:c r="L26" s="19"/>
    </x:row>
    <x:row r="27">
      <x:c r="A27" s="19" t="str">
        <x:v>价值陷阱可能在哪？</x:v>
      </x:c>
      <x:c r="B27" s="29" t="str">
        <x:v>息差下行+零售风险+资本约束</x:v>
      </x:c>
      <x:c r="C27" s="29"/>
      <x:c r="D27" s="29"/>
      <x:c r="E27" s="29"/>
      <x:c r="F27" s="34" t="str">
        <x:v>结构风险</x:v>
      </x:c>
      <x:c r="G27" s="34"/>
      <x:c r="H27" s="19" t="str">
        <x:v>三项需联动监测</x:v>
      </x:c>
      <x:c r="I27" s="19"/>
      <x:c r="J27" s="19"/>
      <x:c r="K27" s="19"/>
      <x:c r="L27" s="19"/>
    </x:row>
    <x:row r="28">
      <x:c r="A28" s="19" t="str">
        <x:v>最关键变量是什么？</x:v>
      </x:c>
      <x:c r="B28" s="29" t="str">
        <x:v>长期ROE能否维持在13%左右</x:v>
      </x:c>
      <x:c r="C28" s="29"/>
      <x:c r="D28" s="29"/>
      <x:c r="E28" s="29"/>
      <x:c r="F28" s="34" t="str">
        <x:v>ROE</x:v>
      </x:c>
      <x:c r="G28" s="34"/>
      <x:c r="H28" s="19" t="str">
        <x:v>敏感性优先于短期EPS</x:v>
      </x:c>
      <x:c r="I28" s="19"/>
      <x:c r="J28" s="19"/>
      <x:c r="K28" s="19"/>
      <x:c r="L28" s="19"/>
    </x:row>
    <x:row r="29">
      <x:c r="A29" s="19" t="str">
        <x:v>最优质的证据是什么？</x:v>
      </x:c>
      <x:c r="B29" s="29" t="str">
        <x:v>长期低不良与高拨备、存款成本改善</x:v>
      </x:c>
      <x:c r="C29" s="29"/>
      <x:c r="D29" s="29"/>
      <x:c r="E29" s="29"/>
      <x:c r="F29" s="34" t="str">
        <x:v>负债+信用</x:v>
      </x:c>
      <x:c r="G29" s="34"/>
      <x:c r="H29" s="19" t="str">
        <x:v>持续性比单点更重要</x:v>
      </x:c>
      <x:c r="I29" s="19"/>
      <x:c r="J29" s="19"/>
      <x:c r="K29" s="19"/>
      <x:c r="L29" s="19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</x:row>
    <x:row r="32" ht="23" customHeight="1">
      <x:c r="A32" s="9" t="str">
        <x:v>综合评分（满分5分）</x:v>
      </x:c>
      <x:c r="B32" s="9" t="str">
        <x:v>综合评分（满分5分）</x:v>
      </x:c>
      <x:c r="C32" s="9" t="str">
        <x:v>综合评分（满分5分）</x:v>
      </x:c>
      <x:c r="D32" s="9" t="str">
        <x:v>综合评分（满分5分）</x:v>
      </x:c>
      <x:c r="E32" s="9" t="str">
        <x:v>综合评分（满分5分）</x:v>
      </x:c>
      <x:c r="F32" s="9" t="str">
        <x:v>综合评分（满分5分）</x:v>
      </x:c>
      <x:c r="G32" s="9" t="str">
        <x:v>综合评分（满分5分）</x:v>
      </x:c>
      <x:c r="H32" s="9" t="str">
        <x:v>综合评分（满分5分）</x:v>
      </x:c>
      <x:c r="I32" s="9" t="str">
        <x:v>综合评分（满分5分）</x:v>
      </x:c>
      <x:c r="J32" s="9" t="str">
        <x:v>综合评分（满分5分）</x:v>
      </x:c>
      <x:c r="K32" s="9" t="str">
        <x:v>综合评分（满分5分）</x:v>
      </x:c>
      <x:c r="L32" s="9" t="str">
        <x:v>综合评分（满分5分）</x:v>
      </x:c>
    </x:row>
    <x:row r="33" ht="23" customHeight="1">
      <x:c r="A33" s="11" t="str">
        <x:v>维度</x:v>
      </x:c>
      <x:c r="B33" s="11" t="str">
        <x:v>评分</x:v>
      </x:c>
      <x:c r="C33" s="11" t="str">
        <x:v>权重</x:v>
      </x:c>
      <x:c r="D33" s="11" t="str">
        <x:v>加权分</x:v>
      </x:c>
      <x:c r="E33" s="11" t="str">
        <x:v>短评</x:v>
      </x:c>
      <x:c r="F33" s="11"/>
      <x:c r="G33" s="4"/>
      <x:c r="H33" s="17" t="str">
        <x:v>框架结论：宁波银行更像“高质量、合理价”而非“深度价值”。最重要的正面证据是长期低不良、较高拨备和负债成本改善；最重要的反面证据是零售风险抬升、核心一级资本缓冲有限，以及区域同业普遍低估对质量溢价的约束。</x:v>
      </x:c>
      <x:c r="I33" s="17" t="str">
        <x:v>框架结论：宁波银行更像“高质量、合理价”而非“深度价值”。最重要的正面证据是长期低不良、较高拨备和负债成本改善；最重要的反面证据是零售风险抬升、核心一级资本缓冲有限，以及区域同业普遍低估对质量溢价的约束。</x:v>
      </x:c>
      <x:c r="J33" s="17" t="str">
        <x:v>框架结论：宁波银行更像“高质量、合理价”而非“深度价值”。最重要的正面证据是长期低不良、较高拨备和负债成本改善；最重要的反面证据是零售风险抬升、核心一级资本缓冲有限，以及区域同业普遍低估对质量溢价的约束。</x:v>
      </x:c>
      <x:c r="K33" s="17" t="str">
        <x:v>框架结论：宁波银行更像“高质量、合理价”而非“深度价值”。最重要的正面证据是长期低不良、较高拨备和负债成本改善；最重要的反面证据是零售风险抬升、核心一级资本缓冲有限，以及区域同业普遍低估对质量溢价的约束。</x:v>
      </x:c>
      <x:c r="L33" s="17" t="str">
        <x:v>框架结论：宁波银行更像“高质量、合理价”而非“深度价值”。最重要的正面证据是长期低不良、较高拨备和负债成本改善；最重要的反面证据是零售风险抬升、核心一级资本缓冲有限，以及区域同业普遍低估对质量溢价的约束。</x:v>
      </x:c>
    </x:row>
    <x:row r="34">
      <x:c r="A34" s="19" t="str">
        <x:v>商业模式</x:v>
      </x:c>
      <x:c r="B34" s="64" t="n">
        <x:v>4.2</x:v>
      </x:c>
      <x:c r="C34" s="40" t="n">
        <x:v>0.15</x:v>
      </x:c>
      <x:c r="D34" s="32" t="n">
        <x:f>B34*C34</x:f>
        <x:v>0.63</x:v>
      </x:c>
      <x:c r="E34" s="19" t="str">
        <x:v>清晰、多轮驱动</x:v>
      </x:c>
      <x:c r="F34" s="19"/>
      <x:c r="G34" s="4"/>
      <x:c r="H34" s="17" t="str">
        <x:v>框架结论：宁波银行更像“高质量、合理价”而非“深度价值”。最重要的正面证据是长期低不良、较高拨备和负债成本改善；最重要的反面证据是零售风险抬升、核心一级资本缓冲有限，以及区域同业普遍低估对质量溢价的约束。</x:v>
      </x:c>
      <x:c r="I34" s="17" t="str">
        <x:v>框架结论：宁波银行更像“高质量、合理价”而非“深度价值”。最重要的正面证据是长期低不良、较高拨备和负债成本改善；最重要的反面证据是零售风险抬升、核心一级资本缓冲有限，以及区域同业普遍低估对质量溢价的约束。</x:v>
      </x:c>
      <x:c r="J34" s="17" t="str">
        <x:v>框架结论：宁波银行更像“高质量、合理价”而非“深度价值”。最重要的正面证据是长期低不良、较高拨备和负债成本改善；最重要的反面证据是零售风险抬升、核心一级资本缓冲有限，以及区域同业普遍低估对质量溢价的约束。</x:v>
      </x:c>
      <x:c r="K34" s="17" t="str">
        <x:v>框架结论：宁波银行更像“高质量、合理价”而非“深度价值”。最重要的正面证据是长期低不良、较高拨备和负债成本改善；最重要的反面证据是零售风险抬升、核心一级资本缓冲有限，以及区域同业普遍低估对质量溢价的约束。</x:v>
      </x:c>
      <x:c r="L34" s="17" t="str">
        <x:v>框架结论：宁波银行更像“高质量、合理价”而非“深度价值”。最重要的正面证据是长期低不良、较高拨备和负债成本改善；最重要的反面证据是零售风险抬升、核心一级资本缓冲有限，以及区域同业普遍低估对质量溢价的约束。</x:v>
      </x:c>
    </x:row>
    <x:row r="35">
      <x:c r="A35" s="19" t="str">
        <x:v>护城河</x:v>
      </x:c>
      <x:c r="B35" s="64" t="n">
        <x:v>4.3</x:v>
      </x:c>
      <x:c r="C35" s="40" t="n">
        <x:v>0.2</x:v>
      </x:c>
      <x:c r="D35" s="32" t="n">
        <x:f>B35*C35</x:f>
        <x:v>0.86</x:v>
      </x:c>
      <x:c r="E35" s="19" t="str">
        <x:v>负债基础与区域深耕</x:v>
      </x:c>
      <x:c r="F35" s="19"/>
      <x:c r="G35" s="4"/>
      <x:c r="H35" s="17" t="str">
        <x:v>框架结论：宁波银行更像“高质量、合理价”而非“深度价值”。最重要的正面证据是长期低不良、较高拨备和负债成本改善；最重要的反面证据是零售风险抬升、核心一级资本缓冲有限，以及区域同业普遍低估对质量溢价的约束。</x:v>
      </x:c>
      <x:c r="I35" s="17" t="str">
        <x:v>框架结论：宁波银行更像“高质量、合理价”而非“深度价值”。最重要的正面证据是长期低不良、较高拨备和负债成本改善；最重要的反面证据是零售风险抬升、核心一级资本缓冲有限，以及区域同业普遍低估对质量溢价的约束。</x:v>
      </x:c>
      <x:c r="J35" s="17" t="str">
        <x:v>框架结论：宁波银行更像“高质量、合理价”而非“深度价值”。最重要的正面证据是长期低不良、较高拨备和负债成本改善；最重要的反面证据是零售风险抬升、核心一级资本缓冲有限，以及区域同业普遍低估对质量溢价的约束。</x:v>
      </x:c>
      <x:c r="K35" s="17" t="str">
        <x:v>框架结论：宁波银行更像“高质量、合理价”而非“深度价值”。最重要的正面证据是长期低不良、较高拨备和负债成本改善；最重要的反面证据是零售风险抬升、核心一级资本缓冲有限，以及区域同业普遍低估对质量溢价的约束。</x:v>
      </x:c>
      <x:c r="L35" s="17" t="str">
        <x:v>框架结论：宁波银行更像“高质量、合理价”而非“深度价值”。最重要的正面证据是长期低不良、较高拨备和负债成本改善；最重要的反面证据是零售风险抬升、核心一级资本缓冲有限，以及区域同业普遍低估对质量溢价的约束。</x:v>
      </x:c>
    </x:row>
    <x:row r="36">
      <x:c r="A36" s="19" t="str">
        <x:v>资产质量</x:v>
      </x:c>
      <x:c r="B36" s="64" t="n">
        <x:v>4.4</x:v>
      </x:c>
      <x:c r="C36" s="40" t="n">
        <x:v>0.2</x:v>
      </x:c>
      <x:c r="D36" s="32" t="n">
        <x:f>B36*C36</x:f>
        <x:v>0.8800000000000001</x:v>
      </x:c>
      <x:c r="E36" s="19" t="str">
        <x:v>全行优质、零售分化</x:v>
      </x:c>
      <x:c r="F36" s="19"/>
      <x:c r="G36" s="4"/>
      <x:c r="H36" s="17" t="str">
        <x:v>框架结论：宁波银行更像“高质量、合理价”而非“深度价值”。最重要的正面证据是长期低不良、较高拨备和负债成本改善；最重要的反面证据是零售风险抬升、核心一级资本缓冲有限，以及区域同业普遍低估对质量溢价的约束。</x:v>
      </x:c>
      <x:c r="I36" s="17" t="str">
        <x:v>框架结论：宁波银行更像“高质量、合理价”而非“深度价值”。最重要的正面证据是长期低不良、较高拨备和负债成本改善；最重要的反面证据是零售风险抬升、核心一级资本缓冲有限，以及区域同业普遍低估对质量溢价的约束。</x:v>
      </x:c>
      <x:c r="J36" s="17" t="str">
        <x:v>框架结论：宁波银行更像“高质量、合理价”而非“深度价值”。最重要的正面证据是长期低不良、较高拨备和负债成本改善；最重要的反面证据是零售风险抬升、核心一级资本缓冲有限，以及区域同业普遍低估对质量溢价的约束。</x:v>
      </x:c>
      <x:c r="K36" s="17" t="str">
        <x:v>框架结论：宁波银行更像“高质量、合理价”而非“深度价值”。最重要的正面证据是长期低不良、较高拨备和负债成本改善；最重要的反面证据是零售风险抬升、核心一级资本缓冲有限，以及区域同业普遍低估对质量溢价的约束。</x:v>
      </x:c>
      <x:c r="L36" s="17" t="str">
        <x:v>框架结论：宁波银行更像“高质量、合理价”而非“深度价值”。最重要的正面证据是长期低不良、较高拨备和负债成本改善；最重要的反面证据是零售风险抬升、核心一级资本缓冲有限，以及区域同业普遍低估对质量溢价的约束。</x:v>
      </x:c>
    </x:row>
    <x:row r="37">
      <x:c r="A37" s="19" t="str">
        <x:v>盈利质量</x:v>
      </x:c>
      <x:c r="B37" s="64" t="n">
        <x:v>4</x:v>
      </x:c>
      <x:c r="C37" s="40" t="n">
        <x:v>0.15</x:v>
      </x:c>
      <x:c r="D37" s="32" t="n">
        <x:f>B37*C37</x:f>
        <x:v>0.6</x:v>
      </x:c>
      <x:c r="E37" s="19" t="str">
        <x:v>PPOP改善</x:v>
      </x:c>
      <x:c r="F37" s="19"/>
      <x:c r="G37" s="4"/>
      <x:c r="H37" s="17" t="str">
        <x:v>框架结论：宁波银行更像“高质量、合理价”而非“深度价值”。最重要的正面证据是长期低不良、较高拨备和负债成本改善；最重要的反面证据是零售风险抬升、核心一级资本缓冲有限，以及区域同业普遍低估对质量溢价的约束。</x:v>
      </x:c>
      <x:c r="I37" s="17" t="str">
        <x:v>框架结论：宁波银行更像“高质量、合理价”而非“深度价值”。最重要的正面证据是长期低不良、较高拨备和负债成本改善；最重要的反面证据是零售风险抬升、核心一级资本缓冲有限，以及区域同业普遍低估对质量溢价的约束。</x:v>
      </x:c>
      <x:c r="J37" s="17" t="str">
        <x:v>框架结论：宁波银行更像“高质量、合理价”而非“深度价值”。最重要的正面证据是长期低不良、较高拨备和负债成本改善；最重要的反面证据是零售风险抬升、核心一级资本缓冲有限，以及区域同业普遍低估对质量溢价的约束。</x:v>
      </x:c>
      <x:c r="K37" s="17" t="str">
        <x:v>框架结论：宁波银行更像“高质量、合理价”而非“深度价值”。最重要的正面证据是长期低不良、较高拨备和负债成本改善；最重要的反面证据是零售风险抬升、核心一级资本缓冲有限，以及区域同业普遍低估对质量溢价的约束。</x:v>
      </x:c>
      <x:c r="L37" s="17" t="str">
        <x:v>框架结论：宁波银行更像“高质量、合理价”而非“深度价值”。最重要的正面证据是长期低不良、较高拨备和负债成本改善；最重要的反面证据是零售风险抬升、核心一级资本缓冲有限，以及区域同业普遍低估对质量溢价的约束。</x:v>
      </x:c>
    </x:row>
    <x:row r="38">
      <x:c r="A38" s="19" t="str">
        <x:v>资本与分红</x:v>
      </x:c>
      <x:c r="B38" s="64" t="n">
        <x:v>3.4</x:v>
      </x:c>
      <x:c r="C38" s="40" t="n">
        <x:v>0.15</x:v>
      </x:c>
      <x:c r="D38" s="32" t="n">
        <x:f>B38*C38</x:f>
        <x:v>0.51</x:v>
      </x:c>
      <x:c r="E38" s="19" t="str">
        <x:v>分红改善、资本不宽</x:v>
      </x:c>
      <x:c r="F38" s="19"/>
      <x:c r="G38" s="4"/>
      <x:c r="H38" s="17" t="str">
        <x:v>框架结论：宁波银行更像“高质量、合理价”而非“深度价值”。最重要的正面证据是长期低不良、较高拨备和负债成本改善；最重要的反面证据是零售风险抬升、核心一级资本缓冲有限，以及区域同业普遍低估对质量溢价的约束。</x:v>
      </x:c>
      <x:c r="I38" s="17" t="str">
        <x:v>框架结论：宁波银行更像“高质量、合理价”而非“深度价值”。最重要的正面证据是长期低不良、较高拨备和负债成本改善；最重要的反面证据是零售风险抬升、核心一级资本缓冲有限，以及区域同业普遍低估对质量溢价的约束。</x:v>
      </x:c>
      <x:c r="J38" s="17" t="str">
        <x:v>框架结论：宁波银行更像“高质量、合理价”而非“深度价值”。最重要的正面证据是长期低不良、较高拨备和负债成本改善；最重要的反面证据是零售风险抬升、核心一级资本缓冲有限，以及区域同业普遍低估对质量溢价的约束。</x:v>
      </x:c>
      <x:c r="K38" s="17" t="str">
        <x:v>框架结论：宁波银行更像“高质量、合理价”而非“深度价值”。最重要的正面证据是长期低不良、较高拨备和负债成本改善；最重要的反面证据是零售风险抬升、核心一级资本缓冲有限，以及区域同业普遍低估对质量溢价的约束。</x:v>
      </x:c>
      <x:c r="L38" s="17" t="str">
        <x:v>框架结论：宁波银行更像“高质量、合理价”而非“深度价值”。最重要的正面证据是长期低不良、较高拨备和负债成本改善；最重要的反面证据是零售风险抬升、核心一级资本缓冲有限，以及区域同业普遍低估对质量溢价的约束。</x:v>
      </x:c>
    </x:row>
    <x:row r="39">
      <x:c r="A39" s="19" t="str">
        <x:v>治理与披露</x:v>
      </x:c>
      <x:c r="B39" s="64" t="n">
        <x:v>3.8</x:v>
      </x:c>
      <x:c r="C39" s="40" t="n">
        <x:v>0.1</x:v>
      </x:c>
      <x:c r="D39" s="32" t="n">
        <x:f>B39*C39</x:f>
        <x:v>0.38</x:v>
      </x:c>
      <x:c r="E39" s="19" t="str">
        <x:v>换届观察</x:v>
      </x:c>
      <x:c r="F39" s="19"/>
      <x:c r="G39" s="4"/>
      <x:c r="H39" s="17" t="str">
        <x:v>框架结论：宁波银行更像“高质量、合理价”而非“深度价值”。最重要的正面证据是长期低不良、较高拨备和负债成本改善；最重要的反面证据是零售风险抬升、核心一级资本缓冲有限，以及区域同业普遍低估对质量溢价的约束。</x:v>
      </x:c>
      <x:c r="I39" s="17" t="str">
        <x:v>框架结论：宁波银行更像“高质量、合理价”而非“深度价值”。最重要的正面证据是长期低不良、较高拨备和负债成本改善；最重要的反面证据是零售风险抬升、核心一级资本缓冲有限，以及区域同业普遍低估对质量溢价的约束。</x:v>
      </x:c>
      <x:c r="J39" s="17" t="str">
        <x:v>框架结论：宁波银行更像“高质量、合理价”而非“深度价值”。最重要的正面证据是长期低不良、较高拨备和负债成本改善；最重要的反面证据是零售风险抬升、核心一级资本缓冲有限，以及区域同业普遍低估对质量溢价的约束。</x:v>
      </x:c>
      <x:c r="K39" s="17" t="str">
        <x:v>框架结论：宁波银行更像“高质量、合理价”而非“深度价值”。最重要的正面证据是长期低不良、较高拨备和负债成本改善；最重要的反面证据是零售风险抬升、核心一级资本缓冲有限，以及区域同业普遍低估对质量溢价的约束。</x:v>
      </x:c>
      <x:c r="L39" s="17" t="str">
        <x:v>框架结论：宁波银行更像“高质量、合理价”而非“深度价值”。最重要的正面证据是长期低不良、较高拨备和负债成本改善；最重要的反面证据是零售风险抬升、核心一级资本缓冲有限，以及区域同业普遍低估对质量溢价的约束。</x:v>
      </x:c>
    </x:row>
    <x:row r="40">
      <x:c r="A40" s="19" t="str">
        <x:v>估值保护</x:v>
      </x:c>
      <x:c r="B40" s="64" t="n">
        <x:v>3</x:v>
      </x:c>
      <x:c r="C40" s="40" t="n">
        <x:v>0.05</x:v>
      </x:c>
      <x:c r="D40" s="32" t="n">
        <x:f>B40*C40</x:f>
        <x:v>0.15000000000000002</x:v>
      </x:c>
      <x:c r="E40" s="19" t="str">
        <x:v>同业溢价明显</x:v>
      </x:c>
      <x:c r="F40" s="19"/>
      <x:c r="G40" s="4"/>
      <x:c r="H40" s="17" t="str">
        <x:v>框架结论：宁波银行更像“高质量、合理价”而非“深度价值”。最重要的正面证据是长期低不良、较高拨备和负债成本改善；最重要的反面证据是零售风险抬升、核心一级资本缓冲有限，以及区域同业普遍低估对质量溢价的约束。</x:v>
      </x:c>
      <x:c r="I40" s="17" t="str">
        <x:v>框架结论：宁波银行更像“高质量、合理价”而非“深度价值”。最重要的正面证据是长期低不良、较高拨备和负债成本改善；最重要的反面证据是零售风险抬升、核心一级资本缓冲有限，以及区域同业普遍低估对质量溢价的约束。</x:v>
      </x:c>
      <x:c r="J40" s="17" t="str">
        <x:v>框架结论：宁波银行更像“高质量、合理价”而非“深度价值”。最重要的正面证据是长期低不良、较高拨备和负债成本改善；最重要的反面证据是零售风险抬升、核心一级资本缓冲有限，以及区域同业普遍低估对质量溢价的约束。</x:v>
      </x:c>
      <x:c r="K40" s="17" t="str">
        <x:v>框架结论：宁波银行更像“高质量、合理价”而非“深度价值”。最重要的正面证据是长期低不良、较高拨备和负债成本改善；最重要的反面证据是零售风险抬升、核心一级资本缓冲有限，以及区域同业普遍低估对质量溢价的约束。</x:v>
      </x:c>
      <x:c r="L40" s="17" t="str">
        <x:v>框架结论：宁波银行更像“高质量、合理价”而非“深度价值”。最重要的正面证据是长期低不良、较高拨备和负债成本改善；最重要的反面证据是零售风险抬升、核心一级资本缓冲有限，以及区域同业普遍低估对质量溢价的约束。</x:v>
      </x:c>
    </x:row>
    <x:row r="41">
      <x:c r="A41" s="19" t="str">
        <x:v>总分</x:v>
      </x:c>
      <x:c r="B41" s="65" t="n">
        <x:f>SUM(D34:D40)</x:f>
        <x:v>4.010000000000001</x:v>
      </x:c>
      <x:c r="C41" s="66" t="n">
        <x:v>1</x:v>
      </x:c>
      <x:c r="D41" s="32" t="n">
        <x:f>SUM(D34:D40)</x:f>
        <x:v>4.010000000000001</x:v>
      </x:c>
      <x:c r="E41" s="19" t="str">
        <x:v>优质但需价格纪律</x:v>
      </x:c>
      <x:c r="F41" s="19"/>
      <x:c r="G41" s="4"/>
      <x:c r="H41" s="17" t="str">
        <x:v>框架结论：宁波银行更像“高质量、合理价”而非“深度价值”。最重要的正面证据是长期低不良、较高拨备和负债成本改善；最重要的反面证据是零售风险抬升、核心一级资本缓冲有限，以及区域同业普遍低估对质量溢价的约束。</x:v>
      </x:c>
      <x:c r="I41" s="17" t="str">
        <x:v>框架结论：宁波银行更像“高质量、合理价”而非“深度价值”。最重要的正面证据是长期低不良、较高拨备和负债成本改善；最重要的反面证据是零售风险抬升、核心一级资本缓冲有限，以及区域同业普遍低估对质量溢价的约束。</x:v>
      </x:c>
      <x:c r="J41" s="17" t="str">
        <x:v>框架结论：宁波银行更像“高质量、合理价”而非“深度价值”。最重要的正面证据是长期低不良、较高拨备和负债成本改善；最重要的反面证据是零售风险抬升、核心一级资本缓冲有限，以及区域同业普遍低估对质量溢价的约束。</x:v>
      </x:c>
      <x:c r="K41" s="17" t="str">
        <x:v>框架结论：宁波银行更像“高质量、合理价”而非“深度价值”。最重要的正面证据是长期低不良、较高拨备和负债成本改善；最重要的反面证据是零售风险抬升、核心一级资本缓冲有限，以及区域同业普遍低估对质量溢价的约束。</x:v>
      </x:c>
      <x:c r="L41" s="17" t="str">
        <x:v>框架结论：宁波银行更像“高质量、合理价”而非“深度价值”。最重要的正面证据是长期低不良、较高拨备和负债成本改善；最重要的反面证据是零售风险抬升、核心一级资本缓冲有限，以及区域同业普遍低估对质量溢价的约束。</x:v>
      </x:c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</x:row>
  </x:sheetData>
  <x:mergeCells>
    <x:mergeCell ref="A1:L2"/>
    <x:mergeCell ref="A3:L3"/>
    <x:mergeCell ref="B5:E5"/>
    <x:mergeCell ref="F5:H5"/>
    <x:mergeCell ref="J5:L5"/>
    <x:mergeCell ref="B6:E6"/>
    <x:mergeCell ref="F6:H6"/>
    <x:mergeCell ref="J6:L6"/>
    <x:mergeCell ref="B7:E7"/>
    <x:mergeCell ref="F7:H7"/>
    <x:mergeCell ref="J7:L7"/>
    <x:mergeCell ref="B8:E8"/>
    <x:mergeCell ref="F8:H8"/>
    <x:mergeCell ref="J8:L8"/>
    <x:mergeCell ref="B9:E9"/>
    <x:mergeCell ref="F9:H9"/>
    <x:mergeCell ref="J9:L9"/>
    <x:mergeCell ref="B10:E10"/>
    <x:mergeCell ref="F10:H10"/>
    <x:mergeCell ref="J10:L10"/>
    <x:mergeCell ref="B11:E11"/>
    <x:mergeCell ref="F11:H11"/>
    <x:mergeCell ref="J11:L11"/>
    <x:mergeCell ref="B12:E12"/>
    <x:mergeCell ref="F12:H12"/>
    <x:mergeCell ref="J12:L12"/>
    <x:mergeCell ref="B13:E13"/>
    <x:mergeCell ref="F13:H13"/>
    <x:mergeCell ref="J13:L13"/>
    <x:mergeCell ref="B14:E14"/>
    <x:mergeCell ref="F14:H14"/>
    <x:mergeCell ref="J14:L14"/>
    <x:mergeCell ref="A17:L17"/>
    <x:mergeCell ref="B18:E18"/>
    <x:mergeCell ref="F18:G18"/>
    <x:mergeCell ref="H18:L18"/>
    <x:mergeCell ref="B19:E19"/>
    <x:mergeCell ref="F19:G19"/>
    <x:mergeCell ref="H19:L19"/>
    <x:mergeCell ref="B20:E20"/>
    <x:mergeCell ref="F20:G20"/>
    <x:mergeCell ref="H20:L20"/>
    <x:mergeCell ref="B21:E21"/>
    <x:mergeCell ref="F21:G21"/>
    <x:mergeCell ref="H21:L21"/>
    <x:mergeCell ref="B22:E22"/>
    <x:mergeCell ref="F22:G22"/>
    <x:mergeCell ref="H22:L22"/>
    <x:mergeCell ref="B23:E23"/>
    <x:mergeCell ref="F23:G23"/>
    <x:mergeCell ref="H23:L23"/>
    <x:mergeCell ref="B24:E24"/>
    <x:mergeCell ref="F24:G24"/>
    <x:mergeCell ref="H24:L24"/>
    <x:mergeCell ref="B25:E25"/>
    <x:mergeCell ref="F25:G25"/>
    <x:mergeCell ref="H25:L25"/>
    <x:mergeCell ref="B26:E26"/>
    <x:mergeCell ref="F26:G26"/>
    <x:mergeCell ref="H26:L26"/>
    <x:mergeCell ref="B27:E27"/>
    <x:mergeCell ref="F27:G27"/>
    <x:mergeCell ref="H27:L27"/>
    <x:mergeCell ref="B28:E28"/>
    <x:mergeCell ref="F28:G28"/>
    <x:mergeCell ref="H28:L28"/>
    <x:mergeCell ref="B29:E29"/>
    <x:mergeCell ref="F29:G29"/>
    <x:mergeCell ref="H29:L29"/>
    <x:mergeCell ref="A32:L32"/>
    <x:mergeCell ref="E33:F33"/>
    <x:mergeCell ref="E34:F34"/>
    <x:mergeCell ref="E35:F35"/>
    <x:mergeCell ref="E36:F36"/>
    <x:mergeCell ref="E37:F37"/>
    <x:mergeCell ref="E38:F38"/>
    <x:mergeCell ref="E39:F39"/>
    <x:mergeCell ref="E40:F40"/>
    <x:mergeCell ref="E41:F41"/>
    <x:mergeCell ref="H33:L4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F2F2F2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0" hidden="0" customWidth="1"/>
    <x:col min="4" max="4" width="10" hidden="0" customWidth="1"/>
    <x:col min="5" max="5" width="19" hidden="0" customWidth="1"/>
    <x:col min="6" max="6" width="22" hidden="0" customWidth="1"/>
    <x:col min="7" max="7" width="13" hidden="0" customWidth="1"/>
    <x:col min="8" max="8" width="15" hidden="0" customWidth="1"/>
    <x:col min="9" max="9" width="50" hidden="0" customWidth="1"/>
    <x:col min="10" max="10" width="22" hidden="0" customWidth="1"/>
  </x:cols>
  <x:sheetData>
    <x:row r="1" ht="34" customHeight="1">
      <x:c r="A1" s="6" t="str">
        <x:v>数据、口径与来源追溯</x:v>
      </x:c>
      <x:c r="B1" s="6" t="str">
        <x:v>数据、口径与来源追溯</x:v>
      </x:c>
      <x:c r="C1" s="6" t="str">
        <x:v>数据、口径与来源追溯</x:v>
      </x:c>
      <x:c r="D1" s="6" t="str">
        <x:v>数据、口径与来源追溯</x:v>
      </x:c>
      <x:c r="E1" s="6" t="str">
        <x:v>数据、口径与来源追溯</x:v>
      </x:c>
      <x:c r="F1" s="6" t="str">
        <x:v>数据、口径与来源追溯</x:v>
      </x:c>
      <x:c r="G1" s="6" t="str">
        <x:v>数据、口径与来源追溯</x:v>
      </x:c>
      <x:c r="H1" s="6" t="str">
        <x:v>数据、口径与来源追溯</x:v>
      </x:c>
      <x:c r="I1" s="6" t="str">
        <x:v>数据、口径与来源追溯</x:v>
      </x:c>
      <x:c r="J1" s="6" t="str">
        <x:v>数据、口径与来源追溯</x:v>
      </x:c>
    </x:row>
    <x:row r="2" ht="34" customHeight="1">
      <x:c r="A2" s="6" t="str">
        <x:v>数据、口径与来源追溯</x:v>
      </x:c>
      <x:c r="B2" s="6" t="str">
        <x:v>数据、口径与来源追溯</x:v>
      </x:c>
      <x:c r="C2" s="6" t="str">
        <x:v>数据、口径与来源追溯</x:v>
      </x:c>
      <x:c r="D2" s="6" t="str">
        <x:v>数据、口径与来源追溯</x:v>
      </x:c>
      <x:c r="E2" s="6" t="str">
        <x:v>数据、口径与来源追溯</x:v>
      </x:c>
      <x:c r="F2" s="6" t="str">
        <x:v>数据、口径与来源追溯</x:v>
      </x:c>
      <x:c r="G2" s="6" t="str">
        <x:v>数据、口径与来源追溯</x:v>
      </x:c>
      <x:c r="H2" s="6" t="str">
        <x:v>数据、口径与来源追溯</x:v>
      </x:c>
      <x:c r="I2" s="6" t="str">
        <x:v>数据、口径与来源追溯</x:v>
      </x:c>
      <x:c r="J2" s="6" t="str">
        <x:v>数据、口径与来源追溯</x:v>
      </x:c>
    </x:row>
    <x:row r="3" ht="24" customHeight="1">
      <x:c r="A3" s="7" t="str">
        <x:v>所有关键结论均可回到报告页码或市场数据端点</x:v>
      </x:c>
      <x:c r="B3" s="7" t="str">
        <x:v>所有关键结论均可回到报告页码或市场数据端点</x:v>
      </x:c>
      <x:c r="C3" s="7" t="str">
        <x:v>所有关键结论均可回到报告页码或市场数据端点</x:v>
      </x:c>
      <x:c r="D3" s="7" t="str">
        <x:v>所有关键结论均可回到报告页码或市场数据端点</x:v>
      </x:c>
      <x:c r="E3" s="7" t="str">
        <x:v>所有关键结论均可回到报告页码或市场数据端点</x:v>
      </x:c>
      <x:c r="F3" s="7" t="str">
        <x:v>所有关键结论均可回到报告页码或市场数据端点</x:v>
      </x:c>
      <x:c r="G3" s="7" t="str">
        <x:v>所有关键结论均可回到报告页码或市场数据端点</x:v>
      </x:c>
      <x:c r="H3" s="7" t="str">
        <x:v>所有关键结论均可回到报告页码或市场数据端点</x:v>
      </x:c>
      <x:c r="I3" s="7" t="str">
        <x:v>所有关键结论均可回到报告页码或市场数据端点</x:v>
      </x:c>
      <x:c r="J3" s="7" t="str">
        <x:v>所有关键结论均可回到报告页码或市场数据端点</x:v>
      </x:c>
    </x:row>
    <x:row r="4">
      <x:c r="A4" s="70"/>
      <x:c r="B4" s="70"/>
      <x:c r="C4" s="70"/>
      <x:c r="D4" s="70"/>
      <x:c r="E4" s="70"/>
      <x:c r="F4" s="70"/>
      <x:c r="G4" s="70"/>
      <x:c r="H4" s="70"/>
      <x:c r="I4" s="70"/>
      <x:c r="J4" s="70"/>
    </x:row>
    <x:row r="5" ht="23" customHeight="1">
      <x:c r="A5" s="9" t="str">
        <x:v>数据来源台账</x:v>
      </x:c>
      <x:c r="B5" s="9" t="str">
        <x:v>数据来源台账</x:v>
      </x:c>
      <x:c r="C5" s="9" t="str">
        <x:v>数据来源台账</x:v>
      </x:c>
      <x:c r="D5" s="9" t="str">
        <x:v>数据来源台账</x:v>
      </x:c>
      <x:c r="E5" s="9" t="str">
        <x:v>数据来源台账</x:v>
      </x:c>
      <x:c r="F5" s="9" t="str">
        <x:v>数据来源台账</x:v>
      </x:c>
      <x:c r="G5" s="9" t="str">
        <x:v>数据来源台账</x:v>
      </x:c>
      <x:c r="H5" s="9" t="str">
        <x:v>数据来源台账</x:v>
      </x:c>
      <x:c r="I5" s="9" t="str">
        <x:v>数据来源台账</x:v>
      </x:c>
      <x:c r="J5" s="9" t="str">
        <x:v>数据来源台账</x:v>
      </x:c>
    </x:row>
    <x:row r="6" ht="23" customHeight="1">
      <x:c r="A6" s="11" t="str">
        <x:v>指标/数据块</x:v>
      </x:c>
      <x:c r="B6" s="11" t="str">
        <x:v>期间</x:v>
      </x:c>
      <x:c r="C6" s="11" t="str">
        <x:v>单位</x:v>
      </x:c>
      <x:c r="D6" s="11" t="str">
        <x:v>币种</x:v>
      </x:c>
      <x:c r="E6" s="11" t="str">
        <x:v>口径</x:v>
      </x:c>
      <x:c r="F6" s="11" t="str">
        <x:v>来源</x:v>
      </x:c>
      <x:c r="G6" s="11" t="str">
        <x:v>发布时间</x:v>
      </x:c>
      <x:c r="H6" s="11" t="str">
        <x:v>页码/表格</x:v>
      </x:c>
      <x:c r="I6" s="11" t="str">
        <x:v>链接</x:v>
      </x:c>
      <x:c r="J6" s="11" t="str">
        <x:v>备注</x:v>
      </x:c>
    </x:row>
    <x:row r="7">
      <x:c r="A7" s="29" t="str">
        <x:v>1H26核心财务</x:v>
      </x:c>
      <x:c r="B7" s="29" t="str">
        <x:v>2026H1</x:v>
      </x:c>
      <x:c r="C7" s="29" t="str">
        <x:v>百万元</x:v>
      </x:c>
      <x:c r="D7" s="29" t="str">
        <x:v>CNY</x:v>
      </x:c>
      <x:c r="E7" s="29" t="str">
        <x:v>合并报表</x:v>
      </x:c>
      <x:c r="F7" s="29" t="str">
        <x:v>宁波银行2026半年报</x:v>
      </x:c>
      <x:c r="G7" s="29" t="str">
        <x:v>2026-08-20</x:v>
      </x:c>
      <x:c r="H7" s="29" t="str">
        <x:v>PDF p6-8</x:v>
      </x:c>
      <x:c r="I7" s="75" t="str">
        <x:v>https://static.cninfo.com.cn/finalpage/2026-08-20/1225482240.PDF</x:v>
      </x:c>
      <x:c r="J7" s="29" t="str">
        <x:v>最新已披露财务报告</x:v>
      </x:c>
    </x:row>
    <x:row r="8">
      <x:c r="A8" s="29" t="str">
        <x:v>1H26利润表拆分</x:v>
      </x:c>
      <x:c r="B8" s="29" t="str">
        <x:v>2026H1</x:v>
      </x:c>
      <x:c r="C8" s="29" t="str">
        <x:v>百万元</x:v>
      </x:c>
      <x:c r="D8" s="29" t="str">
        <x:v>CNY</x:v>
      </x:c>
      <x:c r="E8" s="29" t="str">
        <x:v>合并报表</x:v>
      </x:c>
      <x:c r="F8" s="29" t="str">
        <x:v>宁波银行2026半年报</x:v>
      </x:c>
      <x:c r="G8" s="29" t="str">
        <x:v>2026-08-20</x:v>
      </x:c>
      <x:c r="H8" s="29" t="str">
        <x:v>PDF p10-15</x:v>
      </x:c>
      <x:c r="I8" s="75" t="str">
        <x:v>https://static.cninfo.com.cn/finalpage/2026-08-20/1225482240.PDF</x:v>
      </x:c>
      <x:c r="J8" s="29" t="str">
        <x:v>含PPOP与减值</x:v>
      </x:c>
    </x:row>
    <x:row r="9">
      <x:c r="A9" s="29" t="str">
        <x:v>资产质量与贷款结构</x:v>
      </x:c>
      <x:c r="B9" s="29" t="str">
        <x:v>2026-06-30</x:v>
      </x:c>
      <x:c r="C9" s="29" t="str">
        <x:v>百万元/%</x:v>
      </x:c>
      <x:c r="D9" s="29" t="str">
        <x:v>CNY</x:v>
      </x:c>
      <x:c r="E9" s="29" t="str">
        <x:v>集团贷款口径</x:v>
      </x:c>
      <x:c r="F9" s="29" t="str">
        <x:v>宁波银行2026半年报</x:v>
      </x:c>
      <x:c r="G9" s="29" t="str">
        <x:v>2026-08-20</x:v>
      </x:c>
      <x:c r="H9" s="29" t="str">
        <x:v>PDF p23-25</x:v>
      </x:c>
      <x:c r="I9" s="75" t="str">
        <x:v>https://static.cninfo.com.cn/finalpage/2026-08-20/1225482240.PDF</x:v>
      </x:c>
      <x:c r="J9" s="29" t="str">
        <x:v>含五级分类与逾期</x:v>
      </x:c>
    </x:row>
    <x:row r="10">
      <x:c r="A10" s="29" t="str">
        <x:v>资本与流动性</x:v>
      </x:c>
      <x:c r="B10" s="29" t="str">
        <x:v>2026-06-30</x:v>
      </x:c>
      <x:c r="C10" s="29" t="str">
        <x:v>百万元/%</x:v>
      </x:c>
      <x:c r="D10" s="29" t="str">
        <x:v>CNY</x:v>
      </x:c>
      <x:c r="E10" s="29" t="str">
        <x:v>并表监管口径</x:v>
      </x:c>
      <x:c r="F10" s="29" t="str">
        <x:v>宁波银行2026半年报</x:v>
      </x:c>
      <x:c r="G10" s="29" t="str">
        <x:v>2026-08-20</x:v>
      </x:c>
      <x:c r="H10" s="29" t="str">
        <x:v>PDF p7-8,29</x:v>
      </x:c>
      <x:c r="I10" s="75" t="str">
        <x:v>https://static.cninfo.com.cn/finalpage/2026-08-20/1225482240.PDF</x:v>
      </x:c>
      <x:c r="J10" s="29" t="str">
        <x:v>CAR/CET1/LCR/NSFR</x:v>
      </x:c>
    </x:row>
    <x:row r="11">
      <x:c r="A11" s="29" t="str">
        <x:v>2025A及2023-2025历史</x:v>
      </x:c>
      <x:c r="B11" s="29" t="str">
        <x:v>2023-2025</x:v>
      </x:c>
      <x:c r="C11" s="29" t="str">
        <x:v>百万元/%</x:v>
      </x:c>
      <x:c r="D11" s="29" t="str">
        <x:v>CNY</x:v>
      </x:c>
      <x:c r="E11" s="29" t="str">
        <x:v>合并报表</x:v>
      </x:c>
      <x:c r="F11" s="29" t="str">
        <x:v>宁波银行2025年报</x:v>
      </x:c>
      <x:c r="G11" s="29" t="str">
        <x:v>2026-04-25</x:v>
      </x:c>
      <x:c r="H11" s="29" t="str">
        <x:v>PDF p9-11,19-31</x:v>
      </x:c>
      <x:c r="I11" s="75" t="str">
        <x:v>https://static.cninfo.com.cn/finalpage/2026-04-25/1225189419.PDF</x:v>
      </x:c>
      <x:c r="J11" s="29" t="str">
        <x:v>含分红政策</x:v>
      </x:c>
    </x:row>
    <x:row r="12">
      <x:c r="A12" s="29" t="str">
        <x:v>2016-2018历史</x:v>
      </x:c>
      <x:c r="B12" s="29" t="str">
        <x:v>2016-2018</x:v>
      </x:c>
      <x:c r="C12" s="29" t="str">
        <x:v>百万元/%</x:v>
      </x:c>
      <x:c r="D12" s="29" t="str">
        <x:v>CNY</x:v>
      </x:c>
      <x:c r="E12" s="29" t="str">
        <x:v>合并报表</x:v>
      </x:c>
      <x:c r="F12" s="29" t="str">
        <x:v>宁波银行2018年报</x:v>
      </x:c>
      <x:c r="G12" s="29" t="str">
        <x:v>2019-03-30</x:v>
      </x:c>
      <x:c r="H12" s="29" t="str">
        <x:v>主要财务指标</x:v>
      </x:c>
      <x:c r="I12" s="75" t="str">
        <x:v>https://static.cninfo.com.cn/finalpage/2019-03-30/1205966840.PDF</x:v>
      </x:c>
      <x:c r="J12" s="29" t="str">
        <x:v>2018 NIM采用后续重述</x:v>
      </x:c>
    </x:row>
    <x:row r="13">
      <x:c r="A13" s="29" t="str">
        <x:v>2019-2020历史</x:v>
      </x:c>
      <x:c r="B13" s="29" t="str">
        <x:v>2019-2020</x:v>
      </x:c>
      <x:c r="C13" s="29" t="str">
        <x:v>百万元/%</x:v>
      </x:c>
      <x:c r="D13" s="29" t="str">
        <x:v>CNY</x:v>
      </x:c>
      <x:c r="E13" s="29" t="str">
        <x:v>合并报表</x:v>
      </x:c>
      <x:c r="F13" s="29" t="str">
        <x:v>宁波银行2020年报</x:v>
      </x:c>
      <x:c r="G13" s="29" t="str">
        <x:v>2021-04-10</x:v>
      </x:c>
      <x:c r="H13" s="29" t="str">
        <x:v>主要财务指标</x:v>
      </x:c>
      <x:c r="I13" s="75" t="str">
        <x:v>https://static.cninfo.com.cn/finalpage/2021-04-10/1209667812.PDF</x:v>
      </x:c>
      <x:c r="J13" s="29" t="str">
        <x:v>历史年报</x:v>
      </x:c>
    </x:row>
    <x:row r="14">
      <x:c r="A14" s="29" t="str">
        <x:v>2021-2022历史</x:v>
      </x:c>
      <x:c r="B14" s="29" t="str">
        <x:v>2021-2022</x:v>
      </x:c>
      <x:c r="C14" s="29" t="str">
        <x:v>百万元/%</x:v>
      </x:c>
      <x:c r="D14" s="29" t="str">
        <x:v>CNY</x:v>
      </x:c>
      <x:c r="E14" s="29" t="str">
        <x:v>合并报表</x:v>
      </x:c>
      <x:c r="F14" s="29" t="str">
        <x:v>宁波银行2022年报摘要</x:v>
      </x:c>
      <x:c r="G14" s="29" t="str">
        <x:v>2023-04-06</x:v>
      </x:c>
      <x:c r="H14" s="29" t="str">
        <x:v>主要财务指标</x:v>
      </x:c>
      <x:c r="I14" s="75" t="str">
        <x:v>https://static.cninfo.com.cn/finalpage/2023-04-06/1216331279.PDF</x:v>
      </x:c>
      <x:c r="J14" s="29" t="str">
        <x:v>历史年报</x:v>
      </x:c>
    </x:row>
    <x:row r="15">
      <x:c r="A15" s="29" t="str">
        <x:v>现金分红率复核</x:v>
      </x:c>
      <x:c r="B15" s="29" t="str">
        <x:v>2021-2023</x:v>
      </x:c>
      <x:c r="C15" s="29" t="str">
        <x:v>%</x:v>
      </x:c>
      <x:c r="D15" s="29" t="str">
        <x:v>CNY</x:v>
      </x:c>
      <x:c r="E15" s="29" t="str">
        <x:v>普通股股东口径</x:v>
      </x:c>
      <x:c r="F15" s="29" t="str">
        <x:v>宁波银行2023年报</x:v>
      </x:c>
      <x:c r="G15" s="29" t="str">
        <x:v>2024-04</x:v>
      </x:c>
      <x:c r="H15" s="29" t="str">
        <x:v>分红表</x:v>
      </x:c>
      <x:c r="I15" s="75" t="str">
        <x:v>https://www.nbcb.com.cn/about_nbcb/information_diclosure/periodic_report/202404/W020240422594867576266.pdf</x:v>
      </x:c>
      <x:c r="J15" s="29" t="str">
        <x:v>2023/2022/2021</x:v>
      </x:c>
    </x:row>
    <x:row r="16">
      <x:c r="A16" s="29" t="str">
        <x:v>当前及历史价格</x:v>
      </x:c>
      <x:c r="B16" s="29" t="str">
        <x:v>2016-2026</x:v>
      </x:c>
      <x:c r="C16" s="29" t="str">
        <x:v>元</x:v>
      </x:c>
      <x:c r="D16" s="29" t="str">
        <x:v>CNY</x:v>
      </x:c>
      <x:c r="E16" s="29" t="str">
        <x:v>未复权收盘</x:v>
      </x:c>
      <x:c r="F16" s="29" t="str">
        <x:v>东方财富行情接口</x:v>
      </x:c>
      <x:c r="G16" s="29" t="str">
        <x:v>2026-10-14取数</x:v>
      </x:c>
      <x:c r="H16" s="29" t="str">
        <x:v>日K线</x:v>
      </x:c>
      <x:c r="I16" s="75" t="str">
        <x:v>https://push2his.eastmoney.com/api/qt/stock/kline/get?secid=0.002142&amp;klt=101&amp;fqt=0</x:v>
      </x:c>
      <x:c r="J16" s="29" t="str">
        <x:v>2026-10-13收盘35.50</x:v>
      </x:c>
    </x:row>
    <x:row r="17">
      <x:c r="A17" s="29" t="str">
        <x:v>江苏银行同业数据</x:v>
      </x:c>
      <x:c r="B17" s="29" t="str">
        <x:v>2026H1</x:v>
      </x:c>
      <x:c r="C17" s="29" t="str">
        <x:v>%/元</x:v>
      </x:c>
      <x:c r="D17" s="29" t="str">
        <x:v>CNY</x:v>
      </x:c>
      <x:c r="E17" s="29" t="str">
        <x:v>合并报表</x:v>
      </x:c>
      <x:c r="F17" s="29" t="str">
        <x:v>江苏银行2026半年报</x:v>
      </x:c>
      <x:c r="G17" s="29" t="str">
        <x:v>2026-08-20</x:v>
      </x:c>
      <x:c r="H17" s="29" t="str">
        <x:v>主要指标</x:v>
      </x:c>
      <x:c r="I17" s="75" t="str">
        <x:v>https://static.cninfo.com.cn/finalpage/2026-08-20/1225482188.PDF</x:v>
      </x:c>
      <x:c r="J17" s="29" t="str">
        <x:v>区域同业</x:v>
      </x:c>
    </x:row>
    <x:row r="18">
      <x:c r="A18" s="29" t="str">
        <x:v>杭州银行同业数据</x:v>
      </x:c>
      <x:c r="B18" s="29" t="str">
        <x:v>2026H1</x:v>
      </x:c>
      <x:c r="C18" s="29" t="str">
        <x:v>%/元</x:v>
      </x:c>
      <x:c r="D18" s="29" t="str">
        <x:v>CNY</x:v>
      </x:c>
      <x:c r="E18" s="29" t="str">
        <x:v>合并报表</x:v>
      </x:c>
      <x:c r="F18" s="29" t="str">
        <x:v>杭州银行2026半年报摘要</x:v>
      </x:c>
      <x:c r="G18" s="29" t="str">
        <x:v>2026-08-27</x:v>
      </x:c>
      <x:c r="H18" s="29" t="str">
        <x:v>主要指标</x:v>
      </x:c>
      <x:c r="I18" s="75" t="str">
        <x:v>https://static.cninfo.com.cn/finalpage/2026-08-27/1225515550.PDF</x:v>
      </x:c>
      <x:c r="J18" s="29" t="str">
        <x:v>区域同业</x:v>
      </x:c>
    </x:row>
    <x:row r="19">
      <x:c r="A19" s="29" t="str">
        <x:v>南京银行同业数据</x:v>
      </x:c>
      <x:c r="B19" s="29" t="str">
        <x:v>2026H1</x:v>
      </x:c>
      <x:c r="C19" s="29" t="str">
        <x:v>%/元</x:v>
      </x:c>
      <x:c r="D19" s="29" t="str">
        <x:v>CNY</x:v>
      </x:c>
      <x:c r="E19" s="29" t="str">
        <x:v>合并报表</x:v>
      </x:c>
      <x:c r="F19" s="29" t="str">
        <x:v>南京银行2026半年报摘要</x:v>
      </x:c>
      <x:c r="G19" s="29" t="str">
        <x:v>2026-08-19</x:v>
      </x:c>
      <x:c r="H19" s="29" t="str">
        <x:v>主要指标</x:v>
      </x:c>
      <x:c r="I19" s="75" t="str">
        <x:v>https://static.cninfo.com.cn/finalpage/2026-08-19/1225480717.PDF</x:v>
      </x:c>
      <x:c r="J19" s="29" t="str">
        <x:v>区域同业</x:v>
      </x:c>
    </x:row>
    <x:row r="20">
      <x:c r="A20" s="29" t="str">
        <x:v>成都银行同业数据</x:v>
      </x:c>
      <x:c r="B20" s="29" t="str">
        <x:v>2026H1</x:v>
      </x:c>
      <x:c r="C20" s="29" t="str">
        <x:v>%/元</x:v>
      </x:c>
      <x:c r="D20" s="29" t="str">
        <x:v>CNY</x:v>
      </x:c>
      <x:c r="E20" s="29" t="str">
        <x:v>合并报表</x:v>
      </x:c>
      <x:c r="F20" s="29" t="str">
        <x:v>成都银行2026半年报摘要</x:v>
      </x:c>
      <x:c r="G20" s="29" t="str">
        <x:v>2026-08-27</x:v>
      </x:c>
      <x:c r="H20" s="29" t="str">
        <x:v>主要指标</x:v>
      </x:c>
      <x:c r="I20" s="75" t="str">
        <x:v>https://static.cninfo.com.cn/finalpage/2026-08-27/1225515295.PDF</x:v>
      </x:c>
      <x:c r="J20" s="29" t="str">
        <x:v>区域同业</x:v>
      </x:c>
    </x:row>
    <x:row r="21">
      <x:c r="A21" s="29" t="str">
        <x:v>长沙银行同业数据</x:v>
      </x:c>
      <x:c r="B21" s="29" t="str">
        <x:v>2026H1</x:v>
      </x:c>
      <x:c r="C21" s="29" t="str">
        <x:v>%/元</x:v>
      </x:c>
      <x:c r="D21" s="29" t="str">
        <x:v>CNY</x:v>
      </x:c>
      <x:c r="E21" s="29" t="str">
        <x:v>合并报表</x:v>
      </x:c>
      <x:c r="F21" s="29" t="str">
        <x:v>长沙银行2026半年报摘要</x:v>
      </x:c>
      <x:c r="G21" s="29" t="str">
        <x:v>2026-08-28</x:v>
      </x:c>
      <x:c r="H21" s="29" t="str">
        <x:v>主要指标</x:v>
      </x:c>
      <x:c r="I21" s="75" t="str">
        <x:v>https://static.cninfo.com.cn/finalpage/2026-08-28/1225522449.PDF</x:v>
      </x:c>
      <x:c r="J21" s="29" t="str">
        <x:v>区域同业</x:v>
      </x:c>
    </x:row>
    <x:row r="22">
      <x:c r="A22" s="29" t="str">
        <x:v>同业ROE年化校验</x:v>
      </x:c>
      <x:c r="B22" s="29" t="str">
        <x:v>2026H1</x:v>
      </x:c>
      <x:c r="C22" s="29" t="str">
        <x:v>%</x:v>
      </x:c>
      <x:c r="D22" s="29" t="str">
        <x:v>CNY</x:v>
      </x:c>
      <x:c r="E22" s="29" t="str">
        <x:v>年化加权ROE</x:v>
      </x:c>
      <x:c r="F22" s="29" t="str">
        <x:v>金融界银行业统计</x:v>
      </x:c>
      <x:c r="G22" s="29" t="str">
        <x:v>2026-09-03</x:v>
      </x:c>
      <x:c r="H22" s="29" t="str">
        <x:v>城商行ROE排序</x:v>
      </x:c>
      <x:c r="I22" s="75" t="str">
        <x:v>https://bank.jrj.com.cn/2026/09/03163658340278.shtml</x:v>
      </x:c>
      <x:c r="J22" s="29" t="str">
        <x:v>与各行中报交叉核对</x:v>
      </x:c>
    </x:row>
    <x:row r="23">
      <x:c r="A23" s="29" t="str">
        <x:v>宁波银行公告入口</x:v>
      </x:c>
      <x:c r="B23" s="29" t="str">
        <x:v>截至2026-10-14</x:v>
      </x:c>
      <x:c r="C23" s="29" t="str">
        <x:v>—</x:v>
      </x:c>
      <x:c r="D23" s="29" t="str">
        <x:v>—</x:v>
      </x:c>
      <x:c r="E23" s="29" t="str">
        <x:v>公司官网</x:v>
      </x:c>
      <x:c r="F23" s="29" t="str">
        <x:v>宁波银行投资者关系</x:v>
      </x:c>
      <x:c r="G23" s="29" t="str">
        <x:v>持续更新</x:v>
      </x:c>
      <x:c r="H23" s="29" t="str">
        <x:v>定期报告</x:v>
      </x:c>
      <x:c r="I23" s="75" t="str">
        <x:v>https://www.nbcb.com.cn/about_nbcb/information_diclosure/periodic_report/</x:v>
      </x:c>
      <x:c r="J23" s="29" t="str">
        <x:v>查询入口</x:v>
      </x:c>
    </x:row>
    <x:row r="24">
      <x:c r="A24" s="29" t="str">
        <x:v>股价交叉验证</x:v>
      </x:c>
      <x:c r="B24" s="29" t="str">
        <x:v>2026-10-13</x:v>
      </x:c>
      <x:c r="C24" s="29" t="str">
        <x:v>元</x:v>
      </x:c>
      <x:c r="D24" s="29" t="str">
        <x:v>CNY</x:v>
      </x:c>
      <x:c r="E24" s="29" t="str">
        <x:v>历史收盘</x:v>
      </x:c>
      <x:c r="F24" s="29" t="str">
        <x:v>Investing历史数据</x:v>
      </x:c>
      <x:c r="G24" s="29" t="str">
        <x:v>2026-10-14取数</x:v>
      </x:c>
      <x:c r="H24" s="29" t="str">
        <x:v>历史数据页</x:v>
      </x:c>
      <x:c r="I24" s="75" t="str">
        <x:v>https://cn.investing.com/equities/bank-of-ningbo-a-historical-data</x:v>
      </x:c>
      <x:c r="J24" s="29" t="str">
        <x:v>35.50元</x:v>
      </x:c>
    </x:row>
    <x:row r="25">
      <x:c r="A25" s="70"/>
      <x:c r="B25" s="70"/>
      <x:c r="C25" s="70"/>
      <x:c r="D25" s="70"/>
      <x:c r="E25" s="70"/>
      <x:c r="F25" s="70"/>
      <x:c r="G25" s="70"/>
      <x:c r="H25" s="70"/>
      <x:c r="I25" s="70"/>
      <x:c r="J25" s="70"/>
    </x:row>
    <x:row r="26">
      <x:c r="A26" s="70"/>
      <x:c r="B26" s="70"/>
      <x:c r="C26" s="70"/>
      <x:c r="D26" s="70"/>
      <x:c r="E26" s="70"/>
      <x:c r="F26" s="70"/>
      <x:c r="G26" s="70"/>
      <x:c r="H26" s="70"/>
      <x:c r="I26" s="70"/>
      <x:c r="J26" s="70"/>
    </x:row>
    <x:row r="27" ht="23" customHeight="1">
      <x:c r="A27" s="9" t="str">
        <x:v>估值假设与版本控制</x:v>
      </x:c>
      <x:c r="B27" s="9" t="str">
        <x:v>估值假设与版本控制</x:v>
      </x:c>
      <x:c r="C27" s="9" t="str">
        <x:v>估值假设与版本控制</x:v>
      </x:c>
      <x:c r="D27" s="9" t="str">
        <x:v>估值假设与版本控制</x:v>
      </x:c>
      <x:c r="E27" s="9" t="str">
        <x:v>估值假设与版本控制</x:v>
      </x:c>
      <x:c r="F27" s="9" t="str">
        <x:v>估值假设与版本控制</x:v>
      </x:c>
      <x:c r="G27" s="9" t="str">
        <x:v>估值假设与版本控制</x:v>
      </x:c>
      <x:c r="H27" s="9" t="str">
        <x:v>估值假设与版本控制</x:v>
      </x:c>
      <x:c r="I27" s="9" t="str">
        <x:v>估值假设与版本控制</x:v>
      </x:c>
      <x:c r="J27" s="9" t="str">
        <x:v>估值假设与版本控制</x:v>
      </x:c>
    </x:row>
    <x:row r="28" ht="23" customHeight="1">
      <x:c r="A28" s="11" t="str">
        <x:v>假设</x:v>
      </x:c>
      <x:c r="B28" s="11" t="str">
        <x:v>基准值</x:v>
      </x:c>
      <x:c r="C28" s="11" t="str">
        <x:v>单位</x:v>
      </x:c>
      <x:c r="D28" s="11" t="str">
        <x:v>可编辑</x:v>
      </x:c>
      <x:c r="E28" s="11" t="str">
        <x:v>理由</x:v>
      </x:c>
      <x:c r="F28" s="11" t="str">
        <x:v>版本</x:v>
      </x:c>
      <x:c r="G28" s="70"/>
      <x:c r="H28" s="35" t="str">
        <x:v>口径说明：
1. “最新”指截至2026-10-14已公开的信息，经营数据最新为2026半年报，2026三季报尚未披露。
2. 价格与经营数据日期分开列示。
3. 年化ROE/PE仅用于同业可比，不替代完整年度预测。
4. 2026中期分红尚待股东会批准。
5. 广义房地产风险承担口径未在半年报统一披露，未作推断。
6. 估值模型是研究框架，不是确定性预测或交易指令。</x:v>
      </x:c>
      <x:c r="I28" s="35" t="str">
        <x:v>口径说明：
1. “最新”指截至2026-10-14已公开的信息，经营数据最新为2026半年报，2026三季报尚未披露。
2. 价格与经营数据日期分开列示。
3. 年化ROE/PE仅用于同业可比，不替代完整年度预测。
4. 2026中期分红尚待股东会批准。
5. 广义房地产风险承担口径未在半年报统一披露，未作推断。
6. 估值模型是研究框架，不是确定性预测或交易指令。</x:v>
      </x:c>
      <x:c r="J28" s="35" t="str">
        <x:v>口径说明：
1. “最新”指截至2026-10-14已公开的信息，经营数据最新为2026半年报，2026三季报尚未披露。
2. 价格与经营数据日期分开列示。
3. 年化ROE/PE仅用于同业可比，不替代完整年度预测。
4. 2026中期分红尚待股东会批准。
5. 广义房地产风险承担口径未在半年报统一披露，未作推断。
6. 估值模型是研究框架，不是确定性预测或交易指令。</x:v>
      </x:c>
    </x:row>
    <x:row r="29">
      <x:c r="A29" s="73" t="str">
        <x:v>归一化ROE</x:v>
      </x:c>
      <x:c r="B29" s="38" t="n">
        <x:v>0.13</x:v>
      </x:c>
      <x:c r="C29" s="73" t="str">
        <x:v>%</x:v>
      </x:c>
      <x:c r="D29" s="73" t="str">
        <x:v>是</x:v>
      </x:c>
      <x:c r="E29" s="73" t="str">
        <x:v>低于1H26年化ROE，保留均值回归</x:v>
      </x:c>
      <x:c r="F29" s="73" t="str">
        <x:v>2026-10-14</x:v>
      </x:c>
      <x:c r="G29" s="70"/>
      <x:c r="H29" s="35" t="str">
        <x:v>口径说明：
1. “最新”指截至2026-10-14已公开的信息，经营数据最新为2026半年报，2026三季报尚未披露。
2. 价格与经营数据日期分开列示。
3. 年化ROE/PE仅用于同业可比，不替代完整年度预测。
4. 2026中期分红尚待股东会批准。
5. 广义房地产风险承担口径未在半年报统一披露，未作推断。
6. 估值模型是研究框架，不是确定性预测或交易指令。</x:v>
      </x:c>
      <x:c r="I29" s="35" t="str">
        <x:v>口径说明：
1. “最新”指截至2026-10-14已公开的信息，经营数据最新为2026半年报，2026三季报尚未披露。
2. 价格与经营数据日期分开列示。
3. 年化ROE/PE仅用于同业可比，不替代完整年度预测。
4. 2026中期分红尚待股东会批准。
5. 广义房地产风险承担口径未在半年报统一披露，未作推断。
6. 估值模型是研究框架，不是确定性预测或交易指令。</x:v>
      </x:c>
      <x:c r="J29" s="35" t="str">
        <x:v>口径说明：
1. “最新”指截至2026-10-14已公开的信息，经营数据最新为2026半年报，2026三季报尚未披露。
2. 价格与经营数据日期分开列示。
3. 年化ROE/PE仅用于同业可比，不替代完整年度预测。
4. 2026中期分红尚待股东会批准。
5. 广义房地产风险承担口径未在半年报统一披露，未作推断。
6. 估值模型是研究框架，不是确定性预测或交易指令。</x:v>
      </x:c>
    </x:row>
    <x:row r="30">
      <x:c r="A30" s="73" t="str">
        <x:v>股权成本Ke</x:v>
      </x:c>
      <x:c r="B30" s="38" t="n">
        <x:v>0.105</x:v>
      </x:c>
      <x:c r="C30" s="73" t="str">
        <x:v>%</x:v>
      </x:c>
      <x:c r="D30" s="73" t="str">
        <x:v>是</x:v>
      </x:c>
      <x:c r="E30" s="73" t="str">
        <x:v>银行股风险溢价与资本波动补偿</x:v>
      </x:c>
      <x:c r="F30" s="73" t="str">
        <x:v>2026-10-14</x:v>
      </x:c>
      <x:c r="G30" s="70"/>
      <x:c r="H30" s="35" t="str">
        <x:v>口径说明：
1. “最新”指截至2026-10-14已公开的信息，经营数据最新为2026半年报，2026三季报尚未披露。
2. 价格与经营数据日期分开列示。
3. 年化ROE/PE仅用于同业可比，不替代完整年度预测。
4. 2026中期分红尚待股东会批准。
5. 广义房地产风险承担口径未在半年报统一披露，未作推断。
6. 估值模型是研究框架，不是确定性预测或交易指令。</x:v>
      </x:c>
      <x:c r="I30" s="35" t="str">
        <x:v>口径说明：
1. “最新”指截至2026-10-14已公开的信息，经营数据最新为2026半年报，2026三季报尚未披露。
2. 价格与经营数据日期分开列示。
3. 年化ROE/PE仅用于同业可比，不替代完整年度预测。
4. 2026中期分红尚待股东会批准。
5. 广义房地产风险承担口径未在半年报统一披露，未作推断。
6. 估值模型是研究框架，不是确定性预测或交易指令。</x:v>
      </x:c>
      <x:c r="J30" s="35" t="str">
        <x:v>口径说明：
1. “最新”指截至2026-10-14已公开的信息，经营数据最新为2026半年报，2026三季报尚未披露。
2. 价格与经营数据日期分开列示。
3. 年化ROE/PE仅用于同业可比，不替代完整年度预测。
4. 2026中期分红尚待股东会批准。
5. 广义房地产风险承担口径未在半年报统一披露，未作推断。
6. 估值模型是研究框架，不是确定性预测或交易指令。</x:v>
      </x:c>
    </x:row>
    <x:row r="31">
      <x:c r="A31" s="73" t="str">
        <x:v>永续增长g</x:v>
      </x:c>
      <x:c r="B31" s="38" t="n">
        <x:v>0.04</x:v>
      </x:c>
      <x:c r="C31" s="73" t="str">
        <x:v>%</x:v>
      </x:c>
      <x:c r="D31" s="73" t="str">
        <x:v>是</x:v>
      </x:c>
      <x:c r="E31" s="73" t="str">
        <x:v>长期名义增长假设</x:v>
      </x:c>
      <x:c r="F31" s="73" t="str">
        <x:v>2026-10-14</x:v>
      </x:c>
      <x:c r="G31" s="70"/>
      <x:c r="H31" s="35" t="str">
        <x:v>口径说明：
1. “最新”指截至2026-10-14已公开的信息，经营数据最新为2026半年报，2026三季报尚未披露。
2. 价格与经营数据日期分开列示。
3. 年化ROE/PE仅用于同业可比，不替代完整年度预测。
4. 2026中期分红尚待股东会批准。
5. 广义房地产风险承担口径未在半年报统一披露，未作推断。
6. 估值模型是研究框架，不是确定性预测或交易指令。</x:v>
      </x:c>
      <x:c r="I31" s="35" t="str">
        <x:v>口径说明：
1. “最新”指截至2026-10-14已公开的信息，经营数据最新为2026半年报，2026三季报尚未披露。
2. 价格与经营数据日期分开列示。
3. 年化ROE/PE仅用于同业可比，不替代完整年度预测。
4. 2026中期分红尚待股东会批准。
5. 广义房地产风险承担口径未在半年报统一披露，未作推断。
6. 估值模型是研究框架，不是确定性预测或交易指令。</x:v>
      </x:c>
      <x:c r="J31" s="35" t="str">
        <x:v>口径说明：
1. “最新”指截至2026-10-14已公开的信息，经营数据最新为2026半年报，2026三季报尚未披露。
2. 价格与经营数据日期分开列示。
3. 年化ROE/PE仅用于同业可比，不替代完整年度预测。
4. 2026中期分红尚待股东会批准。
5. 广义房地产风险承担口径未在半年报统一披露，未作推断。
6. 估值模型是研究框架，不是确定性预测或交易指令。</x:v>
      </x:c>
    </x:row>
    <x:row r="32">
      <x:c r="A32" s="73" t="str">
        <x:v>终值ROE</x:v>
      </x:c>
      <x:c r="B32" s="38" t="n">
        <x:v>0.115</x:v>
      </x:c>
      <x:c r="C32" s="73" t="str">
        <x:v>%</x:v>
      </x:c>
      <x:c r="D32" s="73" t="str">
        <x:v>是</x:v>
      </x:c>
      <x:c r="E32" s="73" t="str">
        <x:v>低于显式期末ROE</x:v>
      </x:c>
      <x:c r="F32" s="73" t="str">
        <x:v>2026-10-14</x:v>
      </x:c>
      <x:c r="G32" s="70"/>
      <x:c r="H32" s="35" t="str">
        <x:v>口径说明：
1. “最新”指截至2026-10-14已公开的信息，经营数据最新为2026半年报，2026三季报尚未披露。
2. 价格与经营数据日期分开列示。
3. 年化ROE/PE仅用于同业可比，不替代完整年度预测。
4. 2026中期分红尚待股东会批准。
5. 广义房地产风险承担口径未在半年报统一披露，未作推断。
6. 估值模型是研究框架，不是确定性预测或交易指令。</x:v>
      </x:c>
      <x:c r="I32" s="35" t="str">
        <x:v>口径说明：
1. “最新”指截至2026-10-14已公开的信息，经营数据最新为2026半年报，2026三季报尚未披露。
2. 价格与经营数据日期分开列示。
3. 年化ROE/PE仅用于同业可比，不替代完整年度预测。
4. 2026中期分红尚待股东会批准。
5. 广义房地产风险承担口径未在半年报统一披露，未作推断。
6. 估值模型是研究框架，不是确定性预测或交易指令。</x:v>
      </x:c>
      <x:c r="J32" s="35" t="str">
        <x:v>口径说明：
1. “最新”指截至2026-10-14已公开的信息，经营数据最新为2026半年报，2026三季报尚未披露。
2. 价格与经营数据日期分开列示。
3. 年化ROE/PE仅用于同业可比，不替代完整年度预测。
4. 2026中期分红尚待股东会批准。
5. 广义房地产风险承担口径未在半年报统一披露，未作推断。
6. 估值模型是研究框架，不是确定性预测或交易指令。</x:v>
      </x:c>
    </x:row>
    <x:row r="33">
      <x:c r="A33" s="73" t="str">
        <x:v>终值分红率</x:v>
      </x:c>
      <x:c r="B33" s="38" t="n">
        <x:v>0.45</x:v>
      </x:c>
      <x:c r="C33" s="73" t="str">
        <x:v>%</x:v>
      </x:c>
      <x:c r="D33" s="73" t="str">
        <x:v>是</x:v>
      </x:c>
      <x:c r="E33" s="73" t="str">
        <x:v>成熟期提升支付率</x:v>
      </x:c>
      <x:c r="F33" s="73" t="str">
        <x:v>2026-10-14</x:v>
      </x:c>
      <x:c r="G33" s="70"/>
      <x:c r="H33" s="35" t="str">
        <x:v>口径说明：
1. “最新”指截至2026-10-14已公开的信息，经营数据最新为2026半年报，2026三季报尚未披露。
2. 价格与经营数据日期分开列示。
3. 年化ROE/PE仅用于同业可比，不替代完整年度预测。
4. 2026中期分红尚待股东会批准。
5. 广义房地产风险承担口径未在半年报统一披露，未作推断。
6. 估值模型是研究框架，不是确定性预测或交易指令。</x:v>
      </x:c>
      <x:c r="I33" s="35" t="str">
        <x:v>口径说明：
1. “最新”指截至2026-10-14已公开的信息，经营数据最新为2026半年报，2026三季报尚未披露。
2. 价格与经营数据日期分开列示。
3. 年化ROE/PE仅用于同业可比，不替代完整年度预测。
4. 2026中期分红尚待股东会批准。
5. 广义房地产风险承担口径未在半年报统一披露，未作推断。
6. 估值模型是研究框架，不是确定性预测或交易指令。</x:v>
      </x:c>
      <x:c r="J33" s="35" t="str">
        <x:v>口径说明：
1. “最新”指截至2026-10-14已公开的信息，经营数据最新为2026半年报，2026三季报尚未披露。
2. 价格与经营数据日期分开列示。
3. 年化ROE/PE仅用于同业可比，不替代完整年度预测。
4. 2026中期分红尚待股东会批准。
5. 广义房地产风险承担口径未在半年报统一披露，未作推断。
6. 估值模型是研究框架，不是确定性预测或交易指令。</x:v>
      </x:c>
    </x:row>
    <x:row r="34">
      <x:c r="A34" s="73" t="str">
        <x:v>同业ROE弹性β</x:v>
      </x:c>
      <x:c r="B34" s="39" t="n">
        <x:v>0.8</x:v>
      </x:c>
      <x:c r="C34" s="73" t="str">
        <x:v>x</x:v>
      </x:c>
      <x:c r="D34" s="73" t="str">
        <x:v>是</x:v>
      </x:c>
      <x:c r="E34" s="73" t="str">
        <x:v>降低线性外推强度</x:v>
      </x:c>
      <x:c r="F34" s="73" t="str">
        <x:v>2026-10-14</x:v>
      </x:c>
      <x:c r="G34" s="70"/>
      <x:c r="H34" s="35" t="str">
        <x:v>口径说明：
1. “最新”指截至2026-10-14已公开的信息，经营数据最新为2026半年报，2026三季报尚未披露。
2. 价格与经营数据日期分开列示。
3. 年化ROE/PE仅用于同业可比，不替代完整年度预测。
4. 2026中期分红尚待股东会批准。
5. 广义房地产风险承担口径未在半年报统一披露，未作推断。
6. 估值模型是研究框架，不是确定性预测或交易指令。</x:v>
      </x:c>
      <x:c r="I34" s="35" t="str">
        <x:v>口径说明：
1. “最新”指截至2026-10-14已公开的信息，经营数据最新为2026半年报，2026三季报尚未披露。
2. 价格与经营数据日期分开列示。
3. 年化ROE/PE仅用于同业可比，不替代完整年度预测。
4. 2026中期分红尚待股东会批准。
5. 广义房地产风险承担口径未在半年报统一披露，未作推断。
6. 估值模型是研究框架，不是确定性预测或交易指令。</x:v>
      </x:c>
      <x:c r="J34" s="35" t="str">
        <x:v>口径说明：
1. “最新”指截至2026-10-14已公开的信息，经营数据最新为2026半年报，2026三季报尚未披露。
2. 价格与经营数据日期分开列示。
3. 年化ROE/PE仅用于同业可比，不替代完整年度预测。
4. 2026中期分红尚待股东会批准。
5. 广义房地产风险承担口径未在半年报统一披露，未作推断。
6. 估值模型是研究框架，不是确定性预测或交易指令。</x:v>
      </x:c>
    </x:row>
    <x:row r="35">
      <x:c r="A35" s="73" t="str">
        <x:v>同业风险调整</x:v>
      </x:c>
      <x:c r="B35" s="39" t="n">
        <x:v>1</x:v>
      </x:c>
      <x:c r="C35" s="73" t="str">
        <x:v>x</x:v>
      </x:c>
      <x:c r="D35" s="73" t="str">
        <x:v>是</x:v>
      </x:c>
      <x:c r="E35" s="73" t="str">
        <x:v>基准不额外折溢价</x:v>
      </x:c>
      <x:c r="F35" s="73" t="str">
        <x:v>2026-10-14</x:v>
      </x:c>
      <x:c r="G35" s="70"/>
      <x:c r="H35" s="35" t="str">
        <x:v>口径说明：
1. “最新”指截至2026-10-14已公开的信息，经营数据最新为2026半年报，2026三季报尚未披露。
2. 价格与经营数据日期分开列示。
3. 年化ROE/PE仅用于同业可比，不替代完整年度预测。
4. 2026中期分红尚待股东会批准。
5. 广义房地产风险承担口径未在半年报统一披露，未作推断。
6. 估值模型是研究框架，不是确定性预测或交易指令。</x:v>
      </x:c>
      <x:c r="I35" s="35" t="str">
        <x:v>口径说明：
1. “最新”指截至2026-10-14已公开的信息，经营数据最新为2026半年报，2026三季报尚未披露。
2. 价格与经营数据日期分开列示。
3. 年化ROE/PE仅用于同业可比，不替代完整年度预测。
4. 2026中期分红尚待股东会批准。
5. 广义房地产风险承担口径未在半年报统一披露，未作推断。
6. 估值模型是研究框架，不是确定性预测或交易指令。</x:v>
      </x:c>
      <x:c r="J35" s="35" t="str">
        <x:v>口径说明：
1. “最新”指截至2026-10-14已公开的信息，经营数据最新为2026半年报，2026三季报尚未披露。
2. 价格与经营数据日期分开列示。
3. 年化ROE/PE仅用于同业可比，不替代完整年度预测。
4. 2026中期分红尚待股东会批准。
5. 广义房地产风险承担口径未在半年报统一披露，未作推断。
6. 估值模型是研究框架，不是确定性预测或交易指令。</x:v>
      </x:c>
    </x:row>
    <x:row r="36">
      <x:c r="A36" s="73" t="str">
        <x:v>权重：RIM/PB-ROE</x:v>
      </x:c>
      <x:c r="B36" s="40" t="n">
        <x:v>0.15</x:v>
      </x:c>
      <x:c r="C36" s="73" t="str">
        <x:v>各</x:v>
      </x:c>
      <x:c r="D36" s="73" t="str">
        <x:v>是</x:v>
      </x:c>
      <x:c r="E36" s="73" t="str">
        <x:v>长期盈利能力</x:v>
      </x:c>
      <x:c r="F36" s="73" t="str">
        <x:v>2026-10-14</x:v>
      </x:c>
      <x:c r="G36" s="70"/>
      <x:c r="H36" s="35" t="str">
        <x:v>口径说明：
1. “最新”指截至2026-10-14已公开的信息，经营数据最新为2026半年报，2026三季报尚未披露。
2. 价格与经营数据日期分开列示。
3. 年化ROE/PE仅用于同业可比，不替代完整年度预测。
4. 2026中期分红尚待股东会批准。
5. 广义房地产风险承担口径未在半年报统一披露，未作推断。
6. 估值模型是研究框架，不是确定性预测或交易指令。</x:v>
      </x:c>
      <x:c r="I36" s="35" t="str">
        <x:v>口径说明：
1. “最新”指截至2026-10-14已公开的信息，经营数据最新为2026半年报，2026三季报尚未披露。
2. 价格与经营数据日期分开列示。
3. 年化ROE/PE仅用于同业可比，不替代完整年度预测。
4. 2026中期分红尚待股东会批准。
5. 广义房地产风险承担口径未在半年报统一披露，未作推断。
6. 估值模型是研究框架，不是确定性预测或交易指令。</x:v>
      </x:c>
      <x:c r="J36" s="35" t="str">
        <x:v>口径说明：
1. “最新”指截至2026-10-14已公开的信息，经营数据最新为2026半年报，2026三季报尚未披露。
2. 价格与经营数据日期分开列示。
3. 年化ROE/PE仅用于同业可比，不替代完整年度预测。
4. 2026中期分红尚待股东会批准。
5. 广义房地产风险承担口径未在半年报统一披露，未作推断。
6. 估值模型是研究框架，不是确定性预测或交易指令。</x:v>
      </x:c>
    </x:row>
    <x:row r="37">
      <x:c r="A37" s="73" t="str">
        <x:v>权重：历史PB/PE</x:v>
      </x:c>
      <x:c r="B37" s="40" t="n">
        <x:v>0.1</x:v>
      </x:c>
      <x:c r="C37" s="73" t="str">
        <x:v>各</x:v>
      </x:c>
      <x:c r="D37" s="73" t="str">
        <x:v>是</x:v>
      </x:c>
      <x:c r="E37" s="73" t="str">
        <x:v>自身周期经验</x:v>
      </x:c>
      <x:c r="F37" s="73" t="str">
        <x:v>2026-10-14</x:v>
      </x:c>
      <x:c r="G37" s="70"/>
      <x:c r="H37" s="35" t="str">
        <x:v>口径说明：
1. “最新”指截至2026-10-14已公开的信息，经营数据最新为2026半年报，2026三季报尚未披露。
2. 价格与经营数据日期分开列示。
3. 年化ROE/PE仅用于同业可比，不替代完整年度预测。
4. 2026中期分红尚待股东会批准。
5. 广义房地产风险承担口径未在半年报统一披露，未作推断。
6. 估值模型是研究框架，不是确定性预测或交易指令。</x:v>
      </x:c>
      <x:c r="I37" s="35" t="str">
        <x:v>口径说明：
1. “最新”指截至2026-10-14已公开的信息，经营数据最新为2026半年报，2026三季报尚未披露。
2. 价格与经营数据日期分开列示。
3. 年化ROE/PE仅用于同业可比，不替代完整年度预测。
4. 2026中期分红尚待股东会批准。
5. 广义房地产风险承担口径未在半年报统一披露，未作推断。
6. 估值模型是研究框架，不是确定性预测或交易指令。</x:v>
      </x:c>
      <x:c r="J37" s="35" t="str">
        <x:v>口径说明：
1. “最新”指截至2026-10-14已公开的信息，经营数据最新为2026半年报，2026三季报尚未披露。
2. 价格与经营数据日期分开列示。
3. 年化ROE/PE仅用于同业可比，不替代完整年度预测。
4. 2026中期分红尚待股东会批准。
5. 广义房地产风险承担口径未在半年报统一披露，未作推断。
6. 估值模型是研究框架，不是确定性预测或交易指令。</x:v>
      </x:c>
    </x:row>
    <x:row r="38">
      <x:c r="A38" s="73" t="str">
        <x:v>权重：同业法</x:v>
      </x:c>
      <x:c r="B38" s="40" t="n">
        <x:v>0.2</x:v>
      </x:c>
      <x:c r="C38" s="73" t="str">
        <x:v>%</x:v>
      </x:c>
      <x:c r="D38" s="73" t="str">
        <x:v>是</x:v>
      </x:c>
      <x:c r="E38" s="73" t="str">
        <x:v>当前市场横截面</x:v>
      </x:c>
      <x:c r="F38" s="73" t="str">
        <x:v>2026-10-14</x:v>
      </x:c>
      <x:c r="G38" s="70"/>
      <x:c r="H38" s="35" t="str">
        <x:v>口径说明：
1. “最新”指截至2026-10-14已公开的信息，经营数据最新为2026半年报，2026三季报尚未披露。
2. 价格与经营数据日期分开列示。
3. 年化ROE/PE仅用于同业可比，不替代完整年度预测。
4. 2026中期分红尚待股东会批准。
5. 广义房地产风险承担口径未在半年报统一披露，未作推断。
6. 估值模型是研究框架，不是确定性预测或交易指令。</x:v>
      </x:c>
      <x:c r="I38" s="35" t="str">
        <x:v>口径说明：
1. “最新”指截至2026-10-14已公开的信息，经营数据最新为2026半年报，2026三季报尚未披露。
2. 价格与经营数据日期分开列示。
3. 年化ROE/PE仅用于同业可比，不替代完整年度预测。
4. 2026中期分红尚待股东会批准。
5. 广义房地产风险承担口径未在半年报统一披露，未作推断。
6. 估值模型是研究框架，不是确定性预测或交易指令。</x:v>
      </x:c>
      <x:c r="J38" s="35" t="str">
        <x:v>口径说明：
1. “最新”指截至2026-10-14已公开的信息，经营数据最新为2026半年报，2026三季报尚未披露。
2. 价格与经营数据日期分开列示。
3. 年化ROE/PE仅用于同业可比，不替代完整年度预测。
4. 2026中期分红尚待股东会批准。
5. 广义房地产风险承担口径未在半年报统一披露，未作推断。
6. 估值模型是研究框架，不是确定性预测或交易指令。</x:v>
      </x:c>
    </x:row>
    <x:row r="39">
      <x:c r="A39" s="73" t="str">
        <x:v>权重：DDM</x:v>
      </x:c>
      <x:c r="B39" s="40" t="n">
        <x:v>0.3</x:v>
      </x:c>
      <x:c r="C39" s="73" t="str">
        <x:v>%</x:v>
      </x:c>
      <x:c r="D39" s="73" t="str">
        <x:v>是</x:v>
      </x:c>
      <x:c r="E39" s="73" t="str">
        <x:v>股东现金回报</x:v>
      </x:c>
      <x:c r="F39" s="73" t="str">
        <x:v>2026-10-14</x:v>
      </x:c>
      <x:c r="G39" s="70"/>
      <x:c r="H39" s="35" t="str">
        <x:v>口径说明：
1. “最新”指截至2026-10-14已公开的信息，经营数据最新为2026半年报，2026三季报尚未披露。
2. 价格与经营数据日期分开列示。
3. 年化ROE/PE仅用于同业可比，不替代完整年度预测。
4. 2026中期分红尚待股东会批准。
5. 广义房地产风险承担口径未在半年报统一披露，未作推断。
6. 估值模型是研究框架，不是确定性预测或交易指令。</x:v>
      </x:c>
      <x:c r="I39" s="35" t="str">
        <x:v>口径说明：
1. “最新”指截至2026-10-14已公开的信息，经营数据最新为2026半年报，2026三季报尚未披露。
2. 价格与经营数据日期分开列示。
3. 年化ROE/PE仅用于同业可比，不替代完整年度预测。
4. 2026中期分红尚待股东会批准。
5. 广义房地产风险承担口径未在半年报统一披露，未作推断。
6. 估值模型是研究框架，不是确定性预测或交易指令。</x:v>
      </x:c>
      <x:c r="J39" s="35" t="str">
        <x:v>口径说明：
1. “最新”指截至2026-10-14已公开的信息，经营数据最新为2026半年报，2026三季报尚未披露。
2. 价格与经营数据日期分开列示。
3. 年化ROE/PE仅用于同业可比，不替代完整年度预测。
4. 2026中期分红尚待股东会批准。
5. 广义房地产风险承担口径未在半年报统一披露，未作推断。
6. 估值模型是研究框架，不是确定性预测或交易指令。</x:v>
      </x:c>
    </x:row>
    <x:row r="40">
      <x:c r="A40" s="70"/>
      <x:c r="B40" s="70"/>
      <x:c r="C40" s="70"/>
      <x:c r="D40" s="70"/>
      <x:c r="E40" s="70"/>
      <x:c r="F40" s="70"/>
      <x:c r="G40" s="70"/>
      <x:c r="H40" s="70"/>
      <x:c r="I40" s="70"/>
      <x:c r="J40" s="70"/>
    </x:row>
    <x:row r="41">
      <x:c r="A41" s="70"/>
      <x:c r="B41" s="70"/>
      <x:c r="C41" s="70"/>
      <x:c r="D41" s="70"/>
      <x:c r="E41" s="70"/>
      <x:c r="F41" s="70"/>
      <x:c r="G41" s="70"/>
      <x:c r="H41" s="70"/>
      <x:c r="I41" s="70"/>
      <x:c r="J41" s="70"/>
    </x:row>
    <x:row r="42" ht="23" customHeight="1">
      <x:c r="A42" s="9" t="str">
        <x:v>颜色与可编辑性</x:v>
      </x:c>
      <x:c r="B42" s="9" t="str">
        <x:v>颜色与可编辑性</x:v>
      </x:c>
      <x:c r="C42" s="9" t="str">
        <x:v>颜色与可编辑性</x:v>
      </x:c>
      <x:c r="D42" s="9" t="str">
        <x:v>颜色与可编辑性</x:v>
      </x:c>
      <x:c r="E42" s="9" t="str">
        <x:v>颜色与可编辑性</x:v>
      </x:c>
      <x:c r="F42" s="9" t="str">
        <x:v>颜色与可编辑性</x:v>
      </x:c>
      <x:c r="G42" s="9" t="str">
        <x:v>颜色与可编辑性</x:v>
      </x:c>
      <x:c r="H42" s="9" t="str">
        <x:v>颜色与可编辑性</x:v>
      </x:c>
      <x:c r="I42" s="9" t="str">
        <x:v>颜色与可编辑性</x:v>
      </x:c>
      <x:c r="J42" s="9" t="str">
        <x:v>颜色与可编辑性</x:v>
      </x:c>
    </x:row>
    <x:row r="43">
      <x:c r="A43" s="74" t="str">
        <x:v>浅蓝</x:v>
      </x:c>
      <x:c r="B43" s="74" t="str">
        <x:v>客观事实</x:v>
      </x:c>
      <x:c r="C43" s="74"/>
      <x:c r="D43" s="76" t="str">
        <x:v>浅黄/蓝字</x:v>
      </x:c>
      <x:c r="E43" s="76" t="str">
        <x:v>可编辑假设</x:v>
      </x:c>
      <x:c r="F43" s="76"/>
      <x:c r="G43" s="78" t="str">
        <x:v>浅绿</x:v>
      </x:c>
      <x:c r="H43" s="78" t="str">
        <x:v>公式输出</x:v>
      </x:c>
      <x:c r="I43" s="78"/>
      <x:c r="J43" s="78"/>
    </x:row>
    <x:row r="44">
      <x:c r="A44" s="79" t="str">
        <x:v>浅橙</x:v>
      </x:c>
      <x:c r="B44" s="79" t="str">
        <x:v>研究判断</x:v>
      </x:c>
      <x:c r="C44" s="79"/>
      <x:c r="D44" s="80" t="str">
        <x:v>灰色</x:v>
      </x:c>
      <x:c r="E44" s="80" t="str">
        <x:v>说明与边界</x:v>
      </x:c>
      <x:c r="F44" s="80"/>
      <x:c r="G44" s="82" t="str">
        <x:v>深蓝</x:v>
      </x:c>
      <x:c r="H44" s="82" t="str">
        <x:v>标题/表头</x:v>
      </x:c>
      <x:c r="I44" s="82"/>
      <x:c r="J44" s="82"/>
    </x:row>
    <x:row r="45">
      <x:c r="A45" s="73" t="str">
        <x:v>更新顺序</x:v>
      </x:c>
      <x:c r="B45" s="73" t="str">
        <x:v>先更新数据与来源→财务/资产/同业→估值假设→检查权重与敏感性→复核一图流</x:v>
      </x:c>
      <x:c r="C45" s="73"/>
      <x:c r="D45" s="73"/>
      <x:c r="E45" s="73"/>
      <x:c r="F45" s="73"/>
      <x:c r="G45" s="73"/>
      <x:c r="H45" s="73"/>
      <x:c r="I45" s="73"/>
      <x:c r="J45" s="73"/>
    </x:row>
    <x:row r="46">
      <x:c r="A46" s="73" t="str">
        <x:v>保存日期</x:v>
      </x:c>
      <x:c r="B46" s="73" t="str">
        <x:v>2026-10-14</x:v>
      </x:c>
      <x:c r="C46" s="73"/>
      <x:c r="D46" s="73" t="str">
        <x:v>模型版本</x:v>
      </x:c>
      <x:c r="E46" s="73" t="str">
        <x:v>v1.0-NB2026H1</x:v>
      </x:c>
      <x:c r="F46" s="73"/>
      <x:c r="G46" s="73" t="str">
        <x:v>作者口径</x:v>
      </x:c>
      <x:c r="H46" s="73" t="str">
        <x:v>独立研究模型</x:v>
      </x:c>
      <x:c r="I46" s="73"/>
      <x:c r="J46" s="73"/>
    </x:row>
    <x:row r="47">
      <x:c r="A47" s="70"/>
      <x:c r="B47" s="70"/>
      <x:c r="C47" s="70"/>
      <x:c r="D47" s="70"/>
      <x:c r="E47" s="70"/>
      <x:c r="F47" s="70"/>
      <x:c r="G47" s="70"/>
      <x:c r="H47" s="70"/>
      <x:c r="I47" s="70"/>
      <x:c r="J47" s="70"/>
    </x:row>
    <x:row r="48">
      <x:c r="A48" s="70"/>
      <x:c r="B48" s="70"/>
      <x:c r="C48" s="70"/>
      <x:c r="D48" s="70"/>
      <x:c r="E48" s="70"/>
      <x:c r="F48" s="70"/>
      <x:c r="G48" s="70"/>
      <x:c r="H48" s="70"/>
      <x:c r="I48" s="70"/>
      <x:c r="J48" s="70"/>
    </x:row>
  </x:sheetData>
  <x:mergeCells>
    <x:mergeCell ref="A1:J2"/>
    <x:mergeCell ref="A3:J3"/>
    <x:mergeCell ref="A5:J5"/>
    <x:mergeCell ref="A27:J27"/>
    <x:mergeCell ref="H28:J39"/>
    <x:mergeCell ref="A42:J42"/>
    <x:mergeCell ref="B43:C43"/>
    <x:mergeCell ref="E43:F43"/>
    <x:mergeCell ref="H43:J43"/>
    <x:mergeCell ref="B44:C44"/>
    <x:mergeCell ref="E44:F44"/>
    <x:mergeCell ref="H44:J44"/>
    <x:mergeCell ref="B45:C45"/>
    <x:mergeCell ref="E45:F45"/>
    <x:mergeCell ref="H45:J45"/>
    <x:mergeCell ref="B46:C46"/>
    <x:mergeCell ref="E46:F46"/>
    <x:mergeCell ref="H46:J46"/>
  </x:mergeCells>
  <x:pageMargins left="0.7" right="0.7" top="0.75" bottom="0.75" header="0.3" footer="0.3"/>
</x:worksheet>
</file>