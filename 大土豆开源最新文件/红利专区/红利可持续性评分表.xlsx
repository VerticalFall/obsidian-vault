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评分总表" sheetId="2" state="visible" r:id="rId2"/>
    <sheet xmlns:r="http://schemas.openxmlformats.org/officeDocument/2006/relationships" name="分红安全" sheetId="3" state="visible" r:id="rId3"/>
    <sheet xmlns:r="http://schemas.openxmlformats.org/officeDocument/2006/relationships" name="金融红利" sheetId="4" state="visible" r:id="rId4"/>
    <sheet xmlns:r="http://schemas.openxmlformats.org/officeDocument/2006/relationships" name="质量防御" sheetId="5" state="visible" r:id="rId5"/>
    <sheet xmlns:r="http://schemas.openxmlformats.org/officeDocument/2006/relationships" name="总回报" sheetId="6" state="visible" r:id="rId6"/>
    <sheet xmlns:r="http://schemas.openxmlformats.org/officeDocument/2006/relationships" name="组合监控" sheetId="7" state="visible" r:id="rId7"/>
    <sheet xmlns:r="http://schemas.openxmlformats.org/officeDocument/2006/relationships" name="数据与来源" sheetId="8" state="visible" r:id="rId8"/>
    <sheet xmlns:r="http://schemas.openxmlformats.org/officeDocument/2006/relationships" name="检查" sheetId="9" state="visible" r:id="rId9"/>
  </sheets>
  <definedNames>
    <definedName name="_xlnm.Print_Titles" localSheetId="0">'说明'!$1:$2</definedName>
    <definedName name="_xlnm.Print_Titles" localSheetId="1">'评分总表'!$1:$4</definedName>
    <definedName name="_xlnm.Print_Titles" localSheetId="2">'分红安全'!$4:$4,'分红安全'!$A:$C</definedName>
    <definedName name="_xlnm.Print_Titles" localSheetId="3">'金融红利'!$1:$4</definedName>
    <definedName name="_xlnm.Print_Titles" localSheetId="4">'质量防御'!$4:$4,'质量防御'!$A:$C</definedName>
    <definedName name="_xlnm.Print_Titles" localSheetId="5">'总回报'!$1:$4</definedName>
    <definedName name="_xlnm.Print_Titles" localSheetId="6">'组合监控'!$1:$3</definedName>
    <definedName name="_xlnm.Print_Titles" localSheetId="7">'数据与来源'!$1:$4</definedName>
    <definedName name="_xlnm.Print_Titles" localSheetId="8">'检查'!$1:$4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B6B7C"/>
      <sz val="10"/>
    </font>
    <font>
      <name val="微软雅黑"/>
      <b val="1"/>
      <color rgb="001F3864"/>
      <sz val="10"/>
    </font>
    <font>
      <name val="微软雅黑"/>
      <color rgb="00333333"/>
      <sz val="10"/>
    </font>
    <font>
      <name val="微软雅黑"/>
      <b val="1"/>
      <color rgb="00FFFFFF"/>
      <sz val="10"/>
    </font>
    <font>
      <name val="微软雅黑"/>
      <color rgb="00333333"/>
      <sz val="9"/>
    </font>
    <font>
      <name val="微软雅黑"/>
      <b val="1"/>
      <color rgb="00333333"/>
      <sz val="10"/>
    </font>
    <font>
      <name val="微软雅黑"/>
      <color rgb="002F5597"/>
      <sz val="10"/>
    </font>
    <font>
      <name val="微软雅黑"/>
      <i val="1"/>
      <color rgb="005B6B7C"/>
      <sz val="9"/>
    </font>
    <font>
      <name val="微软雅黑"/>
      <b val="1"/>
      <color rgb="00FFFFFF"/>
      <sz val="15"/>
    </font>
    <font>
      <name val="微软雅黑"/>
      <color rgb="005B6B7C"/>
      <sz val="9"/>
    </font>
    <font>
      <name val="微软雅黑"/>
      <color rgb="002F5597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2" fontId="8" fillId="3" borderId="1" applyAlignment="1" pivotButton="0" quotePrefix="0" xfId="0">
      <alignment horizontal="center" vertical="center" wrapText="1"/>
    </xf>
    <xf numFmtId="2" fontId="4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horizontal="center" vertical="center" wrapText="1"/>
    </xf>
    <xf numFmtId="1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9" fontId="4" fillId="8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left" vertical="center" wrapText="1"/>
    </xf>
    <xf numFmtId="1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2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0" fontId="12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E2EFDA"/>
        </patternFill>
      </fill>
    </dxf>
    <dxf>
      <fill>
        <patternFill patternType="solid">
          <fgColor rgb="00D9E2F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2F2F2"/>
        </patternFill>
      </fill>
    </dxf>
    <dxf>
      <font>
        <name val="微软雅黑"/>
        <b val="1"/>
        <color rgb="00C00000"/>
        <sz val="9"/>
      </font>
      <fill>
        <patternFill patternType="solid">
          <fgColor rgb="00FCE4D6"/>
        </patternFill>
      </fill>
    </dxf>
    <dxf>
      <font>
        <name val="微软雅黑"/>
        <b val="1"/>
        <color rgb="00C00000"/>
        <sz val="10"/>
      </font>
    </dxf>
    <dxf>
      <font>
        <name val="微软雅黑"/>
        <b val="1"/>
        <color rgb="002E7D32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4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  <col width="36" customWidth="1" min="4" max="4"/>
    <col width="22" customWidth="1" min="5" max="5"/>
    <col width="24" customWidth="1" min="6" max="6"/>
  </cols>
  <sheetData>
    <row r="1" ht="32" customHeight="1">
      <c r="A1" s="1" t="inlineStr">
        <is>
          <t>红利可持续性评分表 · 使用说明</t>
        </is>
      </c>
    </row>
    <row r="2" ht="26" customHeight="1">
      <c r="A2" s="2" t="inlineStr">
        <is>
          <t>v1.0.0 · 2026-10-30 · 研究分级工具，不构成投资建议</t>
        </is>
      </c>
    </row>
    <row r="3">
      <c r="A3" s="3" t="inlineStr">
        <is>
          <t>定位</t>
        </is>
      </c>
    </row>
    <row r="4" ht="38" customHeight="1">
      <c r="A4" s="4" t="inlineStr">
        <is>
          <t>把红利从“高股息率”一个标签，拆成三条轨道：一般红利/类债、金融红利、质量防御。质量分和估值分分开，硬约束优先于加权分。</t>
        </is>
      </c>
    </row>
    <row r="6">
      <c r="A6" s="3" t="inlineStr">
        <is>
          <t>三条轨道</t>
        </is>
      </c>
      <c r="B6" s="5" t="n"/>
      <c r="C6" s="5" t="n"/>
      <c r="D6" s="5" t="n"/>
      <c r="E6" s="5" t="n"/>
      <c r="F6" s="6" t="n"/>
    </row>
    <row r="7" ht="38" customHeight="1">
      <c r="A7" s="7" t="inlineStr">
        <is>
          <t>轨道</t>
        </is>
      </c>
      <c r="B7" s="7" t="inlineStr">
        <is>
          <t>适用</t>
        </is>
      </c>
      <c r="C7" s="7" t="inlineStr">
        <is>
          <t>核心问题</t>
        </is>
      </c>
      <c r="D7" s="7" t="inlineStr">
        <is>
          <t>评分方法</t>
        </is>
      </c>
      <c r="E7" s="7" t="inlineStr">
        <is>
          <t>权威来源</t>
        </is>
      </c>
      <c r="F7" s="7" t="inlineStr">
        <is>
          <t>备注</t>
        </is>
      </c>
    </row>
    <row r="8" ht="30" customHeight="1">
      <c r="A8" s="8" t="inlineStr">
        <is>
          <t>一般红利 / 类债</t>
        </is>
      </c>
      <c r="B8" s="9" t="inlineStr">
        <is>
          <t>非金融、稳定分红公司</t>
        </is>
      </c>
      <c r="C8" s="9" t="inlineStr">
        <is>
          <t>FCF 能不能覆盖股息？</t>
        </is>
      </c>
      <c r="D8" s="9" t="inlineStr">
        <is>
          <t>六维质量分 + 硬约束</t>
        </is>
      </c>
      <c r="E8" s="9" t="inlineStr">
        <is>
          <t>本框架</t>
        </is>
      </c>
      <c r="F8" s="9" t="inlineStr">
        <is>
          <t>本表主评分区</t>
        </is>
      </c>
    </row>
    <row r="9" ht="30" customHeight="1">
      <c r="A9" s="8" t="inlineStr">
        <is>
          <t>金融红利</t>
        </is>
      </c>
      <c r="B9" s="9" t="inlineStr">
        <is>
          <t>银行、保险</t>
        </is>
      </c>
      <c r="C9" s="9" t="inlineStr">
        <is>
          <t>资本、资产质量、股息能否持续？</t>
        </is>
      </c>
      <c r="D9" s="9" t="inlineStr">
        <is>
          <t>银行 skill 四维评分 + DDM</t>
        </is>
      </c>
      <c r="E9" s="9" t="inlineStr">
        <is>
          <t>银行估值skills</t>
        </is>
      </c>
      <c r="F9" s="9" t="inlineStr">
        <is>
          <t>不套用 FCF 评分</t>
        </is>
      </c>
    </row>
    <row r="10" ht="30" customHeight="1">
      <c r="A10" s="8" t="inlineStr">
        <is>
          <t>质量防御</t>
        </is>
      </c>
      <c r="B10" s="9" t="inlineStr">
        <is>
          <t>Visa、Mastercard、伯克希尔等</t>
        </is>
      </c>
      <c r="C10" s="9" t="inlineStr">
        <is>
          <t>生意质量能否穿越周期？</t>
        </is>
      </c>
      <c r="D10" s="9" t="inlineStr">
        <is>
          <t>五维质量分 + 估值分</t>
        </is>
      </c>
      <c r="E10" s="9" t="inlineStr">
        <is>
          <t>本框架</t>
        </is>
      </c>
      <c r="F10" s="9" t="inlineStr">
        <is>
          <t>与红利分开排序</t>
        </is>
      </c>
    </row>
    <row r="12">
      <c r="A12" s="3" t="inlineStr">
        <is>
          <t>评级</t>
        </is>
      </c>
      <c r="B12" s="5" t="n"/>
      <c r="C12" s="5" t="n"/>
      <c r="D12" s="5" t="n"/>
      <c r="E12" s="5" t="n"/>
      <c r="F12" s="6" t="n"/>
    </row>
    <row r="13" ht="38" customHeight="1">
      <c r="A13" s="7" t="inlineStr">
        <is>
          <t>等级</t>
        </is>
      </c>
      <c r="B13" s="7" t="inlineStr">
        <is>
          <t>最终质量分</t>
        </is>
      </c>
      <c r="C13" s="7" t="inlineStr">
        <is>
          <t>含义</t>
        </is>
      </c>
      <c r="D13" s="7" t="inlineStr">
        <is>
          <t>研究动作</t>
        </is>
      </c>
      <c r="E13" s="5" t="n"/>
      <c r="F13" s="6" t="n"/>
    </row>
    <row r="14">
      <c r="A14" s="8" t="inlineStr">
        <is>
          <t>A</t>
        </is>
      </c>
      <c r="B14" s="8" t="inlineStr">
        <is>
          <t>≥80</t>
        </is>
      </c>
      <c r="C14" s="9" t="inlineStr">
        <is>
          <t>红利质量强</t>
        </is>
      </c>
      <c r="D14" s="9" t="inlineStr">
        <is>
          <t>进入核心研究池</t>
        </is>
      </c>
      <c r="E14" s="5" t="n"/>
      <c r="F14" s="6" t="n"/>
    </row>
    <row r="15">
      <c r="A15" s="8" t="inlineStr">
        <is>
          <t>B</t>
        </is>
      </c>
      <c r="B15" s="8" t="inlineStr">
        <is>
          <t>65–79</t>
        </is>
      </c>
      <c r="C15" s="9" t="inlineStr">
        <is>
          <t>合格</t>
        </is>
      </c>
      <c r="D15" s="9" t="inlineStr">
        <is>
          <t>持续跟踪</t>
        </is>
      </c>
      <c r="E15" s="5" t="n"/>
      <c r="F15" s="6" t="n"/>
    </row>
    <row r="16">
      <c r="A16" s="8" t="inlineStr">
        <is>
          <t>C</t>
        </is>
      </c>
      <c r="B16" s="8" t="inlineStr">
        <is>
          <t>50–64</t>
        </is>
      </c>
      <c r="C16" s="9" t="inlineStr">
        <is>
          <t>观察</t>
        </is>
      </c>
      <c r="D16" s="9" t="inlineStr">
        <is>
          <t>需要催化剂或改善证据</t>
        </is>
      </c>
      <c r="E16" s="5" t="n"/>
      <c r="F16" s="6" t="n"/>
    </row>
    <row r="17">
      <c r="A17" s="8" t="inlineStr">
        <is>
          <t>D</t>
        </is>
      </c>
      <c r="B17" s="8" t="inlineStr">
        <is>
          <t>&lt;50</t>
        </is>
      </c>
      <c r="C17" s="9" t="inlineStr">
        <is>
          <t>不满足红利标准</t>
        </is>
      </c>
      <c r="D17" s="9" t="inlineStr">
        <is>
          <t>不进入红利池</t>
        </is>
      </c>
      <c r="E17" s="5" t="n"/>
      <c r="F17" s="6" t="n"/>
    </row>
    <row r="18">
      <c r="A18" s="8" t="inlineStr">
        <is>
          <t>NA</t>
        </is>
      </c>
      <c r="B18" s="8" t="inlineStr">
        <is>
          <t>数据不足 / 负 FCF / 不适用</t>
        </is>
      </c>
      <c r="C18" s="9" t="inlineStr">
        <is>
          <t>不强行评分</t>
        </is>
      </c>
      <c r="D18" s="9" t="inlineStr">
        <is>
          <t>补数据或换方法</t>
        </is>
      </c>
      <c r="E18" s="5" t="n"/>
      <c r="F18" s="6" t="n"/>
    </row>
    <row r="20">
      <c r="A20" s="3" t="inlineStr">
        <is>
          <t>硬约束（优先于加权分）</t>
        </is>
      </c>
      <c r="B20" s="5" t="n"/>
      <c r="C20" s="5" t="n"/>
      <c r="D20" s="5" t="n"/>
      <c r="E20" s="5" t="n"/>
      <c r="F20" s="6" t="n"/>
    </row>
    <row r="21" ht="22" customHeight="1">
      <c r="A21" s="10" t="inlineStr">
        <is>
          <t>· FCF 派息率连续 2 年 &gt;100% → 最终质量分上限 40。</t>
        </is>
      </c>
    </row>
    <row r="22" ht="22" customHeight="1">
      <c r="A22" s="10" t="inlineStr">
        <is>
          <t>· 净负债 / EBITDA &gt;4 倍 → 上限 30。</t>
        </is>
      </c>
    </row>
    <row r="23" ht="22" customHeight="1">
      <c r="A23" s="10" t="inlineStr">
        <is>
          <t>· 近 5 年砍息 → 上限 50。</t>
        </is>
      </c>
    </row>
    <row r="24" ht="22" customHeight="1">
      <c r="A24" s="10" t="inlineStr">
        <is>
          <t>· 5 年归母净利最大回撤 &gt;70% → 上限 50。</t>
        </is>
      </c>
    </row>
    <row r="25" ht="22" customHeight="1">
      <c r="A25" s="10" t="inlineStr">
        <is>
          <t>· 归母与普通股东利润差异 &gt;20%（少数股东/治理侵蚀）→ 上限 60。</t>
        </is>
      </c>
    </row>
    <row r="26" ht="22" customHeight="1">
      <c r="A26" s="10" t="inlineStr">
        <is>
          <t>· 硬约束触发后：最终质量分 = MIN(加权质量分, 上限)，不因为其他维度优秀而抵消。</t>
        </is>
      </c>
    </row>
    <row r="28">
      <c r="A28" s="3" t="inlineStr">
        <is>
          <t>总回报公式</t>
        </is>
      </c>
      <c r="B28" s="5" t="n"/>
      <c r="C28" s="5" t="n"/>
      <c r="D28" s="5" t="n"/>
      <c r="E28" s="5" t="n"/>
      <c r="F28" s="6" t="n"/>
    </row>
    <row r="29" ht="22" customHeight="1">
      <c r="A29" s="11" t="inlineStr">
        <is>
          <t>税后股息率 = 股息率 × (1 − 适用税率)</t>
        </is>
      </c>
    </row>
    <row r="30" ht="22" customHeight="1">
      <c r="A30" s="11" t="inlineStr">
        <is>
          <t>总回报 = (1 + 税后股息率) × (1 + 价格回报) × (1 + 汇率变动) − 1</t>
        </is>
      </c>
    </row>
    <row r="31" ht="22" customHeight="1">
      <c r="A31" s="11" t="inlineStr">
        <is>
          <t>超额收益 = 总回报 − 本地 10 年期国债收益率</t>
        </is>
      </c>
    </row>
    <row r="33">
      <c r="A33" s="3" t="inlineStr">
        <is>
          <t>使用步骤</t>
        </is>
      </c>
      <c r="B33" s="5" t="n"/>
      <c r="C33" s="5" t="n"/>
      <c r="D33" s="5" t="n"/>
      <c r="E33" s="5" t="n"/>
      <c r="F33" s="6" t="n"/>
    </row>
    <row r="34" ht="24" customHeight="1">
      <c r="A34" s="9" t="inlineStr">
        <is>
          <t>1. 在「评分总表」选轨道：一般红利 / 金融红利 / 质量防御。</t>
        </is>
      </c>
    </row>
    <row r="35" ht="24" customHeight="1">
      <c r="A35" s="9" t="inlineStr">
        <is>
          <t>2. 一般红利：在「分红安全」填当前价、DPS、股本、FCF、净负债/EBITDA、capex/折旧、5 年净利回撤、砍息次数、治理分。</t>
        </is>
      </c>
    </row>
    <row r="36" ht="24" customHeight="1">
      <c r="A36" s="9" t="inlineStr">
        <is>
          <t>3. 金融红利：从银行 skill 的四维评分粘贴到「金融红利」，不要用 FCF 评分。</t>
        </is>
      </c>
    </row>
    <row r="37" ht="24" customHeight="1">
      <c r="A37" s="9" t="inlineStr">
        <is>
          <t>4. 质量防御：在「质量防御」填 ROIC/WACC、capex/营收、FCF 波动、净现金/市值、回购收益率、DCF 基准价。</t>
        </is>
      </c>
    </row>
    <row r="38" ht="24" customHeight="1">
      <c r="A38" s="9" t="inlineStr">
        <is>
          <t>5. 在「总回报」填税率、价格回报、汇率，得到税后总回报和相对 10Y 的超额。</t>
        </is>
      </c>
    </row>
    <row r="39" ht="24" customHeight="1">
      <c r="A39" s="9" t="inlineStr">
        <is>
          <t>6. 在「组合监控」填目标权重，检查行业集中、利率敏感度、触发条件。</t>
        </is>
      </c>
    </row>
    <row r="40" ht="24" customHeight="1">
      <c r="A40" s="9" t="inlineStr">
        <is>
          <t>7. 最后看「检查」页：权重、范围、重复代码、数据完整度是否通过。</t>
        </is>
      </c>
    </row>
    <row r="42">
      <c r="A42" s="3" t="inlineStr">
        <is>
          <t>版本与免责</t>
        </is>
      </c>
      <c r="B42" s="5" t="n"/>
      <c r="C42" s="5" t="n"/>
      <c r="D42" s="5" t="n"/>
      <c r="E42" s="5" t="n"/>
      <c r="F42" s="6" t="n"/>
    </row>
    <row r="43" ht="34" customHeight="1">
      <c r="A43" s="12" t="inlineStr">
        <is>
          <t>v1.0.0 / 2026-10-30。本表只做研究分级与组合讨论，不构成任何投资建议。税率、汇率、价格回报均为输入假设，请按实际口径填写。</t>
        </is>
      </c>
    </row>
    <row r="45">
      <c r="A45" s="3" t="inlineStr">
        <is>
          <t>读表提示</t>
        </is>
      </c>
      <c r="B45" s="5" t="n"/>
      <c r="C45" s="5" t="n"/>
      <c r="D45" s="5" t="n"/>
      <c r="E45" s="5" t="n"/>
      <c r="F45" s="6" t="n"/>
    </row>
    <row r="46" ht="46" customHeight="1">
      <c r="A46" s="9" t="inlineStr">
        <is>
          <t>本工作簿是“模板 + 已知硬数据示例”：空白 = 待填，不按 0 计算；六维未填满时质量分显示“数据不足”，不是 0 分。预填的 7 家一般红利、4 家银行、3 家质量防御只用于演示口径，不代表已完成评分。</t>
        </is>
      </c>
    </row>
  </sheetData>
  <mergeCells count="34">
    <mergeCell ref="D13:F13"/>
    <mergeCell ref="A46:F46"/>
    <mergeCell ref="A37:F37"/>
    <mergeCell ref="D17:F17"/>
    <mergeCell ref="A12:F12"/>
    <mergeCell ref="A26:F26"/>
    <mergeCell ref="A21:F21"/>
    <mergeCell ref="D16:F16"/>
    <mergeCell ref="A2:F2"/>
    <mergeCell ref="A33:F33"/>
    <mergeCell ref="A42:F42"/>
    <mergeCell ref="A23:F23"/>
    <mergeCell ref="D18:F18"/>
    <mergeCell ref="A22:F22"/>
    <mergeCell ref="A35:F35"/>
    <mergeCell ref="A4:F4"/>
    <mergeCell ref="A20:F20"/>
    <mergeCell ref="D15:F15"/>
    <mergeCell ref="A29:F29"/>
    <mergeCell ref="A43:F43"/>
    <mergeCell ref="A38:F38"/>
    <mergeCell ref="D14:F14"/>
    <mergeCell ref="A28:F28"/>
    <mergeCell ref="A31:F31"/>
    <mergeCell ref="A34:F34"/>
    <mergeCell ref="A40:F40"/>
    <mergeCell ref="A30:F30"/>
    <mergeCell ref="A39:F39"/>
    <mergeCell ref="A24:F24"/>
    <mergeCell ref="A36:F36"/>
    <mergeCell ref="A1:F1"/>
    <mergeCell ref="A45:F45"/>
    <mergeCell ref="A6:F6"/>
    <mergeCell ref="A25:F25"/>
  </mergeCells>
  <pageMargins left="0.75" right="0.75" top="1" bottom="1" header="0.5" footer="0.5"/>
  <pageSetup orientation="landscape" fitToHeight="0" fitToWidth="1"/>
  <rowBreaks count="1" manualBreakCount="1">
    <brk id="27" min="0" max="16383" man="1"/>
  </rowBreaks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Q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8" customWidth="1" min="4" max="4"/>
    <col width="15" customWidth="1" min="5" max="5"/>
    <col width="15" customWidth="1" min="6" max="6"/>
    <col width="9" customWidth="1" min="7" max="7"/>
    <col width="9" customWidth="1" min="8" max="8"/>
    <col width="9" customWidth="1" min="9" max="9"/>
    <col width="7" customWidth="1" min="10" max="10"/>
    <col width="9" customWidth="1" min="11" max="11"/>
    <col width="9" customWidth="1" min="12" max="12"/>
    <col width="10" customWidth="1" min="13" max="13"/>
    <col width="30" customWidth="1" min="14" max="14"/>
    <col width="38" customWidth="1" min="15" max="15"/>
    <col width="11" customWidth="1" min="16" max="16"/>
    <col width="34" customWidth="1" min="17" max="17"/>
  </cols>
  <sheetData>
    <row r="1" ht="32" customHeight="1">
      <c r="A1" s="1" t="inlineStr">
        <is>
          <t>评分总表 · 三条轨道总览</t>
        </is>
      </c>
    </row>
    <row r="2" ht="26" customHeight="1">
      <c r="A2" s="2" t="inlineStr">
        <is>
          <t>质量分与估值分分开；综合分 = 60% 质量 + 40% 估值；等级只代表研究优先级，不代表买卖建议。</t>
        </is>
      </c>
    </row>
    <row r="4" ht="42" customHeight="1">
      <c r="A4" s="7" t="inlineStr">
        <is>
          <t>序号</t>
        </is>
      </c>
      <c r="B4" s="7" t="inlineStr">
        <is>
          <t>标的</t>
        </is>
      </c>
      <c r="C4" s="7" t="inlineStr">
        <is>
          <t>代码</t>
        </is>
      </c>
      <c r="D4" s="7" t="inlineStr">
        <is>
          <t>市场</t>
        </is>
      </c>
      <c r="E4" s="7" t="inlineStr">
        <is>
          <t>轨道</t>
        </is>
      </c>
      <c r="F4" s="7" t="inlineStr">
        <is>
          <t>行业</t>
        </is>
      </c>
      <c r="G4" s="7" t="inlineStr">
        <is>
          <t>质量分</t>
        </is>
      </c>
      <c r="H4" s="7" t="inlineStr">
        <is>
          <t>估值分</t>
        </is>
      </c>
      <c r="I4" s="7" t="inlineStr">
        <is>
          <t>综合分</t>
        </is>
      </c>
      <c r="J4" s="7" t="inlineStr">
        <is>
          <t>等级</t>
        </is>
      </c>
      <c r="K4" s="7" t="inlineStr">
        <is>
          <t>股息率</t>
        </is>
      </c>
      <c r="L4" s="7" t="inlineStr">
        <is>
          <t>总回报</t>
        </is>
      </c>
      <c r="M4" s="7" t="inlineStr">
        <is>
          <t>总回报-10Y</t>
        </is>
      </c>
      <c r="N4" s="7" t="inlineStr">
        <is>
          <t>硬约束 / 口径</t>
        </is>
      </c>
      <c r="O4" s="7" t="inlineStr">
        <is>
          <t>结论</t>
        </is>
      </c>
      <c r="P4" s="7" t="inlineStr">
        <is>
          <t>数据日期</t>
        </is>
      </c>
      <c r="Q4" s="7" t="inlineStr">
        <is>
          <t>备注</t>
        </is>
      </c>
    </row>
    <row r="5" ht="40" customHeight="1">
      <c r="A5" s="13" t="n">
        <v>1</v>
      </c>
      <c r="B5" s="14" t="inlineStr">
        <is>
          <t>工商银行</t>
        </is>
      </c>
      <c r="C5" s="13" t="inlineStr">
        <is>
          <t>601398.SH</t>
        </is>
      </c>
      <c r="D5" s="13" t="inlineStr">
        <is>
          <t>A股</t>
        </is>
      </c>
      <c r="E5" s="15" t="inlineStr">
        <is>
          <t>金融红利</t>
        </is>
      </c>
      <c r="F5" s="13" t="inlineStr">
        <is>
          <t>银行</t>
        </is>
      </c>
      <c r="G5" s="16">
        <f>'金融红利'!J5</f>
        <v/>
      </c>
      <c r="H5" s="16">
        <f>'总回报'!T5</f>
        <v/>
      </c>
      <c r="I5" s="16">
        <f>IF(AND(ISNUMBER(G5),ISNUMBER(H5)),0.6*G5+0.4*H5,"")</f>
        <v/>
      </c>
      <c r="J5" s="17">
        <f>IF(ISNUMBER(I5),IF(I5&gt;=80,"A",IF(I5&gt;=65,"B",IF(I5&gt;=50,"C","D"))),"")</f>
        <v/>
      </c>
      <c r="K5" s="18">
        <f>'总回报'!H5</f>
        <v/>
      </c>
      <c r="L5" s="18">
        <f>'总回报'!P5</f>
        <v/>
      </c>
      <c r="M5" s="18">
        <f>'总回报'!Q5</f>
        <v/>
      </c>
      <c r="N5" s="19" t="inlineStr">
        <is>
          <t>银行资本/资产质量约束，见银行 skill</t>
        </is>
      </c>
      <c r="O5" s="9" t="inlineStr">
        <is>
          <t>合理偏低；ROE 低于股权成本</t>
        </is>
      </c>
      <c r="P5" s="20" t="inlineStr">
        <is>
          <t>2026-10-30</t>
        </is>
      </c>
      <c r="Q5" s="19" t="inlineStr">
        <is>
          <t>银行类债；四维评分引用银行 skill</t>
        </is>
      </c>
    </row>
    <row r="6" ht="40" customHeight="1">
      <c r="A6" s="13" t="n">
        <v>2</v>
      </c>
      <c r="B6" s="14" t="inlineStr">
        <is>
          <t>平安银行</t>
        </is>
      </c>
      <c r="C6" s="13" t="inlineStr">
        <is>
          <t>000001.SZ</t>
        </is>
      </c>
      <c r="D6" s="13" t="inlineStr">
        <is>
          <t>A股</t>
        </is>
      </c>
      <c r="E6" s="15" t="inlineStr">
        <is>
          <t>金融红利</t>
        </is>
      </c>
      <c r="F6" s="13" t="inlineStr">
        <is>
          <t>银行</t>
        </is>
      </c>
      <c r="G6" s="16">
        <f>'金融红利'!J6</f>
        <v/>
      </c>
      <c r="H6" s="16">
        <f>'总回报'!T6</f>
        <v/>
      </c>
      <c r="I6" s="16">
        <f>IF(AND(ISNUMBER(G6),ISNUMBER(H6)),0.6*G6+0.4*H6,"")</f>
        <v/>
      </c>
      <c r="J6" s="17">
        <f>IF(ISNUMBER(I6),IF(I6&gt;=80,"A",IF(I6&gt;=65,"B",IF(I6&gt;=50,"C","D"))),"")</f>
        <v/>
      </c>
      <c r="K6" s="18">
        <f>'总回报'!H6</f>
        <v/>
      </c>
      <c r="L6" s="18">
        <f>'总回报'!P6</f>
        <v/>
      </c>
      <c r="M6" s="18">
        <f>'总回报'!Q6</f>
        <v/>
      </c>
      <c r="N6" s="19" t="inlineStr">
        <is>
          <t>银行资本/资产质量约束，见银行 skill</t>
        </is>
      </c>
      <c r="O6" s="9" t="inlineStr">
        <is>
          <t>合理偏贵；ROE 低于股权成本</t>
        </is>
      </c>
      <c r="P6" s="20" t="inlineStr">
        <is>
          <t>2026-10-30</t>
        </is>
      </c>
      <c r="Q6" s="19" t="inlineStr">
        <is>
          <t>DDM 8.13，综合基准 11.03；现价 11.64</t>
        </is>
      </c>
    </row>
    <row r="7" ht="40" customHeight="1">
      <c r="A7" s="13" t="n">
        <v>3</v>
      </c>
      <c r="B7" s="14" t="inlineStr">
        <is>
          <t>美的集团</t>
        </is>
      </c>
      <c r="C7" s="13" t="inlineStr">
        <is>
          <t>000333.SZ</t>
        </is>
      </c>
      <c r="D7" s="13" t="inlineStr">
        <is>
          <t>A股</t>
        </is>
      </c>
      <c r="E7" s="15" t="inlineStr">
        <is>
          <t>一般红利</t>
        </is>
      </c>
      <c r="F7" s="13" t="inlineStr">
        <is>
          <t>家电</t>
        </is>
      </c>
      <c r="G7" s="16">
        <f>IF('分红安全'!AD5="数据不足","数据不足",'分红安全'!AH5)</f>
        <v/>
      </c>
      <c r="H7" s="16">
        <f>'总回报'!T7</f>
        <v/>
      </c>
      <c r="I7" s="16">
        <f>IF(AND(ISNUMBER(G7),ISNUMBER(H7)),0.6*G7+0.4*H7,"")</f>
        <v/>
      </c>
      <c r="J7" s="17">
        <f>IF(ISNUMBER(I7),IF(I7&gt;=80,"A",IF(I7&gt;=65,"B",IF(I7&gt;=50,"C","D"))),"")</f>
        <v/>
      </c>
      <c r="K7" s="18">
        <f>'总回报'!H7</f>
        <v/>
      </c>
      <c r="L7" s="18">
        <f>'总回报'!P7</f>
        <v/>
      </c>
      <c r="M7" s="18">
        <f>'总回报'!Q7</f>
        <v/>
      </c>
      <c r="N7" s="19">
        <f>'分红安全'!AG5</f>
        <v/>
      </c>
      <c r="O7" s="9" t="inlineStr">
        <is>
          <t>现价低于基准 22%，便宜</t>
        </is>
      </c>
      <c r="P7" s="20" t="inlineStr">
        <is>
          <t>2026-10-30</t>
        </is>
      </c>
      <c r="Q7" s="19" t="inlineStr">
        <is>
          <t>15 倍 PE；4.9% 股息率；净现金 455 亿</t>
        </is>
      </c>
    </row>
    <row r="8" ht="40" customHeight="1">
      <c r="A8" s="13" t="n">
        <v>4</v>
      </c>
      <c r="B8" s="14" t="inlineStr">
        <is>
          <t>贵州茅台</t>
        </is>
      </c>
      <c r="C8" s="13" t="inlineStr">
        <is>
          <t>600519.SH</t>
        </is>
      </c>
      <c r="D8" s="13" t="inlineStr">
        <is>
          <t>A股</t>
        </is>
      </c>
      <c r="E8" s="15" t="inlineStr">
        <is>
          <t>一般红利</t>
        </is>
      </c>
      <c r="F8" s="13" t="inlineStr">
        <is>
          <t>高端白酒</t>
        </is>
      </c>
      <c r="G8" s="16">
        <f>IF('分红安全'!AD6="数据不足","数据不足",'分红安全'!AH6)</f>
        <v/>
      </c>
      <c r="H8" s="16">
        <f>'总回报'!T8</f>
        <v/>
      </c>
      <c r="I8" s="16">
        <f>IF(AND(ISNUMBER(G8),ISNUMBER(H8)),0.6*G8+0.4*H8,"")</f>
        <v/>
      </c>
      <c r="J8" s="17">
        <f>IF(ISNUMBER(I8),IF(I8&gt;=80,"A",IF(I8&gt;=65,"B",IF(I8&gt;=50,"C","D"))),"")</f>
        <v/>
      </c>
      <c r="K8" s="18">
        <f>'总回报'!H8</f>
        <v/>
      </c>
      <c r="L8" s="18">
        <f>'总回报'!P8</f>
        <v/>
      </c>
      <c r="M8" s="18">
        <f>'总回报'!Q8</f>
        <v/>
      </c>
      <c r="N8" s="19">
        <f>'分红安全'!AG6</f>
        <v/>
      </c>
      <c r="O8" s="9" t="inlineStr">
        <is>
          <t>接近内在价值，合理</t>
        </is>
      </c>
      <c r="P8" s="20" t="inlineStr">
        <is>
          <t>2026-10-30</t>
        </is>
      </c>
      <c r="Q8" s="19" t="inlineStr">
        <is>
          <t>20.8 倍 PE；3.8% 股息率</t>
        </is>
      </c>
    </row>
    <row r="9" ht="40" customHeight="1">
      <c r="A9" s="13" t="n">
        <v>5</v>
      </c>
      <c r="B9" s="14" t="inlineStr">
        <is>
          <t>长江电力</t>
        </is>
      </c>
      <c r="C9" s="13" t="inlineStr">
        <is>
          <t>600900.SH</t>
        </is>
      </c>
      <c r="D9" s="13" t="inlineStr">
        <is>
          <t>A股</t>
        </is>
      </c>
      <c r="E9" s="15" t="inlineStr">
        <is>
          <t>一般红利</t>
        </is>
      </c>
      <c r="F9" s="13" t="inlineStr">
        <is>
          <t>水电</t>
        </is>
      </c>
      <c r="G9" s="16">
        <f>IF('分红安全'!AD7="数据不足","数据不足",'分红安全'!AH7)</f>
        <v/>
      </c>
      <c r="H9" s="16">
        <f>'总回报'!T9</f>
        <v/>
      </c>
      <c r="I9" s="16">
        <f>IF(AND(ISNUMBER(G9),ISNUMBER(H9)),0.6*G9+0.4*H9,"")</f>
        <v/>
      </c>
      <c r="J9" s="17">
        <f>IF(ISNUMBER(I9),IF(I9&gt;=80,"A",IF(I9&gt;=65,"B",IF(I9&gt;=50,"C","D"))),"")</f>
        <v/>
      </c>
      <c r="K9" s="18">
        <f>'总回报'!H9</f>
        <v/>
      </c>
      <c r="L9" s="18">
        <f>'总回报'!P9</f>
        <v/>
      </c>
      <c r="M9" s="18">
        <f>'总回报'!Q9</f>
        <v/>
      </c>
      <c r="N9" s="19">
        <f>'分红安全'!AG7</f>
        <v/>
      </c>
      <c r="O9" s="9" t="inlineStr">
        <is>
          <t>合理偏贵；好资产，价格在上沿</t>
        </is>
      </c>
      <c r="P9" s="20" t="inlineStr">
        <is>
          <t>2026-10-30</t>
        </is>
      </c>
      <c r="Q9" s="19" t="inlineStr">
        <is>
          <t>22.6 倍 PE；3.1% 股息率；基准 27.59</t>
        </is>
      </c>
    </row>
    <row r="10" ht="40" customHeight="1">
      <c r="A10" s="13" t="n">
        <v>6</v>
      </c>
      <c r="B10" s="14" t="inlineStr">
        <is>
          <t>中国神华</t>
        </is>
      </c>
      <c r="C10" s="13" t="inlineStr">
        <is>
          <t>601088.SH</t>
        </is>
      </c>
      <c r="D10" s="13" t="inlineStr">
        <is>
          <t>A股</t>
        </is>
      </c>
      <c r="E10" s="15" t="inlineStr">
        <is>
          <t>一般红利</t>
        </is>
      </c>
      <c r="F10" s="13" t="inlineStr">
        <is>
          <t>煤炭</t>
        </is>
      </c>
      <c r="G10" s="16">
        <f>IF('分红安全'!AD8="数据不足","数据不足",'分红安全'!AH8)</f>
        <v/>
      </c>
      <c r="H10" s="16">
        <f>'总回报'!T10</f>
        <v/>
      </c>
      <c r="I10" s="16">
        <f>IF(AND(ISNUMBER(G10),ISNUMBER(H10)),0.6*G10+0.4*H10,"")</f>
        <v/>
      </c>
      <c r="J10" s="17">
        <f>IF(ISNUMBER(I10),IF(I10&gt;=80,"A",IF(I10&gt;=65,"B",IF(I10&gt;=50,"C","D"))),"")</f>
        <v/>
      </c>
      <c r="K10" s="18">
        <f>'总回报'!H10</f>
        <v/>
      </c>
      <c r="L10" s="18">
        <f>'总回报'!P10</f>
        <v/>
      </c>
      <c r="M10" s="18">
        <f>'总回报'!Q10</f>
        <v/>
      </c>
      <c r="N10" s="19">
        <f>'分红安全'!AG8</f>
        <v/>
      </c>
      <c r="O10" s="9" t="inlineStr">
        <is>
          <t>昂贵；为周期高位盈利付费</t>
        </is>
      </c>
      <c r="P10" s="20" t="inlineStr">
        <is>
          <t>2026-10-30</t>
        </is>
      </c>
      <c r="Q10" s="19" t="inlineStr">
        <is>
          <t>20 倍 PE；3.8% 股息率；基准 36.64</t>
        </is>
      </c>
    </row>
    <row r="11" ht="40" customHeight="1">
      <c r="A11" s="13" t="n">
        <v>7</v>
      </c>
      <c r="B11" s="14" t="inlineStr">
        <is>
          <t>可口可乐</t>
        </is>
      </c>
      <c r="C11" s="13" t="inlineStr">
        <is>
          <t>KO</t>
        </is>
      </c>
      <c r="D11" s="13" t="inlineStr">
        <is>
          <t>美股</t>
        </is>
      </c>
      <c r="E11" s="15" t="inlineStr">
        <is>
          <t>一般红利</t>
        </is>
      </c>
      <c r="F11" s="13" t="inlineStr">
        <is>
          <t>必选消费</t>
        </is>
      </c>
      <c r="G11" s="16">
        <f>IF('分红安全'!AD9="数据不足","数据不足",'分红安全'!AH9)</f>
        <v/>
      </c>
      <c r="H11" s="16">
        <f>'总回报'!T11</f>
        <v/>
      </c>
      <c r="I11" s="16">
        <f>IF(AND(ISNUMBER(G11),ISNUMBER(H11)),0.6*G11+0.4*H11,"")</f>
        <v/>
      </c>
      <c r="J11" s="17">
        <f>IF(ISNUMBER(I11),IF(I11&gt;=80,"A",IF(I11&gt;=65,"B",IF(I11&gt;=50,"C","D"))),"")</f>
        <v/>
      </c>
      <c r="K11" s="18">
        <f>'总回报'!H11</f>
        <v/>
      </c>
      <c r="L11" s="18">
        <f>'总回报'!P11</f>
        <v/>
      </c>
      <c r="M11" s="18">
        <f>'总回报'!Q11</f>
        <v/>
      </c>
      <c r="N11" s="19">
        <f>'分红安全'!AG9</f>
        <v/>
      </c>
      <c r="O11" s="9" t="inlineStr">
        <is>
          <t>护城河仍在，估值略贵</t>
        </is>
      </c>
      <c r="P11" s="20" t="inlineStr">
        <is>
          <t>2026-10-30</t>
        </is>
      </c>
      <c r="Q11" s="19" t="inlineStr">
        <is>
          <t>27 倍 PE；股息率待填</t>
        </is>
      </c>
    </row>
    <row r="12" ht="40" customHeight="1">
      <c r="A12" s="13" t="n">
        <v>8</v>
      </c>
      <c r="B12" s="14" t="inlineStr">
        <is>
          <t>中国移动</t>
        </is>
      </c>
      <c r="C12" s="13" t="inlineStr">
        <is>
          <t>600941.SH</t>
        </is>
      </c>
      <c r="D12" s="13" t="inlineStr">
        <is>
          <t>A股</t>
        </is>
      </c>
      <c r="E12" s="15" t="inlineStr">
        <is>
          <t>一般红利</t>
        </is>
      </c>
      <c r="F12" s="13" t="inlineStr">
        <is>
          <t>运营商</t>
        </is>
      </c>
      <c r="G12" s="16">
        <f>IF('分红安全'!AD10="数据不足","数据不足",'分红安全'!AH10)</f>
        <v/>
      </c>
      <c r="H12" s="16">
        <f>'总回报'!T12</f>
        <v/>
      </c>
      <c r="I12" s="16">
        <f>IF(AND(ISNUMBER(G12),ISNUMBER(H12)),0.6*G12+0.4*H12,"")</f>
        <v/>
      </c>
      <c r="J12" s="17">
        <f>IF(ISNUMBER(I12),IF(I12&gt;=80,"A",IF(I12&gt;=65,"B",IF(I12&gt;=50,"C","D"))),"")</f>
        <v/>
      </c>
      <c r="K12" s="18">
        <f>'总回报'!H12</f>
        <v/>
      </c>
      <c r="L12" s="18">
        <f>'总回报'!P12</f>
        <v/>
      </c>
      <c r="M12" s="18">
        <f>'总回报'!Q12</f>
        <v/>
      </c>
      <c r="N12" s="19">
        <f>'分红安全'!AG10</f>
        <v/>
      </c>
      <c r="O12" s="9" t="inlineStr">
        <is>
          <t>待研究</t>
        </is>
      </c>
      <c r="P12" s="20" t="inlineStr"/>
      <c r="Q12" s="19" t="inlineStr">
        <is>
          <t>观察池候选；资本开支见顶后分红提升</t>
        </is>
      </c>
    </row>
    <row r="13" ht="40" customHeight="1">
      <c r="A13" s="13" t="n">
        <v>9</v>
      </c>
      <c r="B13" s="14" t="inlineStr">
        <is>
          <t>宁沪高速</t>
        </is>
      </c>
      <c r="C13" s="13" t="inlineStr">
        <is>
          <t>600377.SH</t>
        </is>
      </c>
      <c r="D13" s="13" t="inlineStr">
        <is>
          <t>A股</t>
        </is>
      </c>
      <c r="E13" s="15" t="inlineStr">
        <is>
          <t>一般红利</t>
        </is>
      </c>
      <c r="F13" s="13" t="inlineStr">
        <is>
          <t>高速公路</t>
        </is>
      </c>
      <c r="G13" s="16">
        <f>IF('分红安全'!AD11="数据不足","数据不足",'分红安全'!AH11)</f>
        <v/>
      </c>
      <c r="H13" s="16">
        <f>'总回报'!T13</f>
        <v/>
      </c>
      <c r="I13" s="16">
        <f>IF(AND(ISNUMBER(G13),ISNUMBER(H13)),0.6*G13+0.4*H13,"")</f>
        <v/>
      </c>
      <c r="J13" s="17">
        <f>IF(ISNUMBER(I13),IF(I13&gt;=80,"A",IF(I13&gt;=65,"B",IF(I13&gt;=50,"C","D"))),"")</f>
        <v/>
      </c>
      <c r="K13" s="18">
        <f>'总回报'!H13</f>
        <v/>
      </c>
      <c r="L13" s="18">
        <f>'总回报'!P13</f>
        <v/>
      </c>
      <c r="M13" s="18">
        <f>'总回报'!Q13</f>
        <v/>
      </c>
      <c r="N13" s="19">
        <f>'分红安全'!AG11</f>
        <v/>
      </c>
      <c r="O13" s="9" t="inlineStr">
        <is>
          <t>待研究</t>
        </is>
      </c>
      <c r="P13" s="20" t="inlineStr"/>
      <c r="Q13" s="19" t="inlineStr">
        <is>
          <t>观察池候选；类债现金流</t>
        </is>
      </c>
    </row>
    <row r="14" ht="40" customHeight="1">
      <c r="A14" s="13" t="n">
        <v>10</v>
      </c>
      <c r="B14" s="14" t="inlineStr">
        <is>
          <t>伯克希尔</t>
        </is>
      </c>
      <c r="C14" s="13" t="inlineStr">
        <is>
          <t>BRK.B</t>
        </is>
      </c>
      <c r="D14" s="13" t="inlineStr">
        <is>
          <t>美股</t>
        </is>
      </c>
      <c r="E14" s="15" t="inlineStr">
        <is>
          <t>质量防御</t>
        </is>
      </c>
      <c r="F14" s="13" t="inlineStr">
        <is>
          <t>综合控股</t>
        </is>
      </c>
      <c r="G14" s="16">
        <f>'质量防御'!R5</f>
        <v/>
      </c>
      <c r="H14" s="16">
        <f>'总回报'!T14</f>
        <v/>
      </c>
      <c r="I14" s="16">
        <f>IF(AND(ISNUMBER(G14),ISNUMBER(H14)),0.6*G14+0.4*H14,"")</f>
        <v/>
      </c>
      <c r="J14" s="17">
        <f>IF(ISNUMBER(I14),IF(I14&gt;=80,"A",IF(I14&gt;=65,"B",IF(I14&gt;=50,"C","D"))),"")</f>
        <v/>
      </c>
      <c r="K14" s="18">
        <f>'总回报'!H14</f>
        <v/>
      </c>
      <c r="L14" s="18">
        <f>'总回报'!P14</f>
        <v/>
      </c>
      <c r="M14" s="18">
        <f>'总回报'!Q14</f>
        <v/>
      </c>
      <c r="N14" s="19" t="inlineStr">
        <is>
          <t>ROIC / 资本强度约束，见质量防御</t>
        </is>
      </c>
      <c r="O14" s="9" t="inlineStr">
        <is>
          <t>合理区间上沿，安全边际不足</t>
        </is>
      </c>
      <c r="P14" s="20" t="inlineStr">
        <is>
          <t>2026-10-30</t>
        </is>
      </c>
      <c r="Q14" s="19" t="inlineStr">
        <is>
          <t>非股息型；现金与上市股权提供资产负债表防御</t>
        </is>
      </c>
    </row>
    <row r="15" ht="40" customHeight="1">
      <c r="A15" s="13" t="n">
        <v>11</v>
      </c>
      <c r="B15" s="14" t="inlineStr">
        <is>
          <t>Visa</t>
        </is>
      </c>
      <c r="C15" s="13" t="inlineStr">
        <is>
          <t>V</t>
        </is>
      </c>
      <c r="D15" s="13" t="inlineStr">
        <is>
          <t>美股</t>
        </is>
      </c>
      <c r="E15" s="15" t="inlineStr">
        <is>
          <t>质量防御</t>
        </is>
      </c>
      <c r="F15" s="13" t="inlineStr">
        <is>
          <t>支付</t>
        </is>
      </c>
      <c r="G15" s="16">
        <f>'质量防御'!R6</f>
        <v/>
      </c>
      <c r="H15" s="16">
        <f>'总回报'!T15</f>
        <v/>
      </c>
      <c r="I15" s="16">
        <f>IF(AND(ISNUMBER(G15),ISNUMBER(H15)),0.6*G15+0.4*H15,"")</f>
        <v/>
      </c>
      <c r="J15" s="17">
        <f>IF(ISNUMBER(I15),IF(I15&gt;=80,"A",IF(I15&gt;=65,"B",IF(I15&gt;=50,"C","D"))),"")</f>
        <v/>
      </c>
      <c r="K15" s="18">
        <f>'总回报'!H15</f>
        <v/>
      </c>
      <c r="L15" s="18">
        <f>'总回报'!P15</f>
        <v/>
      </c>
      <c r="M15" s="18">
        <f>'总回报'!Q15</f>
        <v/>
      </c>
      <c r="N15" s="19" t="inlineStr">
        <is>
          <t>ROIC / 资本强度约束，见质量防御</t>
        </is>
      </c>
      <c r="O15" s="9" t="inlineStr">
        <is>
          <t>合理偏低，安全边际不足</t>
        </is>
      </c>
      <c r="P15" s="20" t="inlineStr">
        <is>
          <t>2026-10-30</t>
        </is>
      </c>
      <c r="Q15" s="19" t="inlineStr">
        <is>
          <t>32.5 倍 PE；0.78% 股息率；DCF 424.63</t>
        </is>
      </c>
    </row>
    <row r="16" ht="40" customHeight="1">
      <c r="A16" s="13" t="n">
        <v>12</v>
      </c>
      <c r="B16" s="14" t="inlineStr">
        <is>
          <t>万事达卡</t>
        </is>
      </c>
      <c r="C16" s="13" t="inlineStr">
        <is>
          <t>MA</t>
        </is>
      </c>
      <c r="D16" s="13" t="inlineStr">
        <is>
          <t>美股</t>
        </is>
      </c>
      <c r="E16" s="15" t="inlineStr">
        <is>
          <t>质量防御</t>
        </is>
      </c>
      <c r="F16" s="13" t="inlineStr">
        <is>
          <t>支付</t>
        </is>
      </c>
      <c r="G16" s="16">
        <f>'质量防御'!R7</f>
        <v/>
      </c>
      <c r="H16" s="16">
        <f>'总回报'!T16</f>
        <v/>
      </c>
      <c r="I16" s="16">
        <f>IF(AND(ISNUMBER(G16),ISNUMBER(H16)),0.6*G16+0.4*H16,"")</f>
        <v/>
      </c>
      <c r="J16" s="17">
        <f>IF(ISNUMBER(I16),IF(I16&gt;=80,"A",IF(I16&gt;=65,"B",IF(I16&gt;=50,"C","D"))),"")</f>
        <v/>
      </c>
      <c r="K16" s="18">
        <f>'总回报'!H16</f>
        <v/>
      </c>
      <c r="L16" s="18">
        <f>'总回报'!P16</f>
        <v/>
      </c>
      <c r="M16" s="18">
        <f>'总回报'!Q16</f>
        <v/>
      </c>
      <c r="N16" s="19" t="inlineStr">
        <is>
          <t>ROIC / 资本强度约束，见质量防御</t>
        </is>
      </c>
      <c r="O16" s="9" t="inlineStr">
        <is>
          <t>合理偏低，安全边际不足</t>
        </is>
      </c>
      <c r="P16" s="20" t="inlineStr">
        <is>
          <t>2026-10-30</t>
        </is>
      </c>
      <c r="Q16" s="19" t="inlineStr">
        <is>
          <t>33.6 倍 PE；0.50% 股息率；DCF 666.31</t>
        </is>
      </c>
    </row>
  </sheetData>
  <mergeCells count="2">
    <mergeCell ref="A2:Q2"/>
    <mergeCell ref="A1:Q1"/>
  </mergeCells>
  <conditionalFormatting sqref="J5:J16">
    <cfRule type="expression" priority="1" dxfId="0">
      <formula>J5="A"</formula>
    </cfRule>
    <cfRule type="expression" priority="2" dxfId="1">
      <formula>J5="B"</formula>
    </cfRule>
    <cfRule type="expression" priority="3" dxfId="2">
      <formula>J5="C"</formula>
    </cfRule>
    <cfRule type="expression" priority="4" dxfId="3">
      <formula>J5="D"</formula>
    </cfRule>
  </conditionalFormatting>
  <dataValidations count="1">
    <dataValidation sqref="E5:E16" showDropDown="0" showInputMessage="0" showErrorMessage="0" allowBlank="1" type="list">
      <formula1>"一般红利,一般红利/类债,金融红利,质量防御"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C77C1A"/>
    <outlinePr summaryBelow="1" summaryRight="1"/>
    <pageSetUpPr fitToPage="1"/>
  </sheetPr>
  <dimension ref="A1:AK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3" customWidth="1" min="3" max="3"/>
    <col width="8" customWidth="1" min="4" max="4"/>
    <col width="14" customWidth="1" min="5" max="5"/>
    <col width="9" customWidth="1" min="6" max="6"/>
    <col width="10" customWidth="1" min="7" max="7"/>
    <col width="10" customWidth="1" min="8" max="8"/>
    <col width="12" customWidth="1" min="9" max="9"/>
    <col width="9" customWidth="1" min="10" max="10"/>
    <col width="12" customWidth="1" min="11" max="11"/>
    <col width="11" customWidth="1" min="12" max="12"/>
    <col width="12" customWidth="1" min="13" max="13"/>
    <col width="10" customWidth="1" min="14" max="14"/>
    <col width="11" customWidth="1" min="15" max="15"/>
    <col width="11" customWidth="1" min="16" max="16"/>
    <col width="11" customWidth="1" min="17" max="17"/>
    <col width="12" customWidth="1" min="18" max="18"/>
    <col width="11" customWidth="1" min="19" max="19"/>
    <col width="11" customWidth="1" min="20" max="20"/>
    <col width="10" customWidth="1" min="21" max="21"/>
    <col width="11" customWidth="1" min="22" max="22"/>
    <col width="12" customWidth="1" min="23" max="23"/>
    <col width="12" customWidth="1" min="24" max="24"/>
    <col width="10" customWidth="1" min="25" max="25"/>
    <col width="12" customWidth="1" min="26" max="26"/>
    <col width="10" customWidth="1" min="27" max="27"/>
    <col width="10" customWidth="1" min="28" max="28"/>
    <col width="11" customWidth="1" min="29" max="29"/>
    <col width="10" customWidth="1" min="30" max="30"/>
    <col width="14" customWidth="1" min="31" max="31"/>
    <col width="10" customWidth="1" min="32" max="32"/>
    <col width="34" customWidth="1" min="33" max="33"/>
    <col width="11" customWidth="1" min="34" max="34"/>
    <col width="8" customWidth="1" min="35" max="35"/>
    <col width="10" customWidth="1" min="36" max="36"/>
    <col width="42" customWidth="1" min="37" max="37"/>
  </cols>
  <sheetData>
    <row r="1" ht="32" customHeight="1">
      <c r="A1" s="21" t="inlineStr">
        <is>
          <t>一般红利 · 六维评分</t>
        </is>
      </c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</row>
    <row r="2" ht="30" customHeight="1">
      <c r="A2" s="23" t="inlineStr">
        <is>
          <t>蓝色=输入；灰色=公式；红色=硬约束</t>
        </is>
      </c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</row>
    <row r="4" ht="58" customHeight="1">
      <c r="A4" s="7" t="inlineStr">
        <is>
          <t>序号</t>
        </is>
      </c>
      <c r="B4" s="7" t="inlineStr">
        <is>
          <t>标的</t>
        </is>
      </c>
      <c r="C4" s="7" t="inlineStr">
        <is>
          <t>代码</t>
        </is>
      </c>
      <c r="D4" s="7" t="inlineStr">
        <is>
          <t>市场</t>
        </is>
      </c>
      <c r="E4" s="7" t="inlineStr">
        <is>
          <t>行业</t>
        </is>
      </c>
      <c r="F4" s="7" t="inlineStr">
        <is>
          <t>当前价</t>
        </is>
      </c>
      <c r="G4" s="7" t="inlineStr">
        <is>
          <t>2026E DPS</t>
        </is>
      </c>
      <c r="H4" s="7" t="inlineStr">
        <is>
          <t>股本(亿股)</t>
        </is>
      </c>
      <c r="I4" s="7" t="inlineStr">
        <is>
          <t>2026E 分红总额(亿元)</t>
        </is>
      </c>
      <c r="J4" s="7" t="inlineStr">
        <is>
          <t>股息率</t>
        </is>
      </c>
      <c r="K4" s="7" t="inlineStr">
        <is>
          <t>FY2025 FCF(亿元)</t>
        </is>
      </c>
      <c r="L4" s="7" t="inlineStr">
        <is>
          <t>FCF派息率</t>
        </is>
      </c>
      <c r="M4" s="7" t="inlineStr">
        <is>
          <t>3年平均FCF派息率</t>
        </is>
      </c>
      <c r="N4" s="7" t="inlineStr">
        <is>
          <t>FCF覆盖得分</t>
        </is>
      </c>
      <c r="O4" s="7" t="inlineStr">
        <is>
          <t>净负债(亿元)</t>
        </is>
      </c>
      <c r="P4" s="7" t="inlineStr">
        <is>
          <t>EBITDA(亿元)</t>
        </is>
      </c>
      <c r="Q4" s="7" t="inlineStr">
        <is>
          <t>净负债/EBITDA</t>
        </is>
      </c>
      <c r="R4" s="7" t="inlineStr">
        <is>
          <t>资产负债表得分</t>
        </is>
      </c>
      <c r="S4" s="7" t="inlineStr">
        <is>
          <t>资本开支(亿元)</t>
        </is>
      </c>
      <c r="T4" s="7" t="inlineStr">
        <is>
          <t>折旧摊销(亿元)</t>
        </is>
      </c>
      <c r="U4" s="7" t="inlineStr">
        <is>
          <t>capex/折旧</t>
        </is>
      </c>
      <c r="V4" s="7" t="inlineStr">
        <is>
          <t>资本开支得分</t>
        </is>
      </c>
      <c r="W4" s="7" t="inlineStr">
        <is>
          <t>5年净利最大回撤</t>
        </is>
      </c>
      <c r="X4" s="7" t="inlineStr">
        <is>
          <t>盈利周期性得分</t>
        </is>
      </c>
      <c r="Y4" s="7" t="inlineStr">
        <is>
          <t>近5年砍息次数</t>
        </is>
      </c>
      <c r="Z4" s="7" t="inlineStr">
        <is>
          <t>分红连续性得分</t>
        </is>
      </c>
      <c r="AA4" s="7" t="inlineStr">
        <is>
          <t>5年DPS CAGR</t>
        </is>
      </c>
      <c r="AB4" s="7" t="inlineStr">
        <is>
          <t>治理得分</t>
        </is>
      </c>
      <c r="AC4" s="7" t="inlineStr">
        <is>
          <t>少数股东占比</t>
        </is>
      </c>
      <c r="AD4" s="7" t="inlineStr">
        <is>
          <t>质量分</t>
        </is>
      </c>
      <c r="AE4" s="7" t="inlineStr">
        <is>
          <t>连续2年&gt;100%</t>
        </is>
      </c>
      <c r="AF4" s="7" t="inlineStr">
        <is>
          <t>硬约束上限</t>
        </is>
      </c>
      <c r="AG4" s="7" t="inlineStr">
        <is>
          <t>硬约束原因</t>
        </is>
      </c>
      <c r="AH4" s="7" t="inlineStr">
        <is>
          <t>最终质量分</t>
        </is>
      </c>
      <c r="AI4" s="7" t="inlineStr">
        <is>
          <t>等级</t>
        </is>
      </c>
      <c r="AJ4" s="7" t="inlineStr">
        <is>
          <t>数据完整度</t>
        </is>
      </c>
      <c r="AK4" s="7" t="inlineStr">
        <is>
          <t>备注</t>
        </is>
      </c>
    </row>
    <row r="5" ht="44" customHeight="1">
      <c r="A5" s="13" t="n">
        <v>1</v>
      </c>
      <c r="B5" s="14" t="inlineStr">
        <is>
          <t>美的集团</t>
        </is>
      </c>
      <c r="C5" s="13" t="inlineStr">
        <is>
          <t>000333.SZ</t>
        </is>
      </c>
      <c r="D5" s="13" t="inlineStr">
        <is>
          <t>A股</t>
        </is>
      </c>
      <c r="E5" s="13" t="inlineStr">
        <is>
          <t>家电</t>
        </is>
      </c>
      <c r="F5" s="25" t="n"/>
      <c r="G5" s="25" t="n"/>
      <c r="H5" s="25" t="n"/>
      <c r="I5" s="26">
        <f>IF(OR(G5="",H5=""),"",G5*H5)</f>
        <v/>
      </c>
      <c r="J5" s="18">
        <f>IF(OR(F5="",G5=""),"",G5/F5)</f>
        <v/>
      </c>
      <c r="K5" s="25" t="n"/>
      <c r="L5" s="27">
        <f>IF(OR(I5="",K5=""),"",I5/K5)</f>
        <v/>
      </c>
      <c r="M5" s="28" t="n"/>
      <c r="N5" s="16">
        <f>IF(AND(L5="",M5=""),"",IF(IF(M5&lt;&gt;"",M5,L5)&lt;=0.5,95,IF(IF(M5&lt;&gt;"",M5,L5)&lt;=0.7,82,IF(IF(M5&lt;&gt;"",M5,L5)&lt;=0.9,67,IF(IF(M5&lt;&gt;"",M5,L5)&lt;=1,50,25)))))</f>
        <v/>
      </c>
      <c r="O5" s="25" t="n"/>
      <c r="P5" s="25" t="n"/>
      <c r="Q5" s="26">
        <f>IF(OR(O5="",P5=""),"",IF(P5&lt;=0,"",O5/P5))</f>
        <v/>
      </c>
      <c r="R5" s="16">
        <f>IF(Q5="","",IF(Q5&lt;=0,95,IF(Q5&lt;=1,85,IF(Q5&lt;=2,72,IF(Q5&lt;=3,58,IF(Q5&lt;=4,42,20))))))</f>
        <v/>
      </c>
      <c r="S5" s="25" t="n"/>
      <c r="T5" s="25" t="n"/>
      <c r="U5" s="26">
        <f>IF(OR(S5="",T5=""),"",S5/T5)</f>
        <v/>
      </c>
      <c r="V5" s="16">
        <f>IF(U5="","",IF(U5&lt;=0.8,90,IF(U5&lt;=1.2,78,IF(U5&lt;=1.8,62,IF(U5&lt;=2.5,42,20)))))</f>
        <v/>
      </c>
      <c r="W5" s="28" t="n"/>
      <c r="X5" s="16">
        <f>IF(W5="","",IF(W5&lt;=0.15,92,IF(W5&lt;=0.3,78,IF(W5&lt;=0.5,60,IF(W5&lt;=0.7,40,20)))))</f>
        <v/>
      </c>
      <c r="Y5" s="29" t="n"/>
      <c r="Z5" s="16">
        <f>IF(Y5="","",IF(Y5=0,90,IF(Y5=1,50,20)))</f>
        <v/>
      </c>
      <c r="AA5" s="28" t="n"/>
      <c r="AB5" s="30" t="n"/>
      <c r="AC5" s="28" t="n"/>
      <c r="AD5" s="16">
        <f>IF(COUNT(N5,R5,V5,X5,Z5,AB5)&lt;6,"数据不足",0.25*N5+0.2*R5+0.15*V5+0.15*X5+0.15*Z5+0.1*AB5)</f>
        <v/>
      </c>
      <c r="AE5" s="15" t="n"/>
      <c r="AF5" s="31">
        <f>IF(AE5="是",40,IF(AND(Q5&lt;&gt;"",Q5&gt;4),30,IF(AND(Y5&lt;&gt;"",Y5&gt;=1),50,IF(AND(W5&lt;&gt;"",W5&gt;0.7),50,IF(AND(AC5&lt;&gt;"",AC5&gt;0.2),60,100)))))</f>
        <v/>
      </c>
      <c r="AG5" s="32">
        <f>IF(AE5="是","FCF派息率连续2年&gt;100%，上限40",IF(AND(Q5&lt;&gt;"",Q5&gt;4),"净负债/EBITDA&gt;4，上限30",IF(AND(Y5&lt;&gt;"",Y5&gt;=1),"近5年砍息，上限50",IF(AND(W5&lt;&gt;"",W5&gt;0.7),"5年净利回撤&gt;70%，上限50",IF(AND(AC5&lt;&gt;"",AC5&gt;0.2),"少数股东/治理侵蚀&gt;20%，上限60","")))))</f>
        <v/>
      </c>
      <c r="AH5" s="16">
        <f>IF(AD5="数据不足","",MIN(AD5,AF5))</f>
        <v/>
      </c>
      <c r="AI5" s="17">
        <f>IF(AH5="","NA",IF(AH5&gt;=80,"A",IF(AH5&gt;=65,"B",IF(AH5&gt;=50,"C","D"))))</f>
        <v/>
      </c>
      <c r="AJ5" s="33">
        <f>COUNTA(F5,G5,H5,K5,O5,P5,S5,T5,W5,Y5,AB5,AC5)/12</f>
        <v/>
      </c>
      <c r="AK5" s="19" t="inlineStr">
        <is>
          <t>股息率约4.9%；FCF/净负债/资本开支待填</t>
        </is>
      </c>
    </row>
    <row r="6" ht="44" customHeight="1">
      <c r="A6" s="13" t="n">
        <v>2</v>
      </c>
      <c r="B6" s="14" t="inlineStr">
        <is>
          <t>贵州茅台</t>
        </is>
      </c>
      <c r="C6" s="13" t="inlineStr">
        <is>
          <t>600519.SH</t>
        </is>
      </c>
      <c r="D6" s="13" t="inlineStr">
        <is>
          <t>A股</t>
        </is>
      </c>
      <c r="E6" s="13" t="inlineStr">
        <is>
          <t>高端白酒</t>
        </is>
      </c>
      <c r="F6" s="25" t="n"/>
      <c r="G6" s="25" t="n"/>
      <c r="H6" s="25" t="n"/>
      <c r="I6" s="26">
        <f>IF(OR(G6="",H6=""),"",G6*H6)</f>
        <v/>
      </c>
      <c r="J6" s="18">
        <f>IF(OR(F6="",G6=""),"",G6/F6)</f>
        <v/>
      </c>
      <c r="K6" s="25" t="n"/>
      <c r="L6" s="27">
        <f>IF(OR(I6="",K6=""),"",I6/K6)</f>
        <v/>
      </c>
      <c r="M6" s="28" t="n"/>
      <c r="N6" s="16">
        <f>IF(AND(L6="",M6=""),"",IF(IF(M6&lt;&gt;"",M6,L6)&lt;=0.5,95,IF(IF(M6&lt;&gt;"",M6,L6)&lt;=0.7,82,IF(IF(M6&lt;&gt;"",M6,L6)&lt;=0.9,67,IF(IF(M6&lt;&gt;"",M6,L6)&lt;=1,50,25)))))</f>
        <v/>
      </c>
      <c r="O6" s="25" t="n"/>
      <c r="P6" s="25" t="n"/>
      <c r="Q6" s="26">
        <f>IF(OR(O6="",P6=""),"",IF(P6&lt;=0,"",O6/P6))</f>
        <v/>
      </c>
      <c r="R6" s="16">
        <f>IF(Q6="","",IF(Q6&lt;=0,95,IF(Q6&lt;=1,85,IF(Q6&lt;=2,72,IF(Q6&lt;=3,58,IF(Q6&lt;=4,42,20))))))</f>
        <v/>
      </c>
      <c r="S6" s="25" t="n"/>
      <c r="T6" s="25" t="n"/>
      <c r="U6" s="26">
        <f>IF(OR(S6="",T6=""),"",S6/T6)</f>
        <v/>
      </c>
      <c r="V6" s="16">
        <f>IF(U6="","",IF(U6&lt;=0.8,90,IF(U6&lt;=1.2,78,IF(U6&lt;=1.8,62,IF(U6&lt;=2.5,42,20)))))</f>
        <v/>
      </c>
      <c r="W6" s="28" t="n"/>
      <c r="X6" s="16">
        <f>IF(W6="","",IF(W6&lt;=0.15,92,IF(W6&lt;=0.3,78,IF(W6&lt;=0.5,60,IF(W6&lt;=0.7,40,20)))))</f>
        <v/>
      </c>
      <c r="Y6" s="29" t="n"/>
      <c r="Z6" s="16">
        <f>IF(Y6="","",IF(Y6=0,90,IF(Y6=1,50,20)))</f>
        <v/>
      </c>
      <c r="AA6" s="28" t="n"/>
      <c r="AB6" s="30" t="n"/>
      <c r="AC6" s="28" t="n"/>
      <c r="AD6" s="16">
        <f>IF(COUNT(N6,R6,V6,X6,Z6,AB6)&lt;6,"数据不足",0.25*N6+0.2*R6+0.15*V6+0.15*X6+0.15*Z6+0.1*AB6)</f>
        <v/>
      </c>
      <c r="AE6" s="15" t="n"/>
      <c r="AF6" s="31">
        <f>IF(AE6="是",40,IF(AND(Q6&lt;&gt;"",Q6&gt;4),30,IF(AND(Y6&lt;&gt;"",Y6&gt;=1),50,IF(AND(W6&lt;&gt;"",W6&gt;0.7),50,IF(AND(AC6&lt;&gt;"",AC6&gt;0.2),60,100)))))</f>
        <v/>
      </c>
      <c r="AG6" s="32">
        <f>IF(AE6="是","FCF派息率连续2年&gt;100%，上限40",IF(AND(Q6&lt;&gt;"",Q6&gt;4),"净负债/EBITDA&gt;4，上限30",IF(AND(Y6&lt;&gt;"",Y6&gt;=1),"近5年砍息，上限50",IF(AND(W6&lt;&gt;"",W6&gt;0.7),"5年净利回撤&gt;70%，上限50",IF(AND(AC6&lt;&gt;"",AC6&gt;0.2),"少数股东/治理侵蚀&gt;20%，上限60","")))))</f>
        <v/>
      </c>
      <c r="AH6" s="16">
        <f>IF(AD6="数据不足","",MIN(AD6,AF6))</f>
        <v/>
      </c>
      <c r="AI6" s="17">
        <f>IF(AH6="","NA",IF(AH6&gt;=80,"A",IF(AH6&gt;=65,"B",IF(AH6&gt;=50,"C","D"))))</f>
        <v/>
      </c>
      <c r="AJ6" s="33">
        <f>COUNTA(F6,G6,H6,K6,O6,P6,S6,T6,W6,Y6,AB6,AC6)/12</f>
        <v/>
      </c>
      <c r="AK6" s="19" t="inlineStr">
        <is>
          <t>股息率约3.8%；FCF/净负债/资本开支待填</t>
        </is>
      </c>
    </row>
    <row r="7" ht="44" customHeight="1">
      <c r="A7" s="13" t="n">
        <v>3</v>
      </c>
      <c r="B7" s="14" t="inlineStr">
        <is>
          <t>长江电力</t>
        </is>
      </c>
      <c r="C7" s="13" t="inlineStr">
        <is>
          <t>600900.SH</t>
        </is>
      </c>
      <c r="D7" s="13" t="inlineStr">
        <is>
          <t>A股</t>
        </is>
      </c>
      <c r="E7" s="13" t="inlineStr">
        <is>
          <t>水电</t>
        </is>
      </c>
      <c r="F7" s="25" t="n">
        <v>29.74</v>
      </c>
      <c r="G7" s="25" t="n">
        <v>0.92</v>
      </c>
      <c r="H7" s="25" t="n">
        <v>244.68217716</v>
      </c>
      <c r="I7" s="26">
        <f>IF(OR(G7="",H7=""),"",G7*H7)</f>
        <v/>
      </c>
      <c r="J7" s="18">
        <f>IF(OR(F7="",G7=""),"",G7/F7)</f>
        <v/>
      </c>
      <c r="K7" s="25" t="n"/>
      <c r="L7" s="27">
        <f>IF(OR(I7="",K7=""),"",I7/K7)</f>
        <v/>
      </c>
      <c r="M7" s="28" t="n"/>
      <c r="N7" s="16">
        <f>IF(AND(L7="",M7=""),"",IF(IF(M7&lt;&gt;"",M7,L7)&lt;=0.5,95,IF(IF(M7&lt;&gt;"",M7,L7)&lt;=0.7,82,IF(IF(M7&lt;&gt;"",M7,L7)&lt;=0.9,67,IF(IF(M7&lt;&gt;"",M7,L7)&lt;=1,50,25)))))</f>
        <v/>
      </c>
      <c r="O7" s="25" t="n">
        <v>2734.9</v>
      </c>
      <c r="P7" s="25" t="n"/>
      <c r="Q7" s="26">
        <f>IF(OR(O7="",P7=""),"",IF(P7&lt;=0,"",O7/P7))</f>
        <v/>
      </c>
      <c r="R7" s="16">
        <f>IF(Q7="","",IF(Q7&lt;=0,95,IF(Q7&lt;=1,85,IF(Q7&lt;=2,72,IF(Q7&lt;=3,58,IF(Q7&lt;=4,42,20))))))</f>
        <v/>
      </c>
      <c r="S7" s="25" t="n"/>
      <c r="T7" s="25" t="n"/>
      <c r="U7" s="26">
        <f>IF(OR(S7="",T7=""),"",S7/T7)</f>
        <v/>
      </c>
      <c r="V7" s="16">
        <f>IF(U7="","",IF(U7&lt;=0.8,90,IF(U7&lt;=1.2,78,IF(U7&lt;=1.8,62,IF(U7&lt;=2.5,42,20)))))</f>
        <v/>
      </c>
      <c r="W7" s="28" t="n"/>
      <c r="X7" s="16">
        <f>IF(W7="","",IF(W7&lt;=0.15,92,IF(W7&lt;=0.3,78,IF(W7&lt;=0.5,60,IF(W7&lt;=0.7,40,20)))))</f>
        <v/>
      </c>
      <c r="Y7" s="29" t="n"/>
      <c r="Z7" s="16">
        <f>IF(Y7="","",IF(Y7=0,90,IF(Y7=1,50,20)))</f>
        <v/>
      </c>
      <c r="AA7" s="28" t="n"/>
      <c r="AB7" s="30" t="n"/>
      <c r="AC7" s="28" t="n"/>
      <c r="AD7" s="16">
        <f>IF(COUNT(N7,R7,V7,X7,Z7,AB7)&lt;6,"数据不足",0.25*N7+0.2*R7+0.15*V7+0.15*X7+0.15*Z7+0.1*AB7)</f>
        <v/>
      </c>
      <c r="AE7" s="15" t="n"/>
      <c r="AF7" s="31">
        <f>IF(AE7="是",40,IF(AND(Q7&lt;&gt;"",Q7&gt;4),30,IF(AND(Y7&lt;&gt;"",Y7&gt;=1),50,IF(AND(W7&lt;&gt;"",W7&gt;0.7),50,IF(AND(AC7&lt;&gt;"",AC7&gt;0.2),60,100)))))</f>
        <v/>
      </c>
      <c r="AG7" s="32">
        <f>IF(AE7="是","FCF派息率连续2年&gt;100%，上限40",IF(AND(Q7&lt;&gt;"",Q7&gt;4),"净负债/EBITDA&gt;4，上限30",IF(AND(Y7&lt;&gt;"",Y7&gt;=1),"近5年砍息，上限50",IF(AND(W7&lt;&gt;"",W7&gt;0.7),"5年净利回撤&gt;70%，上限50",IF(AND(AC7&lt;&gt;"",AC7&gt;0.2),"少数股东/治理侵蚀&gt;20%，上限60","")))))</f>
        <v/>
      </c>
      <c r="AH7" s="16">
        <f>IF(AD7="数据不足","",MIN(AD7,AF7))</f>
        <v/>
      </c>
      <c r="AI7" s="17">
        <f>IF(AH7="","NA",IF(AH7&gt;=80,"A",IF(AH7&gt;=65,"B",IF(AH7&gt;=50,"C","D"))))</f>
        <v/>
      </c>
      <c r="AJ7" s="33">
        <f>COUNTA(F7,G7,H7,K7,O7,P7,S7,T7,W7,Y7,AB7,AC7)/12</f>
        <v/>
      </c>
      <c r="AK7" s="19" t="inlineStr">
        <is>
          <t>净负债2734.9亿元；少数股东119.8亿元；FCF/EBITDA/资本开支待填</t>
        </is>
      </c>
    </row>
    <row r="8" ht="44" customHeight="1">
      <c r="A8" s="13" t="n">
        <v>4</v>
      </c>
      <c r="B8" s="14" t="inlineStr">
        <is>
          <t>中国神华</t>
        </is>
      </c>
      <c r="C8" s="13" t="inlineStr">
        <is>
          <t>601088.SH</t>
        </is>
      </c>
      <c r="D8" s="13" t="inlineStr">
        <is>
          <t>A股</t>
        </is>
      </c>
      <c r="E8" s="13" t="inlineStr">
        <is>
          <t>煤炭</t>
        </is>
      </c>
      <c r="F8" s="25" t="n">
        <v>51.99</v>
      </c>
      <c r="G8" s="25" t="n">
        <v>1.95</v>
      </c>
      <c r="H8" s="25" t="n">
        <v>216.89434304</v>
      </c>
      <c r="I8" s="26">
        <f>IF(OR(G8="",H8=""),"",G8*H8)</f>
        <v/>
      </c>
      <c r="J8" s="18">
        <f>IF(OR(F8="",G8=""),"",G8/F8)</f>
        <v/>
      </c>
      <c r="K8" s="25" t="n">
        <v>266.59</v>
      </c>
      <c r="L8" s="27">
        <f>IF(OR(I8="",K8=""),"",I8/K8)</f>
        <v/>
      </c>
      <c r="M8" s="28" t="n"/>
      <c r="N8" s="16">
        <f>IF(AND(L8="",M8=""),"",IF(IF(M8&lt;&gt;"",M8,L8)&lt;=0.5,95,IF(IF(M8&lt;&gt;"",M8,L8)&lt;=0.7,82,IF(IF(M8&lt;&gt;"",M8,L8)&lt;=0.9,67,IF(IF(M8&lt;&gt;"",M8,L8)&lt;=1,50,25)))))</f>
        <v/>
      </c>
      <c r="O8" s="25" t="n">
        <v>285.9</v>
      </c>
      <c r="P8" s="25" t="n"/>
      <c r="Q8" s="26">
        <f>IF(OR(O8="",P8=""),"",IF(P8&lt;=0,"",O8/P8))</f>
        <v/>
      </c>
      <c r="R8" s="16">
        <f>IF(Q8="","",IF(Q8&lt;=0,95,IF(Q8&lt;=1,85,IF(Q8&lt;=2,72,IF(Q8&lt;=3,58,IF(Q8&lt;=4,42,20))))))</f>
        <v/>
      </c>
      <c r="S8" s="25" t="n"/>
      <c r="T8" s="25" t="n"/>
      <c r="U8" s="26">
        <f>IF(OR(S8="",T8=""),"",S8/T8)</f>
        <v/>
      </c>
      <c r="V8" s="16">
        <f>IF(U8="","",IF(U8&lt;=0.8,90,IF(U8&lt;=1.2,78,IF(U8&lt;=1.8,62,IF(U8&lt;=2.5,42,20)))))</f>
        <v/>
      </c>
      <c r="W8" s="28" t="n"/>
      <c r="X8" s="16">
        <f>IF(W8="","",IF(W8&lt;=0.15,92,IF(W8&lt;=0.3,78,IF(W8&lt;=0.5,60,IF(W8&lt;=0.7,40,20)))))</f>
        <v/>
      </c>
      <c r="Y8" s="29" t="n"/>
      <c r="Z8" s="16">
        <f>IF(Y8="","",IF(Y8=0,90,IF(Y8=1,50,20)))</f>
        <v/>
      </c>
      <c r="AA8" s="28" t="n"/>
      <c r="AB8" s="30" t="n"/>
      <c r="AC8" s="28" t="n"/>
      <c r="AD8" s="16">
        <f>IF(COUNT(N8,R8,V8,X8,Z8,AB8)&lt;6,"数据不足",0.25*N8+0.2*R8+0.15*V8+0.15*X8+0.15*Z8+0.1*AB8)</f>
        <v/>
      </c>
      <c r="AE8" s="15" t="n"/>
      <c r="AF8" s="31">
        <f>IF(AE8="是",40,IF(AND(Q8&lt;&gt;"",Q8&gt;4),30,IF(AND(Y8&lt;&gt;"",Y8&gt;=1),50,IF(AND(W8&lt;&gt;"",W8&gt;0.7),50,IF(AND(AC8&lt;&gt;"",AC8&gt;0.2),60,100)))))</f>
        <v/>
      </c>
      <c r="AG8" s="32">
        <f>IF(AE8="是","FCF派息率连续2年&gt;100%，上限40",IF(AND(Q8&lt;&gt;"",Q8&gt;4),"净负债/EBITDA&gt;4，上限30",IF(AND(Y8&lt;&gt;"",Y8&gt;=1),"近5年砍息，上限50",IF(AND(W8&lt;&gt;"",W8&gt;0.7),"5年净利回撤&gt;70%，上限50",IF(AND(AC8&lt;&gt;"",AC8&gt;0.2),"少数股东/治理侵蚀&gt;20%，上限60","")))))</f>
        <v/>
      </c>
      <c r="AH8" s="16">
        <f>IF(AD8="数据不足","",MIN(AD8,AF8))</f>
        <v/>
      </c>
      <c r="AI8" s="17">
        <f>IF(AH8="","NA",IF(AH8&gt;=80,"A",IF(AH8&gt;=65,"B",IF(AH8&gt;=50,"C","D"))))</f>
        <v/>
      </c>
      <c r="AJ8" s="33">
        <f>COUNTA(F8,G8,H8,K8,O8,P8,S8,T8,W8,Y8,AB8,AC8)/12</f>
        <v/>
      </c>
      <c r="AK8" s="19" t="inlineStr">
        <is>
          <t>FY2025 FCF 266.59亿元；2026E DPS 1.95元；单年FCF派息率约159%，需核连续性与资本开支口径</t>
        </is>
      </c>
    </row>
    <row r="9" ht="44" customHeight="1">
      <c r="A9" s="13" t="n">
        <v>5</v>
      </c>
      <c r="B9" s="14" t="inlineStr">
        <is>
          <t>可口可乐</t>
        </is>
      </c>
      <c r="C9" s="13" t="inlineStr">
        <is>
          <t>KO</t>
        </is>
      </c>
      <c r="D9" s="13" t="inlineStr">
        <is>
          <t>美股</t>
        </is>
      </c>
      <c r="E9" s="13" t="inlineStr">
        <is>
          <t>必选消费</t>
        </is>
      </c>
      <c r="F9" s="25" t="n"/>
      <c r="G9" s="25" t="n"/>
      <c r="H9" s="25" t="n"/>
      <c r="I9" s="26">
        <f>IF(OR(G9="",H9=""),"",G9*H9)</f>
        <v/>
      </c>
      <c r="J9" s="18">
        <f>IF(OR(F9="",G9=""),"",G9/F9)</f>
        <v/>
      </c>
      <c r="K9" s="25" t="n"/>
      <c r="L9" s="27">
        <f>IF(OR(I9="",K9=""),"",I9/K9)</f>
        <v/>
      </c>
      <c r="M9" s="28" t="n"/>
      <c r="N9" s="16">
        <f>IF(AND(L9="",M9=""),"",IF(IF(M9&lt;&gt;"",M9,L9)&lt;=0.5,95,IF(IF(M9&lt;&gt;"",M9,L9)&lt;=0.7,82,IF(IF(M9&lt;&gt;"",M9,L9)&lt;=0.9,67,IF(IF(M9&lt;&gt;"",M9,L9)&lt;=1,50,25)))))</f>
        <v/>
      </c>
      <c r="O9" s="25" t="n"/>
      <c r="P9" s="25" t="n"/>
      <c r="Q9" s="26">
        <f>IF(OR(O9="",P9=""),"",IF(P9&lt;=0,"",O9/P9))</f>
        <v/>
      </c>
      <c r="R9" s="16">
        <f>IF(Q9="","",IF(Q9&lt;=0,95,IF(Q9&lt;=1,85,IF(Q9&lt;=2,72,IF(Q9&lt;=3,58,IF(Q9&lt;=4,42,20))))))</f>
        <v/>
      </c>
      <c r="S9" s="25" t="n"/>
      <c r="T9" s="25" t="n"/>
      <c r="U9" s="26">
        <f>IF(OR(S9="",T9=""),"",S9/T9)</f>
        <v/>
      </c>
      <c r="V9" s="16">
        <f>IF(U9="","",IF(U9&lt;=0.8,90,IF(U9&lt;=1.2,78,IF(U9&lt;=1.8,62,IF(U9&lt;=2.5,42,20)))))</f>
        <v/>
      </c>
      <c r="W9" s="28" t="n"/>
      <c r="X9" s="16">
        <f>IF(W9="","",IF(W9&lt;=0.15,92,IF(W9&lt;=0.3,78,IF(W9&lt;=0.5,60,IF(W9&lt;=0.7,40,20)))))</f>
        <v/>
      </c>
      <c r="Y9" s="29" t="n"/>
      <c r="Z9" s="16">
        <f>IF(Y9="","",IF(Y9=0,90,IF(Y9=1,50,20)))</f>
        <v/>
      </c>
      <c r="AA9" s="28" t="n"/>
      <c r="AB9" s="30" t="n"/>
      <c r="AC9" s="28" t="n"/>
      <c r="AD9" s="16">
        <f>IF(COUNT(N9,R9,V9,X9,Z9,AB9)&lt;6,"数据不足",0.25*N9+0.2*R9+0.15*V9+0.15*X9+0.15*Z9+0.1*AB9)</f>
        <v/>
      </c>
      <c r="AE9" s="15" t="n"/>
      <c r="AF9" s="31">
        <f>IF(AE9="是",40,IF(AND(Q9&lt;&gt;"",Q9&gt;4),30,IF(AND(Y9&lt;&gt;"",Y9&gt;=1),50,IF(AND(W9&lt;&gt;"",W9&gt;0.7),50,IF(AND(AC9&lt;&gt;"",AC9&gt;0.2),60,100)))))</f>
        <v/>
      </c>
      <c r="AG9" s="32">
        <f>IF(AE9="是","FCF派息率连续2年&gt;100%，上限40",IF(AND(Q9&lt;&gt;"",Q9&gt;4),"净负债/EBITDA&gt;4，上限30",IF(AND(Y9&lt;&gt;"",Y9&gt;=1),"近5年砍息，上限50",IF(AND(W9&lt;&gt;"",W9&gt;0.7),"5年净利回撤&gt;70%，上限50",IF(AND(AC9&lt;&gt;"",AC9&gt;0.2),"少数股东/治理侵蚀&gt;20%，上限60","")))))</f>
        <v/>
      </c>
      <c r="AH9" s="16">
        <f>IF(AD9="数据不足","",MIN(AD9,AF9))</f>
        <v/>
      </c>
      <c r="AI9" s="17">
        <f>IF(AH9="","NA",IF(AH9&gt;=80,"A",IF(AH9&gt;=65,"B",IF(AH9&gt;=50,"C","D"))))</f>
        <v/>
      </c>
      <c r="AJ9" s="33">
        <f>COUNTA(F9,G9,H9,K9,O9,P9,S9,T9,W9,Y9,AB9,AC9)/12</f>
        <v/>
      </c>
      <c r="AK9" s="19" t="inlineStr">
        <is>
          <t>PE约27倍；股息率/FCF待填</t>
        </is>
      </c>
    </row>
    <row r="10" ht="44" customHeight="1">
      <c r="A10" s="13" t="n">
        <v>6</v>
      </c>
      <c r="B10" s="14" t="inlineStr">
        <is>
          <t>中国移动</t>
        </is>
      </c>
      <c r="C10" s="13" t="inlineStr">
        <is>
          <t>600941.SH</t>
        </is>
      </c>
      <c r="D10" s="13" t="inlineStr">
        <is>
          <t>A股</t>
        </is>
      </c>
      <c r="E10" s="13" t="inlineStr">
        <is>
          <t>运营商</t>
        </is>
      </c>
      <c r="F10" s="25" t="n"/>
      <c r="G10" s="25" t="n"/>
      <c r="H10" s="25" t="n"/>
      <c r="I10" s="26">
        <f>IF(OR(G10="",H10=""),"",G10*H10)</f>
        <v/>
      </c>
      <c r="J10" s="18">
        <f>IF(OR(F10="",G10=""),"",G10/F10)</f>
        <v/>
      </c>
      <c r="K10" s="25" t="n"/>
      <c r="L10" s="27">
        <f>IF(OR(I10="",K10=""),"",I10/K10)</f>
        <v/>
      </c>
      <c r="M10" s="28" t="n"/>
      <c r="N10" s="16">
        <f>IF(AND(L10="",M10=""),"",IF(IF(M10&lt;&gt;"",M10,L10)&lt;=0.5,95,IF(IF(M10&lt;&gt;"",M10,L10)&lt;=0.7,82,IF(IF(M10&lt;&gt;"",M10,L10)&lt;=0.9,67,IF(IF(M10&lt;&gt;"",M10,L10)&lt;=1,50,25)))))</f>
        <v/>
      </c>
      <c r="O10" s="25" t="n"/>
      <c r="P10" s="25" t="n"/>
      <c r="Q10" s="26">
        <f>IF(OR(O10="",P10=""),"",IF(P10&lt;=0,"",O10/P10))</f>
        <v/>
      </c>
      <c r="R10" s="16">
        <f>IF(Q10="","",IF(Q10&lt;=0,95,IF(Q10&lt;=1,85,IF(Q10&lt;=2,72,IF(Q10&lt;=3,58,IF(Q10&lt;=4,42,20))))))</f>
        <v/>
      </c>
      <c r="S10" s="25" t="n"/>
      <c r="T10" s="25" t="n"/>
      <c r="U10" s="26">
        <f>IF(OR(S10="",T10=""),"",S10/T10)</f>
        <v/>
      </c>
      <c r="V10" s="16">
        <f>IF(U10="","",IF(U10&lt;=0.8,90,IF(U10&lt;=1.2,78,IF(U10&lt;=1.8,62,IF(U10&lt;=2.5,42,20)))))</f>
        <v/>
      </c>
      <c r="W10" s="28" t="n"/>
      <c r="X10" s="16">
        <f>IF(W10="","",IF(W10&lt;=0.15,92,IF(W10&lt;=0.3,78,IF(W10&lt;=0.5,60,IF(W10&lt;=0.7,40,20)))))</f>
        <v/>
      </c>
      <c r="Y10" s="29" t="n"/>
      <c r="Z10" s="16">
        <f>IF(Y10="","",IF(Y10=0,90,IF(Y10=1,50,20)))</f>
        <v/>
      </c>
      <c r="AA10" s="28" t="n"/>
      <c r="AB10" s="30" t="n"/>
      <c r="AC10" s="28" t="n"/>
      <c r="AD10" s="16">
        <f>IF(COUNT(N10,R10,V10,X10,Z10,AB10)&lt;6,"数据不足",0.25*N10+0.2*R10+0.15*V10+0.15*X10+0.15*Z10+0.1*AB10)</f>
        <v/>
      </c>
      <c r="AE10" s="15" t="n"/>
      <c r="AF10" s="31">
        <f>IF(AE10="是",40,IF(AND(Q10&lt;&gt;"",Q10&gt;4),30,IF(AND(Y10&lt;&gt;"",Y10&gt;=1),50,IF(AND(W10&lt;&gt;"",W10&gt;0.7),50,IF(AND(AC10&lt;&gt;"",AC10&gt;0.2),60,100)))))</f>
        <v/>
      </c>
      <c r="AG10" s="32">
        <f>IF(AE10="是","FCF派息率连续2年&gt;100%，上限40",IF(AND(Q10&lt;&gt;"",Q10&gt;4),"净负债/EBITDA&gt;4，上限30",IF(AND(Y10&lt;&gt;"",Y10&gt;=1),"近5年砍息，上限50",IF(AND(W10&lt;&gt;"",W10&gt;0.7),"5年净利回撤&gt;70%，上限50",IF(AND(AC10&lt;&gt;"",AC10&gt;0.2),"少数股东/治理侵蚀&gt;20%，上限60","")))))</f>
        <v/>
      </c>
      <c r="AH10" s="16">
        <f>IF(AD10="数据不足","",MIN(AD10,AF10))</f>
        <v/>
      </c>
      <c r="AI10" s="17">
        <f>IF(AH10="","NA",IF(AH10&gt;=80,"A",IF(AH10&gt;=65,"B",IF(AH10&gt;=50,"C","D"))))</f>
        <v/>
      </c>
      <c r="AJ10" s="33">
        <f>COUNTA(F10,G10,H10,K10,O10,P10,S10,T10,W10,Y10,AB10,AC10)/12</f>
        <v/>
      </c>
      <c r="AK10" s="19" t="inlineStr">
        <is>
          <t>待研究；观察池候选</t>
        </is>
      </c>
    </row>
    <row r="11" ht="44" customHeight="1">
      <c r="A11" s="13" t="n">
        <v>7</v>
      </c>
      <c r="B11" s="14" t="inlineStr">
        <is>
          <t>宁沪高速</t>
        </is>
      </c>
      <c r="C11" s="13" t="inlineStr">
        <is>
          <t>600377.SH</t>
        </is>
      </c>
      <c r="D11" s="13" t="inlineStr">
        <is>
          <t>A股</t>
        </is>
      </c>
      <c r="E11" s="13" t="inlineStr">
        <is>
          <t>高速公路</t>
        </is>
      </c>
      <c r="F11" s="25" t="n"/>
      <c r="G11" s="25" t="n"/>
      <c r="H11" s="25" t="n"/>
      <c r="I11" s="26">
        <f>IF(OR(G11="",H11=""),"",G11*H11)</f>
        <v/>
      </c>
      <c r="J11" s="18">
        <f>IF(OR(F11="",G11=""),"",G11/F11)</f>
        <v/>
      </c>
      <c r="K11" s="25" t="n"/>
      <c r="L11" s="27">
        <f>IF(OR(I11="",K11=""),"",I11/K11)</f>
        <v/>
      </c>
      <c r="M11" s="28" t="n"/>
      <c r="N11" s="16">
        <f>IF(AND(L11="",M11=""),"",IF(IF(M11&lt;&gt;"",M11,L11)&lt;=0.5,95,IF(IF(M11&lt;&gt;"",M11,L11)&lt;=0.7,82,IF(IF(M11&lt;&gt;"",M11,L11)&lt;=0.9,67,IF(IF(M11&lt;&gt;"",M11,L11)&lt;=1,50,25)))))</f>
        <v/>
      </c>
      <c r="O11" s="25" t="n"/>
      <c r="P11" s="25" t="n"/>
      <c r="Q11" s="26">
        <f>IF(OR(O11="",P11=""),"",IF(P11&lt;=0,"",O11/P11))</f>
        <v/>
      </c>
      <c r="R11" s="16">
        <f>IF(Q11="","",IF(Q11&lt;=0,95,IF(Q11&lt;=1,85,IF(Q11&lt;=2,72,IF(Q11&lt;=3,58,IF(Q11&lt;=4,42,20))))))</f>
        <v/>
      </c>
      <c r="S11" s="25" t="n"/>
      <c r="T11" s="25" t="n"/>
      <c r="U11" s="26">
        <f>IF(OR(S11="",T11=""),"",S11/T11)</f>
        <v/>
      </c>
      <c r="V11" s="16">
        <f>IF(U11="","",IF(U11&lt;=0.8,90,IF(U11&lt;=1.2,78,IF(U11&lt;=1.8,62,IF(U11&lt;=2.5,42,20)))))</f>
        <v/>
      </c>
      <c r="W11" s="28" t="n"/>
      <c r="X11" s="16">
        <f>IF(W11="","",IF(W11&lt;=0.15,92,IF(W11&lt;=0.3,78,IF(W11&lt;=0.5,60,IF(W11&lt;=0.7,40,20)))))</f>
        <v/>
      </c>
      <c r="Y11" s="29" t="n"/>
      <c r="Z11" s="16">
        <f>IF(Y11="","",IF(Y11=0,90,IF(Y11=1,50,20)))</f>
        <v/>
      </c>
      <c r="AA11" s="28" t="n"/>
      <c r="AB11" s="30" t="n"/>
      <c r="AC11" s="28" t="n"/>
      <c r="AD11" s="16">
        <f>IF(COUNT(N11,R11,V11,X11,Z11,AB11)&lt;6,"数据不足",0.25*N11+0.2*R11+0.15*V11+0.15*X11+0.15*Z11+0.1*AB11)</f>
        <v/>
      </c>
      <c r="AE11" s="15" t="n"/>
      <c r="AF11" s="31">
        <f>IF(AE11="是",40,IF(AND(Q11&lt;&gt;"",Q11&gt;4),30,IF(AND(Y11&lt;&gt;"",Y11&gt;=1),50,IF(AND(W11&lt;&gt;"",W11&gt;0.7),50,IF(AND(AC11&lt;&gt;"",AC11&gt;0.2),60,100)))))</f>
        <v/>
      </c>
      <c r="AG11" s="32">
        <f>IF(AE11="是","FCF派息率连续2年&gt;100%，上限40",IF(AND(Q11&lt;&gt;"",Q11&gt;4),"净负债/EBITDA&gt;4，上限30",IF(AND(Y11&lt;&gt;"",Y11&gt;=1),"近5年砍息，上限50",IF(AND(W11&lt;&gt;"",W11&gt;0.7),"5年净利回撤&gt;70%，上限50",IF(AND(AC11&lt;&gt;"",AC11&gt;0.2),"少数股东/治理侵蚀&gt;20%，上限60","")))))</f>
        <v/>
      </c>
      <c r="AH11" s="16">
        <f>IF(AD11="数据不足","",MIN(AD11,AF11))</f>
        <v/>
      </c>
      <c r="AI11" s="17">
        <f>IF(AH11="","NA",IF(AH11&gt;=80,"A",IF(AH11&gt;=65,"B",IF(AH11&gt;=50,"C","D"))))</f>
        <v/>
      </c>
      <c r="AJ11" s="33">
        <f>COUNTA(F11,G11,H11,K11,O11,P11,S11,T11,W11,Y11,AB11,AC11)/12</f>
        <v/>
      </c>
      <c r="AK11" s="19" t="inlineStr">
        <is>
          <t>待研究；观察池候选</t>
        </is>
      </c>
    </row>
  </sheetData>
  <mergeCells count="2">
    <mergeCell ref="A1:C1"/>
    <mergeCell ref="A2:C2"/>
  </mergeCells>
  <conditionalFormatting sqref="AI5:AI11">
    <cfRule type="expression" priority="1" dxfId="0">
      <formula>AI5="A"</formula>
    </cfRule>
    <cfRule type="expression" priority="2" dxfId="1">
      <formula>AI5="B"</formula>
    </cfRule>
    <cfRule type="expression" priority="3" dxfId="2">
      <formula>AI5="C"</formula>
    </cfRule>
    <cfRule type="expression" priority="4" dxfId="3">
      <formula>AI5="D"</formula>
    </cfRule>
    <cfRule type="expression" priority="5" dxfId="4">
      <formula>AI5="NA"</formula>
    </cfRule>
  </conditionalFormatting>
  <conditionalFormatting sqref="AG5:AG11">
    <cfRule type="expression" priority="6" dxfId="5">
      <formula>AG5&lt;&gt;""</formula>
    </cfRule>
  </conditionalFormatting>
  <dataValidations count="1">
    <dataValidation sqref="AE5:AE11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paperSize="8" fitToHeight="0" fitToWidth="2"/>
</worksheet>
</file>

<file path=xl/worksheets/sheet4.xml><?xml version="1.0" encoding="utf-8"?>
<worksheet xmlns="http://schemas.openxmlformats.org/spreadsheetml/2006/main">
  <sheetPr>
    <tabColor rgb="002E7D6E"/>
    <outlinePr summaryBelow="1" summaryRight="1"/>
    <pageSetUpPr fitToPage="1"/>
  </sheetPr>
  <dimension ref="A1:R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3" customWidth="1" min="3" max="3"/>
    <col width="8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12" customWidth="1" min="10" max="10"/>
    <col width="12" customWidth="1" min="11" max="11"/>
    <col width="9" customWidth="1" min="12" max="12"/>
    <col width="11" customWidth="1" min="13" max="13"/>
    <col width="9" customWidth="1" min="14" max="14"/>
    <col width="9" customWidth="1" min="15" max="15"/>
    <col width="38" customWidth="1" min="16" max="16"/>
    <col width="11" customWidth="1" min="17" max="17"/>
    <col width="44" customWidth="1" min="18" max="18"/>
  </cols>
  <sheetData>
    <row r="1" ht="32" customHeight="1">
      <c r="A1" s="1" t="inlineStr">
        <is>
          <t>金融红利 · 银行/保险引用区</t>
        </is>
      </c>
    </row>
    <row r="2" ht="26" customHeight="1">
      <c r="A2" s="2" t="inlineStr">
        <is>
          <t>银行不套用 FCF 六维评分；四维评分与 DDM 引用银行 skill。综合分固定权重：盈利 30 / 风险资本 30 / 估值 25 / 股息 15。保险暂标记待补。</t>
        </is>
      </c>
    </row>
    <row r="4" ht="42" customHeight="1">
      <c r="A4" s="7" t="inlineStr">
        <is>
          <t>序号</t>
        </is>
      </c>
      <c r="B4" s="7" t="inlineStr">
        <is>
          <t>标的</t>
        </is>
      </c>
      <c r="C4" s="7" t="inlineStr">
        <is>
          <t>代码</t>
        </is>
      </c>
      <c r="D4" s="7" t="inlineStr">
        <is>
          <t>市场</t>
        </is>
      </c>
      <c r="E4" s="7" t="inlineStr">
        <is>
          <t>类型</t>
        </is>
      </c>
      <c r="F4" s="7" t="inlineStr">
        <is>
          <t>盈利质量</t>
        </is>
      </c>
      <c r="G4" s="7" t="inlineStr">
        <is>
          <t>风险资本</t>
        </is>
      </c>
      <c r="H4" s="7" t="inlineStr">
        <is>
          <t>估值</t>
        </is>
      </c>
      <c r="I4" s="7" t="inlineStr">
        <is>
          <t>股息</t>
        </is>
      </c>
      <c r="J4" s="7" t="inlineStr">
        <is>
          <t>银行 skill 综合分</t>
        </is>
      </c>
      <c r="K4" s="7" t="inlineStr">
        <is>
          <t>DDM防御价值</t>
        </is>
      </c>
      <c r="L4" s="7" t="inlineStr">
        <is>
          <t>现价</t>
        </is>
      </c>
      <c r="M4" s="7" t="inlineStr">
        <is>
          <t>DDM安全边际</t>
        </is>
      </c>
      <c r="N4" s="7" t="inlineStr">
        <is>
          <t>股息率</t>
        </is>
      </c>
      <c r="O4" s="7" t="inlineStr">
        <is>
          <t>估值分</t>
        </is>
      </c>
      <c r="P4" s="7" t="inlineStr">
        <is>
          <t>结论</t>
        </is>
      </c>
      <c r="Q4" s="7" t="inlineStr">
        <is>
          <t>数据日期</t>
        </is>
      </c>
      <c r="R4" s="7" t="inlineStr">
        <is>
          <t>备注</t>
        </is>
      </c>
    </row>
    <row r="5" ht="40" customHeight="1">
      <c r="A5" s="13" t="n">
        <v>1</v>
      </c>
      <c r="B5" s="14" t="inlineStr">
        <is>
          <t>工商银行</t>
        </is>
      </c>
      <c r="C5" s="13" t="inlineStr">
        <is>
          <t>601398.SH</t>
        </is>
      </c>
      <c r="D5" s="13" t="inlineStr">
        <is>
          <t>A股</t>
        </is>
      </c>
      <c r="E5" s="13" t="inlineStr">
        <is>
          <t>银行</t>
        </is>
      </c>
      <c r="F5" s="30" t="n"/>
      <c r="G5" s="30" t="n"/>
      <c r="H5" s="30" t="n"/>
      <c r="I5" s="30" t="n"/>
      <c r="J5" s="16">
        <f>IF(COUNT(F5:I5)&lt;4,"数据不足",0.3*F5+0.3*G5+0.25*H5+0.15*I5)</f>
        <v/>
      </c>
      <c r="K5" s="25" t="n"/>
      <c r="L5" s="25" t="n"/>
      <c r="M5" s="27">
        <f>IF(OR(K5="",L5=""),"",1-L5/K5)</f>
        <v/>
      </c>
      <c r="N5" s="34" t="n">
        <v>0.036</v>
      </c>
      <c r="O5" s="16">
        <f>IF(M5="","",IF(M5&gt;=0.2,95,IF(M5&gt;=0.05,80,IF(M5&gt;=-0.05,60,IF(M5&gt;=-0.2,40,20)))))</f>
        <v/>
      </c>
      <c r="P5" s="9" t="inlineStr">
        <is>
          <t>合理偏低；ROE 低于股权成本</t>
        </is>
      </c>
      <c r="Q5" s="20" t="inlineStr">
        <is>
          <t>2026-10-30</t>
        </is>
      </c>
      <c r="R5" s="19" t="inlineStr">
        <is>
          <t>引用银行 skill 四维评分；DDM/RI 基准待填</t>
        </is>
      </c>
    </row>
    <row r="6" ht="40" customHeight="1">
      <c r="A6" s="13" t="n">
        <v>2</v>
      </c>
      <c r="B6" s="14" t="inlineStr">
        <is>
          <t>平安银行</t>
        </is>
      </c>
      <c r="C6" s="13" t="inlineStr">
        <is>
          <t>000001.SZ</t>
        </is>
      </c>
      <c r="D6" s="13" t="inlineStr">
        <is>
          <t>A股</t>
        </is>
      </c>
      <c r="E6" s="13" t="inlineStr">
        <is>
          <t>银行</t>
        </is>
      </c>
      <c r="F6" s="30" t="n"/>
      <c r="G6" s="30" t="n"/>
      <c r="H6" s="30" t="n"/>
      <c r="I6" s="30" t="n"/>
      <c r="J6" s="16">
        <f>IF(COUNT(F6:I6)&lt;4,"数据不足",0.3*F6+0.3*G6+0.25*H6+0.15*I6)</f>
        <v/>
      </c>
      <c r="K6" s="25" t="n"/>
      <c r="L6" s="25" t="n"/>
      <c r="M6" s="27">
        <f>IF(OR(K6="",L6=""),"",1-L6/K6)</f>
        <v/>
      </c>
      <c r="N6" s="34" t="n">
        <v>0.056</v>
      </c>
      <c r="O6" s="16">
        <f>IF(M6="","",IF(M6&gt;=0.2,95,IF(M6&gt;=0.05,80,IF(M6&gt;=-0.05,60,IF(M6&gt;=-0.2,40,20)))))</f>
        <v/>
      </c>
      <c r="P6" s="9" t="inlineStr">
        <is>
          <t>合理偏贵；ROE 低于股权成本</t>
        </is>
      </c>
      <c r="Q6" s="20" t="inlineStr">
        <is>
          <t>2026-10-30</t>
        </is>
      </c>
      <c r="R6" s="19" t="inlineStr">
        <is>
          <t>DDM 8.13，综合基准 11.03；现价 11.64</t>
        </is>
      </c>
    </row>
    <row r="7" ht="40" customHeight="1">
      <c r="A7" s="13" t="n">
        <v>3</v>
      </c>
      <c r="B7" s="14" t="inlineStr">
        <is>
          <t>北京银行</t>
        </is>
      </c>
      <c r="C7" s="13" t="inlineStr">
        <is>
          <t>601169.SH</t>
        </is>
      </c>
      <c r="D7" s="13" t="inlineStr">
        <is>
          <t>A股</t>
        </is>
      </c>
      <c r="E7" s="13" t="inlineStr">
        <is>
          <t>银行</t>
        </is>
      </c>
      <c r="F7" s="30" t="n"/>
      <c r="G7" s="30" t="n"/>
      <c r="H7" s="30" t="n"/>
      <c r="I7" s="30" t="n"/>
      <c r="J7" s="16">
        <f>IF(COUNT(F7:I7)&lt;4,"数据不足",0.3*F7+0.3*G7+0.25*H7+0.15*I7)</f>
        <v/>
      </c>
      <c r="K7" s="25" t="n"/>
      <c r="L7" s="25" t="n"/>
      <c r="M7" s="27">
        <f>IF(OR(K7="",L7=""),"",1-L7/K7)</f>
        <v/>
      </c>
      <c r="N7" s="34" t="n"/>
      <c r="O7" s="16">
        <f>IF(M7="","",IF(M7&gt;=0.2,95,IF(M7&gt;=0.05,80,IF(M7&gt;=-0.05,60,IF(M7&gt;=-0.2,40,20)))))</f>
        <v/>
      </c>
      <c r="P7" s="9" t="inlineStr">
        <is>
          <t>待引用银行 skill</t>
        </is>
      </c>
      <c r="Q7" s="20" t="inlineStr"/>
      <c r="R7" s="19" t="inlineStr">
        <is>
          <t>旧 Excel 10 表，需按 11 表规范复核</t>
        </is>
      </c>
    </row>
    <row r="8" ht="40" customHeight="1">
      <c r="A8" s="13" t="n">
        <v>4</v>
      </c>
      <c r="B8" s="14" t="inlineStr">
        <is>
          <t>宁波银行</t>
        </is>
      </c>
      <c r="C8" s="13" t="inlineStr">
        <is>
          <t>002142.SZ</t>
        </is>
      </c>
      <c r="D8" s="13" t="inlineStr">
        <is>
          <t>A股</t>
        </is>
      </c>
      <c r="E8" s="13" t="inlineStr">
        <is>
          <t>银行</t>
        </is>
      </c>
      <c r="F8" s="30" t="n"/>
      <c r="G8" s="30" t="n"/>
      <c r="H8" s="30" t="n"/>
      <c r="I8" s="30" t="n"/>
      <c r="J8" s="16">
        <f>IF(COUNT(F8:I8)&lt;4,"数据不足",0.3*F8+0.3*G8+0.25*H8+0.15*I8)</f>
        <v/>
      </c>
      <c r="K8" s="25" t="n"/>
      <c r="L8" s="25" t="n"/>
      <c r="M8" s="27">
        <f>IF(OR(K8="",L8=""),"",1-L8/K8)</f>
        <v/>
      </c>
      <c r="N8" s="34" t="n"/>
      <c r="O8" s="16">
        <f>IF(M8="","",IF(M8&gt;=0.2,95,IF(M8&gt;=0.05,80,IF(M8&gt;=-0.05,60,IF(M8&gt;=-0.2,40,20)))))</f>
        <v/>
      </c>
      <c r="P8" s="9" t="inlineStr">
        <is>
          <t>待引用银行 skill</t>
        </is>
      </c>
      <c r="Q8" s="20" t="inlineStr"/>
      <c r="R8" s="19" t="inlineStr">
        <is>
          <t>旧 Excel 10 表，需按 11 表规范复核</t>
        </is>
      </c>
    </row>
  </sheetData>
  <mergeCells count="2">
    <mergeCell ref="A2:R2"/>
    <mergeCell ref="A1:R1"/>
  </mergeCells>
  <conditionalFormatting sqref="O5:O8">
    <cfRule type="expression" priority="1" dxfId="0">
      <formula>AND(O5&lt;&gt;"",O5&gt;=80)</formula>
    </cfRule>
    <cfRule type="expression" priority="2" dxfId="1">
      <formula>AND(O5&lt;&gt;"",O5&gt;=65)</formula>
    </cfRule>
    <cfRule type="expression" priority="3" dxfId="2">
      <formula>AND(O5&lt;&gt;"",O5&gt;=50)</formula>
    </cfRule>
    <cfRule type="expression" priority="4" dxfId="3">
      <formula>AND(O5&lt;&gt;"",O5&gt;=0)</formula>
    </cfRule>
  </conditionalFormatting>
  <dataValidations count="1">
    <dataValidation sqref="F5:J8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6B46C1"/>
    <outlinePr summaryBelow="1" summaryRight="1"/>
    <pageSetUpPr fitToPage="1"/>
  </sheetPr>
  <dimension ref="A1:AA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8" customWidth="1" min="4" max="4"/>
    <col width="12" customWidth="1" min="5" max="5"/>
    <col width="9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0" customWidth="1" min="19" max="19"/>
    <col width="9" customWidth="1" min="20" max="20"/>
    <col width="10" customWidth="1" min="21" max="21"/>
    <col width="9" customWidth="1" min="22" max="22"/>
    <col width="9" customWidth="1" min="23" max="23"/>
    <col width="7" customWidth="1" min="24" max="24"/>
    <col width="34" customWidth="1" min="25" max="25"/>
    <col width="11" customWidth="1" min="26" max="26"/>
    <col width="42" customWidth="1" min="27" max="27"/>
  </cols>
  <sheetData>
    <row r="1" ht="32" customHeight="1">
      <c r="A1" s="21" t="inlineStr">
        <is>
          <t>质量防御 · 五维评分</t>
        </is>
      </c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</row>
    <row r="2" ht="30" customHeight="1">
      <c r="A2" s="23" t="inlineStr">
        <is>
          <t>质量分 60% + 估值分 40%</t>
        </is>
      </c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</row>
    <row r="4" ht="44" customHeight="1">
      <c r="A4" s="7" t="inlineStr">
        <is>
          <t>序号</t>
        </is>
      </c>
      <c r="B4" s="7" t="inlineStr">
        <is>
          <t>标的</t>
        </is>
      </c>
      <c r="C4" s="7" t="inlineStr">
        <is>
          <t>代码</t>
        </is>
      </c>
      <c r="D4" s="7" t="inlineStr">
        <is>
          <t>市场</t>
        </is>
      </c>
      <c r="E4" s="7" t="inlineStr">
        <is>
          <t>类型</t>
        </is>
      </c>
      <c r="F4" s="7" t="inlineStr">
        <is>
          <t>ROIC</t>
        </is>
      </c>
      <c r="G4" s="7" t="inlineStr">
        <is>
          <t>WACC</t>
        </is>
      </c>
      <c r="H4" s="7" t="inlineStr">
        <is>
          <t>ROIC-WACC</t>
        </is>
      </c>
      <c r="I4" s="7" t="inlineStr">
        <is>
          <t>ROIC得分</t>
        </is>
      </c>
      <c r="J4" s="7" t="inlineStr">
        <is>
          <t>资本强度</t>
        </is>
      </c>
      <c r="K4" s="7" t="inlineStr">
        <is>
          <t>资本强度得分</t>
        </is>
      </c>
      <c r="L4" s="7" t="inlineStr">
        <is>
          <t>5年FCF波动</t>
        </is>
      </c>
      <c r="M4" s="7" t="inlineStr">
        <is>
          <t>现金流稳定性得分</t>
        </is>
      </c>
      <c r="N4" s="7" t="inlineStr">
        <is>
          <t>净现金/市值</t>
        </is>
      </c>
      <c r="O4" s="7" t="inlineStr">
        <is>
          <t>资产负债表得分</t>
        </is>
      </c>
      <c r="P4" s="7" t="inlineStr">
        <is>
          <t>回购收益率</t>
        </is>
      </c>
      <c r="Q4" s="7" t="inlineStr">
        <is>
          <t>股东回报得分</t>
        </is>
      </c>
      <c r="R4" s="7" t="inlineStr">
        <is>
          <t>质量分</t>
        </is>
      </c>
      <c r="S4" s="7" t="inlineStr">
        <is>
          <t>DCF基准价</t>
        </is>
      </c>
      <c r="T4" s="7" t="inlineStr">
        <is>
          <t>现价</t>
        </is>
      </c>
      <c r="U4" s="7" t="inlineStr">
        <is>
          <t>安全边际</t>
        </is>
      </c>
      <c r="V4" s="7" t="inlineStr">
        <is>
          <t>估值分</t>
        </is>
      </c>
      <c r="W4" s="7" t="inlineStr">
        <is>
          <t>综合分</t>
        </is>
      </c>
      <c r="X4" s="7" t="inlineStr">
        <is>
          <t>等级</t>
        </is>
      </c>
      <c r="Y4" s="7" t="inlineStr">
        <is>
          <t>结论</t>
        </is>
      </c>
      <c r="Z4" s="7" t="inlineStr">
        <is>
          <t>数据日期</t>
        </is>
      </c>
      <c r="AA4" s="7" t="inlineStr">
        <is>
          <t>备注</t>
        </is>
      </c>
    </row>
    <row r="5" ht="44" customHeight="1">
      <c r="A5" s="13" t="n">
        <v>1</v>
      </c>
      <c r="B5" s="14" t="inlineStr">
        <is>
          <t>伯克希尔</t>
        </is>
      </c>
      <c r="C5" s="13" t="inlineStr">
        <is>
          <t>BRK.B</t>
        </is>
      </c>
      <c r="D5" s="13" t="inlineStr">
        <is>
          <t>美股</t>
        </is>
      </c>
      <c r="E5" s="13" t="inlineStr">
        <is>
          <t>综合控股</t>
        </is>
      </c>
      <c r="F5" s="28" t="n"/>
      <c r="G5" s="28" t="n"/>
      <c r="H5" s="27">
        <f>IF(OR(F5="",G5=""),"",F5-G5)</f>
        <v/>
      </c>
      <c r="I5" s="16">
        <f>IF(H5="","",IF(H5&gt;=0.15,95,IF(H5&gt;=0.1,85,IF(H5&gt;=0.05,70,IF(H5&gt;=0,50,20)))))</f>
        <v/>
      </c>
      <c r="J5" s="28" t="n"/>
      <c r="K5" s="16">
        <f>IF(J5="","",IF(J5&lt;=0.03,95,IF(J5&lt;=0.06,82,IF(J5&lt;=0.1,65,IF(J5&lt;=0.15,45,25)))))</f>
        <v/>
      </c>
      <c r="L5" s="28" t="n"/>
      <c r="M5" s="16">
        <f>IF(L5="","",IF(L5&lt;=0.1,95,IF(L5&lt;=0.2,82,IF(L5&lt;=0.3,65,IF(L5&lt;=0.5,45,25)))))</f>
        <v/>
      </c>
      <c r="N5" s="28" t="n"/>
      <c r="O5" s="16">
        <f>IF(N5="","",IF(N5&gt;=0.1,95,IF(N5&gt;=0.05,85,IF(N5&gt;=0,70,IF(N5&gt;=-0.05,55,30)))))</f>
        <v/>
      </c>
      <c r="P5" s="28" t="n"/>
      <c r="Q5" s="16">
        <f>IF(P5="","",IF(P5&gt;=0.03,95,IF(P5&gt;=0.02,85,IF(P5&gt;=0.01,70,IF(P5&gt;0,55,40)))))</f>
        <v/>
      </c>
      <c r="R5" s="16">
        <f>IF(COUNT(I5,K5,M5,O5,Q5)&lt;5,"数据不足",0.3*I5+0.2*K5+0.2*M5+0.15*O5+0.15*Q5)</f>
        <v/>
      </c>
      <c r="S5" s="25" t="n"/>
      <c r="T5" s="25" t="n"/>
      <c r="U5" s="27">
        <f>IF(OR(S5="",T5=""),"",1-T5/S5)</f>
        <v/>
      </c>
      <c r="V5" s="16">
        <f>IF(U5="","",IF(U5&gt;=0.2,95,IF(U5&gt;=0.05,80,IF(U5&gt;=-0.05,60,IF(U5&gt;=-0.2,40,20)))))</f>
        <v/>
      </c>
      <c r="W5" s="16">
        <f>IF(AND(ISNUMBER(R5),ISNUMBER(V5)),0.6*R5+0.4*V5,"")</f>
        <v/>
      </c>
      <c r="X5" s="17">
        <f>IF(ISNUMBER(W5),IF(W5&gt;=80,"A",IF(W5&gt;=65,"B",IF(W5&gt;=50,"C","D"))),"")</f>
        <v/>
      </c>
      <c r="Y5" s="9" t="inlineStr">
        <is>
          <t>合理区间上沿，安全边际不足</t>
        </is>
      </c>
      <c r="Z5" s="20" t="inlineStr">
        <is>
          <t>2026-10-30</t>
        </is>
      </c>
      <c r="AA5" s="19" t="inlineStr">
        <is>
          <t>非股息型；现金与上市股权提供资产负债表防御</t>
        </is>
      </c>
    </row>
    <row r="6" ht="44" customHeight="1">
      <c r="A6" s="13" t="n">
        <v>2</v>
      </c>
      <c r="B6" s="14" t="inlineStr">
        <is>
          <t>Visa</t>
        </is>
      </c>
      <c r="C6" s="13" t="inlineStr">
        <is>
          <t>V</t>
        </is>
      </c>
      <c r="D6" s="13" t="inlineStr">
        <is>
          <t>美股</t>
        </is>
      </c>
      <c r="E6" s="13" t="inlineStr">
        <is>
          <t>支付</t>
        </is>
      </c>
      <c r="F6" s="28" t="n"/>
      <c r="G6" s="28" t="n"/>
      <c r="H6" s="27">
        <f>IF(OR(F6="",G6=""),"",F6-G6)</f>
        <v/>
      </c>
      <c r="I6" s="16">
        <f>IF(H6="","",IF(H6&gt;=0.15,95,IF(H6&gt;=0.1,85,IF(H6&gt;=0.05,70,IF(H6&gt;=0,50,20)))))</f>
        <v/>
      </c>
      <c r="J6" s="28" t="n"/>
      <c r="K6" s="16">
        <f>IF(J6="","",IF(J6&lt;=0.03,95,IF(J6&lt;=0.06,82,IF(J6&lt;=0.1,65,IF(J6&lt;=0.15,45,25)))))</f>
        <v/>
      </c>
      <c r="L6" s="28" t="n"/>
      <c r="M6" s="16">
        <f>IF(L6="","",IF(L6&lt;=0.1,95,IF(L6&lt;=0.2,82,IF(L6&lt;=0.3,65,IF(L6&lt;=0.5,45,25)))))</f>
        <v/>
      </c>
      <c r="N6" s="28" t="n"/>
      <c r="O6" s="16">
        <f>IF(N6="","",IF(N6&gt;=0.1,95,IF(N6&gt;=0.05,85,IF(N6&gt;=0,70,IF(N6&gt;=-0.05,55,30)))))</f>
        <v/>
      </c>
      <c r="P6" s="28" t="n"/>
      <c r="Q6" s="16">
        <f>IF(P6="","",IF(P6&gt;=0.03,95,IF(P6&gt;=0.02,85,IF(P6&gt;=0.01,70,IF(P6&gt;0,55,40)))))</f>
        <v/>
      </c>
      <c r="R6" s="16">
        <f>IF(COUNT(I6,K6,M6,O6,Q6)&lt;5,"数据不足",0.3*I6+0.2*K6+0.2*M6+0.15*O6+0.15*Q6)</f>
        <v/>
      </c>
      <c r="S6" s="25" t="n">
        <v>424.63</v>
      </c>
      <c r="T6" s="25" t="n">
        <v>400.6</v>
      </c>
      <c r="U6" s="27">
        <f>IF(OR(S6="",T6=""),"",1-T6/S6)</f>
        <v/>
      </c>
      <c r="V6" s="16">
        <f>IF(U6="","",IF(U6&gt;=0.2,95,IF(U6&gt;=0.05,80,IF(U6&gt;=-0.05,60,IF(U6&gt;=-0.2,40,20)))))</f>
        <v/>
      </c>
      <c r="W6" s="16">
        <f>IF(AND(ISNUMBER(R6),ISNUMBER(V6)),0.6*R6+0.4*V6,"")</f>
        <v/>
      </c>
      <c r="X6" s="17">
        <f>IF(ISNUMBER(W6),IF(W6&gt;=80,"A",IF(W6&gt;=65,"B",IF(W6&gt;=50,"C","D"))),"")</f>
        <v/>
      </c>
      <c r="Y6" s="9" t="inlineStr">
        <is>
          <t>合理偏低，安全边际不足</t>
        </is>
      </c>
      <c r="Z6" s="20" t="inlineStr">
        <is>
          <t>2026-10-30</t>
        </is>
      </c>
      <c r="AA6" s="19" t="inlineStr">
        <is>
          <t>PE 32.5x；股息率 0.78%；回购为主</t>
        </is>
      </c>
    </row>
    <row r="7" ht="44" customHeight="1">
      <c r="A7" s="13" t="n">
        <v>3</v>
      </c>
      <c r="B7" s="14" t="inlineStr">
        <is>
          <t>万事达卡</t>
        </is>
      </c>
      <c r="C7" s="13" t="inlineStr">
        <is>
          <t>MA</t>
        </is>
      </c>
      <c r="D7" s="13" t="inlineStr">
        <is>
          <t>美股</t>
        </is>
      </c>
      <c r="E7" s="13" t="inlineStr">
        <is>
          <t>支付</t>
        </is>
      </c>
      <c r="F7" s="28" t="n"/>
      <c r="G7" s="28" t="n"/>
      <c r="H7" s="27">
        <f>IF(OR(F7="",G7=""),"",F7-G7)</f>
        <v/>
      </c>
      <c r="I7" s="16">
        <f>IF(H7="","",IF(H7&gt;=0.15,95,IF(H7&gt;=0.1,85,IF(H7&gt;=0.05,70,IF(H7&gt;=0,50,20)))))</f>
        <v/>
      </c>
      <c r="J7" s="28" t="n"/>
      <c r="K7" s="16">
        <f>IF(J7="","",IF(J7&lt;=0.03,95,IF(J7&lt;=0.06,82,IF(J7&lt;=0.1,65,IF(J7&lt;=0.15,45,25)))))</f>
        <v/>
      </c>
      <c r="L7" s="28" t="n"/>
      <c r="M7" s="16">
        <f>IF(L7="","",IF(L7&lt;=0.1,95,IF(L7&lt;=0.2,82,IF(L7&lt;=0.3,65,IF(L7&lt;=0.5,45,25)))))</f>
        <v/>
      </c>
      <c r="N7" s="28" t="n"/>
      <c r="O7" s="16">
        <f>IF(N7="","",IF(N7&gt;=0.1,95,IF(N7&gt;=0.05,85,IF(N7&gt;=0,70,IF(N7&gt;=-0.05,55,30)))))</f>
        <v/>
      </c>
      <c r="P7" s="28" t="n"/>
      <c r="Q7" s="16">
        <f>IF(P7="","",IF(P7&gt;=0.03,95,IF(P7&gt;=0.02,85,IF(P7&gt;=0.01,70,IF(P7&gt;0,55,40)))))</f>
        <v/>
      </c>
      <c r="R7" s="16">
        <f>IF(COUNT(I7,K7,M7,O7,Q7)&lt;5,"数据不足",0.3*I7+0.2*K7+0.2*M7+0.15*O7+0.15*Q7)</f>
        <v/>
      </c>
      <c r="S7" s="25" t="n">
        <v>666.3099999999999</v>
      </c>
      <c r="T7" s="25" t="n">
        <v>610.3099999999999</v>
      </c>
      <c r="U7" s="27">
        <f>IF(OR(S7="",T7=""),"",1-T7/S7)</f>
        <v/>
      </c>
      <c r="V7" s="16">
        <f>IF(U7="","",IF(U7&gt;=0.2,95,IF(U7&gt;=0.05,80,IF(U7&gt;=-0.05,60,IF(U7&gt;=-0.2,40,20)))))</f>
        <v/>
      </c>
      <c r="W7" s="16">
        <f>IF(AND(ISNUMBER(R7),ISNUMBER(V7)),0.6*R7+0.4*V7,"")</f>
        <v/>
      </c>
      <c r="X7" s="17">
        <f>IF(ISNUMBER(W7),IF(W7&gt;=80,"A",IF(W7&gt;=65,"B",IF(W7&gt;=50,"C","D"))),"")</f>
        <v/>
      </c>
      <c r="Y7" s="9" t="inlineStr">
        <is>
          <t>合理偏低，安全边际不足</t>
        </is>
      </c>
      <c r="Z7" s="20" t="inlineStr">
        <is>
          <t>2026-10-30</t>
        </is>
      </c>
      <c r="AA7" s="19" t="inlineStr">
        <is>
          <t>PE 33.6x；股息率 0.50%；回购为主</t>
        </is>
      </c>
    </row>
  </sheetData>
  <mergeCells count="2">
    <mergeCell ref="A1:C1"/>
    <mergeCell ref="A2:C2"/>
  </mergeCells>
  <conditionalFormatting sqref="X5:X7">
    <cfRule type="expression" priority="1" dxfId="0">
      <formula>X5="A"</formula>
    </cfRule>
    <cfRule type="expression" priority="2" dxfId="1">
      <formula>X5="B"</formula>
    </cfRule>
    <cfRule type="expression" priority="3" dxfId="2">
      <formula>X5="C"</formula>
    </cfRule>
    <cfRule type="expression" priority="4" dxfId="3">
      <formula>X5="D"</formula>
    </cfRule>
  </conditionalFormatting>
  <pageMargins left="0.75" right="0.75" top="1" bottom="1" header="0.5" footer="0.5"/>
  <pageSetup orientation="landscape" paperSize="8" fitToHeight="0" fitToWidth="2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V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3" customWidth="1" min="3" max="3"/>
    <col width="8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11" customWidth="1" min="21" max="21"/>
    <col width="46" customWidth="1" min="22" max="22"/>
  </cols>
  <sheetData>
    <row r="1" ht="32" customHeight="1">
      <c r="A1" s="1" t="inlineStr">
        <is>
          <t>总回报 · 税后股息 + 价格 + 汇率 − 10Y</t>
        </is>
      </c>
    </row>
    <row r="2" ht="26" customHeight="1">
      <c r="A2" s="2" t="inlineStr">
        <is>
          <t>税率、价格回报、汇率必须填写后，总回报才计算；空缺不是 0。10Y 为本地 10 年期国债收益率。</t>
        </is>
      </c>
    </row>
    <row r="4" ht="44" customHeight="1">
      <c r="A4" s="7" t="inlineStr">
        <is>
          <t>序号</t>
        </is>
      </c>
      <c r="B4" s="7" t="inlineStr">
        <is>
          <t>标的</t>
        </is>
      </c>
      <c r="C4" s="7" t="inlineStr">
        <is>
          <t>代码</t>
        </is>
      </c>
      <c r="D4" s="7" t="inlineStr">
        <is>
          <t>市场</t>
        </is>
      </c>
      <c r="E4" s="7" t="inlineStr">
        <is>
          <t>币种</t>
        </is>
      </c>
      <c r="F4" s="7" t="inlineStr">
        <is>
          <t>现价</t>
        </is>
      </c>
      <c r="G4" s="7" t="inlineStr">
        <is>
          <t>2026E DPS</t>
        </is>
      </c>
      <c r="H4" s="7" t="inlineStr">
        <is>
          <t>股息率</t>
        </is>
      </c>
      <c r="I4" s="7" t="inlineStr">
        <is>
          <t>本地10Y</t>
        </is>
      </c>
      <c r="J4" s="7" t="inlineStr">
        <is>
          <t>股息-10Y</t>
        </is>
      </c>
      <c r="K4" s="7" t="inlineStr">
        <is>
          <t>预期DPS增长</t>
        </is>
      </c>
      <c r="L4" s="7" t="inlineStr">
        <is>
          <t>预期价格回报</t>
        </is>
      </c>
      <c r="M4" s="7" t="inlineStr">
        <is>
          <t>汇率变动</t>
        </is>
      </c>
      <c r="N4" s="7" t="inlineStr">
        <is>
          <t>税率</t>
        </is>
      </c>
      <c r="O4" s="7" t="inlineStr">
        <is>
          <t>税后股息率</t>
        </is>
      </c>
      <c r="P4" s="7" t="inlineStr">
        <is>
          <t>税后总回报</t>
        </is>
      </c>
      <c r="Q4" s="7" t="inlineStr">
        <is>
          <t>总回报-10Y</t>
        </is>
      </c>
      <c r="R4" s="7" t="inlineStr">
        <is>
          <t>估值基准价</t>
        </is>
      </c>
      <c r="S4" s="7" t="inlineStr">
        <is>
          <t>安全边际</t>
        </is>
      </c>
      <c r="T4" s="7" t="inlineStr">
        <is>
          <t>估值分</t>
        </is>
      </c>
      <c r="U4" s="7" t="inlineStr">
        <is>
          <t>数据日期</t>
        </is>
      </c>
      <c r="V4" s="7" t="inlineStr">
        <is>
          <t>备注</t>
        </is>
      </c>
    </row>
    <row r="5" ht="36" customHeight="1">
      <c r="A5" s="13" t="n">
        <v>1</v>
      </c>
      <c r="B5" s="14" t="inlineStr">
        <is>
          <t>工商银行</t>
        </is>
      </c>
      <c r="C5" s="13" t="inlineStr">
        <is>
          <t>601398.SH</t>
        </is>
      </c>
      <c r="D5" s="13" t="inlineStr">
        <is>
          <t>A股</t>
        </is>
      </c>
      <c r="E5" s="13" t="inlineStr">
        <is>
          <t>CNY</t>
        </is>
      </c>
      <c r="F5" s="25" t="n"/>
      <c r="G5" s="25" t="n"/>
      <c r="H5" s="18">
        <f>IF(AND(F5&lt;&gt;"",G5&lt;&gt;""),G5/F5,0.036)</f>
        <v/>
      </c>
      <c r="I5" s="34" t="n">
        <v>0.0162</v>
      </c>
      <c r="J5" s="18">
        <f>IF(OR(H5="",I5=""),"",H5-I5)</f>
        <v/>
      </c>
      <c r="K5" s="28" t="n"/>
      <c r="L5" s="28" t="n"/>
      <c r="M5" s="28" t="n"/>
      <c r="N5" s="28" t="n"/>
      <c r="O5" s="18">
        <f>IF(OR(H5="",N5=""),"",H5*(1-N5))</f>
        <v/>
      </c>
      <c r="P5" s="18">
        <f>IF(OR(O5="",L5="",M5=""),"",(1+O5)*(1+L5)*(1+M5)-1)</f>
        <v/>
      </c>
      <c r="Q5" s="18">
        <f>IF(OR(P5="",I5=""),"",P5-I5)</f>
        <v/>
      </c>
      <c r="R5" s="25" t="n"/>
      <c r="S5" s="27">
        <f>IF(OR(R5="",F5=""),"",1-F5/R5)</f>
        <v/>
      </c>
      <c r="T5" s="16">
        <f>IF(AND(Q5="",S5=""),"",IF(AND(Q5&lt;&gt;"",S5&lt;&gt;""),0.5*IF(Q5&gt;=0.06,95,IF(Q5&gt;=0.04,82,IF(Q5&gt;=0.02,68,IF(Q5&gt;=0,52,IF(Q5&gt;=-0.02,38,20)))))+0.5*IF(S5&gt;=0.2,95,IF(S5&gt;=0.05,80,IF(S5&gt;=-0.05,60,IF(S5&gt;=-0.2,40,20)))),IF(S5&lt;&gt;"",IF(S5&gt;=0.2,95,IF(S5&gt;=0.05,80,IF(S5&gt;=-0.05,60,IF(S5&gt;=-0.2,40,20)))),IF(Q5&gt;=0.06,95,IF(Q5&gt;=0.04,82,IF(Q5&gt;=0.02,68,IF(Q5&gt;=0,52,IF(Q5&gt;=-0.02,38,20))))))))</f>
        <v/>
      </c>
      <c r="U5" s="20" t="inlineStr">
        <is>
          <t>2026-10-30</t>
        </is>
      </c>
      <c r="V5" s="19" t="inlineStr">
        <is>
          <t>股息率 3.6%；价格/DPS 待填</t>
        </is>
      </c>
    </row>
    <row r="6" ht="36" customHeight="1">
      <c r="A6" s="13" t="n">
        <v>2</v>
      </c>
      <c r="B6" s="14" t="inlineStr">
        <is>
          <t>平安银行</t>
        </is>
      </c>
      <c r="C6" s="13" t="inlineStr">
        <is>
          <t>000001.SZ</t>
        </is>
      </c>
      <c r="D6" s="13" t="inlineStr">
        <is>
          <t>A股</t>
        </is>
      </c>
      <c r="E6" s="13" t="inlineStr">
        <is>
          <t>CNY</t>
        </is>
      </c>
      <c r="F6" s="25" t="n">
        <v>11.64</v>
      </c>
      <c r="G6" s="25" t="n">
        <v>0.65</v>
      </c>
      <c r="H6" s="18">
        <f>IF(AND(F6&lt;&gt;"",G6&lt;&gt;""),G6/F6,"")</f>
        <v/>
      </c>
      <c r="I6" s="34" t="n">
        <v>0.0162</v>
      </c>
      <c r="J6" s="18">
        <f>IF(OR(H6="",I6=""),"",H6-I6)</f>
        <v/>
      </c>
      <c r="K6" s="28" t="n"/>
      <c r="L6" s="28" t="n"/>
      <c r="M6" s="28" t="n"/>
      <c r="N6" s="28" t="n"/>
      <c r="O6" s="18">
        <f>IF(OR(H6="",N6=""),"",H6*(1-N6))</f>
        <v/>
      </c>
      <c r="P6" s="18">
        <f>IF(OR(O6="",L6="",M6=""),"",(1+O6)*(1+L6)*(1+M6)-1)</f>
        <v/>
      </c>
      <c r="Q6" s="18">
        <f>IF(OR(P6="",I6=""),"",P6-I6)</f>
        <v/>
      </c>
      <c r="R6" s="25" t="n">
        <v>11.03</v>
      </c>
      <c r="S6" s="27">
        <f>IF(OR(R6="",F6=""),"",1-F6/R6)</f>
        <v/>
      </c>
      <c r="T6" s="16">
        <f>IF(AND(Q6="",S6=""),"",IF(AND(Q6&lt;&gt;"",S6&lt;&gt;""),0.5*IF(Q6&gt;=0.06,95,IF(Q6&gt;=0.04,82,IF(Q6&gt;=0.02,68,IF(Q6&gt;=0,52,IF(Q6&gt;=-0.02,38,20)))))+0.5*IF(S6&gt;=0.2,95,IF(S6&gt;=0.05,80,IF(S6&gt;=-0.05,60,IF(S6&gt;=-0.2,40,20)))),IF(S6&lt;&gt;"",IF(S6&gt;=0.2,95,IF(S6&gt;=0.05,80,IF(S6&gt;=-0.05,60,IF(S6&gt;=-0.2,40,20)))),IF(Q6&gt;=0.06,95,IF(Q6&gt;=0.04,82,IF(Q6&gt;=0.02,68,IF(Q6&gt;=0,52,IF(Q6&gt;=-0.02,38,20))))))))</f>
        <v/>
      </c>
      <c r="U6" s="20" t="inlineStr">
        <is>
          <t>2026-10-30</t>
        </is>
      </c>
      <c r="V6" s="19" t="inlineStr">
        <is>
          <t>综合基准 11.03；税率待填</t>
        </is>
      </c>
    </row>
    <row r="7" ht="36" customHeight="1">
      <c r="A7" s="13" t="n">
        <v>3</v>
      </c>
      <c r="B7" s="14" t="inlineStr">
        <is>
          <t>美的集团</t>
        </is>
      </c>
      <c r="C7" s="13" t="inlineStr">
        <is>
          <t>000333.SZ</t>
        </is>
      </c>
      <c r="D7" s="13" t="inlineStr">
        <is>
          <t>A股</t>
        </is>
      </c>
      <c r="E7" s="13" t="inlineStr">
        <is>
          <t>CNY</t>
        </is>
      </c>
      <c r="F7" s="25" t="n"/>
      <c r="G7" s="25" t="n"/>
      <c r="H7" s="18">
        <f>IF(AND(F7&lt;&gt;"",G7&lt;&gt;""),G7/F7,0.049)</f>
        <v/>
      </c>
      <c r="I7" s="34" t="n">
        <v>0.0162</v>
      </c>
      <c r="J7" s="18">
        <f>IF(OR(H7="",I7=""),"",H7-I7)</f>
        <v/>
      </c>
      <c r="K7" s="28" t="n"/>
      <c r="L7" s="28" t="n"/>
      <c r="M7" s="28" t="n"/>
      <c r="N7" s="28" t="n"/>
      <c r="O7" s="18">
        <f>IF(OR(H7="",N7=""),"",H7*(1-N7))</f>
        <v/>
      </c>
      <c r="P7" s="18">
        <f>IF(OR(O7="",L7="",M7=""),"",(1+O7)*(1+L7)*(1+M7)-1)</f>
        <v/>
      </c>
      <c r="Q7" s="18">
        <f>IF(OR(P7="",I7=""),"",P7-I7)</f>
        <v/>
      </c>
      <c r="R7" s="25" t="n"/>
      <c r="S7" s="27">
        <f>IF(OR(R7="",F7=""),"",1-F7/R7)</f>
        <v/>
      </c>
      <c r="T7" s="16">
        <f>IF(AND(Q7="",S7=""),"",IF(AND(Q7&lt;&gt;"",S7&lt;&gt;""),0.5*IF(Q7&gt;=0.06,95,IF(Q7&gt;=0.04,82,IF(Q7&gt;=0.02,68,IF(Q7&gt;=0,52,IF(Q7&gt;=-0.02,38,20)))))+0.5*IF(S7&gt;=0.2,95,IF(S7&gt;=0.05,80,IF(S7&gt;=-0.05,60,IF(S7&gt;=-0.2,40,20)))),IF(S7&lt;&gt;"",IF(S7&gt;=0.2,95,IF(S7&gt;=0.05,80,IF(S7&gt;=-0.05,60,IF(S7&gt;=-0.2,40,20)))),IF(Q7&gt;=0.06,95,IF(Q7&gt;=0.04,82,IF(Q7&gt;=0.02,68,IF(Q7&gt;=0,52,IF(Q7&gt;=-0.02,38,20))))))))</f>
        <v/>
      </c>
      <c r="U7" s="20" t="inlineStr">
        <is>
          <t>2026-10-30</t>
        </is>
      </c>
      <c r="V7" s="19" t="inlineStr">
        <is>
          <t>股息率约4.9%；价格/DPS待填</t>
        </is>
      </c>
    </row>
    <row r="8" ht="36" customHeight="1">
      <c r="A8" s="13" t="n">
        <v>4</v>
      </c>
      <c r="B8" s="14" t="inlineStr">
        <is>
          <t>贵州茅台</t>
        </is>
      </c>
      <c r="C8" s="13" t="inlineStr">
        <is>
          <t>600519.SH</t>
        </is>
      </c>
      <c r="D8" s="13" t="inlineStr">
        <is>
          <t>A股</t>
        </is>
      </c>
      <c r="E8" s="13" t="inlineStr">
        <is>
          <t>CNY</t>
        </is>
      </c>
      <c r="F8" s="25" t="n"/>
      <c r="G8" s="25" t="n"/>
      <c r="H8" s="18">
        <f>IF(AND(F8&lt;&gt;"",G8&lt;&gt;""),G8/F8,0.038)</f>
        <v/>
      </c>
      <c r="I8" s="34" t="n">
        <v>0.0162</v>
      </c>
      <c r="J8" s="18">
        <f>IF(OR(H8="",I8=""),"",H8-I8)</f>
        <v/>
      </c>
      <c r="K8" s="28" t="n"/>
      <c r="L8" s="28" t="n"/>
      <c r="M8" s="28" t="n"/>
      <c r="N8" s="28" t="n"/>
      <c r="O8" s="18">
        <f>IF(OR(H8="",N8=""),"",H8*(1-N8))</f>
        <v/>
      </c>
      <c r="P8" s="18">
        <f>IF(OR(O8="",L8="",M8=""),"",(1+O8)*(1+L8)*(1+M8)-1)</f>
        <v/>
      </c>
      <c r="Q8" s="18">
        <f>IF(OR(P8="",I8=""),"",P8-I8)</f>
        <v/>
      </c>
      <c r="R8" s="25" t="n"/>
      <c r="S8" s="27">
        <f>IF(OR(R8="",F8=""),"",1-F8/R8)</f>
        <v/>
      </c>
      <c r="T8" s="16">
        <f>IF(AND(Q8="",S8=""),"",IF(AND(Q8&lt;&gt;"",S8&lt;&gt;""),0.5*IF(Q8&gt;=0.06,95,IF(Q8&gt;=0.04,82,IF(Q8&gt;=0.02,68,IF(Q8&gt;=0,52,IF(Q8&gt;=-0.02,38,20)))))+0.5*IF(S8&gt;=0.2,95,IF(S8&gt;=0.05,80,IF(S8&gt;=-0.05,60,IF(S8&gt;=-0.2,40,20)))),IF(S8&lt;&gt;"",IF(S8&gt;=0.2,95,IF(S8&gt;=0.05,80,IF(S8&gt;=-0.05,60,IF(S8&gt;=-0.2,40,20)))),IF(Q8&gt;=0.06,95,IF(Q8&gt;=0.04,82,IF(Q8&gt;=0.02,68,IF(Q8&gt;=0,52,IF(Q8&gt;=-0.02,38,20))))))))</f>
        <v/>
      </c>
      <c r="U8" s="20" t="inlineStr">
        <is>
          <t>2026-10-30</t>
        </is>
      </c>
      <c r="V8" s="19" t="inlineStr">
        <is>
          <t>股息率约3.8%；价格/DPS待填</t>
        </is>
      </c>
    </row>
    <row r="9" ht="36" customHeight="1">
      <c r="A9" s="13" t="n">
        <v>5</v>
      </c>
      <c r="B9" s="14" t="inlineStr">
        <is>
          <t>长江电力</t>
        </is>
      </c>
      <c r="C9" s="13" t="inlineStr">
        <is>
          <t>600900.SH</t>
        </is>
      </c>
      <c r="D9" s="13" t="inlineStr">
        <is>
          <t>A股</t>
        </is>
      </c>
      <c r="E9" s="13" t="inlineStr">
        <is>
          <t>CNY</t>
        </is>
      </c>
      <c r="F9" s="25" t="n">
        <v>29.74</v>
      </c>
      <c r="G9" s="25" t="n">
        <v>0.92</v>
      </c>
      <c r="H9" s="18">
        <f>IF(AND(F9&lt;&gt;"",G9&lt;&gt;""),G9/F9,"")</f>
        <v/>
      </c>
      <c r="I9" s="34" t="n">
        <v>0.0162</v>
      </c>
      <c r="J9" s="18">
        <f>IF(OR(H9="",I9=""),"",H9-I9)</f>
        <v/>
      </c>
      <c r="K9" s="28" t="n"/>
      <c r="L9" s="28" t="n"/>
      <c r="M9" s="28" t="n"/>
      <c r="N9" s="28" t="n"/>
      <c r="O9" s="18">
        <f>IF(OR(H9="",N9=""),"",H9*(1-N9))</f>
        <v/>
      </c>
      <c r="P9" s="18">
        <f>IF(OR(O9="",L9="",M9=""),"",(1+O9)*(1+L9)*(1+M9)-1)</f>
        <v/>
      </c>
      <c r="Q9" s="18">
        <f>IF(OR(P9="",I9=""),"",P9-I9)</f>
        <v/>
      </c>
      <c r="R9" s="25" t="n">
        <v>27.59</v>
      </c>
      <c r="S9" s="27">
        <f>IF(OR(R9="",F9=""),"",1-F9/R9)</f>
        <v/>
      </c>
      <c r="T9" s="16">
        <f>IF(AND(Q9="",S9=""),"",IF(AND(Q9&lt;&gt;"",S9&lt;&gt;""),0.5*IF(Q9&gt;=0.06,95,IF(Q9&gt;=0.04,82,IF(Q9&gt;=0.02,68,IF(Q9&gt;=0,52,IF(Q9&gt;=-0.02,38,20)))))+0.5*IF(S9&gt;=0.2,95,IF(S9&gt;=0.05,80,IF(S9&gt;=-0.05,60,IF(S9&gt;=-0.2,40,20)))),IF(S9&lt;&gt;"",IF(S9&gt;=0.2,95,IF(S9&gt;=0.05,80,IF(S9&gt;=-0.05,60,IF(S9&gt;=-0.2,40,20)))),IF(Q9&gt;=0.06,95,IF(Q9&gt;=0.04,82,IF(Q9&gt;=0.02,68,IF(Q9&gt;=0,52,IF(Q9&gt;=-0.02,38,20))))))))</f>
        <v/>
      </c>
      <c r="U9" s="20" t="inlineStr">
        <is>
          <t>2026-10-30</t>
        </is>
      </c>
      <c r="V9" s="19" t="inlineStr">
        <is>
          <t>DCF/DDM 基准 27.59；税率待填</t>
        </is>
      </c>
    </row>
    <row r="10" ht="36" customHeight="1">
      <c r="A10" s="13" t="n">
        <v>6</v>
      </c>
      <c r="B10" s="14" t="inlineStr">
        <is>
          <t>中国神华</t>
        </is>
      </c>
      <c r="C10" s="13" t="inlineStr">
        <is>
          <t>601088.SH</t>
        </is>
      </c>
      <c r="D10" s="13" t="inlineStr">
        <is>
          <t>A股</t>
        </is>
      </c>
      <c r="E10" s="13" t="inlineStr">
        <is>
          <t>CNY</t>
        </is>
      </c>
      <c r="F10" s="25" t="n">
        <v>51.99</v>
      </c>
      <c r="G10" s="25" t="n">
        <v>1.95</v>
      </c>
      <c r="H10" s="18">
        <f>IF(AND(F10&lt;&gt;"",G10&lt;&gt;""),G10/F10,"")</f>
        <v/>
      </c>
      <c r="I10" s="34" t="n">
        <v>0.0162</v>
      </c>
      <c r="J10" s="18">
        <f>IF(OR(H10="",I10=""),"",H10-I10)</f>
        <v/>
      </c>
      <c r="K10" s="28" t="n"/>
      <c r="L10" s="28" t="n"/>
      <c r="M10" s="28" t="n"/>
      <c r="N10" s="28" t="n"/>
      <c r="O10" s="18">
        <f>IF(OR(H10="",N10=""),"",H10*(1-N10))</f>
        <v/>
      </c>
      <c r="P10" s="18">
        <f>IF(OR(O10="",L10="",M10=""),"",(1+O10)*(1+L10)*(1+M10)-1)</f>
        <v/>
      </c>
      <c r="Q10" s="18">
        <f>IF(OR(P10="",I10=""),"",P10-I10)</f>
        <v/>
      </c>
      <c r="R10" s="25" t="n">
        <v>36.64</v>
      </c>
      <c r="S10" s="27">
        <f>IF(OR(R10="",F10=""),"",1-F10/R10)</f>
        <v/>
      </c>
      <c r="T10" s="16">
        <f>IF(AND(Q10="",S10=""),"",IF(AND(Q10&lt;&gt;"",S10&lt;&gt;""),0.5*IF(Q10&gt;=0.06,95,IF(Q10&gt;=0.04,82,IF(Q10&gt;=0.02,68,IF(Q10&gt;=0,52,IF(Q10&gt;=-0.02,38,20)))))+0.5*IF(S10&gt;=0.2,95,IF(S10&gt;=0.05,80,IF(S10&gt;=-0.05,60,IF(S10&gt;=-0.2,40,20)))),IF(S10&lt;&gt;"",IF(S10&gt;=0.2,95,IF(S10&gt;=0.05,80,IF(S10&gt;=-0.05,60,IF(S10&gt;=-0.2,40,20)))),IF(Q10&gt;=0.06,95,IF(Q10&gt;=0.04,82,IF(Q10&gt;=0.02,68,IF(Q10&gt;=0,52,IF(Q10&gt;=-0.02,38,20))))))))</f>
        <v/>
      </c>
      <c r="U10" s="20" t="inlineStr">
        <is>
          <t>2026-10-30</t>
        </is>
      </c>
      <c r="V10" s="19" t="inlineStr">
        <is>
          <t>三法基准 36.64；税率待填</t>
        </is>
      </c>
    </row>
    <row r="11" ht="36" customHeight="1">
      <c r="A11" s="13" t="n">
        <v>7</v>
      </c>
      <c r="B11" s="14" t="inlineStr">
        <is>
          <t>可口可乐</t>
        </is>
      </c>
      <c r="C11" s="13" t="inlineStr">
        <is>
          <t>KO</t>
        </is>
      </c>
      <c r="D11" s="13" t="inlineStr">
        <is>
          <t>美股</t>
        </is>
      </c>
      <c r="E11" s="13" t="inlineStr">
        <is>
          <t>USD</t>
        </is>
      </c>
      <c r="F11" s="25" t="n"/>
      <c r="G11" s="25" t="n"/>
      <c r="H11" s="18">
        <f>IF(AND(F11&lt;&gt;"",G11&lt;&gt;""),G11/F11,"")</f>
        <v/>
      </c>
      <c r="I11" s="34" t="n">
        <v>0.049</v>
      </c>
      <c r="J11" s="18">
        <f>IF(OR(H11="",I11=""),"",H11-I11)</f>
        <v/>
      </c>
      <c r="K11" s="28" t="n"/>
      <c r="L11" s="28" t="n"/>
      <c r="M11" s="28" t="n"/>
      <c r="N11" s="28" t="n"/>
      <c r="O11" s="18">
        <f>IF(OR(H11="",N11=""),"",H11*(1-N11))</f>
        <v/>
      </c>
      <c r="P11" s="18">
        <f>IF(OR(O11="",L11="",M11=""),"",(1+O11)*(1+L11)*(1+M11)-1)</f>
        <v/>
      </c>
      <c r="Q11" s="18">
        <f>IF(OR(P11="",I11=""),"",P11-I11)</f>
        <v/>
      </c>
      <c r="R11" s="25" t="n"/>
      <c r="S11" s="27">
        <f>IF(OR(R11="",F11=""),"",1-F11/R11)</f>
        <v/>
      </c>
      <c r="T11" s="16">
        <f>IF(AND(Q11="",S11=""),"",IF(AND(Q11&lt;&gt;"",S11&lt;&gt;""),0.5*IF(Q11&gt;=0.06,95,IF(Q11&gt;=0.04,82,IF(Q11&gt;=0.02,68,IF(Q11&gt;=0,52,IF(Q11&gt;=-0.02,38,20)))))+0.5*IF(S11&gt;=0.2,95,IF(S11&gt;=0.05,80,IF(S11&gt;=-0.05,60,IF(S11&gt;=-0.2,40,20)))),IF(S11&lt;&gt;"",IF(S11&gt;=0.2,95,IF(S11&gt;=0.05,80,IF(S11&gt;=-0.05,60,IF(S11&gt;=-0.2,40,20)))),IF(Q11&gt;=0.06,95,IF(Q11&gt;=0.04,82,IF(Q11&gt;=0.02,68,IF(Q11&gt;=0,52,IF(Q11&gt;=-0.02,38,20))))))))</f>
        <v/>
      </c>
      <c r="U11" s="20" t="inlineStr">
        <is>
          <t>2026-10-30</t>
        </is>
      </c>
      <c r="V11" s="19" t="inlineStr">
        <is>
          <t>PE 27x；价格/DPS待填</t>
        </is>
      </c>
    </row>
    <row r="12" ht="36" customHeight="1">
      <c r="A12" s="13" t="n">
        <v>8</v>
      </c>
      <c r="B12" s="14" t="inlineStr">
        <is>
          <t>中国移动</t>
        </is>
      </c>
      <c r="C12" s="13" t="inlineStr">
        <is>
          <t>600941.SH</t>
        </is>
      </c>
      <c r="D12" s="13" t="inlineStr">
        <is>
          <t>A股</t>
        </is>
      </c>
      <c r="E12" s="13" t="inlineStr">
        <is>
          <t>CNY</t>
        </is>
      </c>
      <c r="F12" s="25" t="n"/>
      <c r="G12" s="25" t="n"/>
      <c r="H12" s="18">
        <f>IF(AND(F12&lt;&gt;"",G12&lt;&gt;""),G12/F12,"")</f>
        <v/>
      </c>
      <c r="I12" s="34" t="n">
        <v>0.0162</v>
      </c>
      <c r="J12" s="18">
        <f>IF(OR(H12="",I12=""),"",H12-I12)</f>
        <v/>
      </c>
      <c r="K12" s="28" t="n"/>
      <c r="L12" s="28" t="n"/>
      <c r="M12" s="28" t="n"/>
      <c r="N12" s="28" t="n"/>
      <c r="O12" s="18">
        <f>IF(OR(H12="",N12=""),"",H12*(1-N12))</f>
        <v/>
      </c>
      <c r="P12" s="18">
        <f>IF(OR(O12="",L12="",M12=""),"",(1+O12)*(1+L12)*(1+M12)-1)</f>
        <v/>
      </c>
      <c r="Q12" s="18">
        <f>IF(OR(P12="",I12=""),"",P12-I12)</f>
        <v/>
      </c>
      <c r="R12" s="25" t="n"/>
      <c r="S12" s="27">
        <f>IF(OR(R12="",F12=""),"",1-F12/R12)</f>
        <v/>
      </c>
      <c r="T12" s="16">
        <f>IF(AND(Q12="",S12=""),"",IF(AND(Q12&lt;&gt;"",S12&lt;&gt;""),0.5*IF(Q12&gt;=0.06,95,IF(Q12&gt;=0.04,82,IF(Q12&gt;=0.02,68,IF(Q12&gt;=0,52,IF(Q12&gt;=-0.02,38,20)))))+0.5*IF(S12&gt;=0.2,95,IF(S12&gt;=0.05,80,IF(S12&gt;=-0.05,60,IF(S12&gt;=-0.2,40,20)))),IF(S12&lt;&gt;"",IF(S12&gt;=0.2,95,IF(S12&gt;=0.05,80,IF(S12&gt;=-0.05,60,IF(S12&gt;=-0.2,40,20)))),IF(Q12&gt;=0.06,95,IF(Q12&gt;=0.04,82,IF(Q12&gt;=0.02,68,IF(Q12&gt;=0,52,IF(Q12&gt;=-0.02,38,20))))))))</f>
        <v/>
      </c>
      <c r="U12" s="20" t="inlineStr">
        <is>
          <t>2026-10-30</t>
        </is>
      </c>
      <c r="V12" s="19" t="inlineStr">
        <is>
          <t>待研究</t>
        </is>
      </c>
    </row>
    <row r="13" ht="36" customHeight="1">
      <c r="A13" s="13" t="n">
        <v>9</v>
      </c>
      <c r="B13" s="14" t="inlineStr">
        <is>
          <t>宁沪高速</t>
        </is>
      </c>
      <c r="C13" s="13" t="inlineStr">
        <is>
          <t>600377.SH</t>
        </is>
      </c>
      <c r="D13" s="13" t="inlineStr">
        <is>
          <t>A股</t>
        </is>
      </c>
      <c r="E13" s="13" t="inlineStr">
        <is>
          <t>CNY</t>
        </is>
      </c>
      <c r="F13" s="25" t="n"/>
      <c r="G13" s="25" t="n"/>
      <c r="H13" s="18">
        <f>IF(AND(F13&lt;&gt;"",G13&lt;&gt;""),G13/F13,"")</f>
        <v/>
      </c>
      <c r="I13" s="34" t="n">
        <v>0.0162</v>
      </c>
      <c r="J13" s="18">
        <f>IF(OR(H13="",I13=""),"",H13-I13)</f>
        <v/>
      </c>
      <c r="K13" s="28" t="n"/>
      <c r="L13" s="28" t="n"/>
      <c r="M13" s="28" t="n"/>
      <c r="N13" s="28" t="n"/>
      <c r="O13" s="18">
        <f>IF(OR(H13="",N13=""),"",H13*(1-N13))</f>
        <v/>
      </c>
      <c r="P13" s="18">
        <f>IF(OR(O13="",L13="",M13=""),"",(1+O13)*(1+L13)*(1+M13)-1)</f>
        <v/>
      </c>
      <c r="Q13" s="18">
        <f>IF(OR(P13="",I13=""),"",P13-I13)</f>
        <v/>
      </c>
      <c r="R13" s="25" t="n"/>
      <c r="S13" s="27">
        <f>IF(OR(R13="",F13=""),"",1-F13/R13)</f>
        <v/>
      </c>
      <c r="T13" s="16">
        <f>IF(AND(Q13="",S13=""),"",IF(AND(Q13&lt;&gt;"",S13&lt;&gt;""),0.5*IF(Q13&gt;=0.06,95,IF(Q13&gt;=0.04,82,IF(Q13&gt;=0.02,68,IF(Q13&gt;=0,52,IF(Q13&gt;=-0.02,38,20)))))+0.5*IF(S13&gt;=0.2,95,IF(S13&gt;=0.05,80,IF(S13&gt;=-0.05,60,IF(S13&gt;=-0.2,40,20)))),IF(S13&lt;&gt;"",IF(S13&gt;=0.2,95,IF(S13&gt;=0.05,80,IF(S13&gt;=-0.05,60,IF(S13&gt;=-0.2,40,20)))),IF(Q13&gt;=0.06,95,IF(Q13&gt;=0.04,82,IF(Q13&gt;=0.02,68,IF(Q13&gt;=0,52,IF(Q13&gt;=-0.02,38,20))))))))</f>
        <v/>
      </c>
      <c r="U13" s="20" t="inlineStr">
        <is>
          <t>2026-10-30</t>
        </is>
      </c>
      <c r="V13" s="19" t="inlineStr">
        <is>
          <t>待研究</t>
        </is>
      </c>
    </row>
    <row r="14" ht="36" customHeight="1">
      <c r="A14" s="13" t="n">
        <v>10</v>
      </c>
      <c r="B14" s="14" t="inlineStr">
        <is>
          <t>伯克希尔</t>
        </is>
      </c>
      <c r="C14" s="13" t="inlineStr">
        <is>
          <t>BRK.B</t>
        </is>
      </c>
      <c r="D14" s="13" t="inlineStr">
        <is>
          <t>美股</t>
        </is>
      </c>
      <c r="E14" s="13" t="inlineStr">
        <is>
          <t>USD</t>
        </is>
      </c>
      <c r="F14" s="25" t="n"/>
      <c r="G14" s="25" t="n"/>
      <c r="H14" s="18">
        <f>IF(AND(F14&lt;&gt;"",G14&lt;&gt;""),G14/F14,"")</f>
        <v/>
      </c>
      <c r="I14" s="34" t="n">
        <v>0.049</v>
      </c>
      <c r="J14" s="18">
        <f>IF(OR(H14="",I14=""),"",H14-I14)</f>
        <v/>
      </c>
      <c r="K14" s="28" t="n"/>
      <c r="L14" s="28" t="n"/>
      <c r="M14" s="28" t="n"/>
      <c r="N14" s="28" t="n"/>
      <c r="O14" s="18">
        <f>IF(OR(H14="",N14=""),"",H14*(1-N14))</f>
        <v/>
      </c>
      <c r="P14" s="18">
        <f>IF(OR(O14="",L14="",M14=""),"",(1+O14)*(1+L14)*(1+M14)-1)</f>
        <v/>
      </c>
      <c r="Q14" s="18">
        <f>IF(OR(P14="",I14=""),"",P14-I14)</f>
        <v/>
      </c>
      <c r="R14" s="25" t="n"/>
      <c r="S14" s="27">
        <f>IF(OR(R14="",F14=""),"",1-F14/R14)</f>
        <v/>
      </c>
      <c r="T14" s="16">
        <f>IF(AND(Q14="",S14=""),"",IF(AND(Q14&lt;&gt;"",S14&lt;&gt;""),0.5*IF(Q14&gt;=0.06,95,IF(Q14&gt;=0.04,82,IF(Q14&gt;=0.02,68,IF(Q14&gt;=0,52,IF(Q14&gt;=-0.02,38,20)))))+0.5*IF(S14&gt;=0.2,95,IF(S14&gt;=0.05,80,IF(S14&gt;=-0.05,60,IF(S14&gt;=-0.2,40,20)))),IF(S14&lt;&gt;"",IF(S14&gt;=0.2,95,IF(S14&gt;=0.05,80,IF(S14&gt;=-0.05,60,IF(S14&gt;=-0.2,40,20)))),IF(Q14&gt;=0.06,95,IF(Q14&gt;=0.04,82,IF(Q14&gt;=0.02,68,IF(Q14&gt;=0,52,IF(Q14&gt;=-0.02,38,20))))))))</f>
        <v/>
      </c>
      <c r="U14" s="20" t="inlineStr">
        <is>
          <t>2026-10-30</t>
        </is>
      </c>
      <c r="V14" s="19" t="inlineStr">
        <is>
          <t>非股息型；价格/DCF待填</t>
        </is>
      </c>
    </row>
    <row r="15" ht="36" customHeight="1">
      <c r="A15" s="13" t="n">
        <v>11</v>
      </c>
      <c r="B15" s="14" t="inlineStr">
        <is>
          <t>Visa</t>
        </is>
      </c>
      <c r="C15" s="13" t="inlineStr">
        <is>
          <t>V</t>
        </is>
      </c>
      <c r="D15" s="13" t="inlineStr">
        <is>
          <t>美股</t>
        </is>
      </c>
      <c r="E15" s="13" t="inlineStr">
        <is>
          <t>USD</t>
        </is>
      </c>
      <c r="F15" s="25" t="n">
        <v>400.6</v>
      </c>
      <c r="G15" s="25" t="n"/>
      <c r="H15" s="18">
        <f>IF(AND(F15&lt;&gt;"",G15&lt;&gt;""),G15/F15,0.0078)</f>
        <v/>
      </c>
      <c r="I15" s="34" t="n">
        <v>0.049</v>
      </c>
      <c r="J15" s="18">
        <f>IF(OR(H15="",I15=""),"",H15-I15)</f>
        <v/>
      </c>
      <c r="K15" s="28" t="n"/>
      <c r="L15" s="28" t="n"/>
      <c r="M15" s="28" t="n"/>
      <c r="N15" s="28" t="n"/>
      <c r="O15" s="18">
        <f>IF(OR(H15="",N15=""),"",H15*(1-N15))</f>
        <v/>
      </c>
      <c r="P15" s="18">
        <f>IF(OR(O15="",L15="",M15=""),"",(1+O15)*(1+L15)*(1+M15)-1)</f>
        <v/>
      </c>
      <c r="Q15" s="18">
        <f>IF(OR(P15="",I15=""),"",P15-I15)</f>
        <v/>
      </c>
      <c r="R15" s="25" t="n">
        <v>424.63</v>
      </c>
      <c r="S15" s="27">
        <f>IF(OR(R15="",F15=""),"",1-F15/R15)</f>
        <v/>
      </c>
      <c r="T15" s="16">
        <f>IF(AND(Q15="",S15=""),"",IF(AND(Q15&lt;&gt;"",S15&lt;&gt;""),0.5*IF(Q15&gt;=0.06,95,IF(Q15&gt;=0.04,82,IF(Q15&gt;=0.02,68,IF(Q15&gt;=0,52,IF(Q15&gt;=-0.02,38,20)))))+0.5*IF(S15&gt;=0.2,95,IF(S15&gt;=0.05,80,IF(S15&gt;=-0.05,60,IF(S15&gt;=-0.2,40,20)))),IF(S15&lt;&gt;"",IF(S15&gt;=0.2,95,IF(S15&gt;=0.05,80,IF(S15&gt;=-0.05,60,IF(S15&gt;=-0.2,40,20)))),IF(Q15&gt;=0.06,95,IF(Q15&gt;=0.04,82,IF(Q15&gt;=0.02,68,IF(Q15&gt;=0,52,IF(Q15&gt;=-0.02,38,20))))))))</f>
        <v/>
      </c>
      <c r="U15" s="20" t="inlineStr">
        <is>
          <t>2026-10-30</t>
        </is>
      </c>
      <c r="V15" s="19" t="inlineStr">
        <is>
          <t>股息率0.78%；DCF 424.63</t>
        </is>
      </c>
    </row>
    <row r="16" ht="36" customHeight="1">
      <c r="A16" s="13" t="n">
        <v>12</v>
      </c>
      <c r="B16" s="14" t="inlineStr">
        <is>
          <t>万事达卡</t>
        </is>
      </c>
      <c r="C16" s="13" t="inlineStr">
        <is>
          <t>MA</t>
        </is>
      </c>
      <c r="D16" s="13" t="inlineStr">
        <is>
          <t>美股</t>
        </is>
      </c>
      <c r="E16" s="13" t="inlineStr">
        <is>
          <t>USD</t>
        </is>
      </c>
      <c r="F16" s="25" t="n">
        <v>610.3099999999999</v>
      </c>
      <c r="G16" s="25" t="n"/>
      <c r="H16" s="18">
        <f>IF(AND(F16&lt;&gt;"",G16&lt;&gt;""),G16/F16,0.005)</f>
        <v/>
      </c>
      <c r="I16" s="34" t="n">
        <v>0.049</v>
      </c>
      <c r="J16" s="18">
        <f>IF(OR(H16="",I16=""),"",H16-I16)</f>
        <v/>
      </c>
      <c r="K16" s="28" t="n"/>
      <c r="L16" s="28" t="n"/>
      <c r="M16" s="28" t="n"/>
      <c r="N16" s="28" t="n"/>
      <c r="O16" s="18">
        <f>IF(OR(H16="",N16=""),"",H16*(1-N16))</f>
        <v/>
      </c>
      <c r="P16" s="18">
        <f>IF(OR(O16="",L16="",M16=""),"",(1+O16)*(1+L16)*(1+M16)-1)</f>
        <v/>
      </c>
      <c r="Q16" s="18">
        <f>IF(OR(P16="",I16=""),"",P16-I16)</f>
        <v/>
      </c>
      <c r="R16" s="25" t="n">
        <v>666.3099999999999</v>
      </c>
      <c r="S16" s="27">
        <f>IF(OR(R16="",F16=""),"",1-F16/R16)</f>
        <v/>
      </c>
      <c r="T16" s="16">
        <f>IF(AND(Q16="",S16=""),"",IF(AND(Q16&lt;&gt;"",S16&lt;&gt;""),0.5*IF(Q16&gt;=0.06,95,IF(Q16&gt;=0.04,82,IF(Q16&gt;=0.02,68,IF(Q16&gt;=0,52,IF(Q16&gt;=-0.02,38,20)))))+0.5*IF(S16&gt;=0.2,95,IF(S16&gt;=0.05,80,IF(S16&gt;=-0.05,60,IF(S16&gt;=-0.2,40,20)))),IF(S16&lt;&gt;"",IF(S16&gt;=0.2,95,IF(S16&gt;=0.05,80,IF(S16&gt;=-0.05,60,IF(S16&gt;=-0.2,40,20)))),IF(Q16&gt;=0.06,95,IF(Q16&gt;=0.04,82,IF(Q16&gt;=0.02,68,IF(Q16&gt;=0,52,IF(Q16&gt;=-0.02,38,20))))))))</f>
        <v/>
      </c>
      <c r="U16" s="20" t="inlineStr">
        <is>
          <t>2026-10-30</t>
        </is>
      </c>
      <c r="V16" s="19" t="inlineStr">
        <is>
          <t>股息率0.50%；DCF 666.31</t>
        </is>
      </c>
    </row>
  </sheetData>
  <mergeCells count="2">
    <mergeCell ref="A2:V2"/>
    <mergeCell ref="A1:V1"/>
  </mergeCells>
  <conditionalFormatting sqref="T5:T16">
    <cfRule type="expression" priority="1" dxfId="0">
      <formula>AND(T5&lt;&gt;"",T5&gt;=80)</formula>
    </cfRule>
    <cfRule type="expression" priority="2" dxfId="1">
      <formula>AND(T5&lt;&gt;"",T5&gt;=65)</formula>
    </cfRule>
    <cfRule type="expression" priority="3" dxfId="2">
      <formula>AND(T5&lt;&gt;"",T5&gt;=50)</formula>
    </cfRule>
    <cfRule type="expression" priority="4" dxfId="3">
      <formula>AND(T5&lt;&gt;"",T5&gt;=0)</formula>
    </cfRule>
  </conditionalFormatting>
  <conditionalFormatting sqref="Q5:Q16">
    <cfRule type="cellIs" priority="5" operator="lessThan" dxfId="6">
      <formula>0</formula>
    </cfRule>
    <cfRule type="cellIs" priority="6" operator="greaterThan" dxfId="7">
      <formula>0</formula>
    </cfRule>
  </conditionalFormatting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6B46C1"/>
    <outlinePr summaryBelow="1" summaryRight="1"/>
    <pageSetUpPr fitToPage="1"/>
  </sheetPr>
  <dimension ref="A1:M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10" customWidth="1" min="5" max="5"/>
    <col width="9" customWidth="1" min="6" max="6"/>
    <col width="9" customWidth="1" min="7" max="7"/>
    <col width="11" customWidth="1" min="8" max="8"/>
    <col width="10" customWidth="1" min="9" max="9"/>
    <col width="9" customWidth="1" min="10" max="10"/>
    <col width="10" customWidth="1" min="11" max="11"/>
    <col width="16" customWidth="1" min="12" max="12"/>
    <col width="34" customWidth="1" min="13" max="13"/>
  </cols>
  <sheetData>
    <row r="1" ht="32" customHeight="1">
      <c r="A1" s="1" t="inlineStr">
        <is>
          <t>组合监控 · 从单票到配置</t>
        </is>
      </c>
    </row>
    <row r="2" ht="26" customHeight="1">
      <c r="A2" s="2" t="inlineStr">
        <is>
          <t>示例约束，不是投资建议。权重、行业、利率敏感度、相关性、触发条件一起看。</t>
        </is>
      </c>
    </row>
    <row r="4" ht="40" customHeight="1">
      <c r="A4" s="7" t="inlineStr">
        <is>
          <t>标的</t>
        </is>
      </c>
      <c r="B4" s="7" t="inlineStr">
        <is>
          <t>类型</t>
        </is>
      </c>
      <c r="C4" s="7" t="inlineStr">
        <is>
          <t>行业</t>
        </is>
      </c>
      <c r="D4" s="7" t="inlineStr">
        <is>
          <t>目标权重</t>
        </is>
      </c>
      <c r="E4" s="7" t="inlineStr">
        <is>
          <t>当前权重</t>
        </is>
      </c>
      <c r="F4" s="7" t="inlineStr">
        <is>
          <t>股息率</t>
        </is>
      </c>
      <c r="G4" s="7" t="inlineStr">
        <is>
          <t>总回报</t>
        </is>
      </c>
      <c r="H4" s="7" t="inlineStr">
        <is>
          <t>利率敏感度</t>
        </is>
      </c>
      <c r="I4" s="7" t="inlineStr">
        <is>
          <t>相关性桶</t>
        </is>
      </c>
      <c r="J4" s="7" t="inlineStr">
        <is>
          <t>流动性</t>
        </is>
      </c>
      <c r="K4" s="7" t="inlineStr">
        <is>
          <t>最大回撤</t>
        </is>
      </c>
      <c r="L4" s="7" t="inlineStr">
        <is>
          <t>风险标签</t>
        </is>
      </c>
      <c r="M4" s="7" t="inlineStr">
        <is>
          <t>备注</t>
        </is>
      </c>
    </row>
    <row r="5" ht="24" customHeight="1">
      <c r="A5" s="14" t="inlineStr">
        <is>
          <t>工商银行</t>
        </is>
      </c>
      <c r="B5" s="13" t="inlineStr">
        <is>
          <t>金融红利</t>
        </is>
      </c>
      <c r="C5" s="13" t="inlineStr">
        <is>
          <t>银行</t>
        </is>
      </c>
      <c r="D5" s="28" t="n"/>
      <c r="E5" s="28" t="n"/>
      <c r="F5" s="18">
        <f>'总回报'!H5</f>
        <v/>
      </c>
      <c r="G5" s="18">
        <f>'总回报'!P5</f>
        <v/>
      </c>
      <c r="H5" s="15" t="n"/>
      <c r="I5" s="15" t="n"/>
      <c r="J5" s="15" t="n"/>
      <c r="K5" s="28" t="n"/>
      <c r="L5" s="15" t="n"/>
      <c r="M5" s="19" t="n"/>
    </row>
    <row r="6" ht="24" customHeight="1">
      <c r="A6" s="14" t="inlineStr">
        <is>
          <t>平安银行</t>
        </is>
      </c>
      <c r="B6" s="13" t="inlineStr">
        <is>
          <t>金融红利</t>
        </is>
      </c>
      <c r="C6" s="13" t="inlineStr">
        <is>
          <t>银行</t>
        </is>
      </c>
      <c r="D6" s="28" t="n"/>
      <c r="E6" s="28" t="n"/>
      <c r="F6" s="18">
        <f>'总回报'!H6</f>
        <v/>
      </c>
      <c r="G6" s="18">
        <f>'总回报'!P6</f>
        <v/>
      </c>
      <c r="H6" s="15" t="n"/>
      <c r="I6" s="15" t="n"/>
      <c r="J6" s="15" t="n"/>
      <c r="K6" s="28" t="n"/>
      <c r="L6" s="15" t="n"/>
      <c r="M6" s="19" t="n"/>
    </row>
    <row r="7" ht="24" customHeight="1">
      <c r="A7" s="14" t="inlineStr">
        <is>
          <t>美的集团</t>
        </is>
      </c>
      <c r="B7" s="13" t="inlineStr">
        <is>
          <t>一般红利</t>
        </is>
      </c>
      <c r="C7" s="13" t="inlineStr">
        <is>
          <t>家电</t>
        </is>
      </c>
      <c r="D7" s="28" t="n"/>
      <c r="E7" s="28" t="n"/>
      <c r="F7" s="18">
        <f>'总回报'!H7</f>
        <v/>
      </c>
      <c r="G7" s="18">
        <f>'总回报'!P7</f>
        <v/>
      </c>
      <c r="H7" s="15" t="n"/>
      <c r="I7" s="15" t="n"/>
      <c r="J7" s="15" t="n"/>
      <c r="K7" s="28" t="n"/>
      <c r="L7" s="15" t="n"/>
      <c r="M7" s="19" t="n"/>
    </row>
    <row r="8" ht="24" customHeight="1">
      <c r="A8" s="14" t="inlineStr">
        <is>
          <t>贵州茅台</t>
        </is>
      </c>
      <c r="B8" s="13" t="inlineStr">
        <is>
          <t>一般红利</t>
        </is>
      </c>
      <c r="C8" s="13" t="inlineStr">
        <is>
          <t>消费</t>
        </is>
      </c>
      <c r="D8" s="28" t="n"/>
      <c r="E8" s="28" t="n"/>
      <c r="F8" s="18">
        <f>'总回报'!H8</f>
        <v/>
      </c>
      <c r="G8" s="18">
        <f>'总回报'!P8</f>
        <v/>
      </c>
      <c r="H8" s="15" t="n"/>
      <c r="I8" s="15" t="n"/>
      <c r="J8" s="15" t="n"/>
      <c r="K8" s="28" t="n"/>
      <c r="L8" s="15" t="n"/>
      <c r="M8" s="19" t="n"/>
    </row>
    <row r="9" ht="24" customHeight="1">
      <c r="A9" s="14" t="inlineStr">
        <is>
          <t>长江电力</t>
        </is>
      </c>
      <c r="B9" s="13" t="inlineStr">
        <is>
          <t>一般红利/类债</t>
        </is>
      </c>
      <c r="C9" s="13" t="inlineStr">
        <is>
          <t>公用事业</t>
        </is>
      </c>
      <c r="D9" s="28" t="n"/>
      <c r="E9" s="28" t="n"/>
      <c r="F9" s="18">
        <f>'总回报'!H9</f>
        <v/>
      </c>
      <c r="G9" s="18">
        <f>'总回报'!P9</f>
        <v/>
      </c>
      <c r="H9" s="15" t="n"/>
      <c r="I9" s="15" t="n"/>
      <c r="J9" s="15" t="n"/>
      <c r="K9" s="28" t="n"/>
      <c r="L9" s="15" t="n"/>
      <c r="M9" s="19" t="n"/>
    </row>
    <row r="10" ht="24" customHeight="1">
      <c r="A10" s="14" t="inlineStr">
        <is>
          <t>中国神华</t>
        </is>
      </c>
      <c r="B10" s="13" t="inlineStr">
        <is>
          <t>一般红利</t>
        </is>
      </c>
      <c r="C10" s="13" t="inlineStr">
        <is>
          <t>煤炭</t>
        </is>
      </c>
      <c r="D10" s="28" t="n"/>
      <c r="E10" s="28" t="n"/>
      <c r="F10" s="18">
        <f>'总回报'!H10</f>
        <v/>
      </c>
      <c r="G10" s="18">
        <f>'总回报'!P10</f>
        <v/>
      </c>
      <c r="H10" s="15" t="n"/>
      <c r="I10" s="15" t="n"/>
      <c r="J10" s="15" t="n"/>
      <c r="K10" s="28" t="n"/>
      <c r="L10" s="15" t="n"/>
      <c r="M10" s="19" t="n"/>
    </row>
    <row r="11" ht="24" customHeight="1">
      <c r="A11" s="14" t="inlineStr">
        <is>
          <t>可口可乐</t>
        </is>
      </c>
      <c r="B11" s="13" t="inlineStr">
        <is>
          <t>一般红利</t>
        </is>
      </c>
      <c r="C11" s="13" t="inlineStr">
        <is>
          <t>消费</t>
        </is>
      </c>
      <c r="D11" s="28" t="n"/>
      <c r="E11" s="28" t="n"/>
      <c r="F11" s="18">
        <f>'总回报'!H11</f>
        <v/>
      </c>
      <c r="G11" s="18">
        <f>'总回报'!P11</f>
        <v/>
      </c>
      <c r="H11" s="15" t="n"/>
      <c r="I11" s="15" t="n"/>
      <c r="J11" s="15" t="n"/>
      <c r="K11" s="28" t="n"/>
      <c r="L11" s="15" t="n"/>
      <c r="M11" s="19" t="n"/>
    </row>
    <row r="12" ht="24" customHeight="1">
      <c r="A12" s="14" t="inlineStr">
        <is>
          <t>中国移动</t>
        </is>
      </c>
      <c r="B12" s="13" t="inlineStr">
        <is>
          <t>一般红利</t>
        </is>
      </c>
      <c r="C12" s="13" t="inlineStr">
        <is>
          <t>运营商</t>
        </is>
      </c>
      <c r="D12" s="28" t="n"/>
      <c r="E12" s="28" t="n"/>
      <c r="F12" s="18">
        <f>'总回报'!H12</f>
        <v/>
      </c>
      <c r="G12" s="18">
        <f>'总回报'!P12</f>
        <v/>
      </c>
      <c r="H12" s="15" t="n"/>
      <c r="I12" s="15" t="n"/>
      <c r="J12" s="15" t="n"/>
      <c r="K12" s="28" t="n"/>
      <c r="L12" s="15" t="n"/>
      <c r="M12" s="19" t="n"/>
    </row>
    <row r="13" ht="24" customHeight="1">
      <c r="A13" s="14" t="inlineStr">
        <is>
          <t>宁沪高速</t>
        </is>
      </c>
      <c r="B13" s="13" t="inlineStr">
        <is>
          <t>一般红利</t>
        </is>
      </c>
      <c r="C13" s="13" t="inlineStr">
        <is>
          <t>高速公路</t>
        </is>
      </c>
      <c r="D13" s="28" t="n"/>
      <c r="E13" s="28" t="n"/>
      <c r="F13" s="18">
        <f>'总回报'!H13</f>
        <v/>
      </c>
      <c r="G13" s="18">
        <f>'总回报'!P13</f>
        <v/>
      </c>
      <c r="H13" s="15" t="n"/>
      <c r="I13" s="15" t="n"/>
      <c r="J13" s="15" t="n"/>
      <c r="K13" s="28" t="n"/>
      <c r="L13" s="15" t="n"/>
      <c r="M13" s="19" t="n"/>
    </row>
    <row r="14" ht="24" customHeight="1">
      <c r="A14" s="14" t="inlineStr">
        <is>
          <t>伯克希尔</t>
        </is>
      </c>
      <c r="B14" s="13" t="inlineStr">
        <is>
          <t>质量防御</t>
        </is>
      </c>
      <c r="C14" s="13" t="inlineStr">
        <is>
          <t>控股</t>
        </is>
      </c>
      <c r="D14" s="28" t="n"/>
      <c r="E14" s="28" t="n"/>
      <c r="F14" s="18">
        <f>'总回报'!H14</f>
        <v/>
      </c>
      <c r="G14" s="18">
        <f>'总回报'!P14</f>
        <v/>
      </c>
      <c r="H14" s="15" t="n"/>
      <c r="I14" s="15" t="n"/>
      <c r="J14" s="15" t="n"/>
      <c r="K14" s="28" t="n"/>
      <c r="L14" s="15" t="n"/>
      <c r="M14" s="19" t="n"/>
    </row>
    <row r="15" ht="24" customHeight="1">
      <c r="A15" s="14" t="inlineStr">
        <is>
          <t>Visa</t>
        </is>
      </c>
      <c r="B15" s="13" t="inlineStr">
        <is>
          <t>质量防御</t>
        </is>
      </c>
      <c r="C15" s="13" t="inlineStr">
        <is>
          <t>支付</t>
        </is>
      </c>
      <c r="D15" s="28" t="n"/>
      <c r="E15" s="28" t="n"/>
      <c r="F15" s="18">
        <f>'总回报'!H15</f>
        <v/>
      </c>
      <c r="G15" s="18">
        <f>'总回报'!P15</f>
        <v/>
      </c>
      <c r="H15" s="15" t="n"/>
      <c r="I15" s="15" t="n"/>
      <c r="J15" s="15" t="n"/>
      <c r="K15" s="28" t="n"/>
      <c r="L15" s="15" t="n"/>
      <c r="M15" s="19" t="n"/>
    </row>
    <row r="16" ht="24" customHeight="1">
      <c r="A16" s="14" t="inlineStr">
        <is>
          <t>万事达卡</t>
        </is>
      </c>
      <c r="B16" s="13" t="inlineStr">
        <is>
          <t>质量防御</t>
        </is>
      </c>
      <c r="C16" s="13" t="inlineStr">
        <is>
          <t>支付</t>
        </is>
      </c>
      <c r="D16" s="28" t="n"/>
      <c r="E16" s="28" t="n"/>
      <c r="F16" s="18">
        <f>'总回报'!H16</f>
        <v/>
      </c>
      <c r="G16" s="18">
        <f>'总回报'!P16</f>
        <v/>
      </c>
      <c r="H16" s="15" t="n"/>
      <c r="I16" s="15" t="n"/>
      <c r="J16" s="15" t="n"/>
      <c r="K16" s="28" t="n"/>
      <c r="L16" s="15" t="n"/>
      <c r="M16" s="19" t="n"/>
    </row>
    <row r="18">
      <c r="A18" s="3" t="inlineStr">
        <is>
          <t>汇总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6" t="n"/>
    </row>
    <row r="19">
      <c r="A19" s="14" t="inlineStr">
        <is>
          <t>红利/类债合计</t>
        </is>
      </c>
      <c r="B19" s="6" t="n"/>
      <c r="C19" s="35">
        <f>SUMIF($B$5:$B$16,"*红利*",$D$5:$D$16)</f>
        <v/>
      </c>
    </row>
    <row r="20">
      <c r="A20" s="14" t="inlineStr">
        <is>
          <t>质量防御合计</t>
        </is>
      </c>
      <c r="B20" s="6" t="n"/>
      <c r="C20" s="35">
        <f>SUMIF($B$5:$B$16,"质量防御",$D$5:$D$16)</f>
        <v/>
      </c>
    </row>
    <row r="21">
      <c r="A21" s="14" t="inlineStr">
        <is>
          <t>最大单一权重</t>
        </is>
      </c>
      <c r="B21" s="6" t="n"/>
      <c r="C21" s="35">
        <f>MAX(D5:D16)</f>
        <v/>
      </c>
    </row>
    <row r="22">
      <c r="A22" s="14" t="inlineStr">
        <is>
          <t>加权股息率</t>
        </is>
      </c>
      <c r="B22" s="6" t="n"/>
      <c r="C22" s="36">
        <f>IF(SUM(D5:D16)=0,"",SUMPRODUCT(D5:D16,F5:F16)/SUM(D5:D16))</f>
        <v/>
      </c>
    </row>
    <row r="23">
      <c r="A23" s="14" t="inlineStr">
        <is>
          <t>加权总回报</t>
        </is>
      </c>
      <c r="B23" s="6" t="n"/>
      <c r="C23" s="36">
        <f>IF(SUM(D5:D16)=0,"",SUMPRODUCT(D5:D16,G5:G16)/SUM(D5:D16))</f>
        <v/>
      </c>
    </row>
    <row r="24">
      <c r="A24" s="14" t="inlineStr">
        <is>
          <t>高利率敏感度占比</t>
        </is>
      </c>
      <c r="B24" s="6" t="n"/>
      <c r="C24" s="35">
        <f>IF(SUM(D5:D16)=0,"",SUMIF(H5:H16,"高",D5:D16)/SUM(D5:D16))</f>
        <v/>
      </c>
    </row>
    <row r="25">
      <c r="A25" s="14" t="inlineStr">
        <is>
          <t>权重合计检查</t>
        </is>
      </c>
      <c r="B25" s="6" t="n"/>
      <c r="C25" s="37">
        <f>IF(ABS(SUM(D5:D16)-1)&lt;0.001,"100%","未到 100%")</f>
        <v/>
      </c>
    </row>
    <row r="28">
      <c r="A28" s="3" t="inlineStr">
        <is>
          <t>行业集中度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6" t="n"/>
    </row>
    <row r="29" ht="38" customHeight="1">
      <c r="A29" s="7" t="inlineStr">
        <is>
          <t>行业</t>
        </is>
      </c>
      <c r="B29" s="7" t="inlineStr">
        <is>
          <t>目标权重</t>
        </is>
      </c>
    </row>
    <row r="30">
      <c r="A30" s="4" t="inlineStr">
        <is>
          <t>银行</t>
        </is>
      </c>
      <c r="B30" s="35">
        <f>SUMIF($C$5:$C$16,A30,$D$5:$D$16)</f>
        <v/>
      </c>
    </row>
    <row r="31">
      <c r="A31" s="4" t="inlineStr">
        <is>
          <t>煤炭</t>
        </is>
      </c>
      <c r="B31" s="35">
        <f>SUMIF($C$5:$C$16,A31,$D$5:$D$16)</f>
        <v/>
      </c>
    </row>
    <row r="32">
      <c r="A32" s="4" t="inlineStr">
        <is>
          <t>公用事业</t>
        </is>
      </c>
      <c r="B32" s="35">
        <f>SUMIF($C$5:$C$16,A32,$D$5:$D$16)</f>
        <v/>
      </c>
    </row>
    <row r="33">
      <c r="A33" s="4" t="inlineStr">
        <is>
          <t>消费</t>
        </is>
      </c>
      <c r="B33" s="35">
        <f>SUMIF($C$5:$C$16,A33,$D$5:$D$16)</f>
        <v/>
      </c>
    </row>
    <row r="34">
      <c r="A34" s="4" t="inlineStr">
        <is>
          <t>支付</t>
        </is>
      </c>
      <c r="B34" s="35">
        <f>SUMIF($C$5:$C$16,A34,$D$5:$D$16)</f>
        <v/>
      </c>
    </row>
    <row r="35">
      <c r="A35" s="4" t="inlineStr">
        <is>
          <t>控股</t>
        </is>
      </c>
      <c r="B35" s="35">
        <f>SUMIF($C$5:$C$16,A35,$D$5:$D$16)</f>
        <v/>
      </c>
    </row>
    <row r="36">
      <c r="A36" s="4" t="inlineStr">
        <is>
          <t>家电</t>
        </is>
      </c>
      <c r="B36" s="35">
        <f>SUMIF($C$5:$C$16,A36,$D$5:$D$16)</f>
        <v/>
      </c>
    </row>
    <row r="37">
      <c r="A37" s="4" t="inlineStr">
        <is>
          <t>运营商</t>
        </is>
      </c>
      <c r="B37" s="35">
        <f>SUMIF($C$5:$C$16,A37,$D$5:$D$16)</f>
        <v/>
      </c>
    </row>
    <row r="38">
      <c r="A38" s="4" t="inlineStr">
        <is>
          <t>高速公路</t>
        </is>
      </c>
      <c r="B38" s="35">
        <f>SUMIF($C$5:$C$16,A38,$D$5:$D$16)</f>
        <v/>
      </c>
    </row>
    <row r="41">
      <c r="A41" s="3" t="inlineStr">
        <is>
          <t>触发条件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</row>
    <row r="42" ht="38" customHeight="1">
      <c r="A42" s="7" t="inlineStr">
        <is>
          <t>检查项</t>
        </is>
      </c>
      <c r="B42" s="7" t="inlineStr">
        <is>
          <t>状态</t>
        </is>
      </c>
      <c r="C42" s="7" t="inlineStr">
        <is>
          <t>动作</t>
        </is>
      </c>
      <c r="D42" s="5" t="n"/>
      <c r="E42" s="5" t="n"/>
      <c r="F42" s="6" t="n"/>
    </row>
    <row r="43">
      <c r="A43" s="4" t="inlineStr">
        <is>
          <t>砍息 / 派息下调</t>
        </is>
      </c>
      <c r="B43" s="15" t="inlineStr">
        <is>
          <t>正常</t>
        </is>
      </c>
      <c r="C43" s="19" t="inlineStr">
        <is>
          <t>回到单票报告复核</t>
        </is>
      </c>
      <c r="D43" s="5" t="n"/>
      <c r="E43" s="5" t="n"/>
      <c r="F43" s="6" t="n"/>
    </row>
    <row r="44">
      <c r="A44" s="4" t="inlineStr">
        <is>
          <t>FCF 派息率连续 2 年 &gt;100%</t>
        </is>
      </c>
      <c r="B44" s="15" t="inlineStr">
        <is>
          <t>待核</t>
        </is>
      </c>
      <c r="C44" s="19" t="inlineStr">
        <is>
          <t>检查 FCF 口径与资本开支</t>
        </is>
      </c>
      <c r="D44" s="5" t="n"/>
      <c r="E44" s="5" t="n"/>
      <c r="F44" s="6" t="n"/>
    </row>
    <row r="45">
      <c r="A45" s="4" t="inlineStr">
        <is>
          <t>净负债/EBITDA &gt;4x</t>
        </is>
      </c>
      <c r="B45" s="15" t="inlineStr">
        <is>
          <t>待核</t>
        </is>
      </c>
      <c r="C45" s="19" t="inlineStr">
        <is>
          <t>检查资产负债表与评级</t>
        </is>
      </c>
      <c r="D45" s="5" t="n"/>
      <c r="E45" s="5" t="n"/>
      <c r="F45" s="6" t="n"/>
    </row>
    <row r="46">
      <c r="A46" s="4" t="inlineStr">
        <is>
          <t>现价高于基准价值 20%</t>
        </is>
      </c>
      <c r="B46" s="15" t="inlineStr">
        <is>
          <t>待核</t>
        </is>
      </c>
      <c r="C46" s="19" t="inlineStr">
        <is>
          <t>减仓/不追高讨论</t>
        </is>
      </c>
      <c r="D46" s="5" t="n"/>
      <c r="E46" s="5" t="n"/>
      <c r="F46" s="6" t="n"/>
    </row>
    <row r="47">
      <c r="A47" s="4" t="inlineStr">
        <is>
          <t>核心逻辑破坏</t>
        </is>
      </c>
      <c r="B47" s="15" t="inlineStr">
        <is>
          <t>正常</t>
        </is>
      </c>
      <c r="C47" s="19" t="inlineStr">
        <is>
          <t>重新写论文</t>
        </is>
      </c>
      <c r="D47" s="5" t="n"/>
      <c r="E47" s="5" t="n"/>
      <c r="F47" s="6" t="n"/>
    </row>
    <row r="48">
      <c r="A48" s="4" t="inlineStr">
        <is>
          <t>数据超过 90 天</t>
        </is>
      </c>
      <c r="B48" s="15" t="inlineStr">
        <is>
          <t>待核</t>
        </is>
      </c>
      <c r="C48" s="19" t="inlineStr">
        <is>
          <t>更新价格/财报/分红</t>
        </is>
      </c>
      <c r="D48" s="5" t="n"/>
      <c r="E48" s="5" t="n"/>
      <c r="F48" s="6" t="n"/>
    </row>
  </sheetData>
  <mergeCells count="19">
    <mergeCell ref="A24:B24"/>
    <mergeCell ref="C48:F48"/>
    <mergeCell ref="A28:M28"/>
    <mergeCell ref="A25:B25"/>
    <mergeCell ref="C42:F42"/>
    <mergeCell ref="A21:B21"/>
    <mergeCell ref="C45:F45"/>
    <mergeCell ref="A1:M1"/>
    <mergeCell ref="A23:B23"/>
    <mergeCell ref="C47:F47"/>
    <mergeCell ref="A41:M41"/>
    <mergeCell ref="A22:B22"/>
    <mergeCell ref="C44:F44"/>
    <mergeCell ref="A20:B20"/>
    <mergeCell ref="A19:B19"/>
    <mergeCell ref="C43:F43"/>
    <mergeCell ref="A18:M18"/>
    <mergeCell ref="C46:F46"/>
    <mergeCell ref="A2:M2"/>
  </mergeCells>
  <dataValidations count="2">
    <dataValidation sqref="H5:J16" showDropDown="0" showInputMessage="0" showErrorMessage="0" allowBlank="1" type="list">
      <formula1>"高,中,低"</formula1>
    </dataValidation>
    <dataValidation sqref="B43:B48" showDropDown="0" showInputMessage="0" showErrorMessage="0" allowBlank="1" type="list">
      <formula1>"正常,触发,待核"</formula1>
    </dataValidation>
  </dataValidations>
  <pageMargins left="0.75" right="0.75" top="1" bottom="1" header="0.5" footer="0.5"/>
  <pageSetup orientation="landscape" paperSize="9" fitToHeight="0" fitToWidth="1"/>
  <rowBreaks count="1" manualBreakCount="1">
    <brk id="27" min="0" max="16383" man="1"/>
  </rowBreaks>
</worksheet>
</file>

<file path=xl/worksheets/sheet8.xml><?xml version="1.0" encoding="utf-8"?>
<worksheet xmlns="http://schemas.openxmlformats.org/spreadsheetml/2006/main">
  <sheetPr>
    <tabColor rgb="005B6B7C"/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0" customWidth="1" min="4" max="4"/>
    <col width="24" customWidth="1" min="5" max="5"/>
    <col width="11" customWidth="1" min="6" max="6"/>
    <col width="11" customWidth="1" min="7" max="7"/>
    <col width="30" customWidth="1" min="8" max="8"/>
    <col width="10" customWidth="1" min="9" max="9"/>
    <col width="34" customWidth="1" min="10" max="10"/>
  </cols>
  <sheetData>
    <row r="1" ht="32" customHeight="1">
      <c r="A1" s="1" t="inlineStr">
        <is>
          <t>数据与来源 · 证据账本</t>
        </is>
      </c>
    </row>
    <row r="2" ht="26" customHeight="1">
      <c r="A2" s="2" t="inlineStr">
        <is>
          <t>每个关键数字至少记录：来源、发布日、期间、原始值/单位、状态。状态可选：硬数据/软数据/假设/计算/待核。</t>
        </is>
      </c>
    </row>
    <row r="4" ht="38" customHeight="1">
      <c r="A4" s="7" t="inlineStr">
        <is>
          <t>标的</t>
        </is>
      </c>
      <c r="B4" s="7" t="inlineStr">
        <is>
          <t>字段</t>
        </is>
      </c>
      <c r="C4" s="7" t="inlineStr">
        <is>
          <t>数值</t>
        </is>
      </c>
      <c r="D4" s="7" t="inlineStr">
        <is>
          <t>单位</t>
        </is>
      </c>
      <c r="E4" s="7" t="inlineStr">
        <is>
          <t>来源</t>
        </is>
      </c>
      <c r="F4" s="7" t="inlineStr">
        <is>
          <t>发布日</t>
        </is>
      </c>
      <c r="G4" s="7" t="inlineStr">
        <is>
          <t>期间</t>
        </is>
      </c>
      <c r="H4" s="7" t="inlineStr">
        <is>
          <t>链接/附件</t>
        </is>
      </c>
      <c r="I4" s="7" t="inlineStr">
        <is>
          <t>状态</t>
        </is>
      </c>
      <c r="J4" s="7" t="inlineStr">
        <is>
          <t>备注</t>
        </is>
      </c>
    </row>
    <row r="5" ht="30" customHeight="1">
      <c r="A5" s="9" t="inlineStr">
        <is>
          <t>长江电力</t>
        </is>
      </c>
      <c r="B5" s="9" t="inlineStr">
        <is>
          <t>当前价</t>
        </is>
      </c>
      <c r="C5" s="38" t="n">
        <v>29.74</v>
      </c>
      <c r="D5" s="8" t="inlineStr">
        <is>
          <t>元/股</t>
        </is>
      </c>
      <c r="E5" s="9" t="inlineStr">
        <is>
          <t>腾讯行情</t>
        </is>
      </c>
      <c r="F5" s="39" t="inlineStr">
        <is>
          <t>2026-10-30</t>
        </is>
      </c>
      <c r="G5" s="39" t="inlineStr">
        <is>
          <t>2026-10-30</t>
        </is>
      </c>
      <c r="H5" s="40" t="inlineStr"/>
      <c r="I5" s="39" t="inlineStr">
        <is>
          <t>硬数据</t>
        </is>
      </c>
      <c r="J5" s="9" t="inlineStr">
        <is>
          <t>收盘价口径</t>
        </is>
      </c>
    </row>
    <row r="6" ht="30" customHeight="1">
      <c r="A6" s="9" t="inlineStr">
        <is>
          <t>长江电力</t>
        </is>
      </c>
      <c r="B6" s="9" t="inlineStr">
        <is>
          <t>2026E DPS</t>
        </is>
      </c>
      <c r="C6" s="41" t="n">
        <v>0.92</v>
      </c>
      <c r="D6" s="8" t="inlineStr">
        <is>
          <t>元/股</t>
        </is>
      </c>
      <c r="E6" s="9" t="inlineStr">
        <is>
          <t>公司公告/模型</t>
        </is>
      </c>
      <c r="F6" s="39" t="inlineStr">
        <is>
          <t>2026-10-30</t>
        </is>
      </c>
      <c r="G6" s="39" t="inlineStr">
        <is>
          <t>2026E</t>
        </is>
      </c>
      <c r="H6" s="40" t="inlineStr"/>
      <c r="I6" s="39" t="inlineStr">
        <is>
          <t>假设</t>
        </is>
      </c>
      <c r="J6" s="9" t="inlineStr">
        <is>
          <t>待按最新公告复核</t>
        </is>
      </c>
    </row>
    <row r="7" ht="30" customHeight="1">
      <c r="A7" s="9" t="inlineStr">
        <is>
          <t>长江电力</t>
        </is>
      </c>
      <c r="B7" s="9" t="inlineStr">
        <is>
          <t>净负债</t>
        </is>
      </c>
      <c r="C7" s="38" t="n">
        <v>2734.9</v>
      </c>
      <c r="D7" s="8" t="inlineStr">
        <is>
          <t>亿元</t>
        </is>
      </c>
      <c r="E7" s="9" t="inlineStr">
        <is>
          <t>2026 中报</t>
        </is>
      </c>
      <c r="F7" s="39" t="inlineStr">
        <is>
          <t>2026-08-31</t>
        </is>
      </c>
      <c r="G7" s="39" t="inlineStr">
        <is>
          <t>2026H1</t>
        </is>
      </c>
      <c r="H7" s="40" t="inlineStr"/>
      <c r="I7" s="39" t="inlineStr">
        <is>
          <t>硬数据</t>
        </is>
      </c>
      <c r="J7" s="9" t="inlineStr">
        <is>
          <t>有息负债−货币资金口径待核</t>
        </is>
      </c>
    </row>
    <row r="8" ht="30" customHeight="1">
      <c r="A8" s="9" t="inlineStr">
        <is>
          <t>长江电力</t>
        </is>
      </c>
      <c r="B8" s="9" t="inlineStr">
        <is>
          <t>FY2025 FCF</t>
        </is>
      </c>
      <c r="C8" s="39" t="n"/>
      <c r="D8" s="8" t="inlineStr">
        <is>
          <t>亿元</t>
        </is>
      </c>
      <c r="E8" s="9" t="inlineStr">
        <is>
          <t>FY2025 年报</t>
        </is>
      </c>
      <c r="F8" s="39" t="inlineStr"/>
      <c r="G8" s="39" t="inlineStr">
        <is>
          <t>FY2025</t>
        </is>
      </c>
      <c r="H8" s="40" t="inlineStr"/>
      <c r="I8" s="39" t="inlineStr">
        <is>
          <t>待核</t>
        </is>
      </c>
      <c r="J8" s="9" t="inlineStr">
        <is>
          <t>经营现金流−购建固定资产等支付的现金</t>
        </is>
      </c>
    </row>
    <row r="9" ht="30" customHeight="1">
      <c r="A9" s="9" t="inlineStr">
        <is>
          <t>中国神华</t>
        </is>
      </c>
      <c r="B9" s="9" t="inlineStr">
        <is>
          <t>FY2025 FCF</t>
        </is>
      </c>
      <c r="C9" s="38" t="n">
        <v>266.59</v>
      </c>
      <c r="D9" s="8" t="inlineStr">
        <is>
          <t>亿元</t>
        </is>
      </c>
      <c r="E9" s="9" t="inlineStr">
        <is>
          <t>FY2025 年报 / 煤炭 skill</t>
        </is>
      </c>
      <c r="F9" s="39" t="inlineStr">
        <is>
          <t>2026-10-30</t>
        </is>
      </c>
      <c r="G9" s="39" t="inlineStr">
        <is>
          <t>FY2025</t>
        </is>
      </c>
      <c r="H9" s="40" t="inlineStr"/>
      <c r="I9" s="39" t="inlineStr">
        <is>
          <t>硬数据</t>
        </is>
      </c>
      <c r="J9" s="9" t="inlineStr">
        <is>
          <t>煤炭 skill 锁死口径</t>
        </is>
      </c>
    </row>
    <row r="10" ht="30" customHeight="1">
      <c r="A10" s="9" t="inlineStr">
        <is>
          <t>中国神华</t>
        </is>
      </c>
      <c r="B10" s="9" t="inlineStr">
        <is>
          <t>2026E DPS</t>
        </is>
      </c>
      <c r="C10" s="38" t="n">
        <v>1.95</v>
      </c>
      <c r="D10" s="8" t="inlineStr">
        <is>
          <t>元/股</t>
        </is>
      </c>
      <c r="E10" s="9" t="inlineStr">
        <is>
          <t>模型</t>
        </is>
      </c>
      <c r="F10" s="39" t="inlineStr">
        <is>
          <t>2026-10-30</t>
        </is>
      </c>
      <c r="G10" s="39" t="inlineStr">
        <is>
          <t>2026E</t>
        </is>
      </c>
      <c r="H10" s="40" t="inlineStr"/>
      <c r="I10" s="39" t="inlineStr">
        <is>
          <t>假设</t>
        </is>
      </c>
      <c r="J10" s="9" t="inlineStr">
        <is>
          <t>需按最新公告复核</t>
        </is>
      </c>
    </row>
    <row r="11" ht="30" customHeight="1">
      <c r="A11" s="9" t="inlineStr">
        <is>
          <t>中国神华</t>
        </is>
      </c>
      <c r="B11" s="9" t="inlineStr">
        <is>
          <t>净负债</t>
        </is>
      </c>
      <c r="C11" s="38" t="n">
        <v>285.9</v>
      </c>
      <c r="D11" s="8" t="inlineStr">
        <is>
          <t>亿元</t>
        </is>
      </c>
      <c r="E11" s="9" t="inlineStr">
        <is>
          <t>2026 中报</t>
        </is>
      </c>
      <c r="F11" s="39" t="inlineStr">
        <is>
          <t>2026-08-31</t>
        </is>
      </c>
      <c r="G11" s="39" t="inlineStr">
        <is>
          <t>2026H1</t>
        </is>
      </c>
      <c r="H11" s="40" t="inlineStr"/>
      <c r="I11" s="39" t="inlineStr">
        <is>
          <t>硬数据</t>
        </is>
      </c>
      <c r="J11" s="9" t="inlineStr">
        <is>
          <t>有息负债−货币资金口径待核</t>
        </is>
      </c>
    </row>
    <row r="12" ht="30" customHeight="1">
      <c r="A12" s="9" t="inlineStr">
        <is>
          <t>平安银行</t>
        </is>
      </c>
      <c r="B12" s="9" t="inlineStr">
        <is>
          <t>当前价</t>
        </is>
      </c>
      <c r="C12" s="38" t="n">
        <v>11.64</v>
      </c>
      <c r="D12" s="8" t="inlineStr">
        <is>
          <t>元/股</t>
        </is>
      </c>
      <c r="E12" s="9" t="inlineStr">
        <is>
          <t>腾讯行情</t>
        </is>
      </c>
      <c r="F12" s="39" t="inlineStr">
        <is>
          <t>2026-10-30</t>
        </is>
      </c>
      <c r="G12" s="39" t="inlineStr">
        <is>
          <t>2026-10-30</t>
        </is>
      </c>
      <c r="H12" s="40" t="inlineStr"/>
      <c r="I12" s="39" t="inlineStr">
        <is>
          <t>硬数据</t>
        </is>
      </c>
      <c r="J12" s="9" t="inlineStr">
        <is>
          <t>收盘价口径</t>
        </is>
      </c>
    </row>
    <row r="13" ht="30" customHeight="1">
      <c r="A13" s="9" t="inlineStr">
        <is>
          <t>平安银行</t>
        </is>
      </c>
      <c r="B13" s="9" t="inlineStr">
        <is>
          <t>综合基准</t>
        </is>
      </c>
      <c r="C13" s="38" t="n">
        <v>11.03</v>
      </c>
      <c r="D13" s="8" t="inlineStr">
        <is>
          <t>元/股</t>
        </is>
      </c>
      <c r="E13" s="9" t="inlineStr">
        <is>
          <t>巴菲特框架研究</t>
        </is>
      </c>
      <c r="F13" s="39" t="inlineStr">
        <is>
          <t>2026-10-30</t>
        </is>
      </c>
      <c r="G13" s="39" t="inlineStr">
        <is>
          <t>2026-10-30</t>
        </is>
      </c>
      <c r="H13" s="40" t="inlineStr"/>
      <c r="I13" s="39" t="inlineStr">
        <is>
          <t>计算</t>
        </is>
      </c>
      <c r="J13" s="9" t="inlineStr">
        <is>
          <t>RI 70% + DDM 30%</t>
        </is>
      </c>
    </row>
    <row r="14" ht="30" customHeight="1">
      <c r="A14" s="9" t="inlineStr">
        <is>
          <t>工商银行</t>
        </is>
      </c>
      <c r="B14" s="9" t="inlineStr">
        <is>
          <t>股息率</t>
        </is>
      </c>
      <c r="C14" s="41" t="n">
        <v>0.036</v>
      </c>
      <c r="D14" s="8" t="inlineStr">
        <is>
          <t>%</t>
        </is>
      </c>
      <c r="E14" s="9" t="inlineStr">
        <is>
          <t>巴菲特框架研究</t>
        </is>
      </c>
      <c r="F14" s="39" t="inlineStr">
        <is>
          <t>2026-10-29</t>
        </is>
      </c>
      <c r="G14" s="39" t="inlineStr">
        <is>
          <t>2026E</t>
        </is>
      </c>
      <c r="H14" s="40" t="inlineStr"/>
      <c r="I14" s="39" t="inlineStr">
        <is>
          <t>计算</t>
        </is>
      </c>
      <c r="J14" s="9" t="inlineStr">
        <is>
          <t>前瞻股息率</t>
        </is>
      </c>
    </row>
    <row r="15" ht="30" customHeight="1">
      <c r="A15" s="9" t="inlineStr">
        <is>
          <t>Visa</t>
        </is>
      </c>
      <c r="B15" s="9" t="inlineStr">
        <is>
          <t>当前价</t>
        </is>
      </c>
      <c r="C15" s="38" t="n">
        <v>400.6</v>
      </c>
      <c r="D15" s="8" t="inlineStr">
        <is>
          <t>美元/股</t>
        </is>
      </c>
      <c r="E15" s="9" t="inlineStr">
        <is>
          <t>腾讯行情</t>
        </is>
      </c>
      <c r="F15" s="39" t="inlineStr">
        <is>
          <t>2026-10-29</t>
        </is>
      </c>
      <c r="G15" s="39" t="inlineStr">
        <is>
          <t>2026-10-29</t>
        </is>
      </c>
      <c r="H15" s="40" t="inlineStr"/>
      <c r="I15" s="39" t="inlineStr">
        <is>
          <t>硬数据</t>
        </is>
      </c>
      <c r="J15" s="9" t="inlineStr">
        <is>
          <t>收盘价口径</t>
        </is>
      </c>
    </row>
    <row r="16" ht="30" customHeight="1">
      <c r="A16" s="9" t="inlineStr">
        <is>
          <t>Visa</t>
        </is>
      </c>
      <c r="B16" s="9" t="inlineStr">
        <is>
          <t>DCF 基准</t>
        </is>
      </c>
      <c r="C16" s="38" t="n">
        <v>424.63</v>
      </c>
      <c r="D16" s="8" t="inlineStr">
        <is>
          <t>美元/股</t>
        </is>
      </c>
      <c r="E16" s="9" t="inlineStr">
        <is>
          <t>巴菲特框架研究</t>
        </is>
      </c>
      <c r="F16" s="39" t="inlineStr">
        <is>
          <t>2026-10-29</t>
        </is>
      </c>
      <c r="G16" s="39" t="inlineStr">
        <is>
          <t>2026-10-29</t>
        </is>
      </c>
      <c r="H16" s="40" t="inlineStr"/>
      <c r="I16" s="39" t="inlineStr">
        <is>
          <t>计算</t>
        </is>
      </c>
      <c r="J16" s="9" t="inlineStr">
        <is>
          <t>DCF 基准情景</t>
        </is>
      </c>
    </row>
    <row r="17" ht="30" customHeight="1">
      <c r="A17" s="9" t="inlineStr">
        <is>
          <t>万事达卡</t>
        </is>
      </c>
      <c r="B17" s="9" t="inlineStr">
        <is>
          <t>当前价</t>
        </is>
      </c>
      <c r="C17" s="38" t="n">
        <v>610.3099999999999</v>
      </c>
      <c r="D17" s="8" t="inlineStr">
        <is>
          <t>美元/股</t>
        </is>
      </c>
      <c r="E17" s="9" t="inlineStr">
        <is>
          <t>腾讯行情</t>
        </is>
      </c>
      <c r="F17" s="39" t="inlineStr">
        <is>
          <t>2026-10-29</t>
        </is>
      </c>
      <c r="G17" s="39" t="inlineStr">
        <is>
          <t>2026-10-29</t>
        </is>
      </c>
      <c r="H17" s="40" t="inlineStr"/>
      <c r="I17" s="39" t="inlineStr">
        <is>
          <t>硬数据</t>
        </is>
      </c>
      <c r="J17" s="9" t="inlineStr">
        <is>
          <t>收盘价口径</t>
        </is>
      </c>
    </row>
    <row r="18" ht="30" customHeight="1">
      <c r="A18" s="9" t="inlineStr">
        <is>
          <t>万事达卡</t>
        </is>
      </c>
      <c r="B18" s="9" t="inlineStr">
        <is>
          <t>DCF 基准</t>
        </is>
      </c>
      <c r="C18" s="38" t="n">
        <v>666.3099999999999</v>
      </c>
      <c r="D18" s="8" t="inlineStr">
        <is>
          <t>美元/股</t>
        </is>
      </c>
      <c r="E18" s="9" t="inlineStr">
        <is>
          <t>巴菲特框架研究</t>
        </is>
      </c>
      <c r="F18" s="39" t="inlineStr">
        <is>
          <t>2026-10-29</t>
        </is>
      </c>
      <c r="G18" s="39" t="inlineStr">
        <is>
          <t>2026-10-29</t>
        </is>
      </c>
      <c r="H18" s="40" t="inlineStr"/>
      <c r="I18" s="39" t="inlineStr">
        <is>
          <t>计算</t>
        </is>
      </c>
      <c r="J18" s="9" t="inlineStr">
        <is>
          <t>DCF 基准情景</t>
        </is>
      </c>
    </row>
    <row r="19" ht="30" customHeight="1">
      <c r="A19" s="9" t="inlineStr">
        <is>
          <t>中国 10Y</t>
        </is>
      </c>
      <c r="B19" s="9" t="inlineStr">
        <is>
          <t>10 年期国债收益率</t>
        </is>
      </c>
      <c r="C19" s="41" t="n">
        <v>0.0162</v>
      </c>
      <c r="D19" s="8" t="inlineStr">
        <is>
          <t>%</t>
        </is>
      </c>
      <c r="E19" s="9" t="inlineStr">
        <is>
          <t>WebSearch</t>
        </is>
      </c>
      <c r="F19" s="39" t="inlineStr">
        <is>
          <t>2026-10-30</t>
        </is>
      </c>
      <c r="G19" s="39" t="inlineStr">
        <is>
          <t>2026-10-30</t>
        </is>
      </c>
      <c r="H19" s="40" t="inlineStr"/>
      <c r="I19" s="39" t="inlineStr">
        <is>
          <t>硬数据</t>
        </is>
      </c>
      <c r="J19" s="9" t="inlineStr">
        <is>
          <t>本地无风险利率</t>
        </is>
      </c>
    </row>
    <row r="20" ht="30" customHeight="1">
      <c r="A20" s="9" t="inlineStr">
        <is>
          <t>美国 10Y</t>
        </is>
      </c>
      <c r="B20" s="9" t="inlineStr">
        <is>
          <t>10 年期国债收益率</t>
        </is>
      </c>
      <c r="C20" s="41" t="n">
        <v>0.049</v>
      </c>
      <c r="D20" s="8" t="inlineStr">
        <is>
          <t>%</t>
        </is>
      </c>
      <c r="E20" s="9" t="inlineStr">
        <is>
          <t>WebSearch</t>
        </is>
      </c>
      <c r="F20" s="39" t="inlineStr">
        <is>
          <t>2026-10-30</t>
        </is>
      </c>
      <c r="G20" s="39" t="inlineStr">
        <is>
          <t>2026-10-30</t>
        </is>
      </c>
      <c r="H20" s="40" t="inlineStr"/>
      <c r="I20" s="39" t="inlineStr">
        <is>
          <t>硬数据</t>
        </is>
      </c>
      <c r="J20" s="9" t="inlineStr">
        <is>
          <t>本地无风险利率</t>
        </is>
      </c>
    </row>
  </sheetData>
  <mergeCells count="2">
    <mergeCell ref="A1:J1"/>
    <mergeCell ref="A2:J2"/>
  </mergeCells>
  <dataValidations count="1">
    <dataValidation sqref="I5:I40" showDropDown="0" showInputMessage="0" showErrorMessage="0" allowBlank="1" type="list">
      <formula1>"硬数据,软数据,假设,计算,待核"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52" customWidth="1" min="4" max="4"/>
  </cols>
  <sheetData>
    <row r="1" ht="32" customHeight="1">
      <c r="A1" s="1" t="inlineStr">
        <is>
          <t>自动检查</t>
        </is>
      </c>
    </row>
    <row r="2" ht="26" customHeight="1">
      <c r="A2" s="2" t="inlineStr">
        <is>
          <t>公式结果需在 Excel 中重算后查看；本页只做结构检查，不替代人工复核。</t>
        </is>
      </c>
    </row>
    <row r="4" ht="38" customHeight="1">
      <c r="A4" s="7" t="inlineStr">
        <is>
          <t>检查项</t>
        </is>
      </c>
      <c r="B4" s="7" t="inlineStr">
        <is>
          <t>结果</t>
        </is>
      </c>
      <c r="C4" s="7" t="inlineStr">
        <is>
          <t>状态</t>
        </is>
      </c>
      <c r="D4" s="7" t="inlineStr">
        <is>
          <t>说明</t>
        </is>
      </c>
    </row>
    <row r="5" ht="28" customHeight="1">
      <c r="A5" s="14" t="inlineStr">
        <is>
          <t>六维权重合计</t>
        </is>
      </c>
      <c r="B5" s="33">
        <f>SUM(0.25,0.2,0.15,0.15,0.15,0.1)</f>
        <v/>
      </c>
      <c r="C5" s="17">
        <f>IF(ABS(B5-1)&lt;0.0001,"OK","CHECK")</f>
        <v/>
      </c>
      <c r="D5" s="19" t="inlineStr">
        <is>
          <t>应为 100%</t>
        </is>
      </c>
    </row>
    <row r="6" ht="28" customHeight="1">
      <c r="A6" s="14" t="inlineStr">
        <is>
          <t>质量分越界数量</t>
        </is>
      </c>
      <c r="B6" s="42">
        <f>COUNTIF('分红安全'!AD5:AD11,"&gt;100")+COUNTIF('分红安全'!AD5:AD11,"&lt;0")</f>
        <v/>
      </c>
      <c r="C6" s="17">
        <f>IF(B6=0,"OK","CHECK")</f>
        <v/>
      </c>
      <c r="D6" s="19" t="inlineStr">
        <is>
          <t>质量分应在 0–100</t>
        </is>
      </c>
    </row>
    <row r="7" ht="28" customHeight="1">
      <c r="A7" s="14" t="inlineStr">
        <is>
          <t>最终质量分越界</t>
        </is>
      </c>
      <c r="B7" s="42">
        <f>COUNTIF('分红安全'!AH5:AH11,"&gt;100")+COUNTIF('分红安全'!AH5:AH11,"&lt;0")</f>
        <v/>
      </c>
      <c r="C7" s="17">
        <f>IF(B7=0,"OK","CHECK")</f>
        <v/>
      </c>
      <c r="D7" s="19" t="inlineStr">
        <is>
          <t>硬约束后的分数应在 0–100</t>
        </is>
      </c>
    </row>
    <row r="8" ht="28" customHeight="1">
      <c r="A8" s="14" t="inlineStr">
        <is>
          <t>硬约束上限越界</t>
        </is>
      </c>
      <c r="B8" s="42">
        <f>COUNTIF('分红安全'!AF5:AF11,"&gt;100")+COUNTIF('分红安全'!AF5:AF11,"&lt;0")</f>
        <v/>
      </c>
      <c r="C8" s="17">
        <f>IF(B8=0,"OK","CHECK")</f>
        <v/>
      </c>
      <c r="D8" s="19" t="inlineStr">
        <is>
          <t>上限应为 0–100</t>
        </is>
      </c>
    </row>
    <row r="9" ht="28" customHeight="1">
      <c r="A9" s="14" t="inlineStr">
        <is>
          <t>数据完整度 &lt;80%（含待研究）</t>
        </is>
      </c>
      <c r="B9" s="42">
        <f>COUNTIF('分红安全'!AJ5:AJ11,"&lt;0.8")</f>
        <v/>
      </c>
      <c r="C9" s="17">
        <f>IF(B9=0,"OK","CHECK")</f>
        <v/>
      </c>
      <c r="D9" s="19" t="inlineStr">
        <is>
          <t>模板阶段为正常；完成研究后应清零</t>
        </is>
      </c>
    </row>
    <row r="10" ht="28" customHeight="1">
      <c r="A10" s="14" t="inlineStr">
        <is>
          <t>重复代码</t>
        </is>
      </c>
      <c r="B10" s="42">
        <f>SUMPRODUCT(--(COUNTIF('评分总表'!C5:C16,'评分总表'!C5:C16)&gt;1))</f>
        <v/>
      </c>
      <c r="C10" s="17">
        <f>IF(B10=0,"OK","CHECK")</f>
        <v/>
      </c>
      <c r="D10" s="19" t="inlineStr">
        <is>
          <t>同一代码不应重复</t>
        </is>
      </c>
    </row>
    <row r="11" ht="28" customHeight="1">
      <c r="A11" s="14" t="inlineStr">
        <is>
          <t>缺少数据日期</t>
        </is>
      </c>
      <c r="B11" s="42">
        <f>COUNTBLANK('评分总表'!P5:P16)</f>
        <v/>
      </c>
      <c r="C11" s="17">
        <f>IF(B11=0,"OK","CHECK")</f>
        <v/>
      </c>
      <c r="D11" s="19" t="inlineStr">
        <is>
          <t>待研究行可留空</t>
        </is>
      </c>
    </row>
    <row r="12" ht="28" customHeight="1">
      <c r="A12" s="14" t="inlineStr">
        <is>
          <t>总回报估值分越界</t>
        </is>
      </c>
      <c r="B12" s="42">
        <f>COUNTIF('总回报'!T5:T16,"&gt;100")+COUNTIF('总回报'!T5:T16,"&lt;0")</f>
        <v/>
      </c>
      <c r="C12" s="17">
        <f>IF(B12=0,"OK","CHECK")</f>
        <v/>
      </c>
      <c r="D12" s="19" t="inlineStr">
        <is>
          <t>估值分应在 0–100</t>
        </is>
      </c>
    </row>
    <row r="13" ht="28" customHeight="1">
      <c r="A13" s="14" t="inlineStr">
        <is>
          <t>组合权重合计</t>
        </is>
      </c>
      <c r="B13" s="27">
        <f>SUM('组合监控'!D5:D16)</f>
        <v/>
      </c>
      <c r="C13" s="17">
        <f>IF(ABS(B13-1)&lt;0.001,"OK","CHECK")</f>
        <v/>
      </c>
      <c r="D13" s="19" t="inlineStr">
        <is>
          <t>建仓前为 0 属正常；建仓后应为 100%</t>
        </is>
      </c>
    </row>
    <row r="14" ht="28" customHeight="1">
      <c r="A14" s="14" t="inlineStr">
        <is>
          <t>组合权重为负</t>
        </is>
      </c>
      <c r="B14" s="42">
        <f>COUNTIF('组合监控'!D5:D16,"&lt;0")</f>
        <v/>
      </c>
      <c r="C14" s="17">
        <f>IF(B14=0,"OK","CHECK")</f>
        <v/>
      </c>
      <c r="D14" s="19" t="inlineStr">
        <is>
          <t>不允许负权重</t>
        </is>
      </c>
    </row>
    <row r="15" ht="28" customHeight="1">
      <c r="A15" s="14" t="inlineStr">
        <is>
          <t>免责声明</t>
        </is>
      </c>
      <c r="B15" s="42" t="inlineStr">
        <is>
          <t>本表只做研究分级，不构成投资建议</t>
        </is>
      </c>
      <c r="C15" s="17" t="inlineStr">
        <is>
          <t>OK</t>
        </is>
      </c>
      <c r="D15" s="19" t="inlineStr">
        <is>
          <t>输出前保留</t>
        </is>
      </c>
    </row>
  </sheetData>
  <mergeCells count="2">
    <mergeCell ref="A1:D1"/>
    <mergeCell ref="A2:D2"/>
  </mergeCells>
  <conditionalFormatting sqref="C5:C15">
    <cfRule type="expression" priority="1" dxfId="0">
      <formula>C5="OK"</formula>
    </cfRule>
    <cfRule type="expression" priority="2" dxfId="3">
      <formula>C5="CHECK"</formula>
    </cfRule>
  </conditionalFormatting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2026-10-30T10:22:03Z</dcterms:created>
  <dcterms:modified xmlns:dcterms="http://purl.org/dc/terms/" xmlns:xsi="http://www.w3.org/2001/XMLSchema-instance" xsi:type="dcterms:W3CDTF">2026-10-30T10:22:04Z</dcterms:modified>
</cp:coreProperties>
</file>